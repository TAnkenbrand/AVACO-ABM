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filterPrivacy="1" codeName="ThisWorkbook" defaultThemeVersion="124226"/>
  <xr:revisionPtr revIDLastSave="0" documentId="13_ncr:1_{9BBD5904-91BC-4556-AFDA-74064ECD0268}" xr6:coauthVersionLast="47" xr6:coauthVersionMax="47" xr10:uidLastSave="{00000000-0000-0000-0000-000000000000}"/>
  <bookViews>
    <workbookView xWindow="-120" yWindow="-120" windowWidth="29040" windowHeight="15720" tabRatio="666" xr2:uid="{00000000-000D-0000-FFFF-FFFF00000000}"/>
  </bookViews>
  <sheets>
    <sheet name="ABM" sheetId="15" r:id="rId1"/>
    <sheet name="Price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6" i="15" l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Q17" i="15" s="1"/>
  <c r="Q18" i="15" s="1"/>
  <c r="Q19" i="15" s="1"/>
  <c r="Q20" i="15" s="1"/>
  <c r="Q21" i="15" s="1"/>
  <c r="Q22" i="15" s="1"/>
  <c r="Q23" i="15" s="1"/>
  <c r="Q24" i="15" s="1"/>
  <c r="Q25" i="15" s="1"/>
  <c r="Q26" i="15" s="1"/>
  <c r="Q27" i="15" s="1"/>
  <c r="Q28" i="15" s="1"/>
  <c r="Q29" i="15" s="1"/>
  <c r="Q30" i="15" s="1"/>
  <c r="Q31" i="15" s="1"/>
  <c r="Q32" i="15" s="1"/>
  <c r="Q33" i="15" s="1"/>
  <c r="Q34" i="15" s="1"/>
  <c r="Q35" i="15" s="1"/>
  <c r="Q36" i="15" s="1"/>
  <c r="Q37" i="15" s="1"/>
  <c r="Q38" i="15" s="1"/>
  <c r="Q39" i="15" s="1"/>
  <c r="Q5" i="15"/>
  <c r="L5" i="15"/>
  <c r="M5" i="15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M17" i="15" s="1"/>
  <c r="M18" i="15" s="1"/>
  <c r="M19" i="15" s="1"/>
  <c r="M20" i="15" s="1"/>
  <c r="M21" i="15" s="1"/>
  <c r="M22" i="15" s="1"/>
  <c r="M23" i="15" s="1"/>
  <c r="M24" i="15" s="1"/>
  <c r="M25" i="15" s="1"/>
  <c r="M26" i="15" s="1"/>
  <c r="M27" i="15" s="1"/>
  <c r="M28" i="15" s="1"/>
  <c r="M29" i="15" s="1"/>
  <c r="M30" i="15" s="1"/>
  <c r="M31" i="15" s="1"/>
  <c r="M32" i="15" s="1"/>
  <c r="M33" i="15" s="1"/>
  <c r="M34" i="15" s="1"/>
  <c r="M35" i="15" s="1"/>
  <c r="M36" i="15" s="1"/>
  <c r="M37" i="15" s="1"/>
  <c r="M38" i="15" s="1"/>
  <c r="M39" i="15" s="1"/>
  <c r="L6" i="15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L17" i="15" s="1"/>
  <c r="L18" i="15" s="1"/>
  <c r="L19" i="15" s="1"/>
  <c r="L20" i="15" s="1"/>
  <c r="L21" i="15" s="1"/>
  <c r="L22" i="15" s="1"/>
  <c r="L23" i="15" s="1"/>
  <c r="L24" i="15" s="1"/>
  <c r="L25" i="15" s="1"/>
  <c r="L26" i="15" s="1"/>
  <c r="L27" i="15" s="1"/>
  <c r="L28" i="15" s="1"/>
  <c r="L29" i="15" s="1"/>
  <c r="L30" i="15" s="1"/>
  <c r="L31" i="15" s="1"/>
  <c r="L32" i="15" s="1"/>
  <c r="L33" i="15" s="1"/>
  <c r="L34" i="15" s="1"/>
  <c r="L35" i="15" s="1"/>
  <c r="L36" i="15" s="1"/>
  <c r="L37" i="15" s="1"/>
  <c r="L38" i="15" s="1"/>
  <c r="L39" i="15" s="1"/>
  <c r="H40" i="15"/>
  <c r="N40" i="15"/>
  <c r="S40" i="15"/>
  <c r="H41" i="15"/>
  <c r="N41" i="15"/>
  <c r="S41" i="15"/>
  <c r="H42" i="15"/>
  <c r="N42" i="15"/>
  <c r="S42" i="15"/>
  <c r="H43" i="15"/>
  <c r="N43" i="15"/>
  <c r="S43" i="15"/>
  <c r="H44" i="15"/>
  <c r="N44" i="15"/>
  <c r="S44" i="15"/>
  <c r="H45" i="15"/>
  <c r="N45" i="15"/>
  <c r="S45" i="15"/>
  <c r="H46" i="15"/>
  <c r="N46" i="15"/>
  <c r="S46" i="15"/>
  <c r="H47" i="15"/>
  <c r="N47" i="15"/>
  <c r="S47" i="15"/>
  <c r="H48" i="15"/>
  <c r="N48" i="15"/>
  <c r="S48" i="15"/>
  <c r="H49" i="15"/>
  <c r="N49" i="15"/>
  <c r="S49" i="15"/>
  <c r="H50" i="15"/>
  <c r="N50" i="15"/>
  <c r="S50" i="15"/>
  <c r="H51" i="15"/>
  <c r="N51" i="15"/>
  <c r="S51" i="15"/>
  <c r="H52" i="15"/>
  <c r="N52" i="15"/>
  <c r="S52" i="15"/>
  <c r="H53" i="15"/>
  <c r="N53" i="15"/>
  <c r="S53" i="15"/>
  <c r="H54" i="15"/>
  <c r="N54" i="15"/>
  <c r="S54" i="15"/>
  <c r="H55" i="15"/>
  <c r="N55" i="15"/>
  <c r="S55" i="15"/>
  <c r="H56" i="15"/>
  <c r="N56" i="15"/>
  <c r="S56" i="15"/>
  <c r="H57" i="15"/>
  <c r="N57" i="15"/>
  <c r="S57" i="15"/>
  <c r="H58" i="15"/>
  <c r="N58" i="15"/>
  <c r="S58" i="15"/>
  <c r="H59" i="15"/>
  <c r="N59" i="15"/>
  <c r="S59" i="15"/>
  <c r="H60" i="15"/>
  <c r="N60" i="15"/>
  <c r="S60" i="15"/>
  <c r="H61" i="15"/>
  <c r="N61" i="15"/>
  <c r="S61" i="15"/>
  <c r="H62" i="15"/>
  <c r="N62" i="15"/>
  <c r="S62" i="15"/>
  <c r="H63" i="15"/>
  <c r="N63" i="15"/>
  <c r="S63" i="15"/>
  <c r="H64" i="15"/>
  <c r="N64" i="15"/>
  <c r="S64" i="15"/>
  <c r="H65" i="15"/>
  <c r="N65" i="15"/>
  <c r="S65" i="15"/>
  <c r="H66" i="15"/>
  <c r="N66" i="15"/>
  <c r="S66" i="15"/>
  <c r="H67" i="15"/>
  <c r="N67" i="15"/>
  <c r="S67" i="15"/>
  <c r="H68" i="15"/>
  <c r="N68" i="15"/>
  <c r="S68" i="15"/>
  <c r="H69" i="15"/>
  <c r="N69" i="15"/>
  <c r="S69" i="15"/>
  <c r="H70" i="15"/>
  <c r="N70" i="15"/>
  <c r="S70" i="15"/>
  <c r="H71" i="15"/>
  <c r="N71" i="15"/>
  <c r="S71" i="15"/>
  <c r="H72" i="15"/>
  <c r="N72" i="15"/>
  <c r="S72" i="15"/>
  <c r="H73" i="15"/>
  <c r="N73" i="15"/>
  <c r="S73" i="15"/>
  <c r="H74" i="15"/>
  <c r="N74" i="15"/>
  <c r="S74" i="15"/>
  <c r="H75" i="15"/>
  <c r="N75" i="15"/>
  <c r="S75" i="15"/>
  <c r="H76" i="15"/>
  <c r="N76" i="15"/>
  <c r="S76" i="15"/>
  <c r="H77" i="15"/>
  <c r="N77" i="15"/>
  <c r="S77" i="15"/>
  <c r="H78" i="15"/>
  <c r="N78" i="15"/>
  <c r="S78" i="15"/>
  <c r="H79" i="15"/>
  <c r="N79" i="15"/>
  <c r="S79" i="15"/>
  <c r="H80" i="15"/>
  <c r="N80" i="15"/>
  <c r="S80" i="15"/>
  <c r="H81" i="15"/>
  <c r="N81" i="15"/>
  <c r="S81" i="15"/>
  <c r="H82" i="15"/>
  <c r="N82" i="15"/>
  <c r="S82" i="15"/>
  <c r="H83" i="15"/>
  <c r="N83" i="15"/>
  <c r="S83" i="15"/>
  <c r="H84" i="15"/>
  <c r="N84" i="15"/>
  <c r="S84" i="15"/>
  <c r="H85" i="15"/>
  <c r="N85" i="15"/>
  <c r="S85" i="15"/>
  <c r="H86" i="15"/>
  <c r="N86" i="15"/>
  <c r="S86" i="15"/>
  <c r="H87" i="15"/>
  <c r="N87" i="15"/>
  <c r="S87" i="15"/>
  <c r="H88" i="15"/>
  <c r="N88" i="15"/>
  <c r="S88" i="15"/>
  <c r="H89" i="15"/>
  <c r="N89" i="15"/>
  <c r="S89" i="15"/>
  <c r="H90" i="15"/>
  <c r="N90" i="15"/>
  <c r="S90" i="15"/>
  <c r="H91" i="15"/>
  <c r="N91" i="15"/>
  <c r="S91" i="15"/>
  <c r="H92" i="15"/>
  <c r="N92" i="15"/>
  <c r="S92" i="15"/>
  <c r="H93" i="15"/>
  <c r="N93" i="15"/>
  <c r="S93" i="15"/>
  <c r="H94" i="15"/>
  <c r="N94" i="15"/>
  <c r="S94" i="15"/>
  <c r="H95" i="15"/>
  <c r="N95" i="15"/>
  <c r="S95" i="15"/>
  <c r="H96" i="15"/>
  <c r="N96" i="15"/>
  <c r="S96" i="15"/>
  <c r="H97" i="15"/>
  <c r="N97" i="15"/>
  <c r="S97" i="15"/>
  <c r="H98" i="15"/>
  <c r="N98" i="15"/>
  <c r="S98" i="15"/>
  <c r="H99" i="15"/>
  <c r="N99" i="15"/>
  <c r="S99" i="15"/>
  <c r="H100" i="15"/>
  <c r="N100" i="15"/>
  <c r="S100" i="15"/>
  <c r="H101" i="15"/>
  <c r="N101" i="15"/>
  <c r="S101" i="15"/>
  <c r="H102" i="15"/>
  <c r="N102" i="15"/>
  <c r="S102" i="15"/>
  <c r="H103" i="15"/>
  <c r="N103" i="15"/>
  <c r="S103" i="15"/>
  <c r="H104" i="15"/>
  <c r="N104" i="15"/>
  <c r="S104" i="15"/>
  <c r="H105" i="15"/>
  <c r="N105" i="15"/>
  <c r="S105" i="15"/>
  <c r="H106" i="15"/>
  <c r="N106" i="15"/>
  <c r="S106" i="15"/>
  <c r="H107" i="15"/>
  <c r="N107" i="15"/>
  <c r="S107" i="15"/>
  <c r="H108" i="15"/>
  <c r="N108" i="15"/>
  <c r="S108" i="15"/>
  <c r="H109" i="15"/>
  <c r="N109" i="15"/>
  <c r="S109" i="15"/>
  <c r="H110" i="15"/>
  <c r="N110" i="15"/>
  <c r="S110" i="15"/>
  <c r="H111" i="15"/>
  <c r="N111" i="15"/>
  <c r="S111" i="15"/>
  <c r="H112" i="15"/>
  <c r="N112" i="15"/>
  <c r="S112" i="15"/>
  <c r="H113" i="15"/>
  <c r="N113" i="15"/>
  <c r="S113" i="15"/>
  <c r="H114" i="15"/>
  <c r="N114" i="15"/>
  <c r="S114" i="15"/>
  <c r="H115" i="15"/>
  <c r="N115" i="15"/>
  <c r="S115" i="15"/>
  <c r="H116" i="15"/>
  <c r="N116" i="15"/>
  <c r="S116" i="15"/>
  <c r="H117" i="15"/>
  <c r="N117" i="15"/>
  <c r="S117" i="15"/>
  <c r="H118" i="15"/>
  <c r="N118" i="15"/>
  <c r="S118" i="15"/>
  <c r="H119" i="15"/>
  <c r="N119" i="15"/>
  <c r="S119" i="15"/>
  <c r="H120" i="15"/>
  <c r="N120" i="15"/>
  <c r="S120" i="15"/>
  <c r="H121" i="15"/>
  <c r="N121" i="15"/>
  <c r="S121" i="15"/>
  <c r="H122" i="15"/>
  <c r="N122" i="15"/>
  <c r="S122" i="15"/>
  <c r="H123" i="15"/>
  <c r="N123" i="15"/>
  <c r="S123" i="15"/>
  <c r="H124" i="15"/>
  <c r="N124" i="15"/>
  <c r="S124" i="15"/>
  <c r="H125" i="15"/>
  <c r="N125" i="15"/>
  <c r="S125" i="15"/>
  <c r="H126" i="15"/>
  <c r="N126" i="15"/>
  <c r="S126" i="15"/>
  <c r="H127" i="15"/>
  <c r="N127" i="15"/>
  <c r="S127" i="15"/>
  <c r="H128" i="15"/>
  <c r="N128" i="15"/>
  <c r="S128" i="15"/>
  <c r="H129" i="15"/>
  <c r="N129" i="15"/>
  <c r="S129" i="15"/>
  <c r="H130" i="15"/>
  <c r="N130" i="15"/>
  <c r="S130" i="15"/>
  <c r="H131" i="15"/>
  <c r="N131" i="15"/>
  <c r="S131" i="15"/>
  <c r="H132" i="15"/>
  <c r="N132" i="15"/>
  <c r="S132" i="15"/>
  <c r="H133" i="15"/>
  <c r="N133" i="15"/>
  <c r="S133" i="15"/>
  <c r="H134" i="15"/>
  <c r="N134" i="15"/>
  <c r="S134" i="15"/>
  <c r="H135" i="15"/>
  <c r="N135" i="15"/>
  <c r="S135" i="15"/>
  <c r="H136" i="15"/>
  <c r="N136" i="15"/>
  <c r="S136" i="15"/>
  <c r="H137" i="15"/>
  <c r="N137" i="15"/>
  <c r="S137" i="15"/>
  <c r="H138" i="15"/>
  <c r="N138" i="15"/>
  <c r="S138" i="15"/>
  <c r="H139" i="15"/>
  <c r="N139" i="15"/>
  <c r="S139" i="15"/>
  <c r="H140" i="15"/>
  <c r="N140" i="15"/>
  <c r="S140" i="15"/>
  <c r="H141" i="15"/>
  <c r="N141" i="15"/>
  <c r="S141" i="15"/>
  <c r="H142" i="15"/>
  <c r="N142" i="15"/>
  <c r="S142" i="15"/>
  <c r="H143" i="15"/>
  <c r="N143" i="15"/>
  <c r="S143" i="15"/>
  <c r="H144" i="15"/>
  <c r="N144" i="15"/>
  <c r="S144" i="15"/>
  <c r="H145" i="15"/>
  <c r="N145" i="15"/>
  <c r="S145" i="15"/>
  <c r="H146" i="15"/>
  <c r="N146" i="15"/>
  <c r="S146" i="15"/>
  <c r="H147" i="15"/>
  <c r="N147" i="15"/>
  <c r="S147" i="15"/>
  <c r="H148" i="15"/>
  <c r="N148" i="15"/>
  <c r="S148" i="15"/>
  <c r="H149" i="15"/>
  <c r="N149" i="15"/>
  <c r="S149" i="15"/>
  <c r="H150" i="15"/>
  <c r="N150" i="15"/>
  <c r="S150" i="15"/>
  <c r="H151" i="15"/>
  <c r="N151" i="15"/>
  <c r="S151" i="15"/>
  <c r="H152" i="15"/>
  <c r="N152" i="15"/>
  <c r="S152" i="15"/>
  <c r="H153" i="15"/>
  <c r="N153" i="15"/>
  <c r="S153" i="15"/>
  <c r="H154" i="15"/>
  <c r="N154" i="15"/>
  <c r="S154" i="15"/>
  <c r="H155" i="15"/>
  <c r="N155" i="15"/>
  <c r="S155" i="15"/>
  <c r="H156" i="15"/>
  <c r="N156" i="15"/>
  <c r="S156" i="15"/>
  <c r="H157" i="15"/>
  <c r="N157" i="15"/>
  <c r="S157" i="15"/>
  <c r="H158" i="15"/>
  <c r="N158" i="15"/>
  <c r="S158" i="15"/>
  <c r="H159" i="15"/>
  <c r="N159" i="15"/>
  <c r="S159" i="15"/>
  <c r="H160" i="15"/>
  <c r="N160" i="15"/>
  <c r="S160" i="15"/>
  <c r="H161" i="15"/>
  <c r="N161" i="15"/>
  <c r="S161" i="15"/>
  <c r="H162" i="15"/>
  <c r="N162" i="15"/>
  <c r="S162" i="15"/>
  <c r="H163" i="15"/>
  <c r="N163" i="15"/>
  <c r="S163" i="15"/>
  <c r="H164" i="15"/>
  <c r="N164" i="15"/>
  <c r="S164" i="15"/>
  <c r="H165" i="15"/>
  <c r="N165" i="15"/>
  <c r="S165" i="15"/>
  <c r="H166" i="15"/>
  <c r="N166" i="15"/>
  <c r="S166" i="15"/>
  <c r="H167" i="15"/>
  <c r="N167" i="15"/>
  <c r="S167" i="15"/>
  <c r="H168" i="15"/>
  <c r="N168" i="15"/>
  <c r="S168" i="15"/>
  <c r="H169" i="15"/>
  <c r="N169" i="15"/>
  <c r="S169" i="15"/>
  <c r="H170" i="15"/>
  <c r="N170" i="15"/>
  <c r="S170" i="15"/>
  <c r="H171" i="15"/>
  <c r="N171" i="15"/>
  <c r="S171" i="15"/>
  <c r="H172" i="15"/>
  <c r="N172" i="15"/>
  <c r="S172" i="15"/>
  <c r="H173" i="15"/>
  <c r="N173" i="15"/>
  <c r="S173" i="15"/>
  <c r="H174" i="15"/>
  <c r="N174" i="15"/>
  <c r="S174" i="15"/>
  <c r="H175" i="15"/>
  <c r="N175" i="15"/>
  <c r="S175" i="15"/>
  <c r="H176" i="15"/>
  <c r="N176" i="15"/>
  <c r="S176" i="15"/>
  <c r="H177" i="15"/>
  <c r="N177" i="15"/>
  <c r="S177" i="15"/>
  <c r="H178" i="15"/>
  <c r="N178" i="15"/>
  <c r="S178" i="15"/>
  <c r="H179" i="15"/>
  <c r="N179" i="15"/>
  <c r="S179" i="15"/>
  <c r="H180" i="15"/>
  <c r="N180" i="15"/>
  <c r="S180" i="15"/>
  <c r="H181" i="15"/>
  <c r="N181" i="15"/>
  <c r="S181" i="15"/>
  <c r="H182" i="15"/>
  <c r="N182" i="15"/>
  <c r="S182" i="15"/>
  <c r="H183" i="15"/>
  <c r="N183" i="15"/>
  <c r="S183" i="15"/>
  <c r="H184" i="15"/>
  <c r="N184" i="15"/>
  <c r="S184" i="15"/>
  <c r="H185" i="15"/>
  <c r="N185" i="15"/>
  <c r="S185" i="15"/>
  <c r="H186" i="15"/>
  <c r="N186" i="15"/>
  <c r="S186" i="15"/>
  <c r="H187" i="15"/>
  <c r="N187" i="15"/>
  <c r="S187" i="15"/>
  <c r="H188" i="15"/>
  <c r="N188" i="15"/>
  <c r="S188" i="15"/>
  <c r="H189" i="15"/>
  <c r="N189" i="15"/>
  <c r="S189" i="15"/>
  <c r="H190" i="15"/>
  <c r="N190" i="15"/>
  <c r="S190" i="15"/>
  <c r="H191" i="15"/>
  <c r="N191" i="15"/>
  <c r="S191" i="15"/>
  <c r="H192" i="15"/>
  <c r="N192" i="15"/>
  <c r="S192" i="15"/>
  <c r="H193" i="15"/>
  <c r="N193" i="15"/>
  <c r="S193" i="15"/>
  <c r="H194" i="15"/>
  <c r="N194" i="15"/>
  <c r="S194" i="15"/>
  <c r="H195" i="15"/>
  <c r="N195" i="15"/>
  <c r="S195" i="15"/>
  <c r="H196" i="15"/>
  <c r="N196" i="15"/>
  <c r="S196" i="15"/>
  <c r="H197" i="15"/>
  <c r="N197" i="15"/>
  <c r="S197" i="15"/>
  <c r="H198" i="15"/>
  <c r="N198" i="15"/>
  <c r="S198" i="15"/>
  <c r="H199" i="15"/>
  <c r="N199" i="15"/>
  <c r="S199" i="15"/>
  <c r="H200" i="15"/>
  <c r="N200" i="15"/>
  <c r="S200" i="15"/>
  <c r="H201" i="15"/>
  <c r="N201" i="15"/>
  <c r="S201" i="15"/>
  <c r="H202" i="15"/>
  <c r="N202" i="15"/>
  <c r="S202" i="15"/>
  <c r="H203" i="15"/>
  <c r="N203" i="15"/>
  <c r="S203" i="15"/>
  <c r="H204" i="15"/>
  <c r="N204" i="15"/>
  <c r="S204" i="15"/>
  <c r="H205" i="15"/>
  <c r="N205" i="15"/>
  <c r="S205" i="15"/>
  <c r="H206" i="15"/>
  <c r="N206" i="15"/>
  <c r="S206" i="15"/>
  <c r="H207" i="15"/>
  <c r="N207" i="15"/>
  <c r="S207" i="15"/>
  <c r="H208" i="15"/>
  <c r="N208" i="15"/>
  <c r="S208" i="15"/>
  <c r="H209" i="15"/>
  <c r="N209" i="15"/>
  <c r="S209" i="15"/>
  <c r="H210" i="15"/>
  <c r="N210" i="15"/>
  <c r="S210" i="15"/>
  <c r="H211" i="15"/>
  <c r="N211" i="15"/>
  <c r="S211" i="15"/>
  <c r="H212" i="15"/>
  <c r="N212" i="15"/>
  <c r="S212" i="15"/>
  <c r="H213" i="15"/>
  <c r="N213" i="15"/>
  <c r="S213" i="15"/>
  <c r="H214" i="15"/>
  <c r="N214" i="15"/>
  <c r="S214" i="15"/>
  <c r="H215" i="15"/>
  <c r="N215" i="15"/>
  <c r="S215" i="15"/>
  <c r="H216" i="15"/>
  <c r="N216" i="15"/>
  <c r="S216" i="15"/>
  <c r="H217" i="15"/>
  <c r="N217" i="15"/>
  <c r="S217" i="15"/>
  <c r="H218" i="15"/>
  <c r="N218" i="15"/>
  <c r="S218" i="15"/>
  <c r="H219" i="15"/>
  <c r="N219" i="15"/>
  <c r="S219" i="15"/>
  <c r="H220" i="15"/>
  <c r="N220" i="15"/>
  <c r="S220" i="15"/>
  <c r="H221" i="15"/>
  <c r="N221" i="15"/>
  <c r="S221" i="15"/>
  <c r="H222" i="15"/>
  <c r="N222" i="15"/>
  <c r="S222" i="15"/>
  <c r="H223" i="15"/>
  <c r="N223" i="15"/>
  <c r="S223" i="15"/>
  <c r="H224" i="15"/>
  <c r="N224" i="15"/>
  <c r="S224" i="15"/>
  <c r="H225" i="15"/>
  <c r="N225" i="15"/>
  <c r="S225" i="15"/>
  <c r="H226" i="15"/>
  <c r="N226" i="15"/>
  <c r="S226" i="15"/>
  <c r="H227" i="15"/>
  <c r="N227" i="15"/>
  <c r="S227" i="15"/>
  <c r="H228" i="15"/>
  <c r="N228" i="15"/>
  <c r="S228" i="15"/>
  <c r="H229" i="15"/>
  <c r="N229" i="15"/>
  <c r="S229" i="15"/>
  <c r="H230" i="15"/>
  <c r="N230" i="15"/>
  <c r="S230" i="15"/>
  <c r="H231" i="15"/>
  <c r="N231" i="15"/>
  <c r="S231" i="15"/>
  <c r="H232" i="15"/>
  <c r="N232" i="15"/>
  <c r="S232" i="15"/>
  <c r="H233" i="15"/>
  <c r="N233" i="15"/>
  <c r="S233" i="15"/>
  <c r="H234" i="15"/>
  <c r="N234" i="15"/>
  <c r="S234" i="15"/>
  <c r="H235" i="15"/>
  <c r="N235" i="15"/>
  <c r="S235" i="15"/>
  <c r="H236" i="15"/>
  <c r="N236" i="15"/>
  <c r="S236" i="15"/>
  <c r="H237" i="15"/>
  <c r="N237" i="15"/>
  <c r="S237" i="15"/>
  <c r="H238" i="15"/>
  <c r="N238" i="15"/>
  <c r="S238" i="15"/>
  <c r="H239" i="15"/>
  <c r="N239" i="15"/>
  <c r="S239" i="15"/>
  <c r="H240" i="15"/>
  <c r="N240" i="15"/>
  <c r="S240" i="15"/>
  <c r="H241" i="15"/>
  <c r="N241" i="15"/>
  <c r="S241" i="15"/>
  <c r="H242" i="15"/>
  <c r="N242" i="15"/>
  <c r="S242" i="15"/>
  <c r="H243" i="15"/>
  <c r="N243" i="15"/>
  <c r="S243" i="15"/>
  <c r="H244" i="15"/>
  <c r="N244" i="15"/>
  <c r="S244" i="15"/>
  <c r="H245" i="15"/>
  <c r="N245" i="15"/>
  <c r="S245" i="15"/>
  <c r="H246" i="15"/>
  <c r="N246" i="15"/>
  <c r="S246" i="15"/>
  <c r="H247" i="15"/>
  <c r="N247" i="15"/>
  <c r="S247" i="15"/>
  <c r="H248" i="15"/>
  <c r="N248" i="15"/>
  <c r="S248" i="15"/>
  <c r="H249" i="15"/>
  <c r="N249" i="15"/>
  <c r="S249" i="15"/>
  <c r="H250" i="15"/>
  <c r="N250" i="15"/>
  <c r="S250" i="15"/>
  <c r="H251" i="15"/>
  <c r="N251" i="15"/>
  <c r="S251" i="15"/>
  <c r="H252" i="15"/>
  <c r="N252" i="15"/>
  <c r="S252" i="15"/>
  <c r="H253" i="15"/>
  <c r="N253" i="15"/>
  <c r="S253" i="15"/>
  <c r="H254" i="15"/>
  <c r="N254" i="15"/>
  <c r="S254" i="15"/>
  <c r="H255" i="15"/>
  <c r="N255" i="15"/>
  <c r="S255" i="15"/>
  <c r="H256" i="15"/>
  <c r="N256" i="15"/>
  <c r="S256" i="15"/>
  <c r="H257" i="15"/>
  <c r="N257" i="15"/>
  <c r="S257" i="15"/>
  <c r="H258" i="15"/>
  <c r="N258" i="15"/>
  <c r="S258" i="15"/>
  <c r="H259" i="15"/>
  <c r="N259" i="15"/>
  <c r="S259" i="15"/>
  <c r="H260" i="15"/>
  <c r="N260" i="15"/>
  <c r="S260" i="15"/>
  <c r="H261" i="15"/>
  <c r="N261" i="15"/>
  <c r="S261" i="15"/>
  <c r="H262" i="15"/>
  <c r="N262" i="15"/>
  <c r="S262" i="15"/>
  <c r="H263" i="15"/>
  <c r="N263" i="15"/>
  <c r="S263" i="15"/>
  <c r="H264" i="15"/>
  <c r="N264" i="15"/>
  <c r="S264" i="15"/>
  <c r="H265" i="15"/>
  <c r="N265" i="15"/>
  <c r="S265" i="15"/>
  <c r="H266" i="15"/>
  <c r="N266" i="15"/>
  <c r="S266" i="15"/>
  <c r="H267" i="15"/>
  <c r="N267" i="15"/>
  <c r="S267" i="15"/>
  <c r="H268" i="15"/>
  <c r="N268" i="15"/>
  <c r="S268" i="15"/>
  <c r="H269" i="15"/>
  <c r="N269" i="15"/>
  <c r="S269" i="15"/>
  <c r="H270" i="15"/>
  <c r="N270" i="15"/>
  <c r="S270" i="15"/>
  <c r="H271" i="15"/>
  <c r="N271" i="15"/>
  <c r="S271" i="15"/>
  <c r="H272" i="15"/>
  <c r="N272" i="15"/>
  <c r="S272" i="15"/>
  <c r="H273" i="15"/>
  <c r="N273" i="15"/>
  <c r="S273" i="15"/>
  <c r="H274" i="15"/>
  <c r="N274" i="15"/>
  <c r="S274" i="15"/>
  <c r="H275" i="15"/>
  <c r="N275" i="15"/>
  <c r="S275" i="15"/>
  <c r="H276" i="15"/>
  <c r="N276" i="15"/>
  <c r="S276" i="15"/>
  <c r="H277" i="15"/>
  <c r="N277" i="15"/>
  <c r="S277" i="15"/>
  <c r="H278" i="15"/>
  <c r="N278" i="15"/>
  <c r="S278" i="15"/>
  <c r="H279" i="15"/>
  <c r="N279" i="15"/>
  <c r="S279" i="15"/>
  <c r="H280" i="15"/>
  <c r="N280" i="15"/>
  <c r="S280" i="15"/>
  <c r="H281" i="15"/>
  <c r="N281" i="15"/>
  <c r="S281" i="15"/>
  <c r="H282" i="15"/>
  <c r="N282" i="15"/>
  <c r="S282" i="15"/>
  <c r="H283" i="15"/>
  <c r="N283" i="15"/>
  <c r="S283" i="15"/>
  <c r="H284" i="15"/>
  <c r="N284" i="15"/>
  <c r="S284" i="15"/>
  <c r="H285" i="15"/>
  <c r="N285" i="15"/>
  <c r="S285" i="15"/>
  <c r="H286" i="15"/>
  <c r="N286" i="15"/>
  <c r="S286" i="15"/>
  <c r="H287" i="15"/>
  <c r="N287" i="15"/>
  <c r="S287" i="15"/>
  <c r="H288" i="15"/>
  <c r="N288" i="15"/>
  <c r="S288" i="15"/>
  <c r="H289" i="15"/>
  <c r="N289" i="15"/>
  <c r="S289" i="15"/>
  <c r="H290" i="15"/>
  <c r="N290" i="15"/>
  <c r="S290" i="15"/>
  <c r="H291" i="15"/>
  <c r="N291" i="15"/>
  <c r="S291" i="15"/>
  <c r="H292" i="15"/>
  <c r="N292" i="15"/>
  <c r="S292" i="15"/>
  <c r="H293" i="15"/>
  <c r="N293" i="15"/>
  <c r="S293" i="15"/>
  <c r="H294" i="15"/>
  <c r="N294" i="15"/>
  <c r="S294" i="15"/>
  <c r="H295" i="15"/>
  <c r="N295" i="15"/>
  <c r="S295" i="15"/>
  <c r="H296" i="15"/>
  <c r="N296" i="15"/>
  <c r="S296" i="15"/>
  <c r="H297" i="15"/>
  <c r="N297" i="15"/>
  <c r="S297" i="15"/>
  <c r="H298" i="15"/>
  <c r="N298" i="15"/>
  <c r="S298" i="15"/>
  <c r="H299" i="15"/>
  <c r="N299" i="15"/>
  <c r="S299" i="15"/>
  <c r="H300" i="15"/>
  <c r="N300" i="15"/>
  <c r="S300" i="15"/>
  <c r="H301" i="15"/>
  <c r="N301" i="15"/>
  <c r="S301" i="15"/>
  <c r="H302" i="15"/>
  <c r="N302" i="15"/>
  <c r="S302" i="15"/>
  <c r="H303" i="15"/>
  <c r="N303" i="15"/>
  <c r="S303" i="15"/>
  <c r="H304" i="15"/>
  <c r="N304" i="15"/>
  <c r="S304" i="15"/>
  <c r="H305" i="15"/>
  <c r="N305" i="15"/>
  <c r="S305" i="15"/>
  <c r="H306" i="15"/>
  <c r="N306" i="15"/>
  <c r="S306" i="15"/>
  <c r="H307" i="15"/>
  <c r="N307" i="15"/>
  <c r="S307" i="15"/>
  <c r="H308" i="15"/>
  <c r="N308" i="15"/>
  <c r="S308" i="15"/>
  <c r="H309" i="15"/>
  <c r="N309" i="15"/>
  <c r="S309" i="15"/>
  <c r="H310" i="15"/>
  <c r="N310" i="15"/>
  <c r="S310" i="15"/>
  <c r="H311" i="15"/>
  <c r="N311" i="15"/>
  <c r="S311" i="15"/>
  <c r="H312" i="15"/>
  <c r="N312" i="15"/>
  <c r="S312" i="15"/>
  <c r="H313" i="15"/>
  <c r="N313" i="15"/>
  <c r="S313" i="15"/>
  <c r="H314" i="15"/>
  <c r="N314" i="15"/>
  <c r="S314" i="15"/>
  <c r="H315" i="15"/>
  <c r="N315" i="15"/>
  <c r="S315" i="15"/>
  <c r="H316" i="15"/>
  <c r="N316" i="15"/>
  <c r="S316" i="15"/>
  <c r="H317" i="15"/>
  <c r="N317" i="15"/>
  <c r="S317" i="15"/>
  <c r="H318" i="15"/>
  <c r="N318" i="15"/>
  <c r="S318" i="15"/>
  <c r="H319" i="15"/>
  <c r="N319" i="15"/>
  <c r="S319" i="15"/>
  <c r="H320" i="15"/>
  <c r="N320" i="15"/>
  <c r="S320" i="15"/>
  <c r="H321" i="15"/>
  <c r="N321" i="15"/>
  <c r="S321" i="15"/>
  <c r="H322" i="15"/>
  <c r="N322" i="15"/>
  <c r="S322" i="15"/>
  <c r="H323" i="15"/>
  <c r="N323" i="15"/>
  <c r="S323" i="15"/>
  <c r="H324" i="15"/>
  <c r="N324" i="15"/>
  <c r="S324" i="15"/>
  <c r="H325" i="15"/>
  <c r="N325" i="15"/>
  <c r="S325" i="15"/>
  <c r="H326" i="15"/>
  <c r="N326" i="15"/>
  <c r="S326" i="15"/>
  <c r="H327" i="15"/>
  <c r="N327" i="15"/>
  <c r="S327" i="15"/>
  <c r="H328" i="15"/>
  <c r="N328" i="15"/>
  <c r="S328" i="15"/>
  <c r="H329" i="15"/>
  <c r="N329" i="15"/>
  <c r="S329" i="15"/>
  <c r="H330" i="15"/>
  <c r="N330" i="15"/>
  <c r="S330" i="15"/>
  <c r="H331" i="15"/>
  <c r="N331" i="15"/>
  <c r="S331" i="15"/>
  <c r="H332" i="15"/>
  <c r="N332" i="15"/>
  <c r="S332" i="15"/>
  <c r="H333" i="15"/>
  <c r="N333" i="15"/>
  <c r="S333" i="15"/>
  <c r="H334" i="15"/>
  <c r="N334" i="15"/>
  <c r="S334" i="15"/>
  <c r="H335" i="15"/>
  <c r="N335" i="15"/>
  <c r="S335" i="15"/>
  <c r="H336" i="15"/>
  <c r="N336" i="15"/>
  <c r="S336" i="15"/>
  <c r="H337" i="15"/>
  <c r="N337" i="15"/>
  <c r="S337" i="15"/>
  <c r="H338" i="15"/>
  <c r="N338" i="15"/>
  <c r="S338" i="15"/>
  <c r="H339" i="15"/>
  <c r="N339" i="15"/>
  <c r="S339" i="15"/>
  <c r="H340" i="15"/>
  <c r="N340" i="15"/>
  <c r="S340" i="15"/>
  <c r="H341" i="15"/>
  <c r="N341" i="15"/>
  <c r="S341" i="15"/>
  <c r="H342" i="15"/>
  <c r="N342" i="15"/>
  <c r="S342" i="15"/>
  <c r="H343" i="15"/>
  <c r="N343" i="15"/>
  <c r="S343" i="15"/>
  <c r="H344" i="15"/>
  <c r="N344" i="15"/>
  <c r="S344" i="15"/>
  <c r="H345" i="15"/>
  <c r="N345" i="15"/>
  <c r="S345" i="15"/>
  <c r="H346" i="15"/>
  <c r="N346" i="15"/>
  <c r="S346" i="15"/>
  <c r="H347" i="15"/>
  <c r="N347" i="15"/>
  <c r="S347" i="15"/>
  <c r="H348" i="15"/>
  <c r="N348" i="15"/>
  <c r="S348" i="15"/>
  <c r="H349" i="15"/>
  <c r="N349" i="15"/>
  <c r="S349" i="15"/>
  <c r="H350" i="15"/>
  <c r="N350" i="15"/>
  <c r="S350" i="15"/>
  <c r="H351" i="15"/>
  <c r="N351" i="15"/>
  <c r="S351" i="15"/>
  <c r="H352" i="15"/>
  <c r="N352" i="15"/>
  <c r="S352" i="15"/>
  <c r="H353" i="15"/>
  <c r="N353" i="15"/>
  <c r="S353" i="15"/>
  <c r="H354" i="15"/>
  <c r="N354" i="15"/>
  <c r="S354" i="15"/>
  <c r="H355" i="15"/>
  <c r="N355" i="15"/>
  <c r="S355" i="15"/>
  <c r="H356" i="15"/>
  <c r="N356" i="15"/>
  <c r="S356" i="15"/>
  <c r="H357" i="15"/>
  <c r="N357" i="15"/>
  <c r="S357" i="15"/>
  <c r="H358" i="15"/>
  <c r="N358" i="15"/>
  <c r="S358" i="15"/>
  <c r="H359" i="15"/>
  <c r="N359" i="15"/>
  <c r="S359" i="15"/>
  <c r="H360" i="15"/>
  <c r="N360" i="15"/>
  <c r="S360" i="15"/>
  <c r="H361" i="15"/>
  <c r="N361" i="15"/>
  <c r="S361" i="15"/>
  <c r="H362" i="15"/>
  <c r="N362" i="15"/>
  <c r="S362" i="15"/>
  <c r="H363" i="15"/>
  <c r="N363" i="15"/>
  <c r="S363" i="15"/>
  <c r="H364" i="15"/>
  <c r="N364" i="15"/>
  <c r="S364" i="15"/>
  <c r="H365" i="15"/>
  <c r="N365" i="15"/>
  <c r="S365" i="15"/>
  <c r="H366" i="15"/>
  <c r="N366" i="15"/>
  <c r="S366" i="15"/>
  <c r="H367" i="15"/>
  <c r="N367" i="15"/>
  <c r="S367" i="15"/>
  <c r="H368" i="15"/>
  <c r="N368" i="15"/>
  <c r="S368" i="15"/>
  <c r="H369" i="15"/>
  <c r="N369" i="15"/>
  <c r="S369" i="15"/>
  <c r="H370" i="15"/>
  <c r="N370" i="15"/>
  <c r="S370" i="15"/>
  <c r="H371" i="15"/>
  <c r="N371" i="15"/>
  <c r="S371" i="15"/>
  <c r="H372" i="15"/>
  <c r="N372" i="15"/>
  <c r="S372" i="15"/>
  <c r="H373" i="15"/>
  <c r="N373" i="15"/>
  <c r="S373" i="15"/>
  <c r="H374" i="15"/>
  <c r="N374" i="15"/>
  <c r="S374" i="15"/>
  <c r="H375" i="15"/>
  <c r="N375" i="15"/>
  <c r="S375" i="15"/>
  <c r="H376" i="15"/>
  <c r="N376" i="15"/>
  <c r="S376" i="15"/>
  <c r="H377" i="15"/>
  <c r="N377" i="15"/>
  <c r="S377" i="15"/>
  <c r="H378" i="15"/>
  <c r="N378" i="15"/>
  <c r="S378" i="15"/>
  <c r="H379" i="15"/>
  <c r="N379" i="15"/>
  <c r="S379" i="15"/>
  <c r="H380" i="15"/>
  <c r="N380" i="15"/>
  <c r="S380" i="15"/>
  <c r="H381" i="15"/>
  <c r="N381" i="15"/>
  <c r="S381" i="15"/>
  <c r="H382" i="15"/>
  <c r="N382" i="15"/>
  <c r="S382" i="15"/>
  <c r="H383" i="15"/>
  <c r="N383" i="15"/>
  <c r="S383" i="15"/>
  <c r="H384" i="15"/>
  <c r="N384" i="15"/>
  <c r="S384" i="15"/>
  <c r="H385" i="15"/>
  <c r="N385" i="15"/>
  <c r="S385" i="15"/>
  <c r="H386" i="15"/>
  <c r="N386" i="15"/>
  <c r="S386" i="15"/>
  <c r="H387" i="15"/>
  <c r="N387" i="15"/>
  <c r="S387" i="15"/>
  <c r="H388" i="15"/>
  <c r="N388" i="15"/>
  <c r="S388" i="15"/>
  <c r="H389" i="15"/>
  <c r="N389" i="15"/>
  <c r="S389" i="15"/>
  <c r="H390" i="15"/>
  <c r="N390" i="15"/>
  <c r="S390" i="15"/>
  <c r="H391" i="15"/>
  <c r="N391" i="15"/>
  <c r="S391" i="15"/>
  <c r="H392" i="15"/>
  <c r="N392" i="15"/>
  <c r="S392" i="15"/>
  <c r="H393" i="15"/>
  <c r="N393" i="15"/>
  <c r="S393" i="15"/>
  <c r="H394" i="15"/>
  <c r="N394" i="15"/>
  <c r="S394" i="15"/>
  <c r="H395" i="15"/>
  <c r="N395" i="15"/>
  <c r="S395" i="15"/>
  <c r="H396" i="15"/>
  <c r="N396" i="15"/>
  <c r="S396" i="15"/>
  <c r="H397" i="15"/>
  <c r="N397" i="15"/>
  <c r="S397" i="15"/>
  <c r="H398" i="15"/>
  <c r="N398" i="15"/>
  <c r="S398" i="15"/>
  <c r="H399" i="15"/>
  <c r="N399" i="15"/>
  <c r="S399" i="15"/>
  <c r="H400" i="15"/>
  <c r="N400" i="15"/>
  <c r="S400" i="15"/>
  <c r="H401" i="15"/>
  <c r="N401" i="15"/>
  <c r="S401" i="15"/>
  <c r="H402" i="15"/>
  <c r="N402" i="15"/>
  <c r="S402" i="15"/>
  <c r="H403" i="15"/>
  <c r="N403" i="15"/>
  <c r="S403" i="15"/>
  <c r="H404" i="15"/>
  <c r="N404" i="15"/>
  <c r="S404" i="15"/>
  <c r="H405" i="15"/>
  <c r="N405" i="15"/>
  <c r="S405" i="15"/>
  <c r="H406" i="15"/>
  <c r="N406" i="15"/>
  <c r="S406" i="15"/>
  <c r="H407" i="15"/>
  <c r="N407" i="15"/>
  <c r="S407" i="15"/>
  <c r="H408" i="15"/>
  <c r="N408" i="15"/>
  <c r="S408" i="15"/>
  <c r="H409" i="15"/>
  <c r="N409" i="15"/>
  <c r="S409" i="15"/>
  <c r="H410" i="15"/>
  <c r="N410" i="15"/>
  <c r="S410" i="15"/>
  <c r="H411" i="15"/>
  <c r="N411" i="15"/>
  <c r="S411" i="15"/>
  <c r="H412" i="15"/>
  <c r="N412" i="15"/>
  <c r="S412" i="15"/>
  <c r="H413" i="15"/>
  <c r="N413" i="15"/>
  <c r="S413" i="15"/>
  <c r="H414" i="15"/>
  <c r="N414" i="15"/>
  <c r="S414" i="15"/>
  <c r="H415" i="15"/>
  <c r="N415" i="15"/>
  <c r="S415" i="15"/>
  <c r="H416" i="15"/>
  <c r="N416" i="15"/>
  <c r="S416" i="15"/>
  <c r="H417" i="15"/>
  <c r="N417" i="15"/>
  <c r="S417" i="15"/>
  <c r="H418" i="15"/>
  <c r="N418" i="15"/>
  <c r="S418" i="15"/>
  <c r="H419" i="15"/>
  <c r="N419" i="15"/>
  <c r="S419" i="15"/>
  <c r="H420" i="15"/>
  <c r="N420" i="15"/>
  <c r="S420" i="15"/>
  <c r="H421" i="15"/>
  <c r="N421" i="15"/>
  <c r="S421" i="15"/>
  <c r="H422" i="15"/>
  <c r="N422" i="15"/>
  <c r="S422" i="15"/>
  <c r="H423" i="15"/>
  <c r="N423" i="15"/>
  <c r="S423" i="15"/>
  <c r="H424" i="15"/>
  <c r="N424" i="15"/>
  <c r="S424" i="15"/>
  <c r="H425" i="15"/>
  <c r="N425" i="15"/>
  <c r="S425" i="15"/>
  <c r="H426" i="15"/>
  <c r="N426" i="15"/>
  <c r="S426" i="15"/>
  <c r="H427" i="15"/>
  <c r="N427" i="15"/>
  <c r="S427" i="15"/>
  <c r="H428" i="15"/>
  <c r="N428" i="15"/>
  <c r="S428" i="15"/>
  <c r="H429" i="15"/>
  <c r="N429" i="15"/>
  <c r="S429" i="15"/>
  <c r="H430" i="15"/>
  <c r="N430" i="15"/>
  <c r="S430" i="15"/>
  <c r="H431" i="15"/>
  <c r="N431" i="15"/>
  <c r="S431" i="15"/>
  <c r="H432" i="15"/>
  <c r="N432" i="15"/>
  <c r="S432" i="15"/>
  <c r="H433" i="15"/>
  <c r="N433" i="15"/>
  <c r="S433" i="15"/>
  <c r="H434" i="15"/>
  <c r="N434" i="15"/>
  <c r="S434" i="15"/>
  <c r="H435" i="15"/>
  <c r="N435" i="15"/>
  <c r="S435" i="15"/>
  <c r="H436" i="15"/>
  <c r="N436" i="15"/>
  <c r="S436" i="15"/>
  <c r="H437" i="15"/>
  <c r="N437" i="15"/>
  <c r="S437" i="15"/>
  <c r="H438" i="15"/>
  <c r="N438" i="15"/>
  <c r="S438" i="15"/>
  <c r="H439" i="15"/>
  <c r="N439" i="15"/>
  <c r="S439" i="15"/>
  <c r="H440" i="15"/>
  <c r="N440" i="15"/>
  <c r="S440" i="15"/>
  <c r="H441" i="15"/>
  <c r="N441" i="15"/>
  <c r="S441" i="15"/>
  <c r="H442" i="15"/>
  <c r="N442" i="15"/>
  <c r="S442" i="15"/>
  <c r="H443" i="15"/>
  <c r="N443" i="15"/>
  <c r="S443" i="15"/>
  <c r="H444" i="15"/>
  <c r="N444" i="15"/>
  <c r="S444" i="15"/>
  <c r="H445" i="15"/>
  <c r="N445" i="15"/>
  <c r="S445" i="15"/>
  <c r="H446" i="15"/>
  <c r="N446" i="15"/>
  <c r="S446" i="15"/>
  <c r="H447" i="15"/>
  <c r="N447" i="15"/>
  <c r="S447" i="15"/>
  <c r="H448" i="15"/>
  <c r="N448" i="15"/>
  <c r="S448" i="15"/>
  <c r="H449" i="15"/>
  <c r="N449" i="15"/>
  <c r="S449" i="15"/>
  <c r="H450" i="15"/>
  <c r="N450" i="15"/>
  <c r="S450" i="15"/>
  <c r="H451" i="15"/>
  <c r="N451" i="15"/>
  <c r="S451" i="15"/>
  <c r="H452" i="15"/>
  <c r="N452" i="15"/>
  <c r="S452" i="15"/>
  <c r="H453" i="15"/>
  <c r="N453" i="15"/>
  <c r="S453" i="15"/>
  <c r="H454" i="15"/>
  <c r="N454" i="15"/>
  <c r="S454" i="15"/>
  <c r="H455" i="15"/>
  <c r="N455" i="15"/>
  <c r="S455" i="15"/>
  <c r="H456" i="15"/>
  <c r="N456" i="15"/>
  <c r="S456" i="15"/>
  <c r="H457" i="15"/>
  <c r="N457" i="15"/>
  <c r="S457" i="15"/>
  <c r="H458" i="15"/>
  <c r="N458" i="15"/>
  <c r="S458" i="15"/>
  <c r="H459" i="15"/>
  <c r="N459" i="15"/>
  <c r="S459" i="15"/>
  <c r="H460" i="15"/>
  <c r="N460" i="15"/>
  <c r="S460" i="15"/>
  <c r="H461" i="15"/>
  <c r="N461" i="15"/>
  <c r="S461" i="15"/>
  <c r="H462" i="15"/>
  <c r="N462" i="15"/>
  <c r="S462" i="15"/>
  <c r="H463" i="15"/>
  <c r="N463" i="15"/>
  <c r="S463" i="15"/>
  <c r="H464" i="15"/>
  <c r="N464" i="15"/>
  <c r="S464" i="15"/>
  <c r="H465" i="15"/>
  <c r="N465" i="15"/>
  <c r="S465" i="15"/>
  <c r="H466" i="15"/>
  <c r="N466" i="15"/>
  <c r="S466" i="15"/>
  <c r="H467" i="15"/>
  <c r="N467" i="15"/>
  <c r="S467" i="15"/>
  <c r="H468" i="15"/>
  <c r="N468" i="15"/>
  <c r="S468" i="15"/>
  <c r="H469" i="15"/>
  <c r="N469" i="15"/>
  <c r="S469" i="15"/>
  <c r="H470" i="15"/>
  <c r="N470" i="15"/>
  <c r="S470" i="15"/>
  <c r="H471" i="15"/>
  <c r="N471" i="15"/>
  <c r="S471" i="15"/>
  <c r="H472" i="15"/>
  <c r="N472" i="15"/>
  <c r="S472" i="15"/>
  <c r="H473" i="15"/>
  <c r="N473" i="15"/>
  <c r="S473" i="15"/>
  <c r="H474" i="15"/>
  <c r="N474" i="15"/>
  <c r="S474" i="15"/>
  <c r="H475" i="15"/>
  <c r="N475" i="15"/>
  <c r="S475" i="15"/>
  <c r="H476" i="15"/>
  <c r="N476" i="15"/>
  <c r="S476" i="15"/>
  <c r="H477" i="15"/>
  <c r="N477" i="15"/>
  <c r="S477" i="15"/>
  <c r="H478" i="15"/>
  <c r="N478" i="15"/>
  <c r="S478" i="15"/>
  <c r="H479" i="15"/>
  <c r="N479" i="15"/>
  <c r="S479" i="15"/>
  <c r="H480" i="15"/>
  <c r="N480" i="15"/>
  <c r="S480" i="15"/>
  <c r="H481" i="15"/>
  <c r="N481" i="15"/>
  <c r="S481" i="15"/>
  <c r="H482" i="15"/>
  <c r="N482" i="15"/>
  <c r="S482" i="15"/>
  <c r="H483" i="15"/>
  <c r="N483" i="15"/>
  <c r="S483" i="15"/>
  <c r="H484" i="15"/>
  <c r="N484" i="15"/>
  <c r="S484" i="15"/>
  <c r="H485" i="15"/>
  <c r="N485" i="15"/>
  <c r="S485" i="15"/>
  <c r="H486" i="15"/>
  <c r="N486" i="15"/>
  <c r="S486" i="15"/>
  <c r="H487" i="15"/>
  <c r="N487" i="15"/>
  <c r="S487" i="15"/>
  <c r="H488" i="15"/>
  <c r="N488" i="15"/>
  <c r="S488" i="15"/>
  <c r="H489" i="15"/>
  <c r="N489" i="15"/>
  <c r="S489" i="15"/>
  <c r="H490" i="15"/>
  <c r="N490" i="15"/>
  <c r="S490" i="15"/>
  <c r="H491" i="15"/>
  <c r="N491" i="15"/>
  <c r="S491" i="15"/>
  <c r="H492" i="15"/>
  <c r="N492" i="15"/>
  <c r="S492" i="15"/>
  <c r="H493" i="15"/>
  <c r="N493" i="15"/>
  <c r="S493" i="15"/>
  <c r="H494" i="15"/>
  <c r="N494" i="15"/>
  <c r="S494" i="15"/>
  <c r="H495" i="15"/>
  <c r="N495" i="15"/>
  <c r="S495" i="15"/>
  <c r="H496" i="15"/>
  <c r="N496" i="15"/>
  <c r="S496" i="15"/>
  <c r="H497" i="15"/>
  <c r="N497" i="15"/>
  <c r="S497" i="15"/>
  <c r="H498" i="15"/>
  <c r="N498" i="15"/>
  <c r="S498" i="15"/>
  <c r="H499" i="15"/>
  <c r="N499" i="15"/>
  <c r="S499" i="15"/>
  <c r="H500" i="15"/>
  <c r="N500" i="15"/>
  <c r="S500" i="15"/>
  <c r="H501" i="15"/>
  <c r="N501" i="15"/>
  <c r="S501" i="15"/>
  <c r="H502" i="15"/>
  <c r="N502" i="15"/>
  <c r="S502" i="15"/>
  <c r="H503" i="15"/>
  <c r="N503" i="15"/>
  <c r="S503" i="15"/>
  <c r="H504" i="15"/>
  <c r="N504" i="15"/>
  <c r="S504" i="15"/>
  <c r="H505" i="15"/>
  <c r="N505" i="15"/>
  <c r="S505" i="15"/>
  <c r="H506" i="15"/>
  <c r="N506" i="15"/>
  <c r="S506" i="15"/>
  <c r="H507" i="15"/>
  <c r="N507" i="15"/>
  <c r="S507" i="15"/>
  <c r="H508" i="15"/>
  <c r="N508" i="15"/>
  <c r="S508" i="15"/>
  <c r="H509" i="15"/>
  <c r="N509" i="15"/>
  <c r="S509" i="15"/>
  <c r="H510" i="15"/>
  <c r="N510" i="15"/>
  <c r="S510" i="15"/>
  <c r="H511" i="15"/>
  <c r="N511" i="15"/>
  <c r="S511" i="15"/>
  <c r="H512" i="15"/>
  <c r="N512" i="15"/>
  <c r="S512" i="15"/>
  <c r="H513" i="15"/>
  <c r="N513" i="15"/>
  <c r="S513" i="15"/>
  <c r="H514" i="15"/>
  <c r="N514" i="15"/>
  <c r="S514" i="15"/>
  <c r="H515" i="15"/>
  <c r="N515" i="15"/>
  <c r="S515" i="15"/>
  <c r="H516" i="15"/>
  <c r="N516" i="15"/>
  <c r="S516" i="15"/>
  <c r="H517" i="15"/>
  <c r="N517" i="15"/>
  <c r="S517" i="15"/>
  <c r="H518" i="15"/>
  <c r="N518" i="15"/>
  <c r="S518" i="15"/>
  <c r="H519" i="15"/>
  <c r="N519" i="15"/>
  <c r="S519" i="15"/>
  <c r="H520" i="15"/>
  <c r="N520" i="15"/>
  <c r="S520" i="15"/>
  <c r="H521" i="15"/>
  <c r="N521" i="15"/>
  <c r="S521" i="15"/>
  <c r="H522" i="15"/>
  <c r="N522" i="15"/>
  <c r="S522" i="15"/>
  <c r="H523" i="15"/>
  <c r="N523" i="15"/>
  <c r="S523" i="15"/>
  <c r="H524" i="15"/>
  <c r="N524" i="15"/>
  <c r="S524" i="15"/>
  <c r="H525" i="15"/>
  <c r="N525" i="15"/>
  <c r="S525" i="15"/>
  <c r="H526" i="15"/>
  <c r="N526" i="15"/>
  <c r="S526" i="15"/>
  <c r="H527" i="15"/>
  <c r="N527" i="15"/>
  <c r="S527" i="15"/>
  <c r="H528" i="15"/>
  <c r="N528" i="15"/>
  <c r="S528" i="15"/>
  <c r="H529" i="15"/>
  <c r="N529" i="15"/>
  <c r="S529" i="15"/>
  <c r="H530" i="15"/>
  <c r="N530" i="15"/>
  <c r="S530" i="15"/>
  <c r="H531" i="15"/>
  <c r="N531" i="15"/>
  <c r="S531" i="15"/>
  <c r="H532" i="15"/>
  <c r="N532" i="15"/>
  <c r="S532" i="15"/>
  <c r="H533" i="15"/>
  <c r="N533" i="15"/>
  <c r="S533" i="15"/>
  <c r="H534" i="15"/>
  <c r="N534" i="15"/>
  <c r="S534" i="15"/>
  <c r="H535" i="15"/>
  <c r="N535" i="15"/>
  <c r="S535" i="15"/>
  <c r="H536" i="15"/>
  <c r="N536" i="15"/>
  <c r="S536" i="15"/>
  <c r="H537" i="15"/>
  <c r="N537" i="15"/>
  <c r="S537" i="15"/>
  <c r="H538" i="15"/>
  <c r="N538" i="15"/>
  <c r="S538" i="15"/>
  <c r="H539" i="15"/>
  <c r="N539" i="15"/>
  <c r="S539" i="15"/>
  <c r="H540" i="15"/>
  <c r="N540" i="15"/>
  <c r="S540" i="15"/>
  <c r="H541" i="15"/>
  <c r="N541" i="15"/>
  <c r="S541" i="15"/>
  <c r="H542" i="15"/>
  <c r="N542" i="15"/>
  <c r="S542" i="15"/>
  <c r="H543" i="15"/>
  <c r="N543" i="15"/>
  <c r="S543" i="15"/>
  <c r="H544" i="15"/>
  <c r="N544" i="15"/>
  <c r="S544" i="15"/>
  <c r="H545" i="15"/>
  <c r="N545" i="15"/>
  <c r="S545" i="15"/>
  <c r="H546" i="15"/>
  <c r="N546" i="15"/>
  <c r="S546" i="15"/>
  <c r="H547" i="15"/>
  <c r="N547" i="15"/>
  <c r="S547" i="15"/>
  <c r="H548" i="15"/>
  <c r="N548" i="15"/>
  <c r="S548" i="15"/>
  <c r="H549" i="15"/>
  <c r="N549" i="15"/>
  <c r="S549" i="15"/>
  <c r="H550" i="15"/>
  <c r="N550" i="15"/>
  <c r="S550" i="15"/>
  <c r="H551" i="15"/>
  <c r="N551" i="15"/>
  <c r="S551" i="15"/>
  <c r="H552" i="15"/>
  <c r="N552" i="15"/>
  <c r="S552" i="15"/>
  <c r="H553" i="15"/>
  <c r="N553" i="15"/>
  <c r="S553" i="15"/>
  <c r="H554" i="15"/>
  <c r="N554" i="15"/>
  <c r="S554" i="15"/>
  <c r="H555" i="15"/>
  <c r="N555" i="15"/>
  <c r="S555" i="15"/>
  <c r="H556" i="15"/>
  <c r="N556" i="15"/>
  <c r="S556" i="15"/>
  <c r="H557" i="15"/>
  <c r="N557" i="15"/>
  <c r="S557" i="15"/>
  <c r="H558" i="15"/>
  <c r="N558" i="15"/>
  <c r="S558" i="15"/>
  <c r="H559" i="15"/>
  <c r="N559" i="15"/>
  <c r="S559" i="15"/>
  <c r="H560" i="15"/>
  <c r="N560" i="15"/>
  <c r="S560" i="15"/>
  <c r="H561" i="15"/>
  <c r="N561" i="15"/>
  <c r="S561" i="15"/>
  <c r="H562" i="15"/>
  <c r="N562" i="15"/>
  <c r="S562" i="15"/>
  <c r="H563" i="15"/>
  <c r="N563" i="15"/>
  <c r="S563" i="15"/>
  <c r="H564" i="15"/>
  <c r="N564" i="15"/>
  <c r="S564" i="15"/>
  <c r="H565" i="15"/>
  <c r="N565" i="15"/>
  <c r="S565" i="15"/>
  <c r="H566" i="15"/>
  <c r="N566" i="15"/>
  <c r="S566" i="15"/>
  <c r="H567" i="15"/>
  <c r="N567" i="15"/>
  <c r="S567" i="15"/>
  <c r="H568" i="15"/>
  <c r="N568" i="15"/>
  <c r="S568" i="15"/>
  <c r="H569" i="15"/>
  <c r="N569" i="15"/>
  <c r="S569" i="15"/>
  <c r="H570" i="15"/>
  <c r="N570" i="15"/>
  <c r="S570" i="15"/>
  <c r="H571" i="15"/>
  <c r="N571" i="15"/>
  <c r="S571" i="15"/>
  <c r="H572" i="15"/>
  <c r="N572" i="15"/>
  <c r="S572" i="15"/>
  <c r="H573" i="15"/>
  <c r="N573" i="15"/>
  <c r="S573" i="15"/>
  <c r="H574" i="15"/>
  <c r="N574" i="15"/>
  <c r="S574" i="15"/>
  <c r="H575" i="15"/>
  <c r="N575" i="15"/>
  <c r="S575" i="15"/>
  <c r="H576" i="15"/>
  <c r="N576" i="15"/>
  <c r="S576" i="15"/>
  <c r="H577" i="15"/>
  <c r="N577" i="15"/>
  <c r="S577" i="15"/>
  <c r="H578" i="15"/>
  <c r="N578" i="15"/>
  <c r="S578" i="15"/>
  <c r="H579" i="15"/>
  <c r="N579" i="15"/>
  <c r="S579" i="15"/>
  <c r="H580" i="15"/>
  <c r="N580" i="15"/>
  <c r="S580" i="15"/>
  <c r="H581" i="15"/>
  <c r="N581" i="15"/>
  <c r="S581" i="15"/>
  <c r="H582" i="15"/>
  <c r="N582" i="15"/>
  <c r="S582" i="15"/>
  <c r="H583" i="15"/>
  <c r="N583" i="15"/>
  <c r="S583" i="15"/>
  <c r="H584" i="15"/>
  <c r="N584" i="15"/>
  <c r="S584" i="15"/>
  <c r="H585" i="15"/>
  <c r="N585" i="15"/>
  <c r="S585" i="15"/>
  <c r="H586" i="15"/>
  <c r="N586" i="15"/>
  <c r="S586" i="15"/>
  <c r="H587" i="15"/>
  <c r="N587" i="15"/>
  <c r="S587" i="15"/>
  <c r="H588" i="15"/>
  <c r="N588" i="15"/>
  <c r="S588" i="15"/>
  <c r="H589" i="15"/>
  <c r="N589" i="15"/>
  <c r="S589" i="15"/>
  <c r="H590" i="15"/>
  <c r="N590" i="15"/>
  <c r="S590" i="15"/>
  <c r="H591" i="15"/>
  <c r="N591" i="15"/>
  <c r="S591" i="15"/>
  <c r="H592" i="15"/>
  <c r="N592" i="15"/>
  <c r="S592" i="15"/>
  <c r="H593" i="15"/>
  <c r="N593" i="15"/>
  <c r="S593" i="15"/>
  <c r="H594" i="15"/>
  <c r="N594" i="15"/>
  <c r="S594" i="15"/>
  <c r="H595" i="15"/>
  <c r="N595" i="15"/>
  <c r="S595" i="15"/>
  <c r="H596" i="15"/>
  <c r="N596" i="15"/>
  <c r="S596" i="15"/>
  <c r="H597" i="15"/>
  <c r="N597" i="15"/>
  <c r="S597" i="15"/>
  <c r="H598" i="15"/>
  <c r="N598" i="15"/>
  <c r="S598" i="15"/>
  <c r="H599" i="15"/>
  <c r="N599" i="15"/>
  <c r="S599" i="15"/>
  <c r="H600" i="15"/>
  <c r="N600" i="15"/>
  <c r="S600" i="15"/>
  <c r="H601" i="15"/>
  <c r="N601" i="15"/>
  <c r="S601" i="15"/>
  <c r="H602" i="15"/>
  <c r="N602" i="15"/>
  <c r="S602" i="15"/>
  <c r="H603" i="15"/>
  <c r="N603" i="15"/>
  <c r="S603" i="15"/>
  <c r="H604" i="15"/>
  <c r="N604" i="15"/>
  <c r="S604" i="15"/>
  <c r="H605" i="15"/>
  <c r="N605" i="15"/>
  <c r="S605" i="15"/>
  <c r="H606" i="15"/>
  <c r="N606" i="15"/>
  <c r="S606" i="15"/>
  <c r="H607" i="15"/>
  <c r="N607" i="15"/>
  <c r="S607" i="15"/>
  <c r="H608" i="15"/>
  <c r="N608" i="15"/>
  <c r="S608" i="15"/>
  <c r="H609" i="15"/>
  <c r="N609" i="15"/>
  <c r="S609" i="15"/>
  <c r="H610" i="15"/>
  <c r="N610" i="15"/>
  <c r="S610" i="15"/>
  <c r="H611" i="15"/>
  <c r="N611" i="15"/>
  <c r="S611" i="15"/>
  <c r="H612" i="15"/>
  <c r="N612" i="15"/>
  <c r="S612" i="15"/>
  <c r="H613" i="15"/>
  <c r="N613" i="15"/>
  <c r="S613" i="15"/>
  <c r="H614" i="15"/>
  <c r="N614" i="15"/>
  <c r="S614" i="15"/>
  <c r="H615" i="15"/>
  <c r="N615" i="15"/>
  <c r="S615" i="15"/>
  <c r="H616" i="15"/>
  <c r="N616" i="15"/>
  <c r="S616" i="15"/>
  <c r="H617" i="15"/>
  <c r="N617" i="15"/>
  <c r="S617" i="15"/>
  <c r="H618" i="15"/>
  <c r="N618" i="15"/>
  <c r="S618" i="15"/>
  <c r="H619" i="15"/>
  <c r="N619" i="15"/>
  <c r="S619" i="15"/>
  <c r="H620" i="15"/>
  <c r="N620" i="15"/>
  <c r="S620" i="15"/>
  <c r="H621" i="15"/>
  <c r="N621" i="15"/>
  <c r="S621" i="15"/>
  <c r="H622" i="15"/>
  <c r="N622" i="15"/>
  <c r="S622" i="15"/>
  <c r="H623" i="15"/>
  <c r="N623" i="15"/>
  <c r="S623" i="15"/>
  <c r="H624" i="15"/>
  <c r="N624" i="15"/>
  <c r="S624" i="15"/>
  <c r="H625" i="15"/>
  <c r="N625" i="15"/>
  <c r="S625" i="15"/>
  <c r="H626" i="15"/>
  <c r="N626" i="15"/>
  <c r="S626" i="15"/>
  <c r="H627" i="15"/>
  <c r="N627" i="15"/>
  <c r="S627" i="15"/>
  <c r="H628" i="15"/>
  <c r="N628" i="15"/>
  <c r="S628" i="15"/>
  <c r="H629" i="15"/>
  <c r="N629" i="15"/>
  <c r="S629" i="15"/>
  <c r="H630" i="15"/>
  <c r="N630" i="15"/>
  <c r="S630" i="15"/>
  <c r="H631" i="15"/>
  <c r="N631" i="15"/>
  <c r="S631" i="15"/>
  <c r="H632" i="15"/>
  <c r="N632" i="15"/>
  <c r="S632" i="15"/>
  <c r="H633" i="15"/>
  <c r="N633" i="15"/>
  <c r="S633" i="15"/>
  <c r="H634" i="15"/>
  <c r="N634" i="15"/>
  <c r="S634" i="15"/>
  <c r="H635" i="15"/>
  <c r="N635" i="15"/>
  <c r="S635" i="15"/>
  <c r="H636" i="15"/>
  <c r="N636" i="15"/>
  <c r="S636" i="15"/>
  <c r="H637" i="15"/>
  <c r="N637" i="15"/>
  <c r="S637" i="15"/>
  <c r="H638" i="15"/>
  <c r="N638" i="15"/>
  <c r="S638" i="15"/>
  <c r="H639" i="15"/>
  <c r="N639" i="15"/>
  <c r="S639" i="15"/>
  <c r="H640" i="15"/>
  <c r="N640" i="15"/>
  <c r="S640" i="15"/>
  <c r="H641" i="15"/>
  <c r="N641" i="15"/>
  <c r="S641" i="15"/>
  <c r="H642" i="15"/>
  <c r="N642" i="15"/>
  <c r="S642" i="15"/>
  <c r="H643" i="15"/>
  <c r="N643" i="15"/>
  <c r="S643" i="15"/>
  <c r="H644" i="15"/>
  <c r="N644" i="15"/>
  <c r="S644" i="15"/>
  <c r="H645" i="15"/>
  <c r="N645" i="15"/>
  <c r="S645" i="15"/>
  <c r="H646" i="15"/>
  <c r="N646" i="15"/>
  <c r="S646" i="15"/>
  <c r="H647" i="15"/>
  <c r="N647" i="15"/>
  <c r="S647" i="15"/>
  <c r="H648" i="15"/>
  <c r="N648" i="15"/>
  <c r="S648" i="15"/>
  <c r="H649" i="15"/>
  <c r="N649" i="15"/>
  <c r="S649" i="15"/>
  <c r="H650" i="15"/>
  <c r="N650" i="15"/>
  <c r="S650" i="15"/>
  <c r="H651" i="15"/>
  <c r="N651" i="15"/>
  <c r="S651" i="15"/>
  <c r="H652" i="15"/>
  <c r="N652" i="15"/>
  <c r="S652" i="15"/>
  <c r="H653" i="15"/>
  <c r="N653" i="15"/>
  <c r="S653" i="15"/>
  <c r="H654" i="15"/>
  <c r="N654" i="15"/>
  <c r="S654" i="15"/>
  <c r="H655" i="15"/>
  <c r="N655" i="15"/>
  <c r="S655" i="15"/>
  <c r="H656" i="15"/>
  <c r="N656" i="15"/>
  <c r="S656" i="15"/>
  <c r="H657" i="15"/>
  <c r="N657" i="15"/>
  <c r="S657" i="15"/>
  <c r="H658" i="15"/>
  <c r="N658" i="15"/>
  <c r="S658" i="15"/>
  <c r="H659" i="15"/>
  <c r="N659" i="15"/>
  <c r="S659" i="15"/>
  <c r="H660" i="15"/>
  <c r="N660" i="15"/>
  <c r="S660" i="15"/>
  <c r="H661" i="15"/>
  <c r="N661" i="15"/>
  <c r="S661" i="15"/>
  <c r="H662" i="15"/>
  <c r="N662" i="15"/>
  <c r="S662" i="15"/>
  <c r="H663" i="15"/>
  <c r="N663" i="15"/>
  <c r="S663" i="15"/>
  <c r="H664" i="15"/>
  <c r="N664" i="15"/>
  <c r="S664" i="15"/>
  <c r="H665" i="15"/>
  <c r="N665" i="15"/>
  <c r="S665" i="15"/>
  <c r="H666" i="15"/>
  <c r="N666" i="15"/>
  <c r="S666" i="15"/>
  <c r="H667" i="15"/>
  <c r="N667" i="15"/>
  <c r="S667" i="15"/>
  <c r="H668" i="15"/>
  <c r="N668" i="15"/>
  <c r="S668" i="15"/>
  <c r="H669" i="15"/>
  <c r="N669" i="15"/>
  <c r="S669" i="15"/>
  <c r="H670" i="15"/>
  <c r="N670" i="15"/>
  <c r="S670" i="15"/>
  <c r="H671" i="15"/>
  <c r="N671" i="15"/>
  <c r="S671" i="15"/>
  <c r="H672" i="15"/>
  <c r="N672" i="15"/>
  <c r="S672" i="15"/>
  <c r="H673" i="15"/>
  <c r="N673" i="15"/>
  <c r="S673" i="15"/>
  <c r="H674" i="15"/>
  <c r="N674" i="15"/>
  <c r="S674" i="15"/>
  <c r="H675" i="15"/>
  <c r="N675" i="15"/>
  <c r="S675" i="15"/>
  <c r="H676" i="15"/>
  <c r="N676" i="15"/>
  <c r="S676" i="15"/>
  <c r="H677" i="15"/>
  <c r="N677" i="15"/>
  <c r="S677" i="15"/>
  <c r="H678" i="15"/>
  <c r="N678" i="15"/>
  <c r="S678" i="15"/>
  <c r="H679" i="15"/>
  <c r="N679" i="15"/>
  <c r="S679" i="15"/>
  <c r="H680" i="15"/>
  <c r="N680" i="15"/>
  <c r="S680" i="15"/>
  <c r="H681" i="15"/>
  <c r="N681" i="15"/>
  <c r="S681" i="15"/>
  <c r="H682" i="15"/>
  <c r="N682" i="15"/>
  <c r="S682" i="15"/>
  <c r="H683" i="15"/>
  <c r="N683" i="15"/>
  <c r="S683" i="15"/>
  <c r="H684" i="15"/>
  <c r="N684" i="15"/>
  <c r="S684" i="15"/>
  <c r="H685" i="15"/>
  <c r="N685" i="15"/>
  <c r="S685" i="15"/>
  <c r="H686" i="15"/>
  <c r="N686" i="15"/>
  <c r="S686" i="15"/>
  <c r="H687" i="15"/>
  <c r="N687" i="15"/>
  <c r="S687" i="15"/>
  <c r="H688" i="15"/>
  <c r="N688" i="15"/>
  <c r="S688" i="15"/>
  <c r="H689" i="15"/>
  <c r="N689" i="15"/>
  <c r="S689" i="15"/>
  <c r="H690" i="15"/>
  <c r="N690" i="15"/>
  <c r="S690" i="15"/>
  <c r="H691" i="15"/>
  <c r="N691" i="15"/>
  <c r="S691" i="15"/>
  <c r="H692" i="15"/>
  <c r="N692" i="15"/>
  <c r="S692" i="15"/>
  <c r="H693" i="15"/>
  <c r="N693" i="15"/>
  <c r="S693" i="15"/>
  <c r="H694" i="15"/>
  <c r="N694" i="15"/>
  <c r="S694" i="15"/>
  <c r="H695" i="15"/>
  <c r="N695" i="15"/>
  <c r="S695" i="15"/>
  <c r="H696" i="15"/>
  <c r="N696" i="15"/>
  <c r="S696" i="15"/>
  <c r="H697" i="15"/>
  <c r="N697" i="15"/>
  <c r="S697" i="15"/>
  <c r="H698" i="15"/>
  <c r="N698" i="15"/>
  <c r="S698" i="15"/>
  <c r="H699" i="15"/>
  <c r="N699" i="15"/>
  <c r="S699" i="15"/>
  <c r="H700" i="15"/>
  <c r="N700" i="15"/>
  <c r="S700" i="15"/>
  <c r="H701" i="15"/>
  <c r="N701" i="15"/>
  <c r="S701" i="15"/>
  <c r="H702" i="15"/>
  <c r="N702" i="15"/>
  <c r="S702" i="15"/>
  <c r="H703" i="15"/>
  <c r="N703" i="15"/>
  <c r="S703" i="15"/>
  <c r="H704" i="15"/>
  <c r="N704" i="15"/>
  <c r="S704" i="15"/>
  <c r="H705" i="15"/>
  <c r="N705" i="15"/>
  <c r="S705" i="15"/>
  <c r="H706" i="15"/>
  <c r="N706" i="15"/>
  <c r="S706" i="15"/>
  <c r="H707" i="15"/>
  <c r="N707" i="15"/>
  <c r="S707" i="15"/>
  <c r="H708" i="15"/>
  <c r="N708" i="15"/>
  <c r="S708" i="15"/>
  <c r="H709" i="15"/>
  <c r="N709" i="15"/>
  <c r="S709" i="15"/>
  <c r="H710" i="15"/>
  <c r="N710" i="15"/>
  <c r="S710" i="15"/>
  <c r="H711" i="15"/>
  <c r="N711" i="15"/>
  <c r="S711" i="15"/>
  <c r="H712" i="15"/>
  <c r="N712" i="15"/>
  <c r="S712" i="15"/>
  <c r="H713" i="15"/>
  <c r="N713" i="15"/>
  <c r="S713" i="15"/>
  <c r="H714" i="15"/>
  <c r="N714" i="15"/>
  <c r="S714" i="15"/>
  <c r="H715" i="15"/>
  <c r="N715" i="15"/>
  <c r="S715" i="15"/>
  <c r="H716" i="15"/>
  <c r="N716" i="15"/>
  <c r="S716" i="15"/>
  <c r="H717" i="15"/>
  <c r="N717" i="15"/>
  <c r="S717" i="15"/>
  <c r="H718" i="15"/>
  <c r="N718" i="15"/>
  <c r="S718" i="15"/>
  <c r="H719" i="15"/>
  <c r="N719" i="15"/>
  <c r="S719" i="15"/>
  <c r="H720" i="15"/>
  <c r="N720" i="15"/>
  <c r="S720" i="15"/>
  <c r="H721" i="15"/>
  <c r="N721" i="15"/>
  <c r="S721" i="15"/>
  <c r="H722" i="15"/>
  <c r="N722" i="15"/>
  <c r="S722" i="15"/>
  <c r="H723" i="15"/>
  <c r="N723" i="15"/>
  <c r="S723" i="15"/>
  <c r="H724" i="15"/>
  <c r="N724" i="15"/>
  <c r="S724" i="15"/>
  <c r="H725" i="15"/>
  <c r="N725" i="15"/>
  <c r="S725" i="15"/>
  <c r="H726" i="15"/>
  <c r="N726" i="15"/>
  <c r="S726" i="15"/>
  <c r="H727" i="15"/>
  <c r="N727" i="15"/>
  <c r="S727" i="15"/>
  <c r="H728" i="15"/>
  <c r="N728" i="15"/>
  <c r="S728" i="15"/>
  <c r="H729" i="15"/>
  <c r="N729" i="15"/>
  <c r="S729" i="15"/>
  <c r="H730" i="15"/>
  <c r="N730" i="15"/>
  <c r="S730" i="15"/>
  <c r="H731" i="15"/>
  <c r="N731" i="15"/>
  <c r="S731" i="15"/>
  <c r="H732" i="15"/>
  <c r="N732" i="15"/>
  <c r="S732" i="15"/>
  <c r="H733" i="15"/>
  <c r="N733" i="15"/>
  <c r="S733" i="15"/>
  <c r="H734" i="15"/>
  <c r="N734" i="15"/>
  <c r="S734" i="15"/>
  <c r="H735" i="15"/>
  <c r="N735" i="15"/>
  <c r="S735" i="15"/>
  <c r="H736" i="15"/>
  <c r="N736" i="15"/>
  <c r="S736" i="15"/>
  <c r="H737" i="15"/>
  <c r="N737" i="15"/>
  <c r="S737" i="15"/>
  <c r="H738" i="15"/>
  <c r="N738" i="15"/>
  <c r="S738" i="15"/>
  <c r="H739" i="15"/>
  <c r="N739" i="15"/>
  <c r="S739" i="15"/>
  <c r="H740" i="15"/>
  <c r="N740" i="15"/>
  <c r="S740" i="15"/>
  <c r="H741" i="15"/>
  <c r="N741" i="15"/>
  <c r="S741" i="15"/>
  <c r="H742" i="15"/>
  <c r="N742" i="15"/>
  <c r="S742" i="15"/>
  <c r="H743" i="15"/>
  <c r="N743" i="15"/>
  <c r="S743" i="15"/>
  <c r="H744" i="15"/>
  <c r="N744" i="15"/>
  <c r="S744" i="15"/>
  <c r="H745" i="15"/>
  <c r="N745" i="15"/>
  <c r="S745" i="15"/>
  <c r="H746" i="15"/>
  <c r="N746" i="15"/>
  <c r="S746" i="15"/>
  <c r="H747" i="15"/>
  <c r="N747" i="15"/>
  <c r="S747" i="15"/>
  <c r="H748" i="15"/>
  <c r="N748" i="15"/>
  <c r="S748" i="15"/>
  <c r="H749" i="15"/>
  <c r="N749" i="15"/>
  <c r="S749" i="15"/>
  <c r="H750" i="15"/>
  <c r="N750" i="15"/>
  <c r="S750" i="15"/>
  <c r="H751" i="15"/>
  <c r="N751" i="15"/>
  <c r="S751" i="15"/>
  <c r="H752" i="15"/>
  <c r="N752" i="15"/>
  <c r="S752" i="15"/>
  <c r="H753" i="15"/>
  <c r="N753" i="15"/>
  <c r="S753" i="15"/>
  <c r="H754" i="15"/>
  <c r="N754" i="15"/>
  <c r="S754" i="15"/>
  <c r="H755" i="15"/>
  <c r="N755" i="15"/>
  <c r="S755" i="15"/>
  <c r="H756" i="15"/>
  <c r="N756" i="15"/>
  <c r="S756" i="15"/>
  <c r="H757" i="15"/>
  <c r="N757" i="15"/>
  <c r="S757" i="15"/>
  <c r="H758" i="15"/>
  <c r="N758" i="15"/>
  <c r="S758" i="15"/>
  <c r="H759" i="15"/>
  <c r="N759" i="15"/>
  <c r="S759" i="15"/>
  <c r="H760" i="15"/>
  <c r="N760" i="15"/>
  <c r="S760" i="15"/>
  <c r="H761" i="15"/>
  <c r="N761" i="15"/>
  <c r="S761" i="15"/>
  <c r="H762" i="15"/>
  <c r="N762" i="15"/>
  <c r="S762" i="15"/>
  <c r="H763" i="15"/>
  <c r="N763" i="15"/>
  <c r="S763" i="15"/>
  <c r="H764" i="15"/>
  <c r="N764" i="15"/>
  <c r="S764" i="15"/>
  <c r="H765" i="15"/>
  <c r="N765" i="15"/>
  <c r="S765" i="15"/>
  <c r="H766" i="15"/>
  <c r="N766" i="15"/>
  <c r="S766" i="15"/>
  <c r="H767" i="15"/>
  <c r="N767" i="15"/>
  <c r="S767" i="15"/>
  <c r="H768" i="15"/>
  <c r="N768" i="15"/>
  <c r="S768" i="15"/>
  <c r="H769" i="15"/>
  <c r="N769" i="15"/>
  <c r="S769" i="15"/>
  <c r="H770" i="15"/>
  <c r="N770" i="15"/>
  <c r="S770" i="15"/>
  <c r="H771" i="15"/>
  <c r="N771" i="15"/>
  <c r="S771" i="15"/>
  <c r="H772" i="15"/>
  <c r="N772" i="15"/>
  <c r="S772" i="15"/>
  <c r="H773" i="15"/>
  <c r="N773" i="15"/>
  <c r="S773" i="15"/>
  <c r="H774" i="15"/>
  <c r="N774" i="15"/>
  <c r="S774" i="15"/>
  <c r="H775" i="15"/>
  <c r="N775" i="15"/>
  <c r="S775" i="15"/>
  <c r="H776" i="15"/>
  <c r="N776" i="15"/>
  <c r="S776" i="15"/>
  <c r="H777" i="15"/>
  <c r="N777" i="15"/>
  <c r="S777" i="15"/>
  <c r="H778" i="15"/>
  <c r="N778" i="15"/>
  <c r="S778" i="15"/>
  <c r="H779" i="15"/>
  <c r="N779" i="15"/>
  <c r="S779" i="15"/>
  <c r="H780" i="15"/>
  <c r="N780" i="15"/>
  <c r="S780" i="15"/>
  <c r="H781" i="15"/>
  <c r="N781" i="15"/>
  <c r="S781" i="15"/>
  <c r="H782" i="15"/>
  <c r="N782" i="15"/>
  <c r="S782" i="15"/>
  <c r="H783" i="15"/>
  <c r="N783" i="15"/>
  <c r="S783" i="15"/>
  <c r="H784" i="15"/>
  <c r="N784" i="15"/>
  <c r="S784" i="15"/>
  <c r="H785" i="15"/>
  <c r="N785" i="15"/>
  <c r="S785" i="15"/>
  <c r="H786" i="15"/>
  <c r="N786" i="15"/>
  <c r="S786" i="15"/>
  <c r="H787" i="15"/>
  <c r="N787" i="15"/>
  <c r="S787" i="15"/>
  <c r="H788" i="15"/>
  <c r="N788" i="15"/>
  <c r="S788" i="15"/>
  <c r="H789" i="15"/>
  <c r="N789" i="15"/>
  <c r="S789" i="15"/>
  <c r="H790" i="15"/>
  <c r="N790" i="15"/>
  <c r="S790" i="15"/>
  <c r="H791" i="15"/>
  <c r="N791" i="15"/>
  <c r="S791" i="15"/>
  <c r="H792" i="15"/>
  <c r="N792" i="15"/>
  <c r="S792" i="15"/>
  <c r="H793" i="15"/>
  <c r="N793" i="15"/>
  <c r="S793" i="15"/>
  <c r="H794" i="15"/>
  <c r="N794" i="15"/>
  <c r="S794" i="15"/>
  <c r="H795" i="15"/>
  <c r="N795" i="15"/>
  <c r="S795" i="15"/>
  <c r="H796" i="15"/>
  <c r="N796" i="15"/>
  <c r="S796" i="15"/>
  <c r="H797" i="15"/>
  <c r="N797" i="15"/>
  <c r="S797" i="15"/>
  <c r="H798" i="15"/>
  <c r="N798" i="15"/>
  <c r="S798" i="15"/>
  <c r="H799" i="15"/>
  <c r="N799" i="15"/>
  <c r="S799" i="15"/>
  <c r="H800" i="15"/>
  <c r="N800" i="15"/>
  <c r="S800" i="15"/>
  <c r="H801" i="15"/>
  <c r="N801" i="15"/>
  <c r="S801" i="15"/>
  <c r="H802" i="15"/>
  <c r="N802" i="15"/>
  <c r="S802" i="15"/>
  <c r="H803" i="15"/>
  <c r="N803" i="15"/>
  <c r="S803" i="15"/>
  <c r="H804" i="15"/>
  <c r="N804" i="15"/>
  <c r="S804" i="15"/>
  <c r="H805" i="15"/>
  <c r="N805" i="15"/>
  <c r="S805" i="15"/>
  <c r="H806" i="15"/>
  <c r="N806" i="15"/>
  <c r="S806" i="15"/>
  <c r="H807" i="15"/>
  <c r="N807" i="15"/>
  <c r="S807" i="15"/>
  <c r="H808" i="15"/>
  <c r="N808" i="15"/>
  <c r="S808" i="15"/>
  <c r="H809" i="15"/>
  <c r="N809" i="15"/>
  <c r="S809" i="15"/>
  <c r="H810" i="15"/>
  <c r="N810" i="15"/>
  <c r="S810" i="15"/>
  <c r="H811" i="15"/>
  <c r="N811" i="15"/>
  <c r="S811" i="15"/>
  <c r="H812" i="15"/>
  <c r="N812" i="15"/>
  <c r="S812" i="15"/>
  <c r="H813" i="15"/>
  <c r="N813" i="15"/>
  <c r="S813" i="15"/>
  <c r="H814" i="15"/>
  <c r="N814" i="15"/>
  <c r="S814" i="15"/>
  <c r="H815" i="15"/>
  <c r="N815" i="15"/>
  <c r="S815" i="15"/>
  <c r="H816" i="15"/>
  <c r="N816" i="15"/>
  <c r="S816" i="15"/>
  <c r="H817" i="15"/>
  <c r="N817" i="15"/>
  <c r="S817" i="15"/>
  <c r="H818" i="15"/>
  <c r="N818" i="15"/>
  <c r="S818" i="15"/>
  <c r="H819" i="15"/>
  <c r="N819" i="15"/>
  <c r="S819" i="15"/>
  <c r="H820" i="15"/>
  <c r="N820" i="15"/>
  <c r="S820" i="15"/>
  <c r="H821" i="15"/>
  <c r="N821" i="15"/>
  <c r="S821" i="15"/>
  <c r="H822" i="15"/>
  <c r="N822" i="15"/>
  <c r="S822" i="15"/>
  <c r="H823" i="15"/>
  <c r="N823" i="15"/>
  <c r="S823" i="15"/>
  <c r="H824" i="15"/>
  <c r="N824" i="15"/>
  <c r="S824" i="15"/>
  <c r="H825" i="15"/>
  <c r="N825" i="15"/>
  <c r="S825" i="15"/>
  <c r="H826" i="15"/>
  <c r="N826" i="15"/>
  <c r="S826" i="15"/>
  <c r="H827" i="15"/>
  <c r="N827" i="15"/>
  <c r="S827" i="15"/>
  <c r="H828" i="15"/>
  <c r="N828" i="15"/>
  <c r="S828" i="15"/>
  <c r="H829" i="15"/>
  <c r="N829" i="15"/>
  <c r="S829" i="15"/>
  <c r="H830" i="15"/>
  <c r="N830" i="15"/>
  <c r="S830" i="15"/>
  <c r="H831" i="15"/>
  <c r="N831" i="15"/>
  <c r="S831" i="15"/>
  <c r="H832" i="15"/>
  <c r="N832" i="15"/>
  <c r="S832" i="15"/>
  <c r="H833" i="15"/>
  <c r="N833" i="15"/>
  <c r="S833" i="15"/>
  <c r="H834" i="15"/>
  <c r="N834" i="15"/>
  <c r="S834" i="15"/>
  <c r="H835" i="15"/>
  <c r="N835" i="15"/>
  <c r="S835" i="15"/>
  <c r="H836" i="15"/>
  <c r="N836" i="15"/>
  <c r="S836" i="15"/>
  <c r="H837" i="15"/>
  <c r="N837" i="15"/>
  <c r="S837" i="15"/>
  <c r="H838" i="15"/>
  <c r="N838" i="15"/>
  <c r="S838" i="15"/>
  <c r="H839" i="15"/>
  <c r="N839" i="15"/>
  <c r="S839" i="15"/>
  <c r="H840" i="15"/>
  <c r="N840" i="15"/>
  <c r="S840" i="15"/>
  <c r="H841" i="15"/>
  <c r="N841" i="15"/>
  <c r="S841" i="15"/>
  <c r="H842" i="15"/>
  <c r="N842" i="15"/>
  <c r="S842" i="15"/>
  <c r="H843" i="15"/>
  <c r="N843" i="15"/>
  <c r="S843" i="15"/>
  <c r="H844" i="15"/>
  <c r="N844" i="15"/>
  <c r="S844" i="15"/>
  <c r="H845" i="15"/>
  <c r="N845" i="15"/>
  <c r="S845" i="15"/>
  <c r="H846" i="15"/>
  <c r="N846" i="15"/>
  <c r="S846" i="15"/>
  <c r="H847" i="15"/>
  <c r="N847" i="15"/>
  <c r="S847" i="15"/>
  <c r="H848" i="15"/>
  <c r="N848" i="15"/>
  <c r="S848" i="15"/>
  <c r="H849" i="15"/>
  <c r="N849" i="15"/>
  <c r="S849" i="15"/>
  <c r="H850" i="15"/>
  <c r="N850" i="15"/>
  <c r="S850" i="15"/>
  <c r="H851" i="15"/>
  <c r="N851" i="15"/>
  <c r="S851" i="15"/>
  <c r="H852" i="15"/>
  <c r="N852" i="15"/>
  <c r="S852" i="15"/>
  <c r="H853" i="15"/>
  <c r="N853" i="15"/>
  <c r="S853" i="15"/>
  <c r="H854" i="15"/>
  <c r="N854" i="15"/>
  <c r="S854" i="15"/>
  <c r="H855" i="15"/>
  <c r="N855" i="15"/>
  <c r="S855" i="15"/>
  <c r="H856" i="15"/>
  <c r="N856" i="15"/>
  <c r="S856" i="15"/>
  <c r="H857" i="15"/>
  <c r="N857" i="15"/>
  <c r="S857" i="15"/>
  <c r="H858" i="15"/>
  <c r="N858" i="15"/>
  <c r="S858" i="15"/>
  <c r="H859" i="15"/>
  <c r="N859" i="15"/>
  <c r="S859" i="15"/>
  <c r="H860" i="15"/>
  <c r="N860" i="15"/>
  <c r="S860" i="15"/>
  <c r="H861" i="15"/>
  <c r="N861" i="15"/>
  <c r="S861" i="15"/>
  <c r="H862" i="15"/>
  <c r="N862" i="15"/>
  <c r="S862" i="15"/>
  <c r="H863" i="15"/>
  <c r="N863" i="15"/>
  <c r="S863" i="15"/>
  <c r="H864" i="15"/>
  <c r="N864" i="15"/>
  <c r="S864" i="15"/>
  <c r="H865" i="15"/>
  <c r="N865" i="15"/>
  <c r="S865" i="15"/>
  <c r="H866" i="15"/>
  <c r="N866" i="15"/>
  <c r="S866" i="15"/>
  <c r="H867" i="15"/>
  <c r="N867" i="15"/>
  <c r="S867" i="15"/>
  <c r="H868" i="15"/>
  <c r="N868" i="15"/>
  <c r="S868" i="15"/>
  <c r="H869" i="15"/>
  <c r="N869" i="15"/>
  <c r="S869" i="15"/>
  <c r="H870" i="15"/>
  <c r="N870" i="15"/>
  <c r="S870" i="15"/>
  <c r="H871" i="15"/>
  <c r="N871" i="15"/>
  <c r="S871" i="15"/>
  <c r="H872" i="15"/>
  <c r="N872" i="15"/>
  <c r="S872" i="15"/>
  <c r="H873" i="15"/>
  <c r="N873" i="15"/>
  <c r="S873" i="15"/>
  <c r="H874" i="15"/>
  <c r="N874" i="15"/>
  <c r="S874" i="15"/>
  <c r="H875" i="15"/>
  <c r="N875" i="15"/>
  <c r="S875" i="15"/>
  <c r="H876" i="15"/>
  <c r="N876" i="15"/>
  <c r="S876" i="15"/>
  <c r="H877" i="15"/>
  <c r="N877" i="15"/>
  <c r="S877" i="15"/>
  <c r="H878" i="15"/>
  <c r="N878" i="15"/>
  <c r="S878" i="15"/>
  <c r="H879" i="15"/>
  <c r="N879" i="15"/>
  <c r="S879" i="15"/>
  <c r="H880" i="15"/>
  <c r="N880" i="15"/>
  <c r="S880" i="15"/>
  <c r="H881" i="15"/>
  <c r="N881" i="15"/>
  <c r="S881" i="15"/>
  <c r="H882" i="15"/>
  <c r="N882" i="15"/>
  <c r="S882" i="15"/>
  <c r="H883" i="15"/>
  <c r="N883" i="15"/>
  <c r="S883" i="15"/>
  <c r="H884" i="15"/>
  <c r="N884" i="15"/>
  <c r="S884" i="15"/>
  <c r="H885" i="15"/>
  <c r="N885" i="15"/>
  <c r="S885" i="15"/>
  <c r="H886" i="15"/>
  <c r="N886" i="15"/>
  <c r="S886" i="15"/>
  <c r="H887" i="15"/>
  <c r="N887" i="15"/>
  <c r="S887" i="15"/>
  <c r="H888" i="15"/>
  <c r="N888" i="15"/>
  <c r="S888" i="15"/>
  <c r="H889" i="15"/>
  <c r="N889" i="15"/>
  <c r="S889" i="15"/>
  <c r="H890" i="15"/>
  <c r="N890" i="15"/>
  <c r="S890" i="15"/>
  <c r="H891" i="15"/>
  <c r="N891" i="15"/>
  <c r="S891" i="15"/>
  <c r="H892" i="15"/>
  <c r="N892" i="15"/>
  <c r="S892" i="15"/>
  <c r="H893" i="15"/>
  <c r="N893" i="15"/>
  <c r="S893" i="15"/>
  <c r="H894" i="15"/>
  <c r="N894" i="15"/>
  <c r="S894" i="15"/>
  <c r="H895" i="15"/>
  <c r="N895" i="15"/>
  <c r="S895" i="15"/>
  <c r="H896" i="15"/>
  <c r="N896" i="15"/>
  <c r="S896" i="15"/>
  <c r="H897" i="15"/>
  <c r="N897" i="15"/>
  <c r="S897" i="15"/>
  <c r="H898" i="15"/>
  <c r="N898" i="15"/>
  <c r="S898" i="15"/>
  <c r="H899" i="15"/>
  <c r="N899" i="15"/>
  <c r="S899" i="15"/>
  <c r="H900" i="15"/>
  <c r="N900" i="15"/>
  <c r="S900" i="15"/>
  <c r="H901" i="15"/>
  <c r="N901" i="15"/>
  <c r="S901" i="15"/>
  <c r="H902" i="15"/>
  <c r="N902" i="15"/>
  <c r="S902" i="15"/>
  <c r="H903" i="15"/>
  <c r="N903" i="15"/>
  <c r="S903" i="15"/>
  <c r="H904" i="15"/>
  <c r="N904" i="15"/>
  <c r="S904" i="15"/>
  <c r="H905" i="15"/>
  <c r="N905" i="15"/>
  <c r="S905" i="15"/>
  <c r="H906" i="15"/>
  <c r="N906" i="15"/>
  <c r="S906" i="15"/>
  <c r="H907" i="15"/>
  <c r="N907" i="15"/>
  <c r="S907" i="15"/>
  <c r="H908" i="15"/>
  <c r="N908" i="15"/>
  <c r="S908" i="15"/>
  <c r="H909" i="15"/>
  <c r="N909" i="15"/>
  <c r="S909" i="15"/>
  <c r="H910" i="15"/>
  <c r="N910" i="15"/>
  <c r="S910" i="15"/>
  <c r="H911" i="15"/>
  <c r="N911" i="15"/>
  <c r="S911" i="15"/>
  <c r="H912" i="15"/>
  <c r="N912" i="15"/>
  <c r="S912" i="15"/>
  <c r="H913" i="15"/>
  <c r="N913" i="15"/>
  <c r="S913" i="15"/>
  <c r="H914" i="15"/>
  <c r="N914" i="15"/>
  <c r="S914" i="15"/>
  <c r="H915" i="15"/>
  <c r="N915" i="15"/>
  <c r="S915" i="15"/>
  <c r="H916" i="15"/>
  <c r="N916" i="15"/>
  <c r="S916" i="15"/>
  <c r="H917" i="15"/>
  <c r="N917" i="15"/>
  <c r="S917" i="15"/>
  <c r="H918" i="15"/>
  <c r="N918" i="15"/>
  <c r="S918" i="15"/>
  <c r="H919" i="15"/>
  <c r="N919" i="15"/>
  <c r="S919" i="15"/>
  <c r="H920" i="15"/>
  <c r="N920" i="15"/>
  <c r="S920" i="15"/>
  <c r="H921" i="15"/>
  <c r="N921" i="15"/>
  <c r="S921" i="15"/>
  <c r="H922" i="15"/>
  <c r="N922" i="15"/>
  <c r="S922" i="15"/>
  <c r="H923" i="15"/>
  <c r="N923" i="15"/>
  <c r="S923" i="15"/>
  <c r="H924" i="15"/>
  <c r="N924" i="15"/>
  <c r="S924" i="15"/>
  <c r="H925" i="15"/>
  <c r="N925" i="15"/>
  <c r="S925" i="15"/>
  <c r="H926" i="15"/>
  <c r="N926" i="15"/>
  <c r="S926" i="15"/>
  <c r="H927" i="15"/>
  <c r="N927" i="15"/>
  <c r="S927" i="15"/>
  <c r="H928" i="15"/>
  <c r="N928" i="15"/>
  <c r="S928" i="15"/>
  <c r="H929" i="15"/>
  <c r="N929" i="15"/>
  <c r="S929" i="15"/>
  <c r="H930" i="15"/>
  <c r="N930" i="15"/>
  <c r="S930" i="15"/>
  <c r="H931" i="15"/>
  <c r="N931" i="15"/>
  <c r="S931" i="15"/>
  <c r="H932" i="15"/>
  <c r="N932" i="15"/>
  <c r="S932" i="15"/>
  <c r="H933" i="15"/>
  <c r="N933" i="15"/>
  <c r="S933" i="15"/>
  <c r="H934" i="15"/>
  <c r="N934" i="15"/>
  <c r="S934" i="15"/>
  <c r="H935" i="15"/>
  <c r="N935" i="15"/>
  <c r="S935" i="15"/>
  <c r="H936" i="15"/>
  <c r="N936" i="15"/>
  <c r="S936" i="15"/>
  <c r="H937" i="15"/>
  <c r="N937" i="15"/>
  <c r="S937" i="15"/>
  <c r="H938" i="15"/>
  <c r="N938" i="15"/>
  <c r="S938" i="15"/>
  <c r="H939" i="15"/>
  <c r="N939" i="15"/>
  <c r="S939" i="15"/>
  <c r="H940" i="15"/>
  <c r="N940" i="15"/>
  <c r="S940" i="15"/>
  <c r="H941" i="15"/>
  <c r="N941" i="15"/>
  <c r="S941" i="15"/>
  <c r="H942" i="15"/>
  <c r="N942" i="15"/>
  <c r="S942" i="15"/>
  <c r="H943" i="15"/>
  <c r="N943" i="15"/>
  <c r="S943" i="15"/>
  <c r="H944" i="15"/>
  <c r="N944" i="15"/>
  <c r="S944" i="15"/>
  <c r="H945" i="15"/>
  <c r="N945" i="15"/>
  <c r="S945" i="15"/>
  <c r="H946" i="15"/>
  <c r="N946" i="15"/>
  <c r="S946" i="15"/>
  <c r="H947" i="15"/>
  <c r="N947" i="15"/>
  <c r="S947" i="15"/>
  <c r="H948" i="15"/>
  <c r="N948" i="15"/>
  <c r="S948" i="15"/>
  <c r="H949" i="15"/>
  <c r="N949" i="15"/>
  <c r="S949" i="15"/>
  <c r="H950" i="15"/>
  <c r="N950" i="15"/>
  <c r="S950" i="15"/>
  <c r="H951" i="15"/>
  <c r="N951" i="15"/>
  <c r="S951" i="15"/>
  <c r="H952" i="15"/>
  <c r="N952" i="15"/>
  <c r="S952" i="15"/>
  <c r="H953" i="15"/>
  <c r="N953" i="15"/>
  <c r="S953" i="15"/>
  <c r="H954" i="15"/>
  <c r="N954" i="15"/>
  <c r="S954" i="15"/>
  <c r="H955" i="15"/>
  <c r="N955" i="15"/>
  <c r="S955" i="15"/>
  <c r="H956" i="15"/>
  <c r="N956" i="15"/>
  <c r="S956" i="15"/>
  <c r="H957" i="15"/>
  <c r="N957" i="15"/>
  <c r="S957" i="15"/>
  <c r="H958" i="15"/>
  <c r="N958" i="15"/>
  <c r="S958" i="15"/>
  <c r="H959" i="15"/>
  <c r="N959" i="15"/>
  <c r="S959" i="15"/>
  <c r="H960" i="15"/>
  <c r="N960" i="15"/>
  <c r="S960" i="15"/>
  <c r="H961" i="15"/>
  <c r="N961" i="15"/>
  <c r="S961" i="15"/>
  <c r="H962" i="15"/>
  <c r="N962" i="15"/>
  <c r="S962" i="15"/>
  <c r="H963" i="15"/>
  <c r="N963" i="15"/>
  <c r="S963" i="15"/>
  <c r="H964" i="15"/>
  <c r="N964" i="15"/>
  <c r="S964" i="15"/>
  <c r="H965" i="15"/>
  <c r="N965" i="15"/>
  <c r="S965" i="15"/>
  <c r="H966" i="15"/>
  <c r="N966" i="15"/>
  <c r="S966" i="15"/>
  <c r="H967" i="15"/>
  <c r="N967" i="15"/>
  <c r="S967" i="15"/>
  <c r="H968" i="15"/>
  <c r="N968" i="15"/>
  <c r="S968" i="15"/>
  <c r="H969" i="15"/>
  <c r="N969" i="15"/>
  <c r="S969" i="15"/>
  <c r="H970" i="15"/>
  <c r="N970" i="15"/>
  <c r="S970" i="15"/>
  <c r="H971" i="15"/>
  <c r="N971" i="15"/>
  <c r="S971" i="15"/>
  <c r="H972" i="15"/>
  <c r="N972" i="15"/>
  <c r="S972" i="15"/>
  <c r="H973" i="15"/>
  <c r="N973" i="15"/>
  <c r="S973" i="15"/>
  <c r="H974" i="15"/>
  <c r="N974" i="15"/>
  <c r="S974" i="15"/>
  <c r="H975" i="15"/>
  <c r="N975" i="15"/>
  <c r="S975" i="15"/>
  <c r="H976" i="15"/>
  <c r="N976" i="15"/>
  <c r="S976" i="15"/>
  <c r="H977" i="15"/>
  <c r="N977" i="15"/>
  <c r="S977" i="15"/>
  <c r="H978" i="15"/>
  <c r="N978" i="15"/>
  <c r="S978" i="15"/>
  <c r="H979" i="15"/>
  <c r="N979" i="15"/>
  <c r="S979" i="15"/>
  <c r="H980" i="15"/>
  <c r="N980" i="15"/>
  <c r="S980" i="15"/>
  <c r="H981" i="15"/>
  <c r="N981" i="15"/>
  <c r="S981" i="15"/>
  <c r="H982" i="15"/>
  <c r="S983" i="15"/>
  <c r="N983" i="15"/>
  <c r="S982" i="15"/>
  <c r="N982" i="15"/>
  <c r="O40" i="15" l="1"/>
  <c r="L40" i="15" s="1"/>
  <c r="O41" i="15" s="1"/>
  <c r="R5" i="15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M40" i="15" l="1"/>
  <c r="M41" i="15" s="1"/>
  <c r="L41" i="15"/>
  <c r="O42" i="15" l="1"/>
  <c r="M42" i="15" s="1"/>
  <c r="R17" i="15"/>
  <c r="L42" i="15" l="1"/>
  <c r="O43" i="15" s="1"/>
  <c r="M43" i="15" s="1"/>
  <c r="L43" i="15" l="1"/>
  <c r="R18" i="15"/>
  <c r="O44" i="15" l="1"/>
  <c r="R19" i="15"/>
  <c r="R20" i="15" s="1"/>
  <c r="M44" i="15" l="1"/>
  <c r="L44" i="15"/>
  <c r="O45" i="15" l="1"/>
  <c r="R21" i="15"/>
  <c r="M45" i="15" l="1"/>
  <c r="L45" i="15"/>
  <c r="O46" i="15" l="1"/>
  <c r="L46" i="15" s="1"/>
  <c r="R22" i="15"/>
  <c r="M46" i="15" l="1"/>
  <c r="O47" i="15" l="1"/>
  <c r="R23" i="15"/>
  <c r="L47" i="15" l="1"/>
  <c r="M47" i="15"/>
  <c r="O48" i="15" l="1"/>
  <c r="R24" i="15"/>
  <c r="L48" i="15" l="1"/>
  <c r="M48" i="15"/>
  <c r="R25" i="15"/>
  <c r="O49" i="15" l="1"/>
  <c r="R26" i="15"/>
  <c r="L49" i="15" l="1"/>
  <c r="M49" i="15"/>
  <c r="R27" i="15"/>
  <c r="O50" i="15" l="1"/>
  <c r="R28" i="15"/>
  <c r="L50" i="15" l="1"/>
  <c r="M50" i="15"/>
  <c r="R29" i="15"/>
  <c r="O51" i="15" l="1"/>
  <c r="M51" i="15" s="1"/>
  <c r="O52" i="15" l="1"/>
  <c r="L51" i="15"/>
  <c r="R30" i="15"/>
  <c r="L52" i="15" l="1"/>
  <c r="O53" i="15" s="1"/>
  <c r="M52" i="15"/>
  <c r="M53" i="15" l="1"/>
  <c r="L53" i="15"/>
  <c r="R31" i="15"/>
  <c r="O54" i="15" l="1"/>
  <c r="M54" i="15" l="1"/>
  <c r="O55" i="15" s="1"/>
  <c r="L54" i="15"/>
  <c r="R32" i="15"/>
  <c r="L55" i="15" l="1"/>
  <c r="M55" i="15"/>
  <c r="O56" i="15" l="1"/>
  <c r="M56" i="15" s="1"/>
  <c r="R33" i="15"/>
  <c r="O57" i="15" l="1"/>
  <c r="L56" i="15"/>
  <c r="L57" i="15" l="1"/>
  <c r="M57" i="15"/>
  <c r="R34" i="15"/>
  <c r="O58" i="15" l="1"/>
  <c r="R35" i="15"/>
  <c r="L58" i="15" l="1"/>
  <c r="M58" i="15"/>
  <c r="O59" i="15" l="1"/>
  <c r="R36" i="15"/>
  <c r="R37" i="15" s="1"/>
  <c r="M59" i="15" l="1"/>
  <c r="L59" i="15"/>
  <c r="O60" i="15" l="1"/>
  <c r="R38" i="15"/>
  <c r="T40" i="15" l="1"/>
  <c r="Q40" i="15" s="1"/>
  <c r="M60" i="15"/>
  <c r="L60" i="15"/>
  <c r="R39" i="15"/>
  <c r="T41" i="15" l="1"/>
  <c r="Q41" i="15" s="1"/>
  <c r="R40" i="15"/>
  <c r="J40" i="15"/>
  <c r="O61" i="15"/>
  <c r="C40" i="15" l="1"/>
  <c r="D40" i="15" s="1"/>
  <c r="F40" i="15" s="1"/>
  <c r="B40" i="15"/>
  <c r="G40" i="15" s="1"/>
  <c r="T42" i="15"/>
  <c r="Q42" i="15" s="1"/>
  <c r="R41" i="15"/>
  <c r="J41" i="15"/>
  <c r="L61" i="15"/>
  <c r="M61" i="15"/>
  <c r="B41" i="15" l="1"/>
  <c r="G41" i="15" s="1"/>
  <c r="C41" i="15"/>
  <c r="D41" i="15" s="1"/>
  <c r="F41" i="15" s="1"/>
  <c r="R42" i="15"/>
  <c r="T43" i="15" s="1"/>
  <c r="J42" i="15"/>
  <c r="E40" i="15"/>
  <c r="O62" i="15"/>
  <c r="R43" i="15" l="1"/>
  <c r="J43" i="15"/>
  <c r="E41" i="15"/>
  <c r="Q43" i="15"/>
  <c r="B42" i="15"/>
  <c r="G42" i="15" s="1"/>
  <c r="C42" i="15"/>
  <c r="D42" i="15" s="1"/>
  <c r="F42" i="15" s="1"/>
  <c r="L62" i="15"/>
  <c r="M62" i="15"/>
  <c r="E42" i="15" l="1"/>
  <c r="T44" i="15"/>
  <c r="C43" i="15"/>
  <c r="D43" i="15" s="1"/>
  <c r="F43" i="15" s="1"/>
  <c r="E43" i="15" s="1"/>
  <c r="B43" i="15"/>
  <c r="G43" i="15" s="1"/>
  <c r="O63" i="15"/>
  <c r="M63" i="15" s="1"/>
  <c r="R44" i="15" l="1"/>
  <c r="J44" i="15"/>
  <c r="Q44" i="15"/>
  <c r="O64" i="15"/>
  <c r="L63" i="15"/>
  <c r="T45" i="15" l="1"/>
  <c r="Q45" i="15" s="1"/>
  <c r="B44" i="15"/>
  <c r="G44" i="15" s="1"/>
  <c r="C44" i="15"/>
  <c r="D44" i="15" s="1"/>
  <c r="F44" i="15" s="1"/>
  <c r="L64" i="15"/>
  <c r="M64" i="15"/>
  <c r="O65" i="15" s="1"/>
  <c r="E44" i="15" l="1"/>
  <c r="R45" i="15"/>
  <c r="T46" i="15" s="1"/>
  <c r="Q46" i="15" s="1"/>
  <c r="J45" i="15"/>
  <c r="L65" i="15"/>
  <c r="M65" i="15"/>
  <c r="C45" i="15" l="1"/>
  <c r="D45" i="15" s="1"/>
  <c r="B45" i="15"/>
  <c r="G45" i="15" s="1"/>
  <c r="R46" i="15"/>
  <c r="T47" i="15" s="1"/>
  <c r="J46" i="15"/>
  <c r="O66" i="15"/>
  <c r="M66" i="15" s="1"/>
  <c r="R47" i="15" l="1"/>
  <c r="T48" i="15" s="1"/>
  <c r="J47" i="15"/>
  <c r="C46" i="15"/>
  <c r="D46" i="15" s="1"/>
  <c r="B46" i="15"/>
  <c r="G46" i="15" s="1"/>
  <c r="F45" i="15"/>
  <c r="Q47" i="15"/>
  <c r="Q48" i="15" s="1"/>
  <c r="O67" i="15"/>
  <c r="L66" i="15"/>
  <c r="E45" i="15" l="1"/>
  <c r="F46" i="15"/>
  <c r="E46" i="15" s="1"/>
  <c r="C47" i="15"/>
  <c r="D47" i="15" s="1"/>
  <c r="F47" i="15" s="1"/>
  <c r="B47" i="15"/>
  <c r="G47" i="15" s="1"/>
  <c r="R48" i="15"/>
  <c r="J48" i="15"/>
  <c r="L67" i="15"/>
  <c r="M67" i="15"/>
  <c r="T49" i="15" l="1"/>
  <c r="R49" i="15" s="1"/>
  <c r="E47" i="15"/>
  <c r="C48" i="15"/>
  <c r="D48" i="15" s="1"/>
  <c r="F48" i="15" s="1"/>
  <c r="B48" i="15"/>
  <c r="G48" i="15" s="1"/>
  <c r="O68" i="15"/>
  <c r="E48" i="15" l="1"/>
  <c r="Q49" i="15"/>
  <c r="J49" i="15"/>
  <c r="M68" i="15"/>
  <c r="L68" i="15"/>
  <c r="C49" i="15" l="1"/>
  <c r="D49" i="15" s="1"/>
  <c r="F49" i="15" s="1"/>
  <c r="B49" i="15"/>
  <c r="G49" i="15" s="1"/>
  <c r="T50" i="15"/>
  <c r="Q50" i="15" s="1"/>
  <c r="O69" i="15"/>
  <c r="L69" i="15" s="1"/>
  <c r="J50" i="15" l="1"/>
  <c r="R50" i="15"/>
  <c r="T51" i="15"/>
  <c r="Q51" i="15" s="1"/>
  <c r="E49" i="15"/>
  <c r="M69" i="15"/>
  <c r="T52" i="15" l="1"/>
  <c r="Q52" i="15" s="1"/>
  <c r="R51" i="15"/>
  <c r="J51" i="15"/>
  <c r="B50" i="15"/>
  <c r="G50" i="15" s="1"/>
  <c r="C50" i="15"/>
  <c r="D50" i="15" s="1"/>
  <c r="F50" i="15" s="1"/>
  <c r="O70" i="15"/>
  <c r="E50" i="15" l="1"/>
  <c r="T53" i="15"/>
  <c r="B51" i="15"/>
  <c r="G51" i="15" s="1"/>
  <c r="C51" i="15"/>
  <c r="D51" i="15" s="1"/>
  <c r="R52" i="15"/>
  <c r="J52" i="15"/>
  <c r="L70" i="15"/>
  <c r="M70" i="15"/>
  <c r="B52" i="15" l="1"/>
  <c r="G52" i="15" s="1"/>
  <c r="C52" i="15"/>
  <c r="D52" i="15" s="1"/>
  <c r="R53" i="15"/>
  <c r="J53" i="15"/>
  <c r="F51" i="15"/>
  <c r="Q53" i="15"/>
  <c r="O71" i="15"/>
  <c r="L71" i="15" s="1"/>
  <c r="T54" i="15" l="1"/>
  <c r="Q54" i="15" s="1"/>
  <c r="F52" i="15"/>
  <c r="E51" i="15"/>
  <c r="C53" i="15"/>
  <c r="D53" i="15" s="1"/>
  <c r="B53" i="15"/>
  <c r="G53" i="15" s="1"/>
  <c r="O72" i="15"/>
  <c r="M71" i="15"/>
  <c r="T55" i="15" l="1"/>
  <c r="Q55" i="15" s="1"/>
  <c r="E52" i="15"/>
  <c r="F53" i="15"/>
  <c r="R54" i="15"/>
  <c r="J54" i="15"/>
  <c r="M72" i="15"/>
  <c r="L72" i="15"/>
  <c r="C54" i="15" l="1"/>
  <c r="D54" i="15" s="1"/>
  <c r="B54" i="15"/>
  <c r="G54" i="15" s="1"/>
  <c r="E53" i="15"/>
  <c r="F54" i="15"/>
  <c r="R55" i="15"/>
  <c r="T56" i="15" s="1"/>
  <c r="Q56" i="15" s="1"/>
  <c r="J55" i="15"/>
  <c r="O73" i="15"/>
  <c r="L73" i="15" s="1"/>
  <c r="E54" i="15" l="1"/>
  <c r="R56" i="15"/>
  <c r="J56" i="15"/>
  <c r="C55" i="15"/>
  <c r="D55" i="15" s="1"/>
  <c r="F55" i="15" s="1"/>
  <c r="B55" i="15"/>
  <c r="G55" i="15" s="1"/>
  <c r="O74" i="15"/>
  <c r="M73" i="15"/>
  <c r="E55" i="15" l="1"/>
  <c r="T57" i="15"/>
  <c r="R57" i="15" s="1"/>
  <c r="C56" i="15"/>
  <c r="D56" i="15" s="1"/>
  <c r="F56" i="15" s="1"/>
  <c r="B56" i="15"/>
  <c r="G56" i="15" s="1"/>
  <c r="M74" i="15"/>
  <c r="O75" i="15" s="1"/>
  <c r="L74" i="15"/>
  <c r="E56" i="15" l="1"/>
  <c r="T58" i="15"/>
  <c r="R58" i="15" s="1"/>
  <c r="Q57" i="15"/>
  <c r="J57" i="15"/>
  <c r="M75" i="15"/>
  <c r="L75" i="15"/>
  <c r="B57" i="15" l="1"/>
  <c r="G57" i="15" s="1"/>
  <c r="C57" i="15"/>
  <c r="D57" i="15" s="1"/>
  <c r="F57" i="15" s="1"/>
  <c r="Q58" i="15"/>
  <c r="J58" i="15"/>
  <c r="O76" i="15"/>
  <c r="T59" i="15" l="1"/>
  <c r="Q59" i="15" s="1"/>
  <c r="E57" i="15"/>
  <c r="B58" i="15"/>
  <c r="G58" i="15" s="1"/>
  <c r="C58" i="15"/>
  <c r="D58" i="15" s="1"/>
  <c r="F58" i="15" s="1"/>
  <c r="M76" i="15"/>
  <c r="L76" i="15"/>
  <c r="E58" i="15" l="1"/>
  <c r="T60" i="15"/>
  <c r="Q60" i="15" s="1"/>
  <c r="R59" i="15"/>
  <c r="J59" i="15"/>
  <c r="O77" i="15"/>
  <c r="M77" i="15" s="1"/>
  <c r="C59" i="15" l="1"/>
  <c r="D59" i="15" s="1"/>
  <c r="F59" i="15" s="1"/>
  <c r="B59" i="15"/>
  <c r="G59" i="15" s="1"/>
  <c r="T61" i="15"/>
  <c r="Q61" i="15" s="1"/>
  <c r="R60" i="15"/>
  <c r="J60" i="15"/>
  <c r="L77" i="15"/>
  <c r="R61" i="15" l="1"/>
  <c r="J61" i="15"/>
  <c r="B60" i="15"/>
  <c r="G60" i="15" s="1"/>
  <c r="C60" i="15"/>
  <c r="D60" i="15" s="1"/>
  <c r="T62" i="15"/>
  <c r="Q62" i="15" s="1"/>
  <c r="E59" i="15"/>
  <c r="F60" i="15"/>
  <c r="E60" i="15" s="1"/>
  <c r="O78" i="15"/>
  <c r="T63" i="15" l="1"/>
  <c r="Q63" i="15" s="1"/>
  <c r="R62" i="15"/>
  <c r="J62" i="15"/>
  <c r="B61" i="15"/>
  <c r="G61" i="15" s="1"/>
  <c r="C61" i="15"/>
  <c r="D61" i="15" s="1"/>
  <c r="F61" i="15" s="1"/>
  <c r="M78" i="15"/>
  <c r="L78" i="15"/>
  <c r="C62" i="15" l="1"/>
  <c r="D62" i="15" s="1"/>
  <c r="B62" i="15"/>
  <c r="G62" i="15" s="1"/>
  <c r="E61" i="15"/>
  <c r="F62" i="15"/>
  <c r="T64" i="15"/>
  <c r="R63" i="15"/>
  <c r="J63" i="15"/>
  <c r="O79" i="15"/>
  <c r="M79" i="15" s="1"/>
  <c r="E62" i="15" l="1"/>
  <c r="C63" i="15"/>
  <c r="D63" i="15" s="1"/>
  <c r="F63" i="15" s="1"/>
  <c r="B63" i="15"/>
  <c r="G63" i="15" s="1"/>
  <c r="R64" i="15"/>
  <c r="J64" i="15"/>
  <c r="Q64" i="15"/>
  <c r="L79" i="15"/>
  <c r="E63" i="15" l="1"/>
  <c r="B64" i="15"/>
  <c r="G64" i="15" s="1"/>
  <c r="C64" i="15"/>
  <c r="T65" i="15"/>
  <c r="Q65" i="15" s="1"/>
  <c r="D64" i="15"/>
  <c r="O80" i="15"/>
  <c r="T66" i="15" l="1"/>
  <c r="Q66" i="15"/>
  <c r="R65" i="15"/>
  <c r="J65" i="15"/>
  <c r="F64" i="15"/>
  <c r="M80" i="15"/>
  <c r="L80" i="15"/>
  <c r="C65" i="15" l="1"/>
  <c r="D65" i="15" s="1"/>
  <c r="F65" i="15" s="1"/>
  <c r="B65" i="15"/>
  <c r="G65" i="15" s="1"/>
  <c r="T67" i="15"/>
  <c r="Q67" i="15" s="1"/>
  <c r="E64" i="15"/>
  <c r="R66" i="15"/>
  <c r="J66" i="15"/>
  <c r="O81" i="15"/>
  <c r="L81" i="15" s="1"/>
  <c r="T68" i="15" l="1"/>
  <c r="Q68" i="15" s="1"/>
  <c r="R67" i="15"/>
  <c r="J67" i="15"/>
  <c r="C66" i="15"/>
  <c r="D66" i="15" s="1"/>
  <c r="B66" i="15"/>
  <c r="G66" i="15" s="1"/>
  <c r="E65" i="15"/>
  <c r="F66" i="15"/>
  <c r="E66" i="15" s="1"/>
  <c r="O82" i="15"/>
  <c r="M81" i="15"/>
  <c r="M82" i="15" l="1"/>
  <c r="C67" i="15"/>
  <c r="D67" i="15" s="1"/>
  <c r="F67" i="15" s="1"/>
  <c r="E67" i="15" s="1"/>
  <c r="B67" i="15"/>
  <c r="G67" i="15" s="1"/>
  <c r="T69" i="15"/>
  <c r="R68" i="15"/>
  <c r="J68" i="15"/>
  <c r="L82" i="15"/>
  <c r="R69" i="15" l="1"/>
  <c r="J69" i="15"/>
  <c r="Q69" i="15"/>
  <c r="B68" i="15"/>
  <c r="G68" i="15" s="1"/>
  <c r="C68" i="15"/>
  <c r="D68" i="15" s="1"/>
  <c r="F68" i="15" s="1"/>
  <c r="O83" i="15"/>
  <c r="L83" i="15" s="1"/>
  <c r="E68" i="15" l="1"/>
  <c r="T70" i="15"/>
  <c r="Q70" i="15" s="1"/>
  <c r="C69" i="15"/>
  <c r="D69" i="15" s="1"/>
  <c r="F69" i="15" s="1"/>
  <c r="B69" i="15"/>
  <c r="G69" i="15" s="1"/>
  <c r="M83" i="15"/>
  <c r="E69" i="15" l="1"/>
  <c r="T71" i="15"/>
  <c r="Q71" i="15" s="1"/>
  <c r="R70" i="15"/>
  <c r="J70" i="15"/>
  <c r="O84" i="15"/>
  <c r="M84" i="15" s="1"/>
  <c r="T72" i="15" l="1"/>
  <c r="Q72" i="15" s="1"/>
  <c r="C70" i="15"/>
  <c r="D70" i="15" s="1"/>
  <c r="F70" i="15" s="1"/>
  <c r="B70" i="15"/>
  <c r="G70" i="15" s="1"/>
  <c r="R71" i="15"/>
  <c r="J71" i="15"/>
  <c r="O85" i="15"/>
  <c r="L84" i="15"/>
  <c r="E70" i="15" l="1"/>
  <c r="T73" i="15"/>
  <c r="Q73" i="15" s="1"/>
  <c r="C71" i="15"/>
  <c r="D71" i="15" s="1"/>
  <c r="F71" i="15" s="1"/>
  <c r="E71" i="15" s="1"/>
  <c r="B71" i="15"/>
  <c r="G71" i="15" s="1"/>
  <c r="L85" i="15"/>
  <c r="R72" i="15"/>
  <c r="J72" i="15"/>
  <c r="M85" i="15"/>
  <c r="T74" i="15" l="1"/>
  <c r="J74" i="15" s="1"/>
  <c r="R73" i="15"/>
  <c r="R74" i="15" s="1"/>
  <c r="J73" i="15"/>
  <c r="B72" i="15"/>
  <c r="G72" i="15" s="1"/>
  <c r="C72" i="15"/>
  <c r="D72" i="15" s="1"/>
  <c r="F72" i="15" s="1"/>
  <c r="E72" i="15" s="1"/>
  <c r="O86" i="15"/>
  <c r="Q74" i="15" l="1"/>
  <c r="T75" i="15"/>
  <c r="J75" i="15" s="1"/>
  <c r="B73" i="15"/>
  <c r="G73" i="15" s="1"/>
  <c r="C73" i="15"/>
  <c r="D73" i="15" s="1"/>
  <c r="F73" i="15" s="1"/>
  <c r="E73" i="15" s="1"/>
  <c r="C74" i="15"/>
  <c r="B74" i="15"/>
  <c r="G74" i="15" s="1"/>
  <c r="L86" i="15"/>
  <c r="M86" i="15"/>
  <c r="D74" i="15" l="1"/>
  <c r="F74" i="15" s="1"/>
  <c r="E74" i="15" s="1"/>
  <c r="B75" i="15"/>
  <c r="G75" i="15" s="1"/>
  <c r="C75" i="15"/>
  <c r="Q75" i="15"/>
  <c r="R75" i="15"/>
  <c r="O87" i="15"/>
  <c r="M87" i="15" s="1"/>
  <c r="D75" i="15" l="1"/>
  <c r="F75" i="15" s="1"/>
  <c r="E75" i="15" s="1"/>
  <c r="T76" i="15"/>
  <c r="J76" i="15" s="1"/>
  <c r="L87" i="15"/>
  <c r="Q76" i="15" l="1"/>
  <c r="R76" i="15"/>
  <c r="T77" i="15" s="1"/>
  <c r="J77" i="15" s="1"/>
  <c r="C76" i="15"/>
  <c r="D76" i="15" s="1"/>
  <c r="F76" i="15" s="1"/>
  <c r="B76" i="15"/>
  <c r="G76" i="15" s="1"/>
  <c r="O88" i="15"/>
  <c r="Q77" i="15" l="1"/>
  <c r="R77" i="15"/>
  <c r="C77" i="15"/>
  <c r="D77" i="15" s="1"/>
  <c r="F77" i="15" s="1"/>
  <c r="B77" i="15"/>
  <c r="G77" i="15" s="1"/>
  <c r="T78" i="15"/>
  <c r="J78" i="15" s="1"/>
  <c r="E76" i="15"/>
  <c r="M88" i="15"/>
  <c r="L88" i="15"/>
  <c r="E77" i="15" l="1"/>
  <c r="C78" i="15"/>
  <c r="D78" i="15" s="1"/>
  <c r="F78" i="15" s="1"/>
  <c r="B78" i="15"/>
  <c r="G78" i="15" s="1"/>
  <c r="R78" i="15"/>
  <c r="Q78" i="15"/>
  <c r="O89" i="15"/>
  <c r="M89" i="15" s="1"/>
  <c r="E78" i="15" l="1"/>
  <c r="T79" i="15"/>
  <c r="J79" i="15" s="1"/>
  <c r="O90" i="15"/>
  <c r="L89" i="15"/>
  <c r="R79" i="15" l="1"/>
  <c r="Q79" i="15"/>
  <c r="T80" i="15"/>
  <c r="J80" i="15" s="1"/>
  <c r="C79" i="15"/>
  <c r="D79" i="15" s="1"/>
  <c r="F79" i="15" s="1"/>
  <c r="B79" i="15"/>
  <c r="G79" i="15" s="1"/>
  <c r="L90" i="15"/>
  <c r="O91" i="15" s="1"/>
  <c r="L91" i="15" s="1"/>
  <c r="M90" i="15"/>
  <c r="R80" i="15" l="1"/>
  <c r="B80" i="15"/>
  <c r="G80" i="15" s="1"/>
  <c r="C80" i="15"/>
  <c r="D80" i="15" s="1"/>
  <c r="F80" i="15" s="1"/>
  <c r="E79" i="15"/>
  <c r="Q80" i="15"/>
  <c r="O92" i="15"/>
  <c r="M91" i="15"/>
  <c r="M92" i="15" l="1"/>
  <c r="E80" i="15"/>
  <c r="T81" i="15"/>
  <c r="J81" i="15" s="1"/>
  <c r="L92" i="15"/>
  <c r="R81" i="15" l="1"/>
  <c r="C81" i="15"/>
  <c r="D81" i="15" s="1"/>
  <c r="F81" i="15" s="1"/>
  <c r="B81" i="15"/>
  <c r="G81" i="15" s="1"/>
  <c r="Q81" i="15"/>
  <c r="O93" i="15"/>
  <c r="E81" i="15" l="1"/>
  <c r="T82" i="15"/>
  <c r="J82" i="15" s="1"/>
  <c r="R82" i="15"/>
  <c r="T83" i="15" s="1"/>
  <c r="M93" i="15"/>
  <c r="L93" i="15"/>
  <c r="R83" i="15" l="1"/>
  <c r="J83" i="15"/>
  <c r="C82" i="15"/>
  <c r="D82" i="15" s="1"/>
  <c r="F82" i="15" s="1"/>
  <c r="E82" i="15" s="1"/>
  <c r="B82" i="15"/>
  <c r="G82" i="15" s="1"/>
  <c r="Q82" i="15"/>
  <c r="Q83" i="15" s="1"/>
  <c r="O94" i="15"/>
  <c r="T84" i="15" l="1"/>
  <c r="J84" i="15" s="1"/>
  <c r="B83" i="15"/>
  <c r="G83" i="15" s="1"/>
  <c r="C83" i="15"/>
  <c r="D83" i="15" s="1"/>
  <c r="F83" i="15" s="1"/>
  <c r="E83" i="15" s="1"/>
  <c r="L94" i="15"/>
  <c r="M94" i="15"/>
  <c r="R84" i="15" l="1"/>
  <c r="Q84" i="15"/>
  <c r="T85" i="15" s="1"/>
  <c r="J85" i="15" s="1"/>
  <c r="B84" i="15"/>
  <c r="G84" i="15" s="1"/>
  <c r="C84" i="15"/>
  <c r="D84" i="15" s="1"/>
  <c r="F84" i="15" s="1"/>
  <c r="O95" i="15"/>
  <c r="M95" i="15" s="1"/>
  <c r="E84" i="15" l="1"/>
  <c r="C85" i="15"/>
  <c r="D85" i="15" s="1"/>
  <c r="F85" i="15" s="1"/>
  <c r="B85" i="15"/>
  <c r="G85" i="15" s="1"/>
  <c r="Q85" i="15"/>
  <c r="R85" i="15"/>
  <c r="L95" i="15"/>
  <c r="O96" i="15"/>
  <c r="E85" i="15" l="1"/>
  <c r="T86" i="15"/>
  <c r="J86" i="15" s="1"/>
  <c r="M96" i="15"/>
  <c r="L96" i="15"/>
  <c r="Q86" i="15" l="1"/>
  <c r="C86" i="15"/>
  <c r="D86" i="15" s="1"/>
  <c r="F86" i="15" s="1"/>
  <c r="B86" i="15"/>
  <c r="G86" i="15" s="1"/>
  <c r="R86" i="15"/>
  <c r="O97" i="15"/>
  <c r="E86" i="15" l="1"/>
  <c r="T87" i="15"/>
  <c r="J87" i="15" s="1"/>
  <c r="M97" i="15"/>
  <c r="L97" i="15"/>
  <c r="Q87" i="15" l="1"/>
  <c r="R87" i="15"/>
  <c r="C87" i="15"/>
  <c r="D87" i="15" s="1"/>
  <c r="F87" i="15" s="1"/>
  <c r="B87" i="15"/>
  <c r="G87" i="15" s="1"/>
  <c r="O98" i="15"/>
  <c r="L98" i="15" s="1"/>
  <c r="E87" i="15" l="1"/>
  <c r="T88" i="15"/>
  <c r="J88" i="15" s="1"/>
  <c r="O99" i="15"/>
  <c r="M98" i="15"/>
  <c r="Q88" i="15" l="1"/>
  <c r="R88" i="15"/>
  <c r="B88" i="15"/>
  <c r="G88" i="15" s="1"/>
  <c r="C88" i="15"/>
  <c r="D88" i="15" s="1"/>
  <c r="F88" i="15" s="1"/>
  <c r="M99" i="15"/>
  <c r="L99" i="15"/>
  <c r="E88" i="15" l="1"/>
  <c r="T89" i="15"/>
  <c r="J89" i="15" s="1"/>
  <c r="O100" i="15"/>
  <c r="L100" i="15" s="1"/>
  <c r="B89" i="15" l="1"/>
  <c r="G89" i="15" s="1"/>
  <c r="C89" i="15"/>
  <c r="D89" i="15" s="1"/>
  <c r="F89" i="15" s="1"/>
  <c r="E89" i="15" s="1"/>
  <c r="Q89" i="15"/>
  <c r="R89" i="15"/>
  <c r="O101" i="15"/>
  <c r="M100" i="15"/>
  <c r="T90" i="15" l="1"/>
  <c r="J90" i="15" s="1"/>
  <c r="M101" i="15"/>
  <c r="L101" i="15"/>
  <c r="Q90" i="15" l="1"/>
  <c r="R90" i="15"/>
  <c r="T91" i="15"/>
  <c r="J91" i="15" s="1"/>
  <c r="B90" i="15"/>
  <c r="G90" i="15" s="1"/>
  <c r="C90" i="15"/>
  <c r="D90" i="15" s="1"/>
  <c r="F90" i="15" s="1"/>
  <c r="O102" i="15"/>
  <c r="M102" i="15" s="1"/>
  <c r="R91" i="15" l="1"/>
  <c r="E90" i="15"/>
  <c r="C91" i="15"/>
  <c r="D91" i="15" s="1"/>
  <c r="F91" i="15" s="1"/>
  <c r="B91" i="15"/>
  <c r="G91" i="15" s="1"/>
  <c r="T92" i="15"/>
  <c r="J92" i="15" s="1"/>
  <c r="Q91" i="15"/>
  <c r="L102" i="15"/>
  <c r="R92" i="15" l="1"/>
  <c r="T93" i="15" s="1"/>
  <c r="J93" i="15" s="1"/>
  <c r="Q92" i="15"/>
  <c r="E91" i="15"/>
  <c r="B92" i="15"/>
  <c r="G92" i="15" s="1"/>
  <c r="C92" i="15"/>
  <c r="D92" i="15" s="1"/>
  <c r="F92" i="15" s="1"/>
  <c r="O103" i="15"/>
  <c r="Q93" i="15" l="1"/>
  <c r="E92" i="15"/>
  <c r="C93" i="15"/>
  <c r="D93" i="15" s="1"/>
  <c r="F93" i="15" s="1"/>
  <c r="B93" i="15"/>
  <c r="G93" i="15" s="1"/>
  <c r="R93" i="15"/>
  <c r="M103" i="15"/>
  <c r="L103" i="15"/>
  <c r="E93" i="15" l="1"/>
  <c r="T94" i="15"/>
  <c r="O104" i="15"/>
  <c r="J94" i="15" l="1"/>
  <c r="Q94" i="15"/>
  <c r="R94" i="15"/>
  <c r="L104" i="15"/>
  <c r="M104" i="15"/>
  <c r="T95" i="15" l="1"/>
  <c r="J95" i="15" s="1"/>
  <c r="B94" i="15"/>
  <c r="G94" i="15" s="1"/>
  <c r="C94" i="15"/>
  <c r="D94" i="15" s="1"/>
  <c r="F94" i="15" s="1"/>
  <c r="O105" i="15"/>
  <c r="Q95" i="15" l="1"/>
  <c r="R95" i="15"/>
  <c r="T96" i="15"/>
  <c r="J96" i="15" s="1"/>
  <c r="E94" i="15"/>
  <c r="B95" i="15"/>
  <c r="G95" i="15" s="1"/>
  <c r="C95" i="15"/>
  <c r="D95" i="15" s="1"/>
  <c r="F95" i="15" s="1"/>
  <c r="L105" i="15"/>
  <c r="M105" i="15"/>
  <c r="R96" i="15" l="1"/>
  <c r="T97" i="15" s="1"/>
  <c r="J97" i="15" s="1"/>
  <c r="Q96" i="15"/>
  <c r="E95" i="15"/>
  <c r="B96" i="15"/>
  <c r="G96" i="15" s="1"/>
  <c r="C96" i="15"/>
  <c r="D96" i="15" s="1"/>
  <c r="F96" i="15" s="1"/>
  <c r="E96" i="15" s="1"/>
  <c r="O106" i="15"/>
  <c r="M106" i="15" s="1"/>
  <c r="Q97" i="15" l="1"/>
  <c r="T98" i="15" s="1"/>
  <c r="J98" i="15" s="1"/>
  <c r="R97" i="15"/>
  <c r="C97" i="15"/>
  <c r="D97" i="15" s="1"/>
  <c r="F97" i="15" s="1"/>
  <c r="B97" i="15"/>
  <c r="G97" i="15" s="1"/>
  <c r="L106" i="15"/>
  <c r="O107" i="15"/>
  <c r="R98" i="15" l="1"/>
  <c r="Q98" i="15"/>
  <c r="T99" i="15"/>
  <c r="J99" i="15" s="1"/>
  <c r="B98" i="15"/>
  <c r="G98" i="15" s="1"/>
  <c r="C98" i="15"/>
  <c r="D98" i="15" s="1"/>
  <c r="F98" i="15" s="1"/>
  <c r="Q99" i="15"/>
  <c r="E97" i="15"/>
  <c r="L107" i="15"/>
  <c r="O108" i="15" s="1"/>
  <c r="L108" i="15" s="1"/>
  <c r="M107" i="15"/>
  <c r="R99" i="15" l="1"/>
  <c r="T100" i="15" s="1"/>
  <c r="Q100" i="15" s="1"/>
  <c r="E98" i="15"/>
  <c r="R100" i="15"/>
  <c r="J100" i="15"/>
  <c r="B99" i="15"/>
  <c r="G99" i="15" s="1"/>
  <c r="C99" i="15"/>
  <c r="D99" i="15" s="1"/>
  <c r="F99" i="15" s="1"/>
  <c r="O109" i="15"/>
  <c r="M108" i="15"/>
  <c r="E99" i="15" l="1"/>
  <c r="C100" i="15"/>
  <c r="D100" i="15" s="1"/>
  <c r="F100" i="15" s="1"/>
  <c r="B100" i="15"/>
  <c r="G100" i="15" s="1"/>
  <c r="M109" i="15"/>
  <c r="O110" i="15" s="1"/>
  <c r="T101" i="15"/>
  <c r="L109" i="15"/>
  <c r="E100" i="15" l="1"/>
  <c r="J101" i="15"/>
  <c r="Q101" i="15"/>
  <c r="R101" i="15"/>
  <c r="M110" i="15"/>
  <c r="L110" i="15"/>
  <c r="C101" i="15" l="1"/>
  <c r="D101" i="15" s="1"/>
  <c r="F101" i="15" s="1"/>
  <c r="E101" i="15" s="1"/>
  <c r="B101" i="15"/>
  <c r="G101" i="15" s="1"/>
  <c r="T102" i="15"/>
  <c r="J102" i="15" s="1"/>
  <c r="O111" i="15"/>
  <c r="R102" i="15" l="1"/>
  <c r="T103" i="15"/>
  <c r="J103" i="15" s="1"/>
  <c r="B102" i="15"/>
  <c r="G102" i="15" s="1"/>
  <c r="C102" i="15"/>
  <c r="D102" i="15" s="1"/>
  <c r="F102" i="15" s="1"/>
  <c r="Q102" i="15"/>
  <c r="Q103" i="15" s="1"/>
  <c r="M111" i="15"/>
  <c r="L111" i="15"/>
  <c r="R103" i="15" l="1"/>
  <c r="E102" i="15"/>
  <c r="T104" i="15"/>
  <c r="J104" i="15" s="1"/>
  <c r="C103" i="15"/>
  <c r="D103" i="15" s="1"/>
  <c r="F103" i="15" s="1"/>
  <c r="E103" i="15" s="1"/>
  <c r="B103" i="15"/>
  <c r="G103" i="15" s="1"/>
  <c r="O112" i="15"/>
  <c r="M112" i="15" s="1"/>
  <c r="R104" i="15" l="1"/>
  <c r="Q104" i="15"/>
  <c r="C104" i="15"/>
  <c r="D104" i="15" s="1"/>
  <c r="F104" i="15" s="1"/>
  <c r="B104" i="15"/>
  <c r="G104" i="15" s="1"/>
  <c r="O113" i="15"/>
  <c r="L112" i="15"/>
  <c r="L113" i="15" l="1"/>
  <c r="O114" i="15" s="1"/>
  <c r="E104" i="15"/>
  <c r="T105" i="15"/>
  <c r="J105" i="15" s="1"/>
  <c r="M113" i="15"/>
  <c r="R105" i="15" l="1"/>
  <c r="T106" i="15"/>
  <c r="J106" i="15" s="1"/>
  <c r="R106" i="15"/>
  <c r="Q105" i="15"/>
  <c r="Q106" i="15" s="1"/>
  <c r="B105" i="15"/>
  <c r="G105" i="15" s="1"/>
  <c r="C105" i="15"/>
  <c r="D105" i="15" s="1"/>
  <c r="F105" i="15" s="1"/>
  <c r="L114" i="15"/>
  <c r="M114" i="15"/>
  <c r="E105" i="15" l="1"/>
  <c r="T107" i="15"/>
  <c r="J107" i="15" s="1"/>
  <c r="C106" i="15"/>
  <c r="D106" i="15" s="1"/>
  <c r="F106" i="15" s="1"/>
  <c r="B106" i="15"/>
  <c r="G106" i="15" s="1"/>
  <c r="O115" i="15"/>
  <c r="R107" i="15" l="1"/>
  <c r="T108" i="15" s="1"/>
  <c r="J108" i="15" s="1"/>
  <c r="Q107" i="15"/>
  <c r="E106" i="15"/>
  <c r="C107" i="15"/>
  <c r="D107" i="15" s="1"/>
  <c r="F107" i="15" s="1"/>
  <c r="B107" i="15"/>
  <c r="G107" i="15" s="1"/>
  <c r="L115" i="15"/>
  <c r="M115" i="15"/>
  <c r="E107" i="15" l="1"/>
  <c r="Q108" i="15"/>
  <c r="B108" i="15"/>
  <c r="G108" i="15" s="1"/>
  <c r="C108" i="15"/>
  <c r="D108" i="15" s="1"/>
  <c r="F108" i="15" s="1"/>
  <c r="E108" i="15" s="1"/>
  <c r="R108" i="15"/>
  <c r="O116" i="15"/>
  <c r="L116" i="15" s="1"/>
  <c r="T109" i="15" l="1"/>
  <c r="J109" i="15" s="1"/>
  <c r="R109" i="15"/>
  <c r="T110" i="15" s="1"/>
  <c r="J110" i="15" s="1"/>
  <c r="C110" i="15" s="1"/>
  <c r="Q109" i="15"/>
  <c r="O117" i="15"/>
  <c r="R110" i="15"/>
  <c r="M116" i="15"/>
  <c r="B110" i="15" l="1"/>
  <c r="G110" i="15" s="1"/>
  <c r="Q110" i="15"/>
  <c r="M117" i="15"/>
  <c r="B109" i="15"/>
  <c r="G109" i="15" s="1"/>
  <c r="C109" i="15"/>
  <c r="D109" i="15" s="1"/>
  <c r="F109" i="15" s="1"/>
  <c r="E109" i="15" s="1"/>
  <c r="T111" i="15"/>
  <c r="J111" i="15" s="1"/>
  <c r="L117" i="15"/>
  <c r="D110" i="15" l="1"/>
  <c r="F110" i="15" s="1"/>
  <c r="E110" i="15" s="1"/>
  <c r="O118" i="15"/>
  <c r="B111" i="15"/>
  <c r="G111" i="15" s="1"/>
  <c r="C111" i="15"/>
  <c r="D111" i="15" s="1"/>
  <c r="R111" i="15"/>
  <c r="Q111" i="15"/>
  <c r="T112" i="15" l="1"/>
  <c r="J112" i="15" s="1"/>
  <c r="F111" i="15"/>
  <c r="M118" i="15"/>
  <c r="L118" i="15"/>
  <c r="E111" i="15" l="1"/>
  <c r="O119" i="15"/>
  <c r="M119" i="15" s="1"/>
  <c r="B112" i="15"/>
  <c r="G112" i="15" s="1"/>
  <c r="C112" i="15"/>
  <c r="D112" i="15" s="1"/>
  <c r="R112" i="15"/>
  <c r="Q112" i="15"/>
  <c r="O120" i="15" l="1"/>
  <c r="T113" i="15"/>
  <c r="J113" i="15" s="1"/>
  <c r="F112" i="15"/>
  <c r="Q113" i="15"/>
  <c r="L119" i="15"/>
  <c r="E112" i="15" l="1"/>
  <c r="B113" i="15"/>
  <c r="G113" i="15" s="1"/>
  <c r="C113" i="15"/>
  <c r="D113" i="15" s="1"/>
  <c r="R113" i="15"/>
  <c r="L120" i="15"/>
  <c r="M120" i="15"/>
  <c r="O121" i="15" l="1"/>
  <c r="M121" i="15" s="1"/>
  <c r="T114" i="15"/>
  <c r="R114" i="15" s="1"/>
  <c r="F113" i="15"/>
  <c r="T115" i="15" l="1"/>
  <c r="J115" i="15" s="1"/>
  <c r="E113" i="15"/>
  <c r="J114" i="15"/>
  <c r="Q114" i="15"/>
  <c r="Q115" i="15" s="1"/>
  <c r="L121" i="15"/>
  <c r="B115" i="15" l="1"/>
  <c r="G115" i="15" s="1"/>
  <c r="C115" i="15"/>
  <c r="B114" i="15"/>
  <c r="G114" i="15" s="1"/>
  <c r="C114" i="15"/>
  <c r="D114" i="15" s="1"/>
  <c r="O122" i="15"/>
  <c r="R115" i="15"/>
  <c r="D115" i="15" l="1"/>
  <c r="F114" i="15"/>
  <c r="T116" i="15"/>
  <c r="M122" i="15"/>
  <c r="L122" i="15"/>
  <c r="E114" i="15" l="1"/>
  <c r="F115" i="15"/>
  <c r="O123" i="15"/>
  <c r="L123" i="15" s="1"/>
  <c r="J116" i="15"/>
  <c r="Q116" i="15"/>
  <c r="R116" i="15"/>
  <c r="O124" i="15" l="1"/>
  <c r="T117" i="15"/>
  <c r="J117" i="15" s="1"/>
  <c r="B116" i="15"/>
  <c r="G116" i="15" s="1"/>
  <c r="C116" i="15"/>
  <c r="D116" i="15" s="1"/>
  <c r="E115" i="15"/>
  <c r="M123" i="15"/>
  <c r="M124" i="15" s="1"/>
  <c r="R117" i="15" l="1"/>
  <c r="Q117" i="15"/>
  <c r="B117" i="15"/>
  <c r="G117" i="15" s="1"/>
  <c r="C117" i="15"/>
  <c r="D117" i="15" s="1"/>
  <c r="O125" i="15"/>
  <c r="F116" i="15"/>
  <c r="L124" i="15"/>
  <c r="M125" i="15" l="1"/>
  <c r="T118" i="15"/>
  <c r="J118" i="15" s="1"/>
  <c r="L125" i="15"/>
  <c r="F117" i="15"/>
  <c r="E116" i="15"/>
  <c r="E117" i="15" l="1"/>
  <c r="O126" i="15"/>
  <c r="B118" i="15"/>
  <c r="G118" i="15" s="1"/>
  <c r="C118" i="15"/>
  <c r="D118" i="15" s="1"/>
  <c r="R118" i="15"/>
  <c r="Q118" i="15"/>
  <c r="T119" i="15" l="1"/>
  <c r="J119" i="15" s="1"/>
  <c r="F118" i="15"/>
  <c r="M126" i="15"/>
  <c r="L126" i="15"/>
  <c r="Q119" i="15"/>
  <c r="O127" i="15" l="1"/>
  <c r="E118" i="15"/>
  <c r="B119" i="15"/>
  <c r="G119" i="15" s="1"/>
  <c r="C119" i="15"/>
  <c r="D119" i="15" s="1"/>
  <c r="R119" i="15"/>
  <c r="F119" i="15" l="1"/>
  <c r="M127" i="15"/>
  <c r="T120" i="15"/>
  <c r="L127" i="15"/>
  <c r="J120" i="15" l="1"/>
  <c r="Q120" i="15"/>
  <c r="R120" i="15"/>
  <c r="O128" i="15"/>
  <c r="E119" i="15"/>
  <c r="M128" i="15" l="1"/>
  <c r="T121" i="15"/>
  <c r="J121" i="15" s="1"/>
  <c r="L128" i="15"/>
  <c r="B120" i="15"/>
  <c r="G120" i="15" s="1"/>
  <c r="C120" i="15"/>
  <c r="D120" i="15" s="1"/>
  <c r="Q121" i="15" l="1"/>
  <c r="F120" i="15"/>
  <c r="B121" i="15"/>
  <c r="G121" i="15" s="1"/>
  <c r="C121" i="15"/>
  <c r="D121" i="15" s="1"/>
  <c r="O129" i="15"/>
  <c r="L129" i="15" s="1"/>
  <c r="R121" i="15"/>
  <c r="T122" i="15" l="1"/>
  <c r="F121" i="15"/>
  <c r="E120" i="15"/>
  <c r="M129" i="15"/>
  <c r="O130" i="15" l="1"/>
  <c r="E121" i="15"/>
  <c r="J122" i="15"/>
  <c r="Q122" i="15"/>
  <c r="R122" i="15"/>
  <c r="T123" i="15" l="1"/>
  <c r="J123" i="15" s="1"/>
  <c r="Q123" i="15"/>
  <c r="B122" i="15"/>
  <c r="G122" i="15" s="1"/>
  <c r="C122" i="15"/>
  <c r="D122" i="15" s="1"/>
  <c r="L130" i="15"/>
  <c r="M130" i="15"/>
  <c r="F122" i="15" l="1"/>
  <c r="O131" i="15"/>
  <c r="B123" i="15"/>
  <c r="G123" i="15" s="1"/>
  <c r="C123" i="15"/>
  <c r="D123" i="15" s="1"/>
  <c r="R123" i="15"/>
  <c r="M131" i="15" l="1"/>
  <c r="L131" i="15"/>
  <c r="F123" i="15"/>
  <c r="E122" i="15"/>
  <c r="T124" i="15"/>
  <c r="J124" i="15" l="1"/>
  <c r="Q124" i="15"/>
  <c r="O132" i="15"/>
  <c r="L132" i="15" s="1"/>
  <c r="R124" i="15"/>
  <c r="E123" i="15"/>
  <c r="M132" i="15" l="1"/>
  <c r="O133" i="15"/>
  <c r="M133" i="15" s="1"/>
  <c r="T125" i="15"/>
  <c r="J125" i="15" s="1"/>
  <c r="B124" i="15"/>
  <c r="G124" i="15" s="1"/>
  <c r="C124" i="15"/>
  <c r="D124" i="15" s="1"/>
  <c r="Q125" i="15" l="1"/>
  <c r="T126" i="15"/>
  <c r="J126" i="15" s="1"/>
  <c r="O134" i="15"/>
  <c r="M134" i="15" s="1"/>
  <c r="B125" i="15"/>
  <c r="G125" i="15" s="1"/>
  <c r="C125" i="15"/>
  <c r="D125" i="15" s="1"/>
  <c r="R125" i="15"/>
  <c r="R126" i="15" s="1"/>
  <c r="F124" i="15"/>
  <c r="L133" i="15"/>
  <c r="L134" i="15" s="1"/>
  <c r="O135" i="15" l="1"/>
  <c r="L135" i="15"/>
  <c r="E124" i="15"/>
  <c r="F125" i="15"/>
  <c r="B126" i="15"/>
  <c r="G126" i="15" s="1"/>
  <c r="C126" i="15"/>
  <c r="D126" i="15" s="1"/>
  <c r="Q126" i="15"/>
  <c r="E125" i="15" l="1"/>
  <c r="F126" i="15"/>
  <c r="T127" i="15"/>
  <c r="Q127" i="15" s="1"/>
  <c r="M135" i="15"/>
  <c r="O136" i="15" l="1"/>
  <c r="J127" i="15"/>
  <c r="R127" i="15"/>
  <c r="E126" i="15"/>
  <c r="B127" i="15" l="1"/>
  <c r="G127" i="15" s="1"/>
  <c r="C127" i="15"/>
  <c r="D127" i="15" s="1"/>
  <c r="T128" i="15"/>
  <c r="R128" i="15" s="1"/>
  <c r="L136" i="15"/>
  <c r="M136" i="15"/>
  <c r="T129" i="15" l="1"/>
  <c r="J129" i="15" s="1"/>
  <c r="O137" i="15"/>
  <c r="L137" i="15" s="1"/>
  <c r="F127" i="15"/>
  <c r="J128" i="15"/>
  <c r="Q128" i="15"/>
  <c r="M137" i="15" l="1"/>
  <c r="O138" i="15" s="1"/>
  <c r="M138" i="15" s="1"/>
  <c r="E127" i="15"/>
  <c r="B129" i="15"/>
  <c r="G129" i="15" s="1"/>
  <c r="C129" i="15"/>
  <c r="B128" i="15"/>
  <c r="G128" i="15" s="1"/>
  <c r="C128" i="15"/>
  <c r="D128" i="15" s="1"/>
  <c r="D129" i="15" s="1"/>
  <c r="Q129" i="15"/>
  <c r="R129" i="15"/>
  <c r="O139" i="15" l="1"/>
  <c r="T130" i="15"/>
  <c r="J130" i="15" s="1"/>
  <c r="F128" i="15"/>
  <c r="L138" i="15"/>
  <c r="Q130" i="15" l="1"/>
  <c r="F129" i="15"/>
  <c r="E128" i="15"/>
  <c r="B130" i="15"/>
  <c r="G130" i="15" s="1"/>
  <c r="C130" i="15"/>
  <c r="D130" i="15" s="1"/>
  <c r="R130" i="15"/>
  <c r="L139" i="15"/>
  <c r="M139" i="15"/>
  <c r="T131" i="15" l="1"/>
  <c r="O140" i="15"/>
  <c r="E129" i="15"/>
  <c r="F130" i="15"/>
  <c r="E130" i="15" l="1"/>
  <c r="M140" i="15"/>
  <c r="J131" i="15"/>
  <c r="Q131" i="15"/>
  <c r="R131" i="15"/>
  <c r="L140" i="15"/>
  <c r="O141" i="15" l="1"/>
  <c r="M141" i="15" s="1"/>
  <c r="B131" i="15"/>
  <c r="G131" i="15" s="1"/>
  <c r="C131" i="15"/>
  <c r="D131" i="15" s="1"/>
  <c r="T132" i="15"/>
  <c r="J132" i="15" s="1"/>
  <c r="B132" i="15" l="1"/>
  <c r="G132" i="15" s="1"/>
  <c r="C132" i="15"/>
  <c r="Q132" i="15"/>
  <c r="O142" i="15"/>
  <c r="R132" i="15"/>
  <c r="D132" i="15"/>
  <c r="F131" i="15"/>
  <c r="L141" i="15"/>
  <c r="T133" i="15" l="1"/>
  <c r="J133" i="15" s="1"/>
  <c r="L142" i="15"/>
  <c r="E131" i="15"/>
  <c r="F132" i="15"/>
  <c r="R133" i="15"/>
  <c r="M142" i="15"/>
  <c r="E132" i="15" l="1"/>
  <c r="B133" i="15"/>
  <c r="G133" i="15" s="1"/>
  <c r="C133" i="15"/>
  <c r="D133" i="15" s="1"/>
  <c r="Q133" i="15"/>
  <c r="O143" i="15"/>
  <c r="M143" i="15" s="1"/>
  <c r="O144" i="15" l="1"/>
  <c r="T134" i="15"/>
  <c r="Q134" i="15" s="1"/>
  <c r="F133" i="15"/>
  <c r="L143" i="15"/>
  <c r="L144" i="15" s="1"/>
  <c r="T135" i="15" l="1"/>
  <c r="J135" i="15" s="1"/>
  <c r="E133" i="15"/>
  <c r="J134" i="15"/>
  <c r="R134" i="15"/>
  <c r="R135" i="15" s="1"/>
  <c r="M144" i="15"/>
  <c r="B134" i="15" l="1"/>
  <c r="G134" i="15" s="1"/>
  <c r="C134" i="15"/>
  <c r="D134" i="15" s="1"/>
  <c r="T136" i="15"/>
  <c r="J136" i="15" s="1"/>
  <c r="B135" i="15"/>
  <c r="G135" i="15" s="1"/>
  <c r="C135" i="15"/>
  <c r="O145" i="15"/>
  <c r="Q135" i="15"/>
  <c r="L145" i="15" l="1"/>
  <c r="B136" i="15"/>
  <c r="G136" i="15" s="1"/>
  <c r="C136" i="15"/>
  <c r="R136" i="15"/>
  <c r="D135" i="15"/>
  <c r="D136" i="15" s="1"/>
  <c r="F134" i="15"/>
  <c r="M145" i="15"/>
  <c r="Q136" i="15"/>
  <c r="E134" i="15" l="1"/>
  <c r="F135" i="15"/>
  <c r="T137" i="15"/>
  <c r="J137" i="15" s="1"/>
  <c r="O146" i="15"/>
  <c r="L146" i="15" s="1"/>
  <c r="M146" i="15" l="1"/>
  <c r="O147" i="15"/>
  <c r="F136" i="15"/>
  <c r="E135" i="15"/>
  <c r="B137" i="15"/>
  <c r="G137" i="15" s="1"/>
  <c r="C137" i="15"/>
  <c r="D137" i="15" s="1"/>
  <c r="R137" i="15"/>
  <c r="Q137" i="15"/>
  <c r="M147" i="15" l="1"/>
  <c r="E136" i="15"/>
  <c r="F137" i="15"/>
  <c r="T138" i="15"/>
  <c r="J138" i="15" s="1"/>
  <c r="L147" i="15"/>
  <c r="B138" i="15" l="1"/>
  <c r="G138" i="15" s="1"/>
  <c r="C138" i="15"/>
  <c r="D138" i="15" s="1"/>
  <c r="F138" i="15" s="1"/>
  <c r="E137" i="15"/>
  <c r="R138" i="15"/>
  <c r="Q138" i="15"/>
  <c r="O148" i="15"/>
  <c r="M148" i="15" l="1"/>
  <c r="E138" i="15"/>
  <c r="L148" i="15"/>
  <c r="T139" i="15"/>
  <c r="J139" i="15" s="1"/>
  <c r="Q139" i="15" l="1"/>
  <c r="O149" i="15"/>
  <c r="L149" i="15" s="1"/>
  <c r="B139" i="15"/>
  <c r="G139" i="15" s="1"/>
  <c r="C139" i="15"/>
  <c r="D139" i="15" s="1"/>
  <c r="M149" i="15"/>
  <c r="R139" i="15"/>
  <c r="O150" i="15" l="1"/>
  <c r="M150" i="15" s="1"/>
  <c r="F139" i="15"/>
  <c r="T140" i="15"/>
  <c r="J140" i="15" s="1"/>
  <c r="R140" i="15" l="1"/>
  <c r="Q140" i="15"/>
  <c r="T141" i="15" s="1"/>
  <c r="J141" i="15" s="1"/>
  <c r="O151" i="15"/>
  <c r="E139" i="15"/>
  <c r="B140" i="15"/>
  <c r="G140" i="15" s="1"/>
  <c r="C140" i="15"/>
  <c r="D140" i="15" s="1"/>
  <c r="F140" i="15" s="1"/>
  <c r="L150" i="15"/>
  <c r="R141" i="15" l="1"/>
  <c r="L151" i="15"/>
  <c r="Q141" i="15"/>
  <c r="O152" i="15"/>
  <c r="E140" i="15"/>
  <c r="B141" i="15"/>
  <c r="G141" i="15" s="1"/>
  <c r="C141" i="15"/>
  <c r="D141" i="15" s="1"/>
  <c r="F141" i="15" s="1"/>
  <c r="M151" i="15"/>
  <c r="E141" i="15" l="1"/>
  <c r="L152" i="15"/>
  <c r="T142" i="15"/>
  <c r="M152" i="15"/>
  <c r="J142" i="15" l="1"/>
  <c r="R142" i="15"/>
  <c r="O153" i="15"/>
  <c r="L153" i="15" s="1"/>
  <c r="Q142" i="15"/>
  <c r="O154" i="15" l="1"/>
  <c r="L154" i="15" s="1"/>
  <c r="M153" i="15"/>
  <c r="M154" i="15" s="1"/>
  <c r="T143" i="15"/>
  <c r="J143" i="15" s="1"/>
  <c r="B142" i="15"/>
  <c r="G142" i="15" s="1"/>
  <c r="C142" i="15"/>
  <c r="D142" i="15" s="1"/>
  <c r="O155" i="15" l="1"/>
  <c r="M155" i="15" s="1"/>
  <c r="B143" i="15"/>
  <c r="G143" i="15" s="1"/>
  <c r="C143" i="15"/>
  <c r="D143" i="15" s="1"/>
  <c r="R143" i="15"/>
  <c r="F142" i="15"/>
  <c r="Q143" i="15"/>
  <c r="O156" i="15" l="1"/>
  <c r="T144" i="15"/>
  <c r="J144" i="15" s="1"/>
  <c r="F143" i="15"/>
  <c r="E142" i="15"/>
  <c r="L155" i="15"/>
  <c r="E143" i="15" l="1"/>
  <c r="B144" i="15"/>
  <c r="G144" i="15" s="1"/>
  <c r="C144" i="15"/>
  <c r="D144" i="15" s="1"/>
  <c r="R144" i="15"/>
  <c r="Q144" i="15"/>
  <c r="L156" i="15"/>
  <c r="M156" i="15"/>
  <c r="O157" i="15" l="1"/>
  <c r="T145" i="15"/>
  <c r="J145" i="15" s="1"/>
  <c r="F144" i="15"/>
  <c r="M157" i="15"/>
  <c r="E144" i="15" l="1"/>
  <c r="C145" i="15"/>
  <c r="D145" i="15" s="1"/>
  <c r="F145" i="15" s="1"/>
  <c r="B145" i="15"/>
  <c r="G145" i="15" s="1"/>
  <c r="R145" i="15"/>
  <c r="O158" i="15"/>
  <c r="Q145" i="15"/>
  <c r="L157" i="15"/>
  <c r="E145" i="15" l="1"/>
  <c r="T146" i="15"/>
  <c r="J146" i="15" s="1"/>
  <c r="Q146" i="15"/>
  <c r="M158" i="15"/>
  <c r="L158" i="15"/>
  <c r="R146" i="15" l="1"/>
  <c r="O159" i="15"/>
  <c r="B146" i="15"/>
  <c r="G146" i="15" s="1"/>
  <c r="C146" i="15"/>
  <c r="D146" i="15" s="1"/>
  <c r="L159" i="15"/>
  <c r="F146" i="15" l="1"/>
  <c r="M159" i="15"/>
  <c r="T147" i="15"/>
  <c r="R147" i="15" s="1"/>
  <c r="T148" i="15" l="1"/>
  <c r="J148" i="15" s="1"/>
  <c r="J147" i="15"/>
  <c r="Q147" i="15"/>
  <c r="O160" i="15"/>
  <c r="E146" i="15"/>
  <c r="Q148" i="15" l="1"/>
  <c r="L160" i="15"/>
  <c r="M160" i="15"/>
  <c r="B147" i="15"/>
  <c r="G147" i="15" s="1"/>
  <c r="C147" i="15"/>
  <c r="D147" i="15" s="1"/>
  <c r="C148" i="15"/>
  <c r="B148" i="15"/>
  <c r="G148" i="15" s="1"/>
  <c r="R148" i="15"/>
  <c r="O161" i="15" l="1"/>
  <c r="L161" i="15" s="1"/>
  <c r="D148" i="15"/>
  <c r="F147" i="15"/>
  <c r="T149" i="15"/>
  <c r="F148" i="15" l="1"/>
  <c r="E147" i="15"/>
  <c r="J149" i="15"/>
  <c r="Q149" i="15"/>
  <c r="R149" i="15"/>
  <c r="M161" i="15"/>
  <c r="T150" i="15" l="1"/>
  <c r="J150" i="15" s="1"/>
  <c r="E148" i="15"/>
  <c r="Q150" i="15"/>
  <c r="B149" i="15"/>
  <c r="G149" i="15" s="1"/>
  <c r="C149" i="15"/>
  <c r="D149" i="15" s="1"/>
  <c r="O162" i="15"/>
  <c r="M162" i="15" s="1"/>
  <c r="F149" i="15" l="1"/>
  <c r="B150" i="15"/>
  <c r="G150" i="15" s="1"/>
  <c r="C150" i="15"/>
  <c r="D150" i="15" s="1"/>
  <c r="O163" i="15"/>
  <c r="L162" i="15"/>
  <c r="R150" i="15"/>
  <c r="E149" i="15" l="1"/>
  <c r="F150" i="15"/>
  <c r="M163" i="15"/>
  <c r="T151" i="15"/>
  <c r="R151" i="15" s="1"/>
  <c r="L163" i="15"/>
  <c r="T152" i="15" l="1"/>
  <c r="J152" i="15" s="1"/>
  <c r="O164" i="15"/>
  <c r="L164" i="15" s="1"/>
  <c r="J151" i="15"/>
  <c r="Q151" i="15"/>
  <c r="E150" i="15"/>
  <c r="Q152" i="15" l="1"/>
  <c r="M164" i="15"/>
  <c r="B151" i="15"/>
  <c r="G151" i="15" s="1"/>
  <c r="C151" i="15"/>
  <c r="D151" i="15" s="1"/>
  <c r="C152" i="15"/>
  <c r="B152" i="15"/>
  <c r="G152" i="15" s="1"/>
  <c r="R152" i="15"/>
  <c r="D152" i="15" l="1"/>
  <c r="F151" i="15"/>
  <c r="O165" i="15"/>
  <c r="T153" i="15"/>
  <c r="J153" i="15" l="1"/>
  <c r="Q153" i="15"/>
  <c r="F152" i="15"/>
  <c r="E151" i="15"/>
  <c r="R153" i="15"/>
  <c r="L165" i="15"/>
  <c r="M165" i="15"/>
  <c r="O166" i="15" l="1"/>
  <c r="E152" i="15"/>
  <c r="L166" i="15"/>
  <c r="T154" i="15"/>
  <c r="J154" i="15" s="1"/>
  <c r="B153" i="15"/>
  <c r="G153" i="15" s="1"/>
  <c r="C153" i="15"/>
  <c r="D153" i="15" s="1"/>
  <c r="F153" i="15" s="1"/>
  <c r="E153" i="15" l="1"/>
  <c r="B154" i="15"/>
  <c r="G154" i="15" s="1"/>
  <c r="C154" i="15"/>
  <c r="D154" i="15" s="1"/>
  <c r="Q154" i="15"/>
  <c r="R154" i="15"/>
  <c r="M166" i="15"/>
  <c r="F154" i="15" l="1"/>
  <c r="T155" i="15"/>
  <c r="J155" i="15" s="1"/>
  <c r="O167" i="15"/>
  <c r="M167" i="15" s="1"/>
  <c r="R155" i="15" l="1"/>
  <c r="O168" i="15"/>
  <c r="L167" i="15"/>
  <c r="L168" i="15" s="1"/>
  <c r="Q155" i="15"/>
  <c r="B155" i="15"/>
  <c r="G155" i="15" s="1"/>
  <c r="C155" i="15"/>
  <c r="D155" i="15" s="1"/>
  <c r="E154" i="15"/>
  <c r="T156" i="15" l="1"/>
  <c r="Q156" i="15" s="1"/>
  <c r="F155" i="15"/>
  <c r="M168" i="15"/>
  <c r="T157" i="15" l="1"/>
  <c r="J157" i="15" s="1"/>
  <c r="E155" i="15"/>
  <c r="O169" i="15"/>
  <c r="M169" i="15" s="1"/>
  <c r="J156" i="15"/>
  <c r="R156" i="15"/>
  <c r="R157" i="15" s="1"/>
  <c r="O170" i="15" l="1"/>
  <c r="L169" i="15"/>
  <c r="L170" i="15" s="1"/>
  <c r="C156" i="15"/>
  <c r="D156" i="15" s="1"/>
  <c r="B156" i="15"/>
  <c r="G156" i="15" s="1"/>
  <c r="C157" i="15"/>
  <c r="B157" i="15"/>
  <c r="G157" i="15" s="1"/>
  <c r="Q157" i="15"/>
  <c r="D157" i="15" l="1"/>
  <c r="F156" i="15"/>
  <c r="T158" i="15"/>
  <c r="M170" i="15"/>
  <c r="O171" i="15" l="1"/>
  <c r="E156" i="15"/>
  <c r="F157" i="15"/>
  <c r="J158" i="15"/>
  <c r="R158" i="15"/>
  <c r="Q158" i="15"/>
  <c r="C158" i="15" l="1"/>
  <c r="D158" i="15" s="1"/>
  <c r="B158" i="15"/>
  <c r="G158" i="15" s="1"/>
  <c r="T159" i="15"/>
  <c r="J159" i="15" s="1"/>
  <c r="E157" i="15"/>
  <c r="F158" i="15"/>
  <c r="L171" i="15"/>
  <c r="M171" i="15"/>
  <c r="C159" i="15" l="1"/>
  <c r="B159" i="15"/>
  <c r="G159" i="15" s="1"/>
  <c r="Q159" i="15"/>
  <c r="R159" i="15"/>
  <c r="E158" i="15"/>
  <c r="O172" i="15"/>
  <c r="L172" i="15" s="1"/>
  <c r="D159" i="15"/>
  <c r="F159" i="15" s="1"/>
  <c r="M172" i="15" l="1"/>
  <c r="E159" i="15"/>
  <c r="T160" i="15"/>
  <c r="J160" i="15" s="1"/>
  <c r="O173" i="15"/>
  <c r="M173" i="15" s="1"/>
  <c r="R160" i="15" l="1"/>
  <c r="O174" i="15"/>
  <c r="Q160" i="15"/>
  <c r="L173" i="15"/>
  <c r="C160" i="15"/>
  <c r="D160" i="15" s="1"/>
  <c r="B160" i="15"/>
  <c r="G160" i="15" s="1"/>
  <c r="L174" i="15" l="1"/>
  <c r="F160" i="15"/>
  <c r="T161" i="15"/>
  <c r="Q161" i="15" s="1"/>
  <c r="O175" i="15"/>
  <c r="L175" i="15" s="1"/>
  <c r="M174" i="15"/>
  <c r="M175" i="15" l="1"/>
  <c r="O176" i="15"/>
  <c r="T162" i="15"/>
  <c r="J162" i="15" s="1"/>
  <c r="J161" i="15"/>
  <c r="R161" i="15"/>
  <c r="E160" i="15"/>
  <c r="R162" i="15" l="1"/>
  <c r="M176" i="15"/>
  <c r="O177" i="15"/>
  <c r="Q162" i="15"/>
  <c r="C161" i="15"/>
  <c r="D161" i="15" s="1"/>
  <c r="B161" i="15"/>
  <c r="G161" i="15" s="1"/>
  <c r="T163" i="15"/>
  <c r="J163" i="15" s="1"/>
  <c r="C162" i="15"/>
  <c r="B162" i="15"/>
  <c r="G162" i="15" s="1"/>
  <c r="L176" i="15"/>
  <c r="L177" i="15" l="1"/>
  <c r="R163" i="15"/>
  <c r="D162" i="15"/>
  <c r="F161" i="15"/>
  <c r="Q163" i="15"/>
  <c r="C163" i="15"/>
  <c r="B163" i="15"/>
  <c r="G163" i="15" s="1"/>
  <c r="M177" i="15"/>
  <c r="E161" i="15" l="1"/>
  <c r="F162" i="15"/>
  <c r="D163" i="15"/>
  <c r="O178" i="15"/>
  <c r="T164" i="15"/>
  <c r="J164" i="15" s="1"/>
  <c r="R164" i="15" l="1"/>
  <c r="C164" i="15"/>
  <c r="D164" i="15" s="1"/>
  <c r="B164" i="15"/>
  <c r="G164" i="15" s="1"/>
  <c r="L178" i="15"/>
  <c r="M178" i="15"/>
  <c r="E162" i="15"/>
  <c r="F163" i="15"/>
  <c r="Q164" i="15"/>
  <c r="O179" i="15" l="1"/>
  <c r="M179" i="15" s="1"/>
  <c r="T165" i="15"/>
  <c r="J165" i="15" s="1"/>
  <c r="E163" i="15"/>
  <c r="F164" i="15"/>
  <c r="Q165" i="15" l="1"/>
  <c r="T166" i="15" s="1"/>
  <c r="J166" i="15" s="1"/>
  <c r="C165" i="15"/>
  <c r="D165" i="15" s="1"/>
  <c r="F165" i="15" s="1"/>
  <c r="B165" i="15"/>
  <c r="G165" i="15" s="1"/>
  <c r="E164" i="15"/>
  <c r="L179" i="15"/>
  <c r="R165" i="15"/>
  <c r="Q166" i="15" l="1"/>
  <c r="E165" i="15"/>
  <c r="B166" i="15"/>
  <c r="G166" i="15" s="1"/>
  <c r="C166" i="15"/>
  <c r="D166" i="15" s="1"/>
  <c r="R166" i="15"/>
  <c r="O180" i="15"/>
  <c r="L180" i="15" s="1"/>
  <c r="F166" i="15" l="1"/>
  <c r="M180" i="15"/>
  <c r="T167" i="15"/>
  <c r="J167" i="15" s="1"/>
  <c r="C167" i="15" l="1"/>
  <c r="D167" i="15" s="1"/>
  <c r="B167" i="15"/>
  <c r="G167" i="15" s="1"/>
  <c r="Q167" i="15"/>
  <c r="O181" i="15"/>
  <c r="M181" i="15" s="1"/>
  <c r="R167" i="15"/>
  <c r="F167" i="15"/>
  <c r="E166" i="15"/>
  <c r="O182" i="15" l="1"/>
  <c r="E167" i="15"/>
  <c r="L181" i="15"/>
  <c r="L182" i="15" s="1"/>
  <c r="T168" i="15"/>
  <c r="J168" i="15" s="1"/>
  <c r="Q168" i="15" l="1"/>
  <c r="R168" i="15"/>
  <c r="T169" i="15"/>
  <c r="J169" i="15" s="1"/>
  <c r="B168" i="15"/>
  <c r="G168" i="15" s="1"/>
  <c r="C168" i="15"/>
  <c r="D168" i="15" s="1"/>
  <c r="M182" i="15"/>
  <c r="R169" i="15" l="1"/>
  <c r="F168" i="15"/>
  <c r="O183" i="15"/>
  <c r="C169" i="15"/>
  <c r="D169" i="15" s="1"/>
  <c r="B169" i="15"/>
  <c r="G169" i="15" s="1"/>
  <c r="Q169" i="15"/>
  <c r="T170" i="15" l="1"/>
  <c r="L183" i="15"/>
  <c r="M183" i="15"/>
  <c r="F169" i="15"/>
  <c r="E168" i="15"/>
  <c r="E169" i="15" l="1"/>
  <c r="O184" i="15"/>
  <c r="J170" i="15"/>
  <c r="R170" i="15"/>
  <c r="Q170" i="15"/>
  <c r="M184" i="15" l="1"/>
  <c r="T171" i="15"/>
  <c r="J171" i="15" s="1"/>
  <c r="B170" i="15"/>
  <c r="G170" i="15" s="1"/>
  <c r="C170" i="15"/>
  <c r="D170" i="15" s="1"/>
  <c r="L184" i="15"/>
  <c r="F170" i="15" l="1"/>
  <c r="Q171" i="15"/>
  <c r="O185" i="15"/>
  <c r="L185" i="15" s="1"/>
  <c r="C171" i="15"/>
  <c r="D171" i="15" s="1"/>
  <c r="B171" i="15"/>
  <c r="G171" i="15" s="1"/>
  <c r="R171" i="15"/>
  <c r="M185" i="15" l="1"/>
  <c r="O186" i="15"/>
  <c r="F171" i="15"/>
  <c r="E170" i="15"/>
  <c r="T172" i="15"/>
  <c r="J172" i="15" s="1"/>
  <c r="Q172" i="15" l="1"/>
  <c r="E171" i="15"/>
  <c r="M186" i="15"/>
  <c r="B172" i="15"/>
  <c r="G172" i="15" s="1"/>
  <c r="C172" i="15"/>
  <c r="D172" i="15" s="1"/>
  <c r="L186" i="15"/>
  <c r="R172" i="15"/>
  <c r="O187" i="15" l="1"/>
  <c r="F172" i="15"/>
  <c r="T173" i="15"/>
  <c r="R173" i="15" s="1"/>
  <c r="T174" i="15" l="1"/>
  <c r="J174" i="15" s="1"/>
  <c r="J173" i="15"/>
  <c r="Q173" i="15"/>
  <c r="Q174" i="15" s="1"/>
  <c r="E172" i="15"/>
  <c r="M187" i="15"/>
  <c r="L187" i="15"/>
  <c r="T175" i="15" l="1"/>
  <c r="J175" i="15" s="1"/>
  <c r="O188" i="15"/>
  <c r="M188" i="15" s="1"/>
  <c r="B174" i="15"/>
  <c r="G174" i="15" s="1"/>
  <c r="C174" i="15"/>
  <c r="C173" i="15"/>
  <c r="D173" i="15" s="1"/>
  <c r="B173" i="15"/>
  <c r="G173" i="15" s="1"/>
  <c r="R174" i="15"/>
  <c r="R175" i="15" s="1"/>
  <c r="O189" i="15" l="1"/>
  <c r="D174" i="15"/>
  <c r="F173" i="15"/>
  <c r="C175" i="15"/>
  <c r="B175" i="15"/>
  <c r="G175" i="15" s="1"/>
  <c r="L188" i="15"/>
  <c r="Q175" i="15"/>
  <c r="E173" i="15" l="1"/>
  <c r="F174" i="15"/>
  <c r="D175" i="15"/>
  <c r="T176" i="15"/>
  <c r="L189" i="15"/>
  <c r="M189" i="15"/>
  <c r="J176" i="15" l="1"/>
  <c r="R176" i="15"/>
  <c r="Q176" i="15"/>
  <c r="O190" i="15"/>
  <c r="F175" i="15"/>
  <c r="E174" i="15"/>
  <c r="M190" i="15" l="1"/>
  <c r="T177" i="15"/>
  <c r="J177" i="15" s="1"/>
  <c r="E175" i="15"/>
  <c r="Q177" i="15"/>
  <c r="L190" i="15"/>
  <c r="B176" i="15"/>
  <c r="G176" i="15" s="1"/>
  <c r="C176" i="15"/>
  <c r="D176" i="15" s="1"/>
  <c r="F176" i="15" s="1"/>
  <c r="T178" i="15" l="1"/>
  <c r="J178" i="15" s="1"/>
  <c r="C177" i="15"/>
  <c r="D177" i="15" s="1"/>
  <c r="B177" i="15"/>
  <c r="G177" i="15" s="1"/>
  <c r="R177" i="15"/>
  <c r="R178" i="15" s="1"/>
  <c r="O191" i="15"/>
  <c r="M191" i="15" s="1"/>
  <c r="E176" i="15"/>
  <c r="L191" i="15" l="1"/>
  <c r="O192" i="15"/>
  <c r="F177" i="15"/>
  <c r="B178" i="15"/>
  <c r="G178" i="15" s="1"/>
  <c r="C178" i="15"/>
  <c r="D178" i="15" s="1"/>
  <c r="Q178" i="15"/>
  <c r="L192" i="15" l="1"/>
  <c r="E177" i="15"/>
  <c r="F178" i="15"/>
  <c r="T179" i="15"/>
  <c r="Q179" i="15" s="1"/>
  <c r="O193" i="15"/>
  <c r="M192" i="15"/>
  <c r="T180" i="15" l="1"/>
  <c r="J180" i="15" s="1"/>
  <c r="L193" i="15"/>
  <c r="J179" i="15"/>
  <c r="R179" i="15"/>
  <c r="E178" i="15"/>
  <c r="M193" i="15"/>
  <c r="R180" i="15" l="1"/>
  <c r="O194" i="15"/>
  <c r="C179" i="15"/>
  <c r="D179" i="15" s="1"/>
  <c r="B179" i="15"/>
  <c r="G179" i="15" s="1"/>
  <c r="B180" i="15"/>
  <c r="G180" i="15" s="1"/>
  <c r="C180" i="15"/>
  <c r="M194" i="15"/>
  <c r="Q180" i="15"/>
  <c r="D180" i="15" l="1"/>
  <c r="F179" i="15"/>
  <c r="T181" i="15"/>
  <c r="Q181" i="15" s="1"/>
  <c r="L194" i="15"/>
  <c r="T182" i="15" l="1"/>
  <c r="J182" i="15" s="1"/>
  <c r="O195" i="15"/>
  <c r="L195" i="15" s="1"/>
  <c r="E179" i="15"/>
  <c r="F180" i="15"/>
  <c r="J181" i="15"/>
  <c r="R181" i="15"/>
  <c r="R182" i="15" s="1"/>
  <c r="E180" i="15" l="1"/>
  <c r="C181" i="15"/>
  <c r="D181" i="15" s="1"/>
  <c r="B181" i="15"/>
  <c r="G181" i="15" s="1"/>
  <c r="M195" i="15"/>
  <c r="B182" i="15"/>
  <c r="G182" i="15" s="1"/>
  <c r="C182" i="15"/>
  <c r="Q182" i="15"/>
  <c r="D182" i="15" l="1"/>
  <c r="O196" i="15"/>
  <c r="T183" i="15"/>
  <c r="F181" i="15"/>
  <c r="J183" i="15" l="1"/>
  <c r="R183" i="15"/>
  <c r="E181" i="15"/>
  <c r="F182" i="15"/>
  <c r="Q183" i="15"/>
  <c r="L196" i="15"/>
  <c r="M196" i="15"/>
  <c r="O197" i="15" l="1"/>
  <c r="L197" i="15" s="1"/>
  <c r="T184" i="15"/>
  <c r="J184" i="15" s="1"/>
  <c r="E182" i="15"/>
  <c r="C183" i="15"/>
  <c r="D183" i="15" s="1"/>
  <c r="F183" i="15" s="1"/>
  <c r="B183" i="15"/>
  <c r="G183" i="15" s="1"/>
  <c r="R184" i="15" l="1"/>
  <c r="Q184" i="15"/>
  <c r="E183" i="15"/>
  <c r="B184" i="15"/>
  <c r="G184" i="15" s="1"/>
  <c r="C184" i="15"/>
  <c r="D184" i="15" s="1"/>
  <c r="M197" i="15"/>
  <c r="F184" i="15" l="1"/>
  <c r="O198" i="15"/>
  <c r="T185" i="15"/>
  <c r="L198" i="15" l="1"/>
  <c r="J185" i="15"/>
  <c r="R185" i="15"/>
  <c r="Q185" i="15"/>
  <c r="M198" i="15"/>
  <c r="E184" i="15"/>
  <c r="O199" i="15" l="1"/>
  <c r="C185" i="15"/>
  <c r="D185" i="15" s="1"/>
  <c r="B185" i="15"/>
  <c r="G185" i="15" s="1"/>
  <c r="T186" i="15"/>
  <c r="J186" i="15" s="1"/>
  <c r="L199" i="15"/>
  <c r="Q186" i="15" l="1"/>
  <c r="B186" i="15"/>
  <c r="G186" i="15" s="1"/>
  <c r="C186" i="15"/>
  <c r="D186" i="15" s="1"/>
  <c r="R186" i="15"/>
  <c r="F185" i="15"/>
  <c r="M199" i="15"/>
  <c r="E185" i="15" l="1"/>
  <c r="F186" i="15"/>
  <c r="O200" i="15"/>
  <c r="M200" i="15" s="1"/>
  <c r="T187" i="15"/>
  <c r="J187" i="15" s="1"/>
  <c r="O201" i="15" l="1"/>
  <c r="C187" i="15"/>
  <c r="D187" i="15" s="1"/>
  <c r="B187" i="15"/>
  <c r="G187" i="15" s="1"/>
  <c r="Q187" i="15"/>
  <c r="L200" i="15"/>
  <c r="L201" i="15" s="1"/>
  <c r="F187" i="15"/>
  <c r="E186" i="15"/>
  <c r="R187" i="15"/>
  <c r="E187" i="15" l="1"/>
  <c r="T188" i="15"/>
  <c r="J188" i="15" s="1"/>
  <c r="M201" i="15"/>
  <c r="B188" i="15" l="1"/>
  <c r="G188" i="15" s="1"/>
  <c r="C188" i="15"/>
  <c r="D188" i="15" s="1"/>
  <c r="R188" i="15"/>
  <c r="Q188" i="15"/>
  <c r="O202" i="15"/>
  <c r="M202" i="15" s="1"/>
  <c r="O203" i="15" l="1"/>
  <c r="T189" i="15"/>
  <c r="J189" i="15" s="1"/>
  <c r="F188" i="15"/>
  <c r="L202" i="15"/>
  <c r="L203" i="15" s="1"/>
  <c r="E188" i="15" l="1"/>
  <c r="Q189" i="15"/>
  <c r="C189" i="15"/>
  <c r="D189" i="15" s="1"/>
  <c r="B189" i="15"/>
  <c r="G189" i="15" s="1"/>
  <c r="R189" i="15"/>
  <c r="M203" i="15"/>
  <c r="T190" i="15" l="1"/>
  <c r="J190" i="15" s="1"/>
  <c r="O204" i="15"/>
  <c r="F189" i="15"/>
  <c r="L204" i="15" l="1"/>
  <c r="E189" i="15"/>
  <c r="M204" i="15"/>
  <c r="B190" i="15"/>
  <c r="G190" i="15" s="1"/>
  <c r="C190" i="15"/>
  <c r="D190" i="15" s="1"/>
  <c r="Q190" i="15"/>
  <c r="R190" i="15"/>
  <c r="O205" i="15" l="1"/>
  <c r="L205" i="15"/>
  <c r="F190" i="15"/>
  <c r="T191" i="15"/>
  <c r="J191" i="15" s="1"/>
  <c r="E190" i="15" l="1"/>
  <c r="O206" i="15"/>
  <c r="C191" i="15"/>
  <c r="D191" i="15" s="1"/>
  <c r="B191" i="15"/>
  <c r="G191" i="15" s="1"/>
  <c r="R191" i="15"/>
  <c r="M205" i="15"/>
  <c r="Q191" i="15"/>
  <c r="T192" i="15" l="1"/>
  <c r="J192" i="15" s="1"/>
  <c r="L206" i="15"/>
  <c r="M206" i="15"/>
  <c r="F191" i="15"/>
  <c r="E191" i="15" l="1"/>
  <c r="O207" i="15"/>
  <c r="B192" i="15"/>
  <c r="G192" i="15" s="1"/>
  <c r="C192" i="15"/>
  <c r="D192" i="15" s="1"/>
  <c r="R192" i="15"/>
  <c r="Q192" i="15"/>
  <c r="T193" i="15" l="1"/>
  <c r="J193" i="15" s="1"/>
  <c r="L207" i="15"/>
  <c r="F192" i="15"/>
  <c r="Q193" i="15"/>
  <c r="M207" i="15"/>
  <c r="E192" i="15" l="1"/>
  <c r="O208" i="15"/>
  <c r="C193" i="15"/>
  <c r="D193" i="15" s="1"/>
  <c r="B193" i="15"/>
  <c r="G193" i="15" s="1"/>
  <c r="R193" i="15"/>
  <c r="L208" i="15" l="1"/>
  <c r="M208" i="15"/>
  <c r="T194" i="15"/>
  <c r="R194" i="15" s="1"/>
  <c r="F193" i="15"/>
  <c r="T195" i="15" l="1"/>
  <c r="J195" i="15" s="1"/>
  <c r="J194" i="15"/>
  <c r="Q194" i="15"/>
  <c r="Q195" i="15" s="1"/>
  <c r="E193" i="15"/>
  <c r="O209" i="15"/>
  <c r="M209" i="15" s="1"/>
  <c r="L209" i="15" l="1"/>
  <c r="C195" i="15"/>
  <c r="B195" i="15"/>
  <c r="G195" i="15" s="1"/>
  <c r="O210" i="15"/>
  <c r="B194" i="15"/>
  <c r="G194" i="15" s="1"/>
  <c r="C194" i="15"/>
  <c r="D194" i="15" s="1"/>
  <c r="R195" i="15"/>
  <c r="M210" i="15" l="1"/>
  <c r="L210" i="15"/>
  <c r="D195" i="15"/>
  <c r="F194" i="15"/>
  <c r="T196" i="15"/>
  <c r="F195" i="15" l="1"/>
  <c r="E194" i="15"/>
  <c r="J196" i="15"/>
  <c r="Q196" i="15"/>
  <c r="R196" i="15"/>
  <c r="O211" i="15"/>
  <c r="L211" i="15" s="1"/>
  <c r="M211" i="15" l="1"/>
  <c r="T197" i="15"/>
  <c r="J197" i="15" s="1"/>
  <c r="O212" i="15"/>
  <c r="B196" i="15"/>
  <c r="G196" i="15" s="1"/>
  <c r="C196" i="15"/>
  <c r="D196" i="15" s="1"/>
  <c r="F196" i="15" s="1"/>
  <c r="E195" i="15"/>
  <c r="R197" i="15" l="1"/>
  <c r="E196" i="15"/>
  <c r="L212" i="15"/>
  <c r="M212" i="15"/>
  <c r="C197" i="15"/>
  <c r="D197" i="15" s="1"/>
  <c r="B197" i="15"/>
  <c r="G197" i="15" s="1"/>
  <c r="Q197" i="15"/>
  <c r="F197" i="15" l="1"/>
  <c r="T198" i="15"/>
  <c r="O213" i="15"/>
  <c r="M213" i="15" l="1"/>
  <c r="L213" i="15"/>
  <c r="J198" i="15"/>
  <c r="R198" i="15"/>
  <c r="Q198" i="15"/>
  <c r="E197" i="15"/>
  <c r="O214" i="15" l="1"/>
  <c r="L214" i="15" s="1"/>
  <c r="T199" i="15"/>
  <c r="J199" i="15" s="1"/>
  <c r="B198" i="15"/>
  <c r="G198" i="15" s="1"/>
  <c r="C198" i="15"/>
  <c r="D198" i="15" s="1"/>
  <c r="M214" i="15"/>
  <c r="F198" i="15" l="1"/>
  <c r="C199" i="15"/>
  <c r="D199" i="15" s="1"/>
  <c r="B199" i="15"/>
  <c r="G199" i="15" s="1"/>
  <c r="Q199" i="15"/>
  <c r="O215" i="15"/>
  <c r="M215" i="15" s="1"/>
  <c r="R199" i="15"/>
  <c r="O216" i="15" l="1"/>
  <c r="T200" i="15"/>
  <c r="J200" i="15" s="1"/>
  <c r="F199" i="15"/>
  <c r="E198" i="15"/>
  <c r="L215" i="15"/>
  <c r="L216" i="15" s="1"/>
  <c r="R200" i="15" l="1"/>
  <c r="E199" i="15"/>
  <c r="B200" i="15"/>
  <c r="G200" i="15" s="1"/>
  <c r="C200" i="15"/>
  <c r="D200" i="15" s="1"/>
  <c r="F200" i="15" s="1"/>
  <c r="Q200" i="15"/>
  <c r="M216" i="15"/>
  <c r="E200" i="15" l="1"/>
  <c r="T201" i="15"/>
  <c r="O217" i="15"/>
  <c r="M217" i="15" s="1"/>
  <c r="O218" i="15" l="1"/>
  <c r="J201" i="15"/>
  <c r="R201" i="15"/>
  <c r="L217" i="15"/>
  <c r="L218" i="15" s="1"/>
  <c r="Q201" i="15"/>
  <c r="B201" i="15" l="1"/>
  <c r="G201" i="15" s="1"/>
  <c r="C201" i="15"/>
  <c r="D201" i="15" s="1"/>
  <c r="T202" i="15"/>
  <c r="J202" i="15" s="1"/>
  <c r="M218" i="15"/>
  <c r="B202" i="15" l="1"/>
  <c r="G202" i="15" s="1"/>
  <c r="C202" i="15"/>
  <c r="D202" i="15" s="1"/>
  <c r="Q202" i="15"/>
  <c r="F201" i="15"/>
  <c r="O219" i="15"/>
  <c r="R202" i="15"/>
  <c r="L219" i="15" l="1"/>
  <c r="T203" i="15"/>
  <c r="J203" i="15" s="1"/>
  <c r="M219" i="15"/>
  <c r="E201" i="15"/>
  <c r="F202" i="15"/>
  <c r="R203" i="15" l="1"/>
  <c r="O220" i="15"/>
  <c r="L220" i="15" s="1"/>
  <c r="B203" i="15"/>
  <c r="G203" i="15" s="1"/>
  <c r="C203" i="15"/>
  <c r="D203" i="15" s="1"/>
  <c r="F203" i="15" s="1"/>
  <c r="Q203" i="15"/>
  <c r="E202" i="15"/>
  <c r="E203" i="15" l="1"/>
  <c r="T204" i="15"/>
  <c r="M220" i="15"/>
  <c r="O221" i="15" l="1"/>
  <c r="J204" i="15"/>
  <c r="R204" i="15"/>
  <c r="Q204" i="15"/>
  <c r="T205" i="15" l="1"/>
  <c r="J205" i="15" s="1"/>
  <c r="B204" i="15"/>
  <c r="G204" i="15" s="1"/>
  <c r="C204" i="15"/>
  <c r="D204" i="15" s="1"/>
  <c r="L221" i="15"/>
  <c r="M221" i="15"/>
  <c r="O222" i="15" l="1"/>
  <c r="M222" i="15" s="1"/>
  <c r="F204" i="15"/>
  <c r="C205" i="15"/>
  <c r="D205" i="15" s="1"/>
  <c r="B205" i="15"/>
  <c r="G205" i="15" s="1"/>
  <c r="Q205" i="15"/>
  <c r="R205" i="15"/>
  <c r="F205" i="15" l="1"/>
  <c r="E204" i="15"/>
  <c r="T206" i="15"/>
  <c r="J206" i="15" s="1"/>
  <c r="L222" i="15"/>
  <c r="B206" i="15" l="1"/>
  <c r="G206" i="15" s="1"/>
  <c r="C206" i="15"/>
  <c r="D206" i="15" s="1"/>
  <c r="F206" i="15" s="1"/>
  <c r="Q206" i="15"/>
  <c r="R206" i="15"/>
  <c r="E205" i="15"/>
  <c r="O223" i="15"/>
  <c r="L223" i="15" s="1"/>
  <c r="O224" i="15" l="1"/>
  <c r="M223" i="15"/>
  <c r="E206" i="15"/>
  <c r="T207" i="15"/>
  <c r="J207" i="15" s="1"/>
  <c r="M224" i="15" l="1"/>
  <c r="O225" i="15" s="1"/>
  <c r="Q207" i="15"/>
  <c r="B207" i="15"/>
  <c r="G207" i="15" s="1"/>
  <c r="C207" i="15"/>
  <c r="D207" i="15" s="1"/>
  <c r="R207" i="15"/>
  <c r="L224" i="15"/>
  <c r="L225" i="15" l="1"/>
  <c r="F207" i="15"/>
  <c r="T208" i="15"/>
  <c r="J208" i="15" s="1"/>
  <c r="M225" i="15"/>
  <c r="O226" i="15" l="1"/>
  <c r="Q208" i="15"/>
  <c r="C208" i="15"/>
  <c r="D208" i="15" s="1"/>
  <c r="F208" i="15" s="1"/>
  <c r="B208" i="15"/>
  <c r="G208" i="15" s="1"/>
  <c r="R208" i="15"/>
  <c r="E207" i="15"/>
  <c r="E208" i="15" l="1"/>
  <c r="T209" i="15"/>
  <c r="J209" i="15" s="1"/>
  <c r="L226" i="15"/>
  <c r="M226" i="15"/>
  <c r="B209" i="15" l="1"/>
  <c r="G209" i="15" s="1"/>
  <c r="C209" i="15"/>
  <c r="D209" i="15" s="1"/>
  <c r="Q209" i="15"/>
  <c r="R209" i="15"/>
  <c r="O227" i="15"/>
  <c r="L227" i="15" s="1"/>
  <c r="M227" i="15" l="1"/>
  <c r="T210" i="15"/>
  <c r="J210" i="15" s="1"/>
  <c r="F209" i="15"/>
  <c r="Q210" i="15" l="1"/>
  <c r="T211" i="15"/>
  <c r="J211" i="15" s="1"/>
  <c r="B210" i="15"/>
  <c r="G210" i="15" s="1"/>
  <c r="C210" i="15"/>
  <c r="D210" i="15" s="1"/>
  <c r="F210" i="15" s="1"/>
  <c r="E209" i="15"/>
  <c r="R210" i="15"/>
  <c r="O228" i="15"/>
  <c r="M228" i="15" s="1"/>
  <c r="R211" i="15" l="1"/>
  <c r="T212" i="15"/>
  <c r="J212" i="15" s="1"/>
  <c r="O229" i="15"/>
  <c r="M229" i="15" s="1"/>
  <c r="E210" i="15"/>
  <c r="B211" i="15"/>
  <c r="G211" i="15" s="1"/>
  <c r="C211" i="15"/>
  <c r="D211" i="15" s="1"/>
  <c r="F211" i="15" s="1"/>
  <c r="L228" i="15"/>
  <c r="Q211" i="15"/>
  <c r="Q212" i="15" s="1"/>
  <c r="L229" i="15" l="1"/>
  <c r="C212" i="15"/>
  <c r="B212" i="15"/>
  <c r="G212" i="15" s="1"/>
  <c r="E211" i="15"/>
  <c r="O230" i="15"/>
  <c r="T213" i="15"/>
  <c r="J213" i="15" s="1"/>
  <c r="D212" i="15"/>
  <c r="F212" i="15" s="1"/>
  <c r="R212" i="15"/>
  <c r="R213" i="15" l="1"/>
  <c r="M230" i="15"/>
  <c r="E212" i="15"/>
  <c r="B213" i="15"/>
  <c r="G213" i="15" s="1"/>
  <c r="C213" i="15"/>
  <c r="D213" i="15" s="1"/>
  <c r="Q213" i="15"/>
  <c r="L230" i="15"/>
  <c r="F213" i="15" l="1"/>
  <c r="O231" i="15"/>
  <c r="L231" i="15" s="1"/>
  <c r="T214" i="15"/>
  <c r="O232" i="15" l="1"/>
  <c r="M231" i="15"/>
  <c r="J214" i="15"/>
  <c r="R214" i="15"/>
  <c r="Q214" i="15"/>
  <c r="E213" i="15"/>
  <c r="M232" i="15" l="1"/>
  <c r="T215" i="15"/>
  <c r="J215" i="15" s="1"/>
  <c r="B214" i="15"/>
  <c r="G214" i="15" s="1"/>
  <c r="C214" i="15"/>
  <c r="D214" i="15" s="1"/>
  <c r="Q215" i="15"/>
  <c r="L232" i="15"/>
  <c r="O233" i="15" l="1"/>
  <c r="L233" i="15" s="1"/>
  <c r="F214" i="15"/>
  <c r="C215" i="15"/>
  <c r="D215" i="15" s="1"/>
  <c r="B215" i="15"/>
  <c r="G215" i="15" s="1"/>
  <c r="R215" i="15"/>
  <c r="F215" i="15" l="1"/>
  <c r="E214" i="15"/>
  <c r="T216" i="15"/>
  <c r="O234" i="15"/>
  <c r="M233" i="15"/>
  <c r="L234" i="15" l="1"/>
  <c r="E215" i="15"/>
  <c r="J216" i="15"/>
  <c r="Q216" i="15"/>
  <c r="R216" i="15"/>
  <c r="M234" i="15"/>
  <c r="T217" i="15" l="1"/>
  <c r="J217" i="15" s="1"/>
  <c r="B216" i="15"/>
  <c r="G216" i="15" s="1"/>
  <c r="C216" i="15"/>
  <c r="D216" i="15" s="1"/>
  <c r="O235" i="15"/>
  <c r="M235" i="15" s="1"/>
  <c r="Q217" i="15"/>
  <c r="L235" i="15" l="1"/>
  <c r="O236" i="15"/>
  <c r="F216" i="15"/>
  <c r="C217" i="15"/>
  <c r="D217" i="15" s="1"/>
  <c r="B217" i="15"/>
  <c r="G217" i="15" s="1"/>
  <c r="R217" i="15"/>
  <c r="L236" i="15" l="1"/>
  <c r="F217" i="15"/>
  <c r="E216" i="15"/>
  <c r="T218" i="15"/>
  <c r="M236" i="15"/>
  <c r="O237" i="15" l="1"/>
  <c r="M237" i="15"/>
  <c r="J218" i="15"/>
  <c r="Q218" i="15"/>
  <c r="R218" i="15"/>
  <c r="E217" i="15"/>
  <c r="T219" i="15" l="1"/>
  <c r="J219" i="15" s="1"/>
  <c r="B218" i="15"/>
  <c r="G218" i="15" s="1"/>
  <c r="C218" i="15"/>
  <c r="D218" i="15" s="1"/>
  <c r="L237" i="15"/>
  <c r="Q219" i="15" l="1"/>
  <c r="F218" i="15"/>
  <c r="O238" i="15"/>
  <c r="L238" i="15" s="1"/>
  <c r="C219" i="15"/>
  <c r="D219" i="15" s="1"/>
  <c r="B219" i="15"/>
  <c r="G219" i="15" s="1"/>
  <c r="R219" i="15"/>
  <c r="O239" i="15" l="1"/>
  <c r="T220" i="15"/>
  <c r="M238" i="15"/>
  <c r="M239" i="15" s="1"/>
  <c r="F219" i="15"/>
  <c r="E218" i="15"/>
  <c r="E219" i="15" l="1"/>
  <c r="J220" i="15"/>
  <c r="Q220" i="15"/>
  <c r="R220" i="15"/>
  <c r="L239" i="15"/>
  <c r="T221" i="15" l="1"/>
  <c r="J221" i="15" s="1"/>
  <c r="O240" i="15"/>
  <c r="L240" i="15" s="1"/>
  <c r="B220" i="15"/>
  <c r="G220" i="15" s="1"/>
  <c r="C220" i="15"/>
  <c r="D220" i="15" s="1"/>
  <c r="F220" i="15" l="1"/>
  <c r="M240" i="15"/>
  <c r="B221" i="15"/>
  <c r="G221" i="15" s="1"/>
  <c r="C221" i="15"/>
  <c r="D221" i="15" s="1"/>
  <c r="R221" i="15"/>
  <c r="Q221" i="15"/>
  <c r="O241" i="15" l="1"/>
  <c r="M241" i="15" s="1"/>
  <c r="E220" i="15"/>
  <c r="F221" i="15"/>
  <c r="T222" i="15"/>
  <c r="J222" i="15" s="1"/>
  <c r="B222" i="15" l="1"/>
  <c r="G222" i="15" s="1"/>
  <c r="C222" i="15"/>
  <c r="D222" i="15" s="1"/>
  <c r="F222" i="15" s="1"/>
  <c r="Q222" i="15"/>
  <c r="O242" i="15"/>
  <c r="M242" i="15" s="1"/>
  <c r="E221" i="15"/>
  <c r="L241" i="15"/>
  <c r="R222" i="15"/>
  <c r="L242" i="15" l="1"/>
  <c r="O243" i="15"/>
  <c r="L243" i="15" s="1"/>
  <c r="E222" i="15"/>
  <c r="T223" i="15"/>
  <c r="J223" i="15" s="1"/>
  <c r="B223" i="15" l="1"/>
  <c r="G223" i="15" s="1"/>
  <c r="C223" i="15"/>
  <c r="D223" i="15" s="1"/>
  <c r="Q223" i="15"/>
  <c r="R223" i="15"/>
  <c r="M243" i="15"/>
  <c r="O244" i="15" l="1"/>
  <c r="F223" i="15"/>
  <c r="T224" i="15"/>
  <c r="J224" i="15" s="1"/>
  <c r="B224" i="15" l="1"/>
  <c r="G224" i="15" s="1"/>
  <c r="C224" i="15"/>
  <c r="D224" i="15" s="1"/>
  <c r="F224" i="15" s="1"/>
  <c r="Q224" i="15"/>
  <c r="R224" i="15"/>
  <c r="E223" i="15"/>
  <c r="L244" i="15"/>
  <c r="M244" i="15"/>
  <c r="T225" i="15" l="1"/>
  <c r="J225" i="15" s="1"/>
  <c r="E224" i="15"/>
  <c r="O245" i="15"/>
  <c r="L245" i="15" s="1"/>
  <c r="R225" i="15" l="1"/>
  <c r="M245" i="15"/>
  <c r="O246" i="15" s="1"/>
  <c r="T226" i="15"/>
  <c r="J226" i="15" s="1"/>
  <c r="B225" i="15"/>
  <c r="G225" i="15" s="1"/>
  <c r="C225" i="15"/>
  <c r="D225" i="15" s="1"/>
  <c r="Q225" i="15"/>
  <c r="R226" i="15" l="1"/>
  <c r="M246" i="15"/>
  <c r="F225" i="15"/>
  <c r="B226" i="15"/>
  <c r="G226" i="15" s="1"/>
  <c r="C226" i="15"/>
  <c r="D226" i="15" s="1"/>
  <c r="Q226" i="15"/>
  <c r="L246" i="15"/>
  <c r="O247" i="15" l="1"/>
  <c r="T227" i="15"/>
  <c r="J227" i="15" s="1"/>
  <c r="F226" i="15"/>
  <c r="E225" i="15"/>
  <c r="E226" i="15" l="1"/>
  <c r="B227" i="15"/>
  <c r="G227" i="15" s="1"/>
  <c r="C227" i="15"/>
  <c r="D227" i="15" s="1"/>
  <c r="R227" i="15"/>
  <c r="M247" i="15"/>
  <c r="Q227" i="15"/>
  <c r="L247" i="15"/>
  <c r="O248" i="15" l="1"/>
  <c r="L248" i="15" s="1"/>
  <c r="T228" i="15"/>
  <c r="J228" i="15" s="1"/>
  <c r="F227" i="15"/>
  <c r="R228" i="15" l="1"/>
  <c r="E227" i="15"/>
  <c r="B228" i="15"/>
  <c r="G228" i="15" s="1"/>
  <c r="C228" i="15"/>
  <c r="D228" i="15" s="1"/>
  <c r="F228" i="15" s="1"/>
  <c r="M248" i="15"/>
  <c r="Q228" i="15"/>
  <c r="E228" i="15" l="1"/>
  <c r="O249" i="15"/>
  <c r="M249" i="15" s="1"/>
  <c r="T229" i="15"/>
  <c r="J229" i="15" s="1"/>
  <c r="O250" i="15" l="1"/>
  <c r="R229" i="15"/>
  <c r="C229" i="15"/>
  <c r="D229" i="15" s="1"/>
  <c r="B229" i="15"/>
  <c r="G229" i="15" s="1"/>
  <c r="Q229" i="15"/>
  <c r="L249" i="15"/>
  <c r="L250" i="15" s="1"/>
  <c r="T230" i="15" l="1"/>
  <c r="J230" i="15" s="1"/>
  <c r="F229" i="15"/>
  <c r="M250" i="15"/>
  <c r="O251" i="15" l="1"/>
  <c r="E229" i="15"/>
  <c r="B230" i="15"/>
  <c r="G230" i="15" s="1"/>
  <c r="C230" i="15"/>
  <c r="D230" i="15" s="1"/>
  <c r="R230" i="15"/>
  <c r="Q230" i="15"/>
  <c r="T231" i="15" l="1"/>
  <c r="J231" i="15" s="1"/>
  <c r="F230" i="15"/>
  <c r="L251" i="15"/>
  <c r="M251" i="15"/>
  <c r="O252" i="15" l="1"/>
  <c r="M252" i="15" s="1"/>
  <c r="E230" i="15"/>
  <c r="R231" i="15"/>
  <c r="B231" i="15"/>
  <c r="G231" i="15" s="1"/>
  <c r="C231" i="15"/>
  <c r="D231" i="15" s="1"/>
  <c r="Q231" i="15"/>
  <c r="F231" i="15" l="1"/>
  <c r="T232" i="15"/>
  <c r="J232" i="15" s="1"/>
  <c r="L252" i="15"/>
  <c r="O253" i="15" l="1"/>
  <c r="E231" i="15"/>
  <c r="B232" i="15"/>
  <c r="G232" i="15" s="1"/>
  <c r="C232" i="15"/>
  <c r="D232" i="15" s="1"/>
  <c r="F232" i="15" s="1"/>
  <c r="Q232" i="15"/>
  <c r="R232" i="15"/>
  <c r="E232" i="15" l="1"/>
  <c r="T233" i="15"/>
  <c r="J233" i="15" s="1"/>
  <c r="M253" i="15"/>
  <c r="L253" i="15"/>
  <c r="C233" i="15" l="1"/>
  <c r="D233" i="15" s="1"/>
  <c r="B233" i="15"/>
  <c r="G233" i="15" s="1"/>
  <c r="R233" i="15"/>
  <c r="Q233" i="15"/>
  <c r="O254" i="15"/>
  <c r="T234" i="15" l="1"/>
  <c r="J234" i="15" s="1"/>
  <c r="L254" i="15"/>
  <c r="M254" i="15"/>
  <c r="F233" i="15"/>
  <c r="R234" i="15" l="1"/>
  <c r="E233" i="15"/>
  <c r="O255" i="15"/>
  <c r="L255" i="15" s="1"/>
  <c r="B234" i="15"/>
  <c r="G234" i="15" s="1"/>
  <c r="C234" i="15"/>
  <c r="D234" i="15" s="1"/>
  <c r="Q234" i="15"/>
  <c r="O256" i="15" l="1"/>
  <c r="F234" i="15"/>
  <c r="T235" i="15"/>
  <c r="Q235" i="15" s="1"/>
  <c r="M255" i="15"/>
  <c r="M256" i="15" l="1"/>
  <c r="J235" i="15"/>
  <c r="R235" i="15"/>
  <c r="O257" i="15"/>
  <c r="E234" i="15"/>
  <c r="L256" i="15"/>
  <c r="M257" i="15" l="1"/>
  <c r="T236" i="15"/>
  <c r="B235" i="15"/>
  <c r="G235" i="15" s="1"/>
  <c r="C235" i="15"/>
  <c r="D235" i="15" s="1"/>
  <c r="L257" i="15"/>
  <c r="F235" i="15" l="1"/>
  <c r="J236" i="15"/>
  <c r="Q236" i="15"/>
  <c r="R236" i="15"/>
  <c r="O258" i="15"/>
  <c r="T237" i="15" l="1"/>
  <c r="J237" i="15" s="1"/>
  <c r="B236" i="15"/>
  <c r="G236" i="15" s="1"/>
  <c r="C236" i="15"/>
  <c r="D236" i="15" s="1"/>
  <c r="F236" i="15" s="1"/>
  <c r="M258" i="15"/>
  <c r="E235" i="15"/>
  <c r="L258" i="15"/>
  <c r="E236" i="15" l="1"/>
  <c r="R237" i="15"/>
  <c r="C237" i="15"/>
  <c r="D237" i="15" s="1"/>
  <c r="B237" i="15"/>
  <c r="G237" i="15" s="1"/>
  <c r="O259" i="15"/>
  <c r="M259" i="15" s="1"/>
  <c r="Q237" i="15"/>
  <c r="L259" i="15" l="1"/>
  <c r="F237" i="15"/>
  <c r="O260" i="15"/>
  <c r="M260" i="15" s="1"/>
  <c r="T238" i="15"/>
  <c r="J238" i="15" s="1"/>
  <c r="R238" i="15" l="1"/>
  <c r="B238" i="15"/>
  <c r="G238" i="15" s="1"/>
  <c r="C238" i="15"/>
  <c r="D238" i="15" s="1"/>
  <c r="F238" i="15" s="1"/>
  <c r="Q238" i="15"/>
  <c r="L260" i="15"/>
  <c r="E237" i="15"/>
  <c r="E238" i="15" l="1"/>
  <c r="T239" i="15"/>
  <c r="J239" i="15" s="1"/>
  <c r="O261" i="15"/>
  <c r="R239" i="15" l="1"/>
  <c r="B239" i="15"/>
  <c r="G239" i="15" s="1"/>
  <c r="C239" i="15"/>
  <c r="D239" i="15" s="1"/>
  <c r="M261" i="15"/>
  <c r="L261" i="15"/>
  <c r="Q239" i="15"/>
  <c r="T240" i="15" l="1"/>
  <c r="O262" i="15"/>
  <c r="M262" i="15" s="1"/>
  <c r="F239" i="15"/>
  <c r="L262" i="15" l="1"/>
  <c r="O263" i="15"/>
  <c r="L263" i="15" s="1"/>
  <c r="E239" i="15"/>
  <c r="J240" i="15"/>
  <c r="R240" i="15"/>
  <c r="Q240" i="15"/>
  <c r="B240" i="15" l="1"/>
  <c r="G240" i="15" s="1"/>
  <c r="C240" i="15"/>
  <c r="D240" i="15" s="1"/>
  <c r="T241" i="15"/>
  <c r="J241" i="15" s="1"/>
  <c r="M263" i="15"/>
  <c r="Q241" i="15" l="1"/>
  <c r="O264" i="15"/>
  <c r="F240" i="15"/>
  <c r="C241" i="15"/>
  <c r="D241" i="15" s="1"/>
  <c r="B241" i="15"/>
  <c r="G241" i="15" s="1"/>
  <c r="R241" i="15"/>
  <c r="E240" i="15" l="1"/>
  <c r="F241" i="15"/>
  <c r="L264" i="15"/>
  <c r="M264" i="15"/>
  <c r="T242" i="15"/>
  <c r="J242" i="15" s="1"/>
  <c r="Q242" i="15" l="1"/>
  <c r="R242" i="15"/>
  <c r="T243" i="15"/>
  <c r="J243" i="15" s="1"/>
  <c r="O265" i="15"/>
  <c r="E241" i="15"/>
  <c r="B242" i="15"/>
  <c r="G242" i="15" s="1"/>
  <c r="C242" i="15"/>
  <c r="D242" i="15" s="1"/>
  <c r="F242" i="15" s="1"/>
  <c r="R243" i="15" l="1"/>
  <c r="M265" i="15"/>
  <c r="L265" i="15"/>
  <c r="B243" i="15"/>
  <c r="G243" i="15" s="1"/>
  <c r="C243" i="15"/>
  <c r="D243" i="15" s="1"/>
  <c r="E242" i="15"/>
  <c r="Q243" i="15"/>
  <c r="F243" i="15" l="1"/>
  <c r="T244" i="15"/>
  <c r="O266" i="15"/>
  <c r="M266" i="15" l="1"/>
  <c r="L266" i="15"/>
  <c r="J244" i="15"/>
  <c r="R244" i="15"/>
  <c r="Q244" i="15"/>
  <c r="E243" i="15"/>
  <c r="T245" i="15" l="1"/>
  <c r="J245" i="15" s="1"/>
  <c r="B244" i="15"/>
  <c r="G244" i="15" s="1"/>
  <c r="C244" i="15"/>
  <c r="D244" i="15" s="1"/>
  <c r="O267" i="15"/>
  <c r="L267" i="15" s="1"/>
  <c r="M267" i="15" l="1"/>
  <c r="F244" i="15"/>
  <c r="C245" i="15"/>
  <c r="D245" i="15" s="1"/>
  <c r="B245" i="15"/>
  <c r="G245" i="15" s="1"/>
  <c r="Q245" i="15"/>
  <c r="R245" i="15"/>
  <c r="T246" i="15" l="1"/>
  <c r="J246" i="15" s="1"/>
  <c r="E244" i="15"/>
  <c r="F245" i="15"/>
  <c r="O268" i="15"/>
  <c r="M268" i="15" s="1"/>
  <c r="R246" i="15"/>
  <c r="T247" i="15" l="1"/>
  <c r="J247" i="15" s="1"/>
  <c r="E245" i="15"/>
  <c r="L268" i="15"/>
  <c r="B246" i="15"/>
  <c r="G246" i="15" s="1"/>
  <c r="C246" i="15"/>
  <c r="D246" i="15" s="1"/>
  <c r="F246" i="15" s="1"/>
  <c r="Q246" i="15"/>
  <c r="B247" i="15" l="1"/>
  <c r="G247" i="15" s="1"/>
  <c r="C247" i="15"/>
  <c r="Q247" i="15"/>
  <c r="R247" i="15"/>
  <c r="O269" i="15"/>
  <c r="L269" i="15" s="1"/>
  <c r="E246" i="15"/>
  <c r="D247" i="15"/>
  <c r="F247" i="15" s="1"/>
  <c r="O270" i="15" l="1"/>
  <c r="T248" i="15"/>
  <c r="J248" i="15" s="1"/>
  <c r="M269" i="15"/>
  <c r="E247" i="15"/>
  <c r="Q248" i="15" l="1"/>
  <c r="M270" i="15"/>
  <c r="C248" i="15"/>
  <c r="D248" i="15" s="1"/>
  <c r="B248" i="15"/>
  <c r="G248" i="15" s="1"/>
  <c r="R248" i="15"/>
  <c r="L270" i="15"/>
  <c r="T249" i="15" l="1"/>
  <c r="O271" i="15"/>
  <c r="F248" i="15"/>
  <c r="M271" i="15" l="1"/>
  <c r="E248" i="15"/>
  <c r="L271" i="15"/>
  <c r="J249" i="15"/>
  <c r="Q249" i="15"/>
  <c r="R249" i="15"/>
  <c r="T250" i="15" l="1"/>
  <c r="J250" i="15" s="1"/>
  <c r="O272" i="15"/>
  <c r="L272" i="15" s="1"/>
  <c r="C249" i="15"/>
  <c r="D249" i="15" s="1"/>
  <c r="B249" i="15"/>
  <c r="G249" i="15" s="1"/>
  <c r="M272" i="15"/>
  <c r="R250" i="15" l="1"/>
  <c r="O273" i="15"/>
  <c r="F249" i="15"/>
  <c r="M273" i="15"/>
  <c r="C250" i="15"/>
  <c r="D250" i="15" s="1"/>
  <c r="B250" i="15"/>
  <c r="G250" i="15" s="1"/>
  <c r="Q250" i="15"/>
  <c r="T251" i="15" l="1"/>
  <c r="F250" i="15"/>
  <c r="E249" i="15"/>
  <c r="L273" i="15"/>
  <c r="O274" i="15" l="1"/>
  <c r="J251" i="15"/>
  <c r="R251" i="15"/>
  <c r="E250" i="15"/>
  <c r="Q251" i="15"/>
  <c r="M274" i="15" l="1"/>
  <c r="T252" i="15"/>
  <c r="J252" i="15" s="1"/>
  <c r="C251" i="15"/>
  <c r="D251" i="15" s="1"/>
  <c r="B251" i="15"/>
  <c r="G251" i="15" s="1"/>
  <c r="L274" i="15"/>
  <c r="R252" i="15" l="1"/>
  <c r="F251" i="15"/>
  <c r="C252" i="15"/>
  <c r="D252" i="15" s="1"/>
  <c r="B252" i="15"/>
  <c r="G252" i="15" s="1"/>
  <c r="Q252" i="15"/>
  <c r="O275" i="15"/>
  <c r="M275" i="15" s="1"/>
  <c r="O276" i="15" l="1"/>
  <c r="F252" i="15"/>
  <c r="E251" i="15"/>
  <c r="T253" i="15"/>
  <c r="J253" i="15" s="1"/>
  <c r="L275" i="15"/>
  <c r="E252" i="15" l="1"/>
  <c r="C253" i="15"/>
  <c r="D253" i="15" s="1"/>
  <c r="B253" i="15"/>
  <c r="G253" i="15" s="1"/>
  <c r="M276" i="15"/>
  <c r="R253" i="15"/>
  <c r="Q253" i="15"/>
  <c r="L276" i="15"/>
  <c r="T254" i="15" l="1"/>
  <c r="J254" i="15" s="1"/>
  <c r="O277" i="15"/>
  <c r="M277" i="15" s="1"/>
  <c r="F253" i="15"/>
  <c r="E253" i="15" l="1"/>
  <c r="L277" i="15"/>
  <c r="C254" i="15"/>
  <c r="D254" i="15" s="1"/>
  <c r="F254" i="15" s="1"/>
  <c r="B254" i="15"/>
  <c r="G254" i="15" s="1"/>
  <c r="R254" i="15"/>
  <c r="Q254" i="15"/>
  <c r="E254" i="15" l="1"/>
  <c r="T255" i="15"/>
  <c r="J255" i="15" s="1"/>
  <c r="O278" i="15"/>
  <c r="Q255" i="15" l="1"/>
  <c r="M278" i="15"/>
  <c r="C255" i="15"/>
  <c r="D255" i="15" s="1"/>
  <c r="B255" i="15"/>
  <c r="G255" i="15" s="1"/>
  <c r="L278" i="15"/>
  <c r="R255" i="15"/>
  <c r="O279" i="15" l="1"/>
  <c r="M279" i="15" s="1"/>
  <c r="T256" i="15"/>
  <c r="F255" i="15"/>
  <c r="J256" i="15" l="1"/>
  <c r="Q256" i="15"/>
  <c r="E255" i="15"/>
  <c r="R256" i="15"/>
  <c r="L279" i="15"/>
  <c r="O280" i="15" l="1"/>
  <c r="T257" i="15"/>
  <c r="J257" i="15" s="1"/>
  <c r="C256" i="15"/>
  <c r="D256" i="15" s="1"/>
  <c r="B256" i="15"/>
  <c r="G256" i="15" s="1"/>
  <c r="C257" i="15" l="1"/>
  <c r="D257" i="15" s="1"/>
  <c r="B257" i="15"/>
  <c r="G257" i="15" s="1"/>
  <c r="F256" i="15"/>
  <c r="Q257" i="15"/>
  <c r="R257" i="15"/>
  <c r="M280" i="15"/>
  <c r="L280" i="15"/>
  <c r="T258" i="15" l="1"/>
  <c r="J258" i="15" s="1"/>
  <c r="F257" i="15"/>
  <c r="E256" i="15"/>
  <c r="Q258" i="15"/>
  <c r="O281" i="15"/>
  <c r="L281" i="15" s="1"/>
  <c r="E257" i="15" l="1"/>
  <c r="T259" i="15"/>
  <c r="J259" i="15" s="1"/>
  <c r="C258" i="15"/>
  <c r="D258" i="15" s="1"/>
  <c r="B258" i="15"/>
  <c r="G258" i="15" s="1"/>
  <c r="R258" i="15"/>
  <c r="M281" i="15"/>
  <c r="R259" i="15" l="1"/>
  <c r="O282" i="15"/>
  <c r="C259" i="15"/>
  <c r="D259" i="15" s="1"/>
  <c r="B259" i="15"/>
  <c r="G259" i="15" s="1"/>
  <c r="Q259" i="15"/>
  <c r="F258" i="15"/>
  <c r="E258" i="15" l="1"/>
  <c r="F259" i="15"/>
  <c r="T260" i="15"/>
  <c r="Q260" i="15" s="1"/>
  <c r="L282" i="15"/>
  <c r="M282" i="15"/>
  <c r="T261" i="15" l="1"/>
  <c r="J261" i="15" s="1"/>
  <c r="O283" i="15"/>
  <c r="J260" i="15"/>
  <c r="R260" i="15"/>
  <c r="R261" i="15" s="1"/>
  <c r="E259" i="15"/>
  <c r="L283" i="15" l="1"/>
  <c r="C260" i="15"/>
  <c r="D260" i="15" s="1"/>
  <c r="B260" i="15"/>
  <c r="G260" i="15" s="1"/>
  <c r="M283" i="15"/>
  <c r="C261" i="15"/>
  <c r="B261" i="15"/>
  <c r="G261" i="15" s="1"/>
  <c r="Q261" i="15"/>
  <c r="O284" i="15" l="1"/>
  <c r="D261" i="15"/>
  <c r="F260" i="15"/>
  <c r="T262" i="15"/>
  <c r="Q262" i="15" s="1"/>
  <c r="T263" i="15" l="1"/>
  <c r="J263" i="15" s="1"/>
  <c r="F261" i="15"/>
  <c r="E260" i="15"/>
  <c r="J262" i="15"/>
  <c r="R262" i="15"/>
  <c r="L284" i="15"/>
  <c r="M284" i="15"/>
  <c r="R263" i="15" l="1"/>
  <c r="E261" i="15"/>
  <c r="C263" i="15"/>
  <c r="B263" i="15"/>
  <c r="G263" i="15" s="1"/>
  <c r="C262" i="15"/>
  <c r="D262" i="15" s="1"/>
  <c r="D263" i="15" s="1"/>
  <c r="B262" i="15"/>
  <c r="G262" i="15" s="1"/>
  <c r="O285" i="15"/>
  <c r="M285" i="15" s="1"/>
  <c r="Q263" i="15"/>
  <c r="L285" i="15" l="1"/>
  <c r="O286" i="15"/>
  <c r="L286" i="15" s="1"/>
  <c r="T264" i="15"/>
  <c r="F262" i="15"/>
  <c r="E262" i="15" l="1"/>
  <c r="F263" i="15"/>
  <c r="J264" i="15"/>
  <c r="R264" i="15"/>
  <c r="Q264" i="15"/>
  <c r="M286" i="15"/>
  <c r="O287" i="15" l="1"/>
  <c r="T265" i="15"/>
  <c r="J265" i="15" s="1"/>
  <c r="C264" i="15"/>
  <c r="D264" i="15" s="1"/>
  <c r="B264" i="15"/>
  <c r="G264" i="15" s="1"/>
  <c r="F264" i="15"/>
  <c r="E263" i="15"/>
  <c r="E264" i="15" l="1"/>
  <c r="C265" i="15"/>
  <c r="D265" i="15" s="1"/>
  <c r="B265" i="15"/>
  <c r="G265" i="15" s="1"/>
  <c r="R265" i="15"/>
  <c r="Q265" i="15"/>
  <c r="L287" i="15"/>
  <c r="M287" i="15"/>
  <c r="F265" i="15" l="1"/>
  <c r="T266" i="15"/>
  <c r="J266" i="15" s="1"/>
  <c r="O288" i="15"/>
  <c r="M288" i="15" s="1"/>
  <c r="R266" i="15" l="1"/>
  <c r="Q266" i="15"/>
  <c r="L288" i="15"/>
  <c r="C266" i="15"/>
  <c r="D266" i="15" s="1"/>
  <c r="F266" i="15" s="1"/>
  <c r="B266" i="15"/>
  <c r="G266" i="15" s="1"/>
  <c r="E265" i="15"/>
  <c r="O289" i="15" l="1"/>
  <c r="E266" i="15"/>
  <c r="T267" i="15"/>
  <c r="J267" i="15" l="1"/>
  <c r="R267" i="15"/>
  <c r="Q267" i="15"/>
  <c r="M289" i="15"/>
  <c r="L289" i="15"/>
  <c r="O290" i="15" l="1"/>
  <c r="M290" i="15" s="1"/>
  <c r="T268" i="15"/>
  <c r="J268" i="15" s="1"/>
  <c r="C267" i="15"/>
  <c r="D267" i="15" s="1"/>
  <c r="B267" i="15"/>
  <c r="G267" i="15" s="1"/>
  <c r="C268" i="15" l="1"/>
  <c r="B268" i="15"/>
  <c r="G268" i="15" s="1"/>
  <c r="D268" i="15"/>
  <c r="F267" i="15"/>
  <c r="R268" i="15"/>
  <c r="Q268" i="15"/>
  <c r="L290" i="15"/>
  <c r="F268" i="15" l="1"/>
  <c r="E267" i="15"/>
  <c r="T269" i="15"/>
  <c r="J269" i="15" s="1"/>
  <c r="O291" i="15"/>
  <c r="L291" i="15" s="1"/>
  <c r="M291" i="15" l="1"/>
  <c r="R269" i="15"/>
  <c r="C269" i="15"/>
  <c r="D269" i="15" s="1"/>
  <c r="B269" i="15"/>
  <c r="G269" i="15" s="1"/>
  <c r="E268" i="15"/>
  <c r="Q269" i="15"/>
  <c r="F269" i="15" l="1"/>
  <c r="O292" i="15"/>
  <c r="T270" i="15"/>
  <c r="J270" i="15" s="1"/>
  <c r="L292" i="15" l="1"/>
  <c r="M292" i="15"/>
  <c r="C270" i="15"/>
  <c r="D270" i="15" s="1"/>
  <c r="F270" i="15" s="1"/>
  <c r="B270" i="15"/>
  <c r="G270" i="15" s="1"/>
  <c r="Q270" i="15"/>
  <c r="R270" i="15"/>
  <c r="E269" i="15"/>
  <c r="E270" i="15" l="1"/>
  <c r="T271" i="15"/>
  <c r="J271" i="15" s="1"/>
  <c r="O293" i="15"/>
  <c r="M293" i="15" s="1"/>
  <c r="L293" i="15" l="1"/>
  <c r="R271" i="15"/>
  <c r="C271" i="15"/>
  <c r="D271" i="15" s="1"/>
  <c r="B271" i="15"/>
  <c r="G271" i="15" s="1"/>
  <c r="O294" i="15"/>
  <c r="L294" i="15" s="1"/>
  <c r="Q271" i="15"/>
  <c r="M294" i="15" l="1"/>
  <c r="F271" i="15"/>
  <c r="T272" i="15"/>
  <c r="J272" i="15" s="1"/>
  <c r="C272" i="15" l="1"/>
  <c r="D272" i="15" s="1"/>
  <c r="B272" i="15"/>
  <c r="G272" i="15" s="1"/>
  <c r="R272" i="15"/>
  <c r="F272" i="15"/>
  <c r="E271" i="15"/>
  <c r="O295" i="15"/>
  <c r="Q272" i="15"/>
  <c r="L295" i="15" l="1"/>
  <c r="M295" i="15"/>
  <c r="E272" i="15"/>
  <c r="T273" i="15"/>
  <c r="J273" i="15" s="1"/>
  <c r="C273" i="15" l="1"/>
  <c r="D273" i="15" s="1"/>
  <c r="B273" i="15"/>
  <c r="G273" i="15" s="1"/>
  <c r="O296" i="15"/>
  <c r="M296" i="15" s="1"/>
  <c r="R273" i="15"/>
  <c r="Q273" i="15"/>
  <c r="L296" i="15" l="1"/>
  <c r="O297" i="15"/>
  <c r="M297" i="15" s="1"/>
  <c r="T274" i="15"/>
  <c r="J274" i="15" s="1"/>
  <c r="F273" i="15"/>
  <c r="Q274" i="15" l="1"/>
  <c r="C274" i="15"/>
  <c r="D274" i="15" s="1"/>
  <c r="B274" i="15"/>
  <c r="G274" i="15" s="1"/>
  <c r="R274" i="15"/>
  <c r="O298" i="15"/>
  <c r="M298" i="15" s="1"/>
  <c r="F274" i="15"/>
  <c r="E273" i="15"/>
  <c r="L297" i="15"/>
  <c r="L298" i="15" l="1"/>
  <c r="E274" i="15"/>
  <c r="T275" i="15"/>
  <c r="J275" i="15" s="1"/>
  <c r="C275" i="15" l="1"/>
  <c r="D275" i="15" s="1"/>
  <c r="B275" i="15"/>
  <c r="G275" i="15" s="1"/>
  <c r="R275" i="15"/>
  <c r="Q275" i="15"/>
  <c r="O299" i="15"/>
  <c r="T276" i="15" l="1"/>
  <c r="J276" i="15" s="1"/>
  <c r="M299" i="15"/>
  <c r="R276" i="15"/>
  <c r="L299" i="15"/>
  <c r="F275" i="15"/>
  <c r="E275" i="15" l="1"/>
  <c r="O300" i="15"/>
  <c r="M300" i="15" s="1"/>
  <c r="C276" i="15"/>
  <c r="D276" i="15" s="1"/>
  <c r="B276" i="15"/>
  <c r="G276" i="15" s="1"/>
  <c r="Q276" i="15"/>
  <c r="O301" i="15" l="1"/>
  <c r="M301" i="15" s="1"/>
  <c r="L300" i="15"/>
  <c r="L301" i="15" s="1"/>
  <c r="F276" i="15"/>
  <c r="T277" i="15"/>
  <c r="E276" i="15" l="1"/>
  <c r="J277" i="15"/>
  <c r="R277" i="15"/>
  <c r="Q277" i="15"/>
  <c r="O302" i="15"/>
  <c r="L302" i="15" l="1"/>
  <c r="C277" i="15"/>
  <c r="D277" i="15" s="1"/>
  <c r="B277" i="15"/>
  <c r="G277" i="15" s="1"/>
  <c r="M302" i="15"/>
  <c r="T278" i="15"/>
  <c r="J278" i="15" s="1"/>
  <c r="C278" i="15" l="1"/>
  <c r="B278" i="15"/>
  <c r="G278" i="15" s="1"/>
  <c r="Q278" i="15"/>
  <c r="D278" i="15"/>
  <c r="F277" i="15"/>
  <c r="R278" i="15"/>
  <c r="O303" i="15"/>
  <c r="M303" i="15" s="1"/>
  <c r="L303" i="15" l="1"/>
  <c r="O304" i="15" s="1"/>
  <c r="F278" i="15"/>
  <c r="E277" i="15"/>
  <c r="T279" i="15"/>
  <c r="J279" i="15" s="1"/>
  <c r="C279" i="15" l="1"/>
  <c r="D279" i="15" s="1"/>
  <c r="B279" i="15"/>
  <c r="G279" i="15" s="1"/>
  <c r="R279" i="15"/>
  <c r="Q279" i="15"/>
  <c r="E278" i="15"/>
  <c r="F279" i="15"/>
  <c r="M304" i="15"/>
  <c r="L304" i="15"/>
  <c r="E279" i="15" l="1"/>
  <c r="T280" i="15"/>
  <c r="J280" i="15" s="1"/>
  <c r="O305" i="15"/>
  <c r="M305" i="15" s="1"/>
  <c r="Q280" i="15" l="1"/>
  <c r="L305" i="15"/>
  <c r="O306" i="15"/>
  <c r="L306" i="15" s="1"/>
  <c r="C280" i="15"/>
  <c r="D280" i="15" s="1"/>
  <c r="B280" i="15"/>
  <c r="G280" i="15" s="1"/>
  <c r="R280" i="15"/>
  <c r="O307" i="15" l="1"/>
  <c r="T281" i="15"/>
  <c r="R281" i="15" s="1"/>
  <c r="F280" i="15"/>
  <c r="M306" i="15"/>
  <c r="M307" i="15" s="1"/>
  <c r="T282" i="15" l="1"/>
  <c r="J282" i="15" s="1"/>
  <c r="E280" i="15"/>
  <c r="J281" i="15"/>
  <c r="Q281" i="15"/>
  <c r="Q282" i="15" s="1"/>
  <c r="L307" i="15"/>
  <c r="C281" i="15" l="1"/>
  <c r="D281" i="15" s="1"/>
  <c r="B281" i="15"/>
  <c r="G281" i="15" s="1"/>
  <c r="C282" i="15"/>
  <c r="B282" i="15"/>
  <c r="G282" i="15" s="1"/>
  <c r="O308" i="15"/>
  <c r="R282" i="15"/>
  <c r="T283" i="15" l="1"/>
  <c r="M308" i="15"/>
  <c r="L308" i="15"/>
  <c r="D282" i="15"/>
  <c r="F281" i="15"/>
  <c r="F282" i="15" l="1"/>
  <c r="E281" i="15"/>
  <c r="O309" i="15"/>
  <c r="M309" i="15" s="1"/>
  <c r="J283" i="15"/>
  <c r="Q283" i="15"/>
  <c r="R283" i="15"/>
  <c r="T284" i="15" l="1"/>
  <c r="J284" i="15" s="1"/>
  <c r="C283" i="15"/>
  <c r="D283" i="15" s="1"/>
  <c r="B283" i="15"/>
  <c r="G283" i="15" s="1"/>
  <c r="L309" i="15"/>
  <c r="E282" i="15"/>
  <c r="R284" i="15" l="1"/>
  <c r="O310" i="15"/>
  <c r="C284" i="15"/>
  <c r="D284" i="15" s="1"/>
  <c r="B284" i="15"/>
  <c r="G284" i="15" s="1"/>
  <c r="F283" i="15"/>
  <c r="Q284" i="15"/>
  <c r="F284" i="15" l="1"/>
  <c r="E283" i="15"/>
  <c r="T285" i="15"/>
  <c r="Q285" i="15" s="1"/>
  <c r="M310" i="15"/>
  <c r="L310" i="15"/>
  <c r="O311" i="15" l="1"/>
  <c r="J285" i="15"/>
  <c r="R285" i="15"/>
  <c r="E284" i="15"/>
  <c r="T286" i="15" l="1"/>
  <c r="C285" i="15"/>
  <c r="D285" i="15" s="1"/>
  <c r="B285" i="15"/>
  <c r="G285" i="15" s="1"/>
  <c r="M311" i="15"/>
  <c r="L311" i="15"/>
  <c r="O312" i="15" l="1"/>
  <c r="F285" i="15"/>
  <c r="J286" i="15"/>
  <c r="Q286" i="15"/>
  <c r="R286" i="15"/>
  <c r="E285" i="15" l="1"/>
  <c r="T287" i="15"/>
  <c r="J287" i="15" s="1"/>
  <c r="C286" i="15"/>
  <c r="D286" i="15" s="1"/>
  <c r="B286" i="15"/>
  <c r="G286" i="15" s="1"/>
  <c r="M312" i="15"/>
  <c r="L312" i="15"/>
  <c r="R287" i="15" l="1"/>
  <c r="C287" i="15"/>
  <c r="D287" i="15" s="1"/>
  <c r="B287" i="15"/>
  <c r="G287" i="15" s="1"/>
  <c r="Q287" i="15"/>
  <c r="O313" i="15"/>
  <c r="L313" i="15" s="1"/>
  <c r="F286" i="15"/>
  <c r="M313" i="15" l="1"/>
  <c r="T288" i="15"/>
  <c r="J288" i="15" s="1"/>
  <c r="F287" i="15"/>
  <c r="E286" i="15"/>
  <c r="E287" i="15" l="1"/>
  <c r="R288" i="15"/>
  <c r="C288" i="15"/>
  <c r="D288" i="15" s="1"/>
  <c r="B288" i="15"/>
  <c r="G288" i="15" s="1"/>
  <c r="Q288" i="15"/>
  <c r="O314" i="15"/>
  <c r="T289" i="15" l="1"/>
  <c r="J289" i="15" s="1"/>
  <c r="L314" i="15"/>
  <c r="M314" i="15"/>
  <c r="F288" i="15"/>
  <c r="E288" i="15" l="1"/>
  <c r="O315" i="15"/>
  <c r="C289" i="15"/>
  <c r="D289" i="15" s="1"/>
  <c r="B289" i="15"/>
  <c r="G289" i="15" s="1"/>
  <c r="R289" i="15"/>
  <c r="Q289" i="15"/>
  <c r="F289" i="15" l="1"/>
  <c r="M315" i="15"/>
  <c r="T290" i="15"/>
  <c r="J290" i="15" s="1"/>
  <c r="L315" i="15"/>
  <c r="Q290" i="15" l="1"/>
  <c r="C290" i="15"/>
  <c r="D290" i="15" s="1"/>
  <c r="B290" i="15"/>
  <c r="G290" i="15" s="1"/>
  <c r="O316" i="15"/>
  <c r="F290" i="15"/>
  <c r="E289" i="15"/>
  <c r="R290" i="15"/>
  <c r="M316" i="15" l="1"/>
  <c r="E290" i="15"/>
  <c r="T291" i="15"/>
  <c r="J291" i="15" s="1"/>
  <c r="L316" i="15"/>
  <c r="R291" i="15" l="1"/>
  <c r="C291" i="15"/>
  <c r="D291" i="15" s="1"/>
  <c r="B291" i="15"/>
  <c r="G291" i="15" s="1"/>
  <c r="Q291" i="15"/>
  <c r="O317" i="15"/>
  <c r="T292" i="15" l="1"/>
  <c r="L317" i="15"/>
  <c r="M317" i="15"/>
  <c r="F291" i="15"/>
  <c r="E291" i="15" l="1"/>
  <c r="O318" i="15"/>
  <c r="L318" i="15" s="1"/>
  <c r="J292" i="15"/>
  <c r="R292" i="15"/>
  <c r="Q292" i="15"/>
  <c r="O319" i="15" l="1"/>
  <c r="C292" i="15"/>
  <c r="D292" i="15" s="1"/>
  <c r="B292" i="15"/>
  <c r="G292" i="15" s="1"/>
  <c r="T293" i="15"/>
  <c r="J293" i="15" s="1"/>
  <c r="M318" i="15"/>
  <c r="Q293" i="15" l="1"/>
  <c r="R293" i="15"/>
  <c r="C293" i="15"/>
  <c r="D293" i="15" s="1"/>
  <c r="B293" i="15"/>
  <c r="G293" i="15" s="1"/>
  <c r="F292" i="15"/>
  <c r="M319" i="15"/>
  <c r="L319" i="15"/>
  <c r="F293" i="15" l="1"/>
  <c r="E292" i="15"/>
  <c r="T294" i="15"/>
  <c r="J294" i="15" s="1"/>
  <c r="O320" i="15"/>
  <c r="L320" i="15" l="1"/>
  <c r="E293" i="15"/>
  <c r="C294" i="15"/>
  <c r="D294" i="15" s="1"/>
  <c r="F294" i="15" s="1"/>
  <c r="B294" i="15"/>
  <c r="G294" i="15" s="1"/>
  <c r="R294" i="15"/>
  <c r="M320" i="15"/>
  <c r="Q294" i="15"/>
  <c r="E294" i="15" l="1"/>
  <c r="T295" i="15"/>
  <c r="J295" i="15" s="1"/>
  <c r="O321" i="15"/>
  <c r="L321" i="15" s="1"/>
  <c r="M321" i="15" l="1"/>
  <c r="C295" i="15"/>
  <c r="D295" i="15" s="1"/>
  <c r="B295" i="15"/>
  <c r="G295" i="15" s="1"/>
  <c r="R295" i="15"/>
  <c r="Q295" i="15"/>
  <c r="T296" i="15" l="1"/>
  <c r="J296" i="15" s="1"/>
  <c r="F295" i="15"/>
  <c r="Q296" i="15"/>
  <c r="O322" i="15"/>
  <c r="M322" i="15" s="1"/>
  <c r="O323" i="15" l="1"/>
  <c r="E295" i="15"/>
  <c r="L322" i="15"/>
  <c r="L323" i="15" s="1"/>
  <c r="B296" i="15"/>
  <c r="G296" i="15" s="1"/>
  <c r="C296" i="15"/>
  <c r="D296" i="15" s="1"/>
  <c r="F296" i="15" s="1"/>
  <c r="R296" i="15"/>
  <c r="E296" i="15" l="1"/>
  <c r="T297" i="15"/>
  <c r="R297" i="15" s="1"/>
  <c r="M323" i="15"/>
  <c r="O324" i="15" l="1"/>
  <c r="J297" i="15"/>
  <c r="Q297" i="15"/>
  <c r="T298" i="15" l="1"/>
  <c r="B297" i="15"/>
  <c r="G297" i="15" s="1"/>
  <c r="C297" i="15"/>
  <c r="D297" i="15" s="1"/>
  <c r="L324" i="15"/>
  <c r="M324" i="15"/>
  <c r="O325" i="15" l="1"/>
  <c r="F297" i="15"/>
  <c r="L325" i="15"/>
  <c r="J298" i="15"/>
  <c r="R298" i="15"/>
  <c r="Q298" i="15"/>
  <c r="B298" i="15" l="1"/>
  <c r="G298" i="15" s="1"/>
  <c r="C298" i="15"/>
  <c r="D298" i="15" s="1"/>
  <c r="F298" i="15" s="1"/>
  <c r="T299" i="15"/>
  <c r="J299" i="15" s="1"/>
  <c r="E297" i="15"/>
  <c r="M325" i="15"/>
  <c r="R299" i="15" l="1"/>
  <c r="E298" i="15"/>
  <c r="B299" i="15"/>
  <c r="G299" i="15" s="1"/>
  <c r="C299" i="15"/>
  <c r="D299" i="15" s="1"/>
  <c r="Q299" i="15"/>
  <c r="O326" i="15"/>
  <c r="M326" i="15" s="1"/>
  <c r="F299" i="15" l="1"/>
  <c r="L326" i="15"/>
  <c r="T300" i="15"/>
  <c r="J300" i="15" s="1"/>
  <c r="O327" i="15" l="1"/>
  <c r="B300" i="15"/>
  <c r="G300" i="15" s="1"/>
  <c r="C300" i="15"/>
  <c r="D300" i="15" s="1"/>
  <c r="F300" i="15" s="1"/>
  <c r="R300" i="15"/>
  <c r="Q300" i="15"/>
  <c r="E299" i="15"/>
  <c r="E300" i="15" l="1"/>
  <c r="T301" i="15"/>
  <c r="J301" i="15" s="1"/>
  <c r="M327" i="15"/>
  <c r="L327" i="15"/>
  <c r="Q301" i="15" l="1"/>
  <c r="B301" i="15"/>
  <c r="G301" i="15" s="1"/>
  <c r="C301" i="15"/>
  <c r="D301" i="15" s="1"/>
  <c r="R301" i="15"/>
  <c r="O328" i="15"/>
  <c r="F301" i="15" l="1"/>
  <c r="L328" i="15"/>
  <c r="M328" i="15"/>
  <c r="T302" i="15"/>
  <c r="J302" i="15" s="1"/>
  <c r="Q302" i="15" l="1"/>
  <c r="O329" i="15"/>
  <c r="L329" i="15" s="1"/>
  <c r="B302" i="15"/>
  <c r="G302" i="15" s="1"/>
  <c r="C302" i="15"/>
  <c r="D302" i="15" s="1"/>
  <c r="F302" i="15" s="1"/>
  <c r="M329" i="15"/>
  <c r="E301" i="15"/>
  <c r="R302" i="15"/>
  <c r="O330" i="15" l="1"/>
  <c r="E302" i="15"/>
  <c r="T303" i="15"/>
  <c r="J303" i="15" s="1"/>
  <c r="R303" i="15" l="1"/>
  <c r="B303" i="15"/>
  <c r="G303" i="15" s="1"/>
  <c r="C303" i="15"/>
  <c r="D303" i="15" s="1"/>
  <c r="M330" i="15"/>
  <c r="Q303" i="15"/>
  <c r="L330" i="15"/>
  <c r="O331" i="15" l="1"/>
  <c r="F303" i="15"/>
  <c r="T304" i="15"/>
  <c r="J304" i="15" l="1"/>
  <c r="R304" i="15"/>
  <c r="Q304" i="15"/>
  <c r="E303" i="15"/>
  <c r="M331" i="15"/>
  <c r="L331" i="15"/>
  <c r="O332" i="15" l="1"/>
  <c r="T305" i="15"/>
  <c r="J305" i="15" s="1"/>
  <c r="B304" i="15"/>
  <c r="G304" i="15" s="1"/>
  <c r="C304" i="15"/>
  <c r="D304" i="15" s="1"/>
  <c r="F304" i="15" l="1"/>
  <c r="Q305" i="15"/>
  <c r="B305" i="15"/>
  <c r="G305" i="15" s="1"/>
  <c r="C305" i="15"/>
  <c r="D305" i="15" s="1"/>
  <c r="R305" i="15"/>
  <c r="L332" i="15"/>
  <c r="M332" i="15"/>
  <c r="O333" i="15" l="1"/>
  <c r="T306" i="15"/>
  <c r="J306" i="15" s="1"/>
  <c r="E304" i="15"/>
  <c r="F305" i="15"/>
  <c r="R306" i="15" l="1"/>
  <c r="E305" i="15"/>
  <c r="B306" i="15"/>
  <c r="G306" i="15" s="1"/>
  <c r="C306" i="15"/>
  <c r="D306" i="15" s="1"/>
  <c r="L333" i="15"/>
  <c r="Q306" i="15"/>
  <c r="M333" i="15"/>
  <c r="T307" i="15" l="1"/>
  <c r="J307" i="15" s="1"/>
  <c r="F306" i="15"/>
  <c r="O334" i="15"/>
  <c r="R307" i="15" l="1"/>
  <c r="T308" i="15"/>
  <c r="J308" i="15" s="1"/>
  <c r="M334" i="15"/>
  <c r="L334" i="15"/>
  <c r="E306" i="15"/>
  <c r="B307" i="15"/>
  <c r="G307" i="15" s="1"/>
  <c r="C307" i="15"/>
  <c r="D307" i="15" s="1"/>
  <c r="F307" i="15" s="1"/>
  <c r="Q307" i="15"/>
  <c r="B308" i="15" l="1"/>
  <c r="G308" i="15" s="1"/>
  <c r="C308" i="15"/>
  <c r="E307" i="15"/>
  <c r="O335" i="15"/>
  <c r="R308" i="15"/>
  <c r="Q308" i="15"/>
  <c r="D308" i="15"/>
  <c r="F308" i="15" s="1"/>
  <c r="L335" i="15" l="1"/>
  <c r="M335" i="15"/>
  <c r="T309" i="15"/>
  <c r="J309" i="15" s="1"/>
  <c r="E308" i="15"/>
  <c r="R309" i="15" l="1"/>
  <c r="B309" i="15"/>
  <c r="G309" i="15" s="1"/>
  <c r="C309" i="15"/>
  <c r="D309" i="15" s="1"/>
  <c r="O336" i="15"/>
  <c r="L336" i="15" s="1"/>
  <c r="Q309" i="15"/>
  <c r="O337" i="15" l="1"/>
  <c r="F309" i="15"/>
  <c r="M336" i="15"/>
  <c r="M337" i="15" s="1"/>
  <c r="T310" i="15"/>
  <c r="J310" i="15" s="1"/>
  <c r="R310" i="15" l="1"/>
  <c r="T311" i="15" s="1"/>
  <c r="J311" i="15" s="1"/>
  <c r="Q310" i="15"/>
  <c r="E309" i="15"/>
  <c r="B310" i="15"/>
  <c r="G310" i="15" s="1"/>
  <c r="C310" i="15"/>
  <c r="D310" i="15" s="1"/>
  <c r="F310" i="15" s="1"/>
  <c r="L337" i="15"/>
  <c r="Q311" i="15" l="1"/>
  <c r="E310" i="15"/>
  <c r="B311" i="15"/>
  <c r="G311" i="15" s="1"/>
  <c r="C311" i="15"/>
  <c r="O338" i="15"/>
  <c r="D311" i="15"/>
  <c r="R311" i="15"/>
  <c r="M338" i="15" l="1"/>
  <c r="L338" i="15"/>
  <c r="F311" i="15"/>
  <c r="T312" i="15"/>
  <c r="J312" i="15" l="1"/>
  <c r="Q312" i="15"/>
  <c r="R312" i="15"/>
  <c r="E311" i="15"/>
  <c r="O339" i="15"/>
  <c r="L339" i="15" s="1"/>
  <c r="M339" i="15" l="1"/>
  <c r="T313" i="15"/>
  <c r="J313" i="15" s="1"/>
  <c r="B312" i="15"/>
  <c r="G312" i="15" s="1"/>
  <c r="C312" i="15"/>
  <c r="D312" i="15" s="1"/>
  <c r="Q313" i="15" l="1"/>
  <c r="T314" i="15" s="1"/>
  <c r="J314" i="15" s="1"/>
  <c r="F312" i="15"/>
  <c r="B313" i="15"/>
  <c r="G313" i="15" s="1"/>
  <c r="C313" i="15"/>
  <c r="D313" i="15" s="1"/>
  <c r="R313" i="15"/>
  <c r="O340" i="15"/>
  <c r="M340" i="15" s="1"/>
  <c r="R314" i="15" l="1"/>
  <c r="B314" i="15"/>
  <c r="G314" i="15" s="1"/>
  <c r="C314" i="15"/>
  <c r="D314" i="15" s="1"/>
  <c r="Q314" i="15"/>
  <c r="O341" i="15"/>
  <c r="E312" i="15"/>
  <c r="F313" i="15"/>
  <c r="L340" i="15"/>
  <c r="T315" i="15" l="1"/>
  <c r="L341" i="15"/>
  <c r="M341" i="15"/>
  <c r="E313" i="15"/>
  <c r="F314" i="15"/>
  <c r="O342" i="15" l="1"/>
  <c r="L342" i="15" s="1"/>
  <c r="E314" i="15"/>
  <c r="J315" i="15"/>
  <c r="R315" i="15"/>
  <c r="Q315" i="15"/>
  <c r="T316" i="15" l="1"/>
  <c r="J316" i="15" s="1"/>
  <c r="B315" i="15"/>
  <c r="G315" i="15" s="1"/>
  <c r="C315" i="15"/>
  <c r="D315" i="15" s="1"/>
  <c r="M342" i="15"/>
  <c r="R316" i="15" l="1"/>
  <c r="F315" i="15"/>
  <c r="O343" i="15"/>
  <c r="B316" i="15"/>
  <c r="G316" i="15" s="1"/>
  <c r="C316" i="15"/>
  <c r="D316" i="15" s="1"/>
  <c r="Q316" i="15"/>
  <c r="T317" i="15" l="1"/>
  <c r="L343" i="15"/>
  <c r="M343" i="15"/>
  <c r="E315" i="15"/>
  <c r="F316" i="15"/>
  <c r="O344" i="15" l="1"/>
  <c r="L344" i="15" s="1"/>
  <c r="E316" i="15"/>
  <c r="J317" i="15"/>
  <c r="R317" i="15"/>
  <c r="Q317" i="15"/>
  <c r="B317" i="15" l="1"/>
  <c r="G317" i="15" s="1"/>
  <c r="C317" i="15"/>
  <c r="D317" i="15" s="1"/>
  <c r="T318" i="15"/>
  <c r="J318" i="15" s="1"/>
  <c r="M344" i="15"/>
  <c r="B318" i="15" l="1"/>
  <c r="G318" i="15" s="1"/>
  <c r="C318" i="15"/>
  <c r="O345" i="15"/>
  <c r="Q318" i="15"/>
  <c r="R318" i="15"/>
  <c r="D318" i="15"/>
  <c r="F317" i="15"/>
  <c r="L345" i="15" l="1"/>
  <c r="E317" i="15"/>
  <c r="F318" i="15"/>
  <c r="T319" i="15"/>
  <c r="J319" i="15" s="1"/>
  <c r="M345" i="15"/>
  <c r="E318" i="15" l="1"/>
  <c r="Q319" i="15"/>
  <c r="B319" i="15"/>
  <c r="G319" i="15" s="1"/>
  <c r="C319" i="15"/>
  <c r="D319" i="15" s="1"/>
  <c r="R319" i="15"/>
  <c r="O346" i="15"/>
  <c r="L346" i="15" l="1"/>
  <c r="T320" i="15"/>
  <c r="J320" i="15" s="1"/>
  <c r="M346" i="15"/>
  <c r="F319" i="15"/>
  <c r="R320" i="15" l="1"/>
  <c r="B320" i="15"/>
  <c r="G320" i="15" s="1"/>
  <c r="C320" i="15"/>
  <c r="D320" i="15" s="1"/>
  <c r="F320" i="15" s="1"/>
  <c r="E319" i="15"/>
  <c r="Q320" i="15"/>
  <c r="O347" i="15"/>
  <c r="M347" i="15" s="1"/>
  <c r="L347" i="15" l="1"/>
  <c r="E320" i="15"/>
  <c r="T321" i="15"/>
  <c r="J321" i="15" s="1"/>
  <c r="O348" i="15"/>
  <c r="Q321" i="15" l="1"/>
  <c r="B321" i="15"/>
  <c r="G321" i="15" s="1"/>
  <c r="C321" i="15"/>
  <c r="D321" i="15" s="1"/>
  <c r="R321" i="15"/>
  <c r="M348" i="15"/>
  <c r="L348" i="15"/>
  <c r="F321" i="15" l="1"/>
  <c r="O349" i="15"/>
  <c r="M349" i="15" s="1"/>
  <c r="T322" i="15"/>
  <c r="J322" i="15" s="1"/>
  <c r="O350" i="15" l="1"/>
  <c r="Q322" i="15"/>
  <c r="R322" i="15"/>
  <c r="B322" i="15"/>
  <c r="G322" i="15" s="1"/>
  <c r="C322" i="15"/>
  <c r="D322" i="15" s="1"/>
  <c r="E321" i="15"/>
  <c r="L349" i="15"/>
  <c r="T323" i="15" l="1"/>
  <c r="J323" i="15" s="1"/>
  <c r="L350" i="15"/>
  <c r="F322" i="15"/>
  <c r="M350" i="15"/>
  <c r="O351" i="15" l="1"/>
  <c r="E322" i="15"/>
  <c r="B323" i="15"/>
  <c r="G323" i="15" s="1"/>
  <c r="C323" i="15"/>
  <c r="D323" i="15" s="1"/>
  <c r="Q323" i="15"/>
  <c r="R323" i="15"/>
  <c r="T324" i="15" l="1"/>
  <c r="J324" i="15" s="1"/>
  <c r="M351" i="15"/>
  <c r="F323" i="15"/>
  <c r="L351" i="15"/>
  <c r="R324" i="15" l="1"/>
  <c r="T325" i="15" s="1"/>
  <c r="J325" i="15" s="1"/>
  <c r="E323" i="15"/>
  <c r="O352" i="15"/>
  <c r="B324" i="15"/>
  <c r="G324" i="15" s="1"/>
  <c r="C324" i="15"/>
  <c r="D324" i="15" s="1"/>
  <c r="F324" i="15" s="1"/>
  <c r="Q324" i="15"/>
  <c r="Q325" i="15" l="1"/>
  <c r="R325" i="15"/>
  <c r="T326" i="15"/>
  <c r="J326" i="15" s="1"/>
  <c r="L352" i="15"/>
  <c r="E324" i="15"/>
  <c r="M352" i="15"/>
  <c r="B325" i="15"/>
  <c r="G325" i="15" s="1"/>
  <c r="C325" i="15"/>
  <c r="D325" i="15" s="1"/>
  <c r="F325" i="15" s="1"/>
  <c r="Q326" i="15" l="1"/>
  <c r="O353" i="15"/>
  <c r="R326" i="15"/>
  <c r="B326" i="15"/>
  <c r="G326" i="15" s="1"/>
  <c r="C326" i="15"/>
  <c r="D326" i="15" s="1"/>
  <c r="E325" i="15"/>
  <c r="F326" i="15" l="1"/>
  <c r="T327" i="15"/>
  <c r="L353" i="15"/>
  <c r="M353" i="15"/>
  <c r="O354" i="15" l="1"/>
  <c r="L354" i="15" s="1"/>
  <c r="J327" i="15"/>
  <c r="Q327" i="15"/>
  <c r="R327" i="15"/>
  <c r="E326" i="15"/>
  <c r="T328" i="15" l="1"/>
  <c r="J328" i="15" s="1"/>
  <c r="B327" i="15"/>
  <c r="G327" i="15" s="1"/>
  <c r="C327" i="15"/>
  <c r="D327" i="15" s="1"/>
  <c r="Q328" i="15"/>
  <c r="O355" i="15"/>
  <c r="M354" i="15"/>
  <c r="L355" i="15" l="1"/>
  <c r="F327" i="15"/>
  <c r="B328" i="15"/>
  <c r="G328" i="15" s="1"/>
  <c r="C328" i="15"/>
  <c r="D328" i="15" s="1"/>
  <c r="M355" i="15"/>
  <c r="R328" i="15"/>
  <c r="E327" i="15" l="1"/>
  <c r="F328" i="15"/>
  <c r="O356" i="15"/>
  <c r="L356" i="15" s="1"/>
  <c r="T329" i="15"/>
  <c r="R329" i="15" s="1"/>
  <c r="T330" i="15" l="1"/>
  <c r="J330" i="15" s="1"/>
  <c r="J329" i="15"/>
  <c r="Q329" i="15"/>
  <c r="Q330" i="15" s="1"/>
  <c r="E328" i="15"/>
  <c r="M356" i="15"/>
  <c r="B329" i="15" l="1"/>
  <c r="G329" i="15" s="1"/>
  <c r="C329" i="15"/>
  <c r="D329" i="15" s="1"/>
  <c r="B330" i="15"/>
  <c r="G330" i="15" s="1"/>
  <c r="C330" i="15"/>
  <c r="O357" i="15"/>
  <c r="R330" i="15"/>
  <c r="L357" i="15" l="1"/>
  <c r="D330" i="15"/>
  <c r="F329" i="15"/>
  <c r="T331" i="15"/>
  <c r="M357" i="15"/>
  <c r="J331" i="15" l="1"/>
  <c r="Q331" i="15"/>
  <c r="E329" i="15"/>
  <c r="F330" i="15"/>
  <c r="O358" i="15"/>
  <c r="R331" i="15"/>
  <c r="T332" i="15" l="1"/>
  <c r="J332" i="15" s="1"/>
  <c r="E330" i="15"/>
  <c r="M358" i="15"/>
  <c r="Q332" i="15"/>
  <c r="L358" i="15"/>
  <c r="B331" i="15"/>
  <c r="G331" i="15" s="1"/>
  <c r="C331" i="15"/>
  <c r="D331" i="15" s="1"/>
  <c r="F331" i="15" s="1"/>
  <c r="O359" i="15" l="1"/>
  <c r="L359" i="15" s="1"/>
  <c r="E331" i="15"/>
  <c r="T333" i="15"/>
  <c r="J333" i="15" s="1"/>
  <c r="B332" i="15"/>
  <c r="G332" i="15" s="1"/>
  <c r="C332" i="15"/>
  <c r="D332" i="15" s="1"/>
  <c r="F332" i="15" s="1"/>
  <c r="R332" i="15"/>
  <c r="Q333" i="15" l="1"/>
  <c r="B333" i="15"/>
  <c r="G333" i="15" s="1"/>
  <c r="C333" i="15"/>
  <c r="D333" i="15" s="1"/>
  <c r="F333" i="15" s="1"/>
  <c r="O360" i="15"/>
  <c r="E332" i="15"/>
  <c r="R333" i="15"/>
  <c r="M359" i="15"/>
  <c r="E333" i="15" l="1"/>
  <c r="M360" i="15"/>
  <c r="L360" i="15"/>
  <c r="T334" i="15"/>
  <c r="J334" i="15" s="1"/>
  <c r="R334" i="15" l="1"/>
  <c r="B334" i="15"/>
  <c r="G334" i="15" s="1"/>
  <c r="C334" i="15"/>
  <c r="D334" i="15" s="1"/>
  <c r="O361" i="15"/>
  <c r="Q334" i="15"/>
  <c r="F334" i="15" l="1"/>
  <c r="L361" i="15"/>
  <c r="M361" i="15"/>
  <c r="T335" i="15"/>
  <c r="J335" i="15" s="1"/>
  <c r="B335" i="15" l="1"/>
  <c r="G335" i="15" s="1"/>
  <c r="C335" i="15"/>
  <c r="D335" i="15" s="1"/>
  <c r="F335" i="15" s="1"/>
  <c r="R335" i="15"/>
  <c r="O362" i="15"/>
  <c r="E334" i="15"/>
  <c r="Q335" i="15"/>
  <c r="E335" i="15" l="1"/>
  <c r="M362" i="15"/>
  <c r="T336" i="15"/>
  <c r="J336" i="15" s="1"/>
  <c r="L362" i="15"/>
  <c r="B336" i="15" l="1"/>
  <c r="G336" i="15" s="1"/>
  <c r="C336" i="15"/>
  <c r="D336" i="15" s="1"/>
  <c r="Q336" i="15"/>
  <c r="R336" i="15"/>
  <c r="O363" i="15"/>
  <c r="L363" i="15" s="1"/>
  <c r="F336" i="15" l="1"/>
  <c r="M363" i="15"/>
  <c r="T337" i="15"/>
  <c r="J337" i="15" s="1"/>
  <c r="E336" i="15" l="1"/>
  <c r="B337" i="15"/>
  <c r="G337" i="15" s="1"/>
  <c r="C337" i="15"/>
  <c r="D337" i="15" s="1"/>
  <c r="R337" i="15"/>
  <c r="O364" i="15"/>
  <c r="Q337" i="15"/>
  <c r="L364" i="15" l="1"/>
  <c r="M364" i="15"/>
  <c r="T338" i="15"/>
  <c r="J338" i="15" s="1"/>
  <c r="F337" i="15"/>
  <c r="E337" i="15" l="1"/>
  <c r="B338" i="15"/>
  <c r="G338" i="15" s="1"/>
  <c r="C338" i="15"/>
  <c r="D338" i="15" s="1"/>
  <c r="R338" i="15"/>
  <c r="O365" i="15"/>
  <c r="L365" i="15" s="1"/>
  <c r="Q338" i="15"/>
  <c r="M365" i="15" l="1"/>
  <c r="F338" i="15"/>
  <c r="T339" i="15"/>
  <c r="J339" i="15" s="1"/>
  <c r="R339" i="15" l="1"/>
  <c r="Q339" i="15"/>
  <c r="B339" i="15"/>
  <c r="G339" i="15" s="1"/>
  <c r="C339" i="15"/>
  <c r="D339" i="15" s="1"/>
  <c r="F339" i="15" s="1"/>
  <c r="E338" i="15"/>
  <c r="O366" i="15"/>
  <c r="L366" i="15" l="1"/>
  <c r="E339" i="15"/>
  <c r="M366" i="15"/>
  <c r="T340" i="15"/>
  <c r="J340" i="15" s="1"/>
  <c r="R340" i="15" l="1"/>
  <c r="T341" i="15" s="1"/>
  <c r="Q340" i="15"/>
  <c r="O367" i="15"/>
  <c r="B340" i="15"/>
  <c r="G340" i="15" s="1"/>
  <c r="C340" i="15"/>
  <c r="D340" i="15" s="1"/>
  <c r="J341" i="15" l="1"/>
  <c r="Q341" i="15"/>
  <c r="F340" i="15"/>
  <c r="M367" i="15"/>
  <c r="L367" i="15"/>
  <c r="B341" i="15"/>
  <c r="G341" i="15" s="1"/>
  <c r="C341" i="15"/>
  <c r="D341" i="15" s="1"/>
  <c r="R341" i="15"/>
  <c r="O368" i="15" l="1"/>
  <c r="L368" i="15" s="1"/>
  <c r="E340" i="15"/>
  <c r="F341" i="15"/>
  <c r="T342" i="15"/>
  <c r="R342" i="15" s="1"/>
  <c r="E341" i="15" l="1"/>
  <c r="T343" i="15"/>
  <c r="J343" i="15" s="1"/>
  <c r="J342" i="15"/>
  <c r="Q342" i="15"/>
  <c r="M368" i="15"/>
  <c r="Q343" i="15" l="1"/>
  <c r="R343" i="15"/>
  <c r="B343" i="15"/>
  <c r="G343" i="15" s="1"/>
  <c r="C343" i="15"/>
  <c r="B342" i="15"/>
  <c r="G342" i="15" s="1"/>
  <c r="C342" i="15"/>
  <c r="D342" i="15" s="1"/>
  <c r="O369" i="15"/>
  <c r="L369" i="15" l="1"/>
  <c r="M369" i="15"/>
  <c r="D343" i="15"/>
  <c r="F342" i="15"/>
  <c r="T344" i="15"/>
  <c r="E342" i="15" l="1"/>
  <c r="F343" i="15"/>
  <c r="O370" i="15"/>
  <c r="J344" i="15"/>
  <c r="Q344" i="15"/>
  <c r="R344" i="15"/>
  <c r="E343" i="15" l="1"/>
  <c r="T345" i="15"/>
  <c r="J345" i="15" s="1"/>
  <c r="B344" i="15"/>
  <c r="G344" i="15" s="1"/>
  <c r="C344" i="15"/>
  <c r="D344" i="15" s="1"/>
  <c r="L370" i="15"/>
  <c r="M370" i="15"/>
  <c r="F344" i="15" l="1"/>
  <c r="O371" i="15"/>
  <c r="B345" i="15"/>
  <c r="G345" i="15" s="1"/>
  <c r="C345" i="15"/>
  <c r="D345" i="15" s="1"/>
  <c r="Q345" i="15"/>
  <c r="L371" i="15"/>
  <c r="R345" i="15"/>
  <c r="O372" i="15" l="1"/>
  <c r="M371" i="15"/>
  <c r="E344" i="15"/>
  <c r="F345" i="15"/>
  <c r="T346" i="15"/>
  <c r="J346" i="15" s="1"/>
  <c r="Q346" i="15" l="1"/>
  <c r="T347" i="15" s="1"/>
  <c r="J347" i="15" s="1"/>
  <c r="L372" i="15"/>
  <c r="E345" i="15"/>
  <c r="M372" i="15"/>
  <c r="R346" i="15"/>
  <c r="B346" i="15"/>
  <c r="G346" i="15" s="1"/>
  <c r="C346" i="15"/>
  <c r="D346" i="15" s="1"/>
  <c r="F346" i="15" s="1"/>
  <c r="R347" i="15" l="1"/>
  <c r="B347" i="15"/>
  <c r="G347" i="15" s="1"/>
  <c r="C347" i="15"/>
  <c r="D347" i="15" s="1"/>
  <c r="F347" i="15" s="1"/>
  <c r="Q347" i="15"/>
  <c r="E346" i="15"/>
  <c r="O373" i="15"/>
  <c r="E347" i="15" l="1"/>
  <c r="T348" i="15"/>
  <c r="Q348" i="15" s="1"/>
  <c r="L373" i="15"/>
  <c r="M373" i="15"/>
  <c r="O374" i="15" l="1"/>
  <c r="L374" i="15" s="1"/>
  <c r="T349" i="15"/>
  <c r="J349" i="15" s="1"/>
  <c r="J348" i="15"/>
  <c r="R348" i="15"/>
  <c r="R349" i="15" l="1"/>
  <c r="B349" i="15"/>
  <c r="G349" i="15" s="1"/>
  <c r="C349" i="15"/>
  <c r="B348" i="15"/>
  <c r="G348" i="15" s="1"/>
  <c r="C348" i="15"/>
  <c r="D348" i="15" s="1"/>
  <c r="Q349" i="15"/>
  <c r="M374" i="15"/>
  <c r="D349" i="15" l="1"/>
  <c r="F348" i="15"/>
  <c r="T350" i="15"/>
  <c r="Q350" i="15" s="1"/>
  <c r="O375" i="15"/>
  <c r="M375" i="15" s="1"/>
  <c r="O376" i="15" l="1"/>
  <c r="T351" i="15"/>
  <c r="J351" i="15" s="1"/>
  <c r="L375" i="15"/>
  <c r="F349" i="15"/>
  <c r="E348" i="15"/>
  <c r="J350" i="15"/>
  <c r="R350" i="15"/>
  <c r="L376" i="15" l="1"/>
  <c r="E349" i="15"/>
  <c r="B351" i="15"/>
  <c r="G351" i="15" s="1"/>
  <c r="C351" i="15"/>
  <c r="Q351" i="15"/>
  <c r="R351" i="15"/>
  <c r="B350" i="15"/>
  <c r="G350" i="15" s="1"/>
  <c r="C350" i="15"/>
  <c r="D350" i="15" s="1"/>
  <c r="F350" i="15" s="1"/>
  <c r="M376" i="15"/>
  <c r="T352" i="15" l="1"/>
  <c r="J352" i="15" s="1"/>
  <c r="E350" i="15"/>
  <c r="O377" i="15"/>
  <c r="M377" i="15" s="1"/>
  <c r="D351" i="15"/>
  <c r="R352" i="15" l="1"/>
  <c r="F351" i="15"/>
  <c r="T353" i="15"/>
  <c r="J353" i="15" s="1"/>
  <c r="L377" i="15"/>
  <c r="B352" i="15"/>
  <c r="G352" i="15" s="1"/>
  <c r="G3" i="15" s="1"/>
  <c r="C352" i="15"/>
  <c r="D352" i="15" s="1"/>
  <c r="Q352" i="15"/>
  <c r="H3" i="15" l="1"/>
  <c r="R353" i="15"/>
  <c r="O378" i="15"/>
  <c r="B353" i="15"/>
  <c r="G353" i="15" s="1"/>
  <c r="C353" i="15"/>
  <c r="D353" i="15" s="1"/>
  <c r="Q353" i="15"/>
  <c r="F352" i="15"/>
  <c r="E351" i="15"/>
  <c r="M378" i="15" l="1"/>
  <c r="L378" i="15"/>
  <c r="T354" i="15"/>
  <c r="J354" i="15" s="1"/>
  <c r="F353" i="15"/>
  <c r="E352" i="15"/>
  <c r="E3" i="15" s="1"/>
  <c r="E353" i="15" l="1"/>
  <c r="O379" i="15"/>
  <c r="L379" i="15" s="1"/>
  <c r="B354" i="15"/>
  <c r="G354" i="15" s="1"/>
  <c r="C354" i="15"/>
  <c r="D354" i="15" s="1"/>
  <c r="R354" i="15"/>
  <c r="M379" i="15"/>
  <c r="Q354" i="15"/>
  <c r="O380" i="15" l="1"/>
  <c r="M380" i="15" s="1"/>
  <c r="T355" i="15"/>
  <c r="J355" i="15" s="1"/>
  <c r="F354" i="15"/>
  <c r="Q355" i="15" l="1"/>
  <c r="B355" i="15"/>
  <c r="G355" i="15" s="1"/>
  <c r="C355" i="15"/>
  <c r="D355" i="15" s="1"/>
  <c r="F355" i="15" s="1"/>
  <c r="R355" i="15"/>
  <c r="E354" i="15"/>
  <c r="L380" i="15"/>
  <c r="T356" i="15" l="1"/>
  <c r="J356" i="15" s="1"/>
  <c r="E355" i="15"/>
  <c r="O381" i="15"/>
  <c r="Q356" i="15" l="1"/>
  <c r="M381" i="15"/>
  <c r="L381" i="15"/>
  <c r="B356" i="15"/>
  <c r="G356" i="15" s="1"/>
  <c r="C356" i="15"/>
  <c r="D356" i="15" s="1"/>
  <c r="R356" i="15"/>
  <c r="F356" i="15" l="1"/>
  <c r="T357" i="15"/>
  <c r="R357" i="15" s="1"/>
  <c r="O382" i="15"/>
  <c r="M382" i="15" l="1"/>
  <c r="L382" i="15"/>
  <c r="J357" i="15"/>
  <c r="Q357" i="15"/>
  <c r="E356" i="15"/>
  <c r="O383" i="15" l="1"/>
  <c r="M383" i="15" s="1"/>
  <c r="T358" i="15"/>
  <c r="Q358" i="15" s="1"/>
  <c r="B357" i="15"/>
  <c r="G357" i="15" s="1"/>
  <c r="C357" i="15"/>
  <c r="D357" i="15" s="1"/>
  <c r="T359" i="15" l="1"/>
  <c r="J359" i="15" s="1"/>
  <c r="F357" i="15"/>
  <c r="J358" i="15"/>
  <c r="R358" i="15"/>
  <c r="L383" i="15"/>
  <c r="R359" i="15" l="1"/>
  <c r="B358" i="15"/>
  <c r="G358" i="15" s="1"/>
  <c r="C358" i="15"/>
  <c r="D358" i="15" s="1"/>
  <c r="F358" i="15" s="1"/>
  <c r="B359" i="15"/>
  <c r="G359" i="15" s="1"/>
  <c r="C359" i="15"/>
  <c r="E357" i="15"/>
  <c r="O384" i="15"/>
  <c r="L384" i="15" s="1"/>
  <c r="Q359" i="15"/>
  <c r="D359" i="15" l="1"/>
  <c r="F359" i="15" s="1"/>
  <c r="E358" i="15"/>
  <c r="T360" i="15"/>
  <c r="M384" i="15"/>
  <c r="E359" i="15" l="1"/>
  <c r="J360" i="15"/>
  <c r="R360" i="15"/>
  <c r="O385" i="15"/>
  <c r="M385" i="15" s="1"/>
  <c r="Q360" i="15"/>
  <c r="O386" i="15" l="1"/>
  <c r="T361" i="15"/>
  <c r="J361" i="15" s="1"/>
  <c r="L385" i="15"/>
  <c r="L386" i="15" s="1"/>
  <c r="B360" i="15"/>
  <c r="G360" i="15" s="1"/>
  <c r="C360" i="15"/>
  <c r="D360" i="15" s="1"/>
  <c r="R361" i="15" l="1"/>
  <c r="B361" i="15"/>
  <c r="G361" i="15" s="1"/>
  <c r="C361" i="15"/>
  <c r="D361" i="15" s="1"/>
  <c r="Q361" i="15"/>
  <c r="F360" i="15"/>
  <c r="M386" i="15"/>
  <c r="F361" i="15" l="1"/>
  <c r="E360" i="15"/>
  <c r="T362" i="15"/>
  <c r="O387" i="15"/>
  <c r="M387" i="15" s="1"/>
  <c r="O388" i="15" l="1"/>
  <c r="L387" i="15"/>
  <c r="J362" i="15"/>
  <c r="R362" i="15"/>
  <c r="Q362" i="15"/>
  <c r="E361" i="15"/>
  <c r="L388" i="15" l="1"/>
  <c r="O389" i="15" s="1"/>
  <c r="L389" i="15" s="1"/>
  <c r="B362" i="15"/>
  <c r="G362" i="15" s="1"/>
  <c r="C362" i="15"/>
  <c r="D362" i="15" s="1"/>
  <c r="T363" i="15"/>
  <c r="J363" i="15" s="1"/>
  <c r="M388" i="15"/>
  <c r="Q363" i="15" l="1"/>
  <c r="R363" i="15"/>
  <c r="B363" i="15"/>
  <c r="G363" i="15" s="1"/>
  <c r="C363" i="15"/>
  <c r="D363" i="15" s="1"/>
  <c r="F362" i="15"/>
  <c r="M389" i="15"/>
  <c r="F363" i="15" l="1"/>
  <c r="E362" i="15"/>
  <c r="T364" i="15"/>
  <c r="J364" i="15" s="1"/>
  <c r="O390" i="15"/>
  <c r="M390" i="15" s="1"/>
  <c r="O391" i="15" l="1"/>
  <c r="L390" i="15"/>
  <c r="B364" i="15"/>
  <c r="G364" i="15" s="1"/>
  <c r="C364" i="15"/>
  <c r="D364" i="15" s="1"/>
  <c r="Q364" i="15"/>
  <c r="R364" i="15"/>
  <c r="E363" i="15"/>
  <c r="L391" i="15" l="1"/>
  <c r="O392" i="15" s="1"/>
  <c r="T365" i="15"/>
  <c r="J365" i="15" s="1"/>
  <c r="F364" i="15"/>
  <c r="M391" i="15"/>
  <c r="E364" i="15" l="1"/>
  <c r="L392" i="15"/>
  <c r="B365" i="15"/>
  <c r="G365" i="15" s="1"/>
  <c r="C365" i="15"/>
  <c r="D365" i="15" s="1"/>
  <c r="Q365" i="15"/>
  <c r="R365" i="15"/>
  <c r="M392" i="15"/>
  <c r="T366" i="15" l="1"/>
  <c r="J366" i="15" s="1"/>
  <c r="O393" i="15"/>
  <c r="M393" i="15" s="1"/>
  <c r="F365" i="15"/>
  <c r="L393" i="15" l="1"/>
  <c r="Q366" i="15"/>
  <c r="E365" i="15"/>
  <c r="B366" i="15"/>
  <c r="G366" i="15" s="1"/>
  <c r="C366" i="15"/>
  <c r="D366" i="15" s="1"/>
  <c r="R366" i="15"/>
  <c r="T367" i="15" l="1"/>
  <c r="J367" i="15" s="1"/>
  <c r="F366" i="15"/>
  <c r="O394" i="15"/>
  <c r="R367" i="15" l="1"/>
  <c r="M394" i="15"/>
  <c r="E366" i="15"/>
  <c r="L394" i="15"/>
  <c r="B367" i="15"/>
  <c r="G367" i="15" s="1"/>
  <c r="C367" i="15"/>
  <c r="D367" i="15" s="1"/>
  <c r="Q367" i="15"/>
  <c r="O395" i="15" l="1"/>
  <c r="L395" i="15" s="1"/>
  <c r="F367" i="15"/>
  <c r="T368" i="15"/>
  <c r="Q368" i="15" s="1"/>
  <c r="T369" i="15" l="1"/>
  <c r="J369" i="15" s="1"/>
  <c r="E367" i="15"/>
  <c r="J368" i="15"/>
  <c r="R368" i="15"/>
  <c r="M395" i="15"/>
  <c r="R369" i="15" l="1"/>
  <c r="B368" i="15"/>
  <c r="G368" i="15" s="1"/>
  <c r="C368" i="15"/>
  <c r="D368" i="15" s="1"/>
  <c r="B369" i="15"/>
  <c r="G369" i="15" s="1"/>
  <c r="C369" i="15"/>
  <c r="O396" i="15"/>
  <c r="Q369" i="15"/>
  <c r="L396" i="15" l="1"/>
  <c r="T370" i="15"/>
  <c r="Q370" i="15" s="1"/>
  <c r="M396" i="15"/>
  <c r="D369" i="15"/>
  <c r="F368" i="15"/>
  <c r="T371" i="15" l="1"/>
  <c r="J371" i="15" s="1"/>
  <c r="F369" i="15"/>
  <c r="E368" i="15"/>
  <c r="J370" i="15"/>
  <c r="R370" i="15"/>
  <c r="O397" i="15"/>
  <c r="M397" i="15" s="1"/>
  <c r="R371" i="15" l="1"/>
  <c r="E369" i="15"/>
  <c r="B371" i="15"/>
  <c r="G371" i="15" s="1"/>
  <c r="C371" i="15"/>
  <c r="B370" i="15"/>
  <c r="G370" i="15" s="1"/>
  <c r="C370" i="15"/>
  <c r="D370" i="15" s="1"/>
  <c r="D371" i="15" s="1"/>
  <c r="L397" i="15"/>
  <c r="Q371" i="15"/>
  <c r="O398" i="15" l="1"/>
  <c r="T372" i="15"/>
  <c r="F370" i="15"/>
  <c r="J372" i="15" l="1"/>
  <c r="R372" i="15"/>
  <c r="Q372" i="15"/>
  <c r="F371" i="15"/>
  <c r="E370" i="15"/>
  <c r="M398" i="15"/>
  <c r="L398" i="15"/>
  <c r="E371" i="15" l="1"/>
  <c r="O399" i="15"/>
  <c r="M399" i="15" s="1"/>
  <c r="T373" i="15"/>
  <c r="J373" i="15" s="1"/>
  <c r="B372" i="15"/>
  <c r="G372" i="15" s="1"/>
  <c r="C372" i="15"/>
  <c r="D372" i="15" s="1"/>
  <c r="O400" i="15" l="1"/>
  <c r="L399" i="15"/>
  <c r="Q373" i="15"/>
  <c r="B373" i="15"/>
  <c r="G373" i="15" s="1"/>
  <c r="C373" i="15"/>
  <c r="D373" i="15" s="1"/>
  <c r="R373" i="15"/>
  <c r="F372" i="15"/>
  <c r="L400" i="15" l="1"/>
  <c r="T374" i="15"/>
  <c r="J374" i="15" s="1"/>
  <c r="F373" i="15"/>
  <c r="E372" i="15"/>
  <c r="M400" i="15"/>
  <c r="B374" i="15" l="1"/>
  <c r="G374" i="15" s="1"/>
  <c r="C374" i="15"/>
  <c r="D374" i="15" s="1"/>
  <c r="F374" i="15" s="1"/>
  <c r="E373" i="15"/>
  <c r="Q374" i="15"/>
  <c r="R374" i="15"/>
  <c r="O401" i="15"/>
  <c r="M401" i="15" s="1"/>
  <c r="O402" i="15" l="1"/>
  <c r="E374" i="15"/>
  <c r="L401" i="15"/>
  <c r="T375" i="15"/>
  <c r="J375" i="15" s="1"/>
  <c r="L402" i="15" l="1"/>
  <c r="Q375" i="15"/>
  <c r="R375" i="15"/>
  <c r="T376" i="15"/>
  <c r="J376" i="15" s="1"/>
  <c r="B375" i="15"/>
  <c r="G375" i="15" s="1"/>
  <c r="C375" i="15"/>
  <c r="D375" i="15" s="1"/>
  <c r="M402" i="15"/>
  <c r="F375" i="15" l="1"/>
  <c r="Q376" i="15"/>
  <c r="O403" i="15"/>
  <c r="M403" i="15" s="1"/>
  <c r="B376" i="15"/>
  <c r="G376" i="15" s="1"/>
  <c r="C376" i="15"/>
  <c r="D376" i="15" s="1"/>
  <c r="R376" i="15"/>
  <c r="O404" i="15" l="1"/>
  <c r="T377" i="15"/>
  <c r="J377" i="15" s="1"/>
  <c r="L403" i="15"/>
  <c r="L404" i="15" s="1"/>
  <c r="F376" i="15"/>
  <c r="E375" i="15"/>
  <c r="R377" i="15" l="1"/>
  <c r="B377" i="15"/>
  <c r="G377" i="15" s="1"/>
  <c r="C377" i="15"/>
  <c r="D377" i="15" s="1"/>
  <c r="F377" i="15" s="1"/>
  <c r="Q377" i="15"/>
  <c r="M404" i="15"/>
  <c r="E376" i="15"/>
  <c r="O405" i="15" l="1"/>
  <c r="E377" i="15"/>
  <c r="T378" i="15"/>
  <c r="Q378" i="15" s="1"/>
  <c r="T379" i="15" l="1"/>
  <c r="J379" i="15" s="1"/>
  <c r="L405" i="15"/>
  <c r="J378" i="15"/>
  <c r="R378" i="15"/>
  <c r="M405" i="15"/>
  <c r="R379" i="15" l="1"/>
  <c r="T380" i="15" s="1"/>
  <c r="J380" i="15" s="1"/>
  <c r="O406" i="15"/>
  <c r="B378" i="15"/>
  <c r="G378" i="15" s="1"/>
  <c r="C378" i="15"/>
  <c r="D378" i="15" s="1"/>
  <c r="B379" i="15"/>
  <c r="G379" i="15" s="1"/>
  <c r="C379" i="15"/>
  <c r="Q379" i="15"/>
  <c r="D379" i="15" l="1"/>
  <c r="F378" i="15"/>
  <c r="B380" i="15"/>
  <c r="G380" i="15" s="1"/>
  <c r="C380" i="15"/>
  <c r="R380" i="15"/>
  <c r="M406" i="15"/>
  <c r="Q380" i="15"/>
  <c r="L406" i="15"/>
  <c r="T381" i="15" l="1"/>
  <c r="J381" i="15" s="1"/>
  <c r="F379" i="15"/>
  <c r="E378" i="15"/>
  <c r="O407" i="15"/>
  <c r="L407" i="15" s="1"/>
  <c r="D380" i="15"/>
  <c r="B381" i="15" l="1"/>
  <c r="G381" i="15" s="1"/>
  <c r="C381" i="15"/>
  <c r="D381" i="15" s="1"/>
  <c r="F380" i="15"/>
  <c r="E379" i="15"/>
  <c r="R381" i="15"/>
  <c r="M407" i="15"/>
  <c r="Q381" i="15"/>
  <c r="F381" i="15" l="1"/>
  <c r="E380" i="15"/>
  <c r="T382" i="15"/>
  <c r="J382" i="15" s="1"/>
  <c r="O408" i="15"/>
  <c r="L408" i="15" l="1"/>
  <c r="M408" i="15"/>
  <c r="B382" i="15"/>
  <c r="G382" i="15" s="1"/>
  <c r="C382" i="15"/>
  <c r="D382" i="15" s="1"/>
  <c r="F382" i="15" s="1"/>
  <c r="Q382" i="15"/>
  <c r="E381" i="15"/>
  <c r="R382" i="15"/>
  <c r="E382" i="15" l="1"/>
  <c r="O409" i="15"/>
  <c r="M409" i="15" s="1"/>
  <c r="T383" i="15"/>
  <c r="J383" i="15" s="1"/>
  <c r="L409" i="15" l="1"/>
  <c r="R383" i="15"/>
  <c r="Q383" i="15"/>
  <c r="O410" i="15"/>
  <c r="T384" i="15"/>
  <c r="J384" i="15" s="1"/>
  <c r="B383" i="15"/>
  <c r="G383" i="15" s="1"/>
  <c r="C383" i="15"/>
  <c r="D383" i="15" s="1"/>
  <c r="L410" i="15" l="1"/>
  <c r="Q384" i="15"/>
  <c r="R384" i="15"/>
  <c r="B384" i="15"/>
  <c r="G384" i="15" s="1"/>
  <c r="C384" i="15"/>
  <c r="D384" i="15" s="1"/>
  <c r="F383" i="15"/>
  <c r="M410" i="15"/>
  <c r="F384" i="15" l="1"/>
  <c r="E383" i="15"/>
  <c r="T385" i="15"/>
  <c r="J385" i="15" s="1"/>
  <c r="O411" i="15"/>
  <c r="M411" i="15" s="1"/>
  <c r="O412" i="15" l="1"/>
  <c r="B385" i="15"/>
  <c r="G385" i="15" s="1"/>
  <c r="C385" i="15"/>
  <c r="D385" i="15" s="1"/>
  <c r="R385" i="15"/>
  <c r="L411" i="15"/>
  <c r="Q385" i="15"/>
  <c r="E384" i="15"/>
  <c r="L412" i="15" l="1"/>
  <c r="O413" i="15" s="1"/>
  <c r="L413" i="15" s="1"/>
  <c r="T386" i="15"/>
  <c r="J386" i="15" s="1"/>
  <c r="F385" i="15"/>
  <c r="M412" i="15"/>
  <c r="O414" i="15" l="1"/>
  <c r="E385" i="15"/>
  <c r="Q386" i="15"/>
  <c r="R386" i="15"/>
  <c r="B386" i="15"/>
  <c r="G386" i="15" s="1"/>
  <c r="C386" i="15"/>
  <c r="D386" i="15" s="1"/>
  <c r="F386" i="15" s="1"/>
  <c r="M413" i="15"/>
  <c r="M414" i="15" l="1"/>
  <c r="E386" i="15"/>
  <c r="T387" i="15"/>
  <c r="J387" i="15" s="1"/>
  <c r="L414" i="15"/>
  <c r="B387" i="15" l="1"/>
  <c r="G387" i="15" s="1"/>
  <c r="C387" i="15"/>
  <c r="D387" i="15" s="1"/>
  <c r="Q387" i="15"/>
  <c r="R387" i="15"/>
  <c r="O415" i="15"/>
  <c r="T388" i="15" l="1"/>
  <c r="J388" i="15" s="1"/>
  <c r="M415" i="15"/>
  <c r="L415" i="15"/>
  <c r="F387" i="15"/>
  <c r="R388" i="15" l="1"/>
  <c r="E387" i="15"/>
  <c r="O416" i="15"/>
  <c r="L416" i="15" s="1"/>
  <c r="B388" i="15"/>
  <c r="G388" i="15" s="1"/>
  <c r="C388" i="15"/>
  <c r="D388" i="15" s="1"/>
  <c r="Q388" i="15"/>
  <c r="M416" i="15" l="1"/>
  <c r="T389" i="15"/>
  <c r="Q389" i="15" s="1"/>
  <c r="F388" i="15"/>
  <c r="T390" i="15" l="1"/>
  <c r="J390" i="15" s="1"/>
  <c r="E388" i="15"/>
  <c r="J389" i="15"/>
  <c r="R389" i="15"/>
  <c r="O417" i="15"/>
  <c r="M417" i="15" s="1"/>
  <c r="R390" i="15" l="1"/>
  <c r="T391" i="15" s="1"/>
  <c r="J391" i="15" s="1"/>
  <c r="L417" i="15"/>
  <c r="B389" i="15"/>
  <c r="G389" i="15" s="1"/>
  <c r="C389" i="15"/>
  <c r="D389" i="15" s="1"/>
  <c r="B390" i="15"/>
  <c r="G390" i="15" s="1"/>
  <c r="C390" i="15"/>
  <c r="Q390" i="15"/>
  <c r="D390" i="15" l="1"/>
  <c r="F389" i="15"/>
  <c r="R391" i="15"/>
  <c r="O418" i="15"/>
  <c r="B391" i="15"/>
  <c r="G391" i="15" s="1"/>
  <c r="C391" i="15"/>
  <c r="Q391" i="15"/>
  <c r="M418" i="15" l="1"/>
  <c r="L418" i="15"/>
  <c r="F390" i="15"/>
  <c r="E389" i="15"/>
  <c r="T392" i="15"/>
  <c r="J392" i="15" s="1"/>
  <c r="D391" i="15"/>
  <c r="F391" i="15" l="1"/>
  <c r="E390" i="15"/>
  <c r="B392" i="15"/>
  <c r="G392" i="15" s="1"/>
  <c r="C392" i="15"/>
  <c r="D392" i="15" s="1"/>
  <c r="O419" i="15"/>
  <c r="M419" i="15" s="1"/>
  <c r="R392" i="15"/>
  <c r="Q392" i="15"/>
  <c r="L419" i="15" l="1"/>
  <c r="O420" i="15"/>
  <c r="M420" i="15" s="1"/>
  <c r="T393" i="15"/>
  <c r="J393" i="15" s="1"/>
  <c r="F392" i="15"/>
  <c r="E391" i="15"/>
  <c r="L420" i="15" l="1"/>
  <c r="B393" i="15"/>
  <c r="G393" i="15" s="1"/>
  <c r="C393" i="15"/>
  <c r="D393" i="15" s="1"/>
  <c r="F393" i="15" s="1"/>
  <c r="R393" i="15"/>
  <c r="O421" i="15"/>
  <c r="Q393" i="15"/>
  <c r="E392" i="15"/>
  <c r="E393" i="15" l="1"/>
  <c r="L421" i="15"/>
  <c r="T394" i="15"/>
  <c r="J394" i="15" s="1"/>
  <c r="M421" i="15"/>
  <c r="Q394" i="15" l="1"/>
  <c r="T395" i="15" s="1"/>
  <c r="J395" i="15" s="1"/>
  <c r="B394" i="15"/>
  <c r="G394" i="15" s="1"/>
  <c r="C394" i="15"/>
  <c r="D394" i="15" s="1"/>
  <c r="R394" i="15"/>
  <c r="O422" i="15"/>
  <c r="R395" i="15" l="1"/>
  <c r="M422" i="15"/>
  <c r="F394" i="15"/>
  <c r="B395" i="15"/>
  <c r="G395" i="15" s="1"/>
  <c r="C395" i="15"/>
  <c r="D395" i="15" s="1"/>
  <c r="Q395" i="15"/>
  <c r="L422" i="15"/>
  <c r="O423" i="15" l="1"/>
  <c r="L423" i="15" s="1"/>
  <c r="T396" i="15"/>
  <c r="F395" i="15"/>
  <c r="E394" i="15"/>
  <c r="E395" i="15" l="1"/>
  <c r="J396" i="15"/>
  <c r="R396" i="15"/>
  <c r="Q396" i="15"/>
  <c r="M423" i="15"/>
  <c r="O424" i="15" l="1"/>
  <c r="B396" i="15"/>
  <c r="G396" i="15" s="1"/>
  <c r="C396" i="15"/>
  <c r="D396" i="15" s="1"/>
  <c r="T397" i="15"/>
  <c r="J397" i="15" s="1"/>
  <c r="B397" i="15" l="1"/>
  <c r="G397" i="15" s="1"/>
  <c r="C397" i="15"/>
  <c r="Q397" i="15"/>
  <c r="R397" i="15"/>
  <c r="D397" i="15"/>
  <c r="F396" i="15"/>
  <c r="L424" i="15"/>
  <c r="M424" i="15"/>
  <c r="F397" i="15" l="1"/>
  <c r="E396" i="15"/>
  <c r="T398" i="15"/>
  <c r="J398" i="15" s="1"/>
  <c r="O425" i="15"/>
  <c r="M425" i="15" s="1"/>
  <c r="L425" i="15" l="1"/>
  <c r="O426" i="15" s="1"/>
  <c r="M426" i="15" s="1"/>
  <c r="R398" i="15"/>
  <c r="B398" i="15"/>
  <c r="G398" i="15" s="1"/>
  <c r="C398" i="15"/>
  <c r="D398" i="15" s="1"/>
  <c r="Q398" i="15"/>
  <c r="E397" i="15"/>
  <c r="L426" i="15" l="1"/>
  <c r="T399" i="15"/>
  <c r="Q399" i="15" s="1"/>
  <c r="F398" i="15"/>
  <c r="T400" i="15" l="1"/>
  <c r="J400" i="15" s="1"/>
  <c r="E398" i="15"/>
  <c r="J399" i="15"/>
  <c r="R399" i="15"/>
  <c r="R400" i="15" s="1"/>
  <c r="O427" i="15"/>
  <c r="M427" i="15" l="1"/>
  <c r="B399" i="15"/>
  <c r="G399" i="15" s="1"/>
  <c r="C399" i="15"/>
  <c r="D399" i="15" s="1"/>
  <c r="L427" i="15"/>
  <c r="B400" i="15"/>
  <c r="G400" i="15" s="1"/>
  <c r="C400" i="15"/>
  <c r="Q400" i="15"/>
  <c r="O428" i="15" l="1"/>
  <c r="D400" i="15"/>
  <c r="F399" i="15"/>
  <c r="M428" i="15"/>
  <c r="T401" i="15"/>
  <c r="J401" i="15" l="1"/>
  <c r="R401" i="15"/>
  <c r="Q401" i="15"/>
  <c r="F400" i="15"/>
  <c r="E399" i="15"/>
  <c r="L428" i="15"/>
  <c r="E400" i="15" l="1"/>
  <c r="T402" i="15"/>
  <c r="J402" i="15" s="1"/>
  <c r="B401" i="15"/>
  <c r="G401" i="15" s="1"/>
  <c r="C401" i="15"/>
  <c r="D401" i="15" s="1"/>
  <c r="O429" i="15"/>
  <c r="L429" i="15" s="1"/>
  <c r="R402" i="15" l="1"/>
  <c r="Q402" i="15"/>
  <c r="O430" i="15"/>
  <c r="B402" i="15"/>
  <c r="G402" i="15" s="1"/>
  <c r="C402" i="15"/>
  <c r="D402" i="15" s="1"/>
  <c r="M429" i="15"/>
  <c r="F401" i="15"/>
  <c r="T403" i="15" l="1"/>
  <c r="L430" i="15"/>
  <c r="F402" i="15"/>
  <c r="E401" i="15"/>
  <c r="M430" i="15"/>
  <c r="O431" i="15" l="1"/>
  <c r="E402" i="15"/>
  <c r="J403" i="15"/>
  <c r="R403" i="15"/>
  <c r="Q403" i="15"/>
  <c r="T404" i="15" l="1"/>
  <c r="J404" i="15" s="1"/>
  <c r="B403" i="15"/>
  <c r="G403" i="15" s="1"/>
  <c r="C403" i="15"/>
  <c r="D403" i="15" s="1"/>
  <c r="L431" i="15"/>
  <c r="M431" i="15"/>
  <c r="R404" i="15" l="1"/>
  <c r="O432" i="15"/>
  <c r="L432" i="15" s="1"/>
  <c r="F403" i="15"/>
  <c r="B404" i="15"/>
  <c r="G404" i="15" s="1"/>
  <c r="C404" i="15"/>
  <c r="D404" i="15" s="1"/>
  <c r="Q404" i="15"/>
  <c r="O433" i="15" l="1"/>
  <c r="L433" i="15" s="1"/>
  <c r="E403" i="15"/>
  <c r="F404" i="15"/>
  <c r="T405" i="15"/>
  <c r="M432" i="15"/>
  <c r="O434" i="15" l="1"/>
  <c r="E404" i="15"/>
  <c r="J405" i="15"/>
  <c r="R405" i="15"/>
  <c r="Q405" i="15"/>
  <c r="M433" i="15"/>
  <c r="T406" i="15" l="1"/>
  <c r="J406" i="15" s="1"/>
  <c r="B405" i="15"/>
  <c r="G405" i="15" s="1"/>
  <c r="C405" i="15"/>
  <c r="D405" i="15" s="1"/>
  <c r="M434" i="15"/>
  <c r="L434" i="15"/>
  <c r="Q406" i="15" l="1"/>
  <c r="R406" i="15"/>
  <c r="T407" i="15"/>
  <c r="J407" i="15" s="1"/>
  <c r="O435" i="15"/>
  <c r="F405" i="15"/>
  <c r="R407" i="15"/>
  <c r="B406" i="15"/>
  <c r="G406" i="15" s="1"/>
  <c r="C406" i="15"/>
  <c r="D406" i="15" s="1"/>
  <c r="L435" i="15" l="1"/>
  <c r="E405" i="15"/>
  <c r="F406" i="15"/>
  <c r="M435" i="15"/>
  <c r="C407" i="15"/>
  <c r="D407" i="15" s="1"/>
  <c r="B407" i="15"/>
  <c r="G407" i="15" s="1"/>
  <c r="Q407" i="15"/>
  <c r="O436" i="15" l="1"/>
  <c r="M436" i="15" s="1"/>
  <c r="E406" i="15"/>
  <c r="F407" i="15"/>
  <c r="T408" i="15"/>
  <c r="L436" i="15" l="1"/>
  <c r="J408" i="15"/>
  <c r="R408" i="15"/>
  <c r="Q408" i="15"/>
  <c r="O437" i="15"/>
  <c r="E407" i="15"/>
  <c r="M437" i="15" l="1"/>
  <c r="T409" i="15"/>
  <c r="J409" i="15" s="1"/>
  <c r="L437" i="15"/>
  <c r="C408" i="15"/>
  <c r="D408" i="15" s="1"/>
  <c r="B408" i="15"/>
  <c r="G408" i="15" s="1"/>
  <c r="O438" i="15" l="1"/>
  <c r="F408" i="15"/>
  <c r="M438" i="15"/>
  <c r="C409" i="15"/>
  <c r="D409" i="15" s="1"/>
  <c r="B409" i="15"/>
  <c r="G409" i="15" s="1"/>
  <c r="Q409" i="15"/>
  <c r="R409" i="15"/>
  <c r="T410" i="15" l="1"/>
  <c r="J410" i="15" s="1"/>
  <c r="E408" i="15"/>
  <c r="F409" i="15"/>
  <c r="R410" i="15"/>
  <c r="L438" i="15"/>
  <c r="E409" i="15" l="1"/>
  <c r="Q410" i="15"/>
  <c r="C410" i="15"/>
  <c r="D410" i="15" s="1"/>
  <c r="B410" i="15"/>
  <c r="G410" i="15" s="1"/>
  <c r="O439" i="15"/>
  <c r="M439" i="15" l="1"/>
  <c r="L439" i="15"/>
  <c r="T411" i="15"/>
  <c r="F410" i="15"/>
  <c r="J411" i="15" l="1"/>
  <c r="R411" i="15"/>
  <c r="E410" i="15"/>
  <c r="Q411" i="15"/>
  <c r="O440" i="15"/>
  <c r="L440" i="15" l="1"/>
  <c r="M440" i="15"/>
  <c r="T412" i="15"/>
  <c r="J412" i="15" s="1"/>
  <c r="C411" i="15"/>
  <c r="D411" i="15" s="1"/>
  <c r="B411" i="15"/>
  <c r="G411" i="15" s="1"/>
  <c r="R412" i="15" l="1"/>
  <c r="C412" i="15"/>
  <c r="B412" i="15"/>
  <c r="G412" i="15" s="1"/>
  <c r="O441" i="15"/>
  <c r="D412" i="15"/>
  <c r="F411" i="15"/>
  <c r="Q412" i="15"/>
  <c r="T413" i="15" l="1"/>
  <c r="J413" i="15" s="1"/>
  <c r="M441" i="15"/>
  <c r="F412" i="15"/>
  <c r="E411" i="15"/>
  <c r="L441" i="15"/>
  <c r="E412" i="15" l="1"/>
  <c r="C413" i="15"/>
  <c r="D413" i="15" s="1"/>
  <c r="F413" i="15" s="1"/>
  <c r="B413" i="15"/>
  <c r="G413" i="15" s="1"/>
  <c r="O442" i="15"/>
  <c r="Q413" i="15"/>
  <c r="R413" i="15"/>
  <c r="E413" i="15" l="1"/>
  <c r="M442" i="15"/>
  <c r="L442" i="15"/>
  <c r="T414" i="15"/>
  <c r="J414" i="15" s="1"/>
  <c r="R414" i="15" l="1"/>
  <c r="T415" i="15" s="1"/>
  <c r="J415" i="15" s="1"/>
  <c r="Q414" i="15"/>
  <c r="O443" i="15"/>
  <c r="L443" i="15" s="1"/>
  <c r="B414" i="15"/>
  <c r="G414" i="15" s="1"/>
  <c r="C414" i="15"/>
  <c r="D414" i="15" s="1"/>
  <c r="O444" i="15" l="1"/>
  <c r="F414" i="15"/>
  <c r="Q415" i="15"/>
  <c r="B415" i="15"/>
  <c r="G415" i="15" s="1"/>
  <c r="C415" i="15"/>
  <c r="D415" i="15" s="1"/>
  <c r="R415" i="15"/>
  <c r="M443" i="15"/>
  <c r="M444" i="15" l="1"/>
  <c r="F415" i="15"/>
  <c r="E414" i="15"/>
  <c r="O445" i="15"/>
  <c r="T416" i="15"/>
  <c r="J416" i="15" s="1"/>
  <c r="L444" i="15"/>
  <c r="Q416" i="15" l="1"/>
  <c r="R416" i="15"/>
  <c r="T417" i="15"/>
  <c r="J417" i="15" s="1"/>
  <c r="L445" i="15"/>
  <c r="M445" i="15"/>
  <c r="E415" i="15"/>
  <c r="B416" i="15"/>
  <c r="G416" i="15" s="1"/>
  <c r="C416" i="15"/>
  <c r="D416" i="15" s="1"/>
  <c r="F416" i="15" s="1"/>
  <c r="O446" i="15" l="1"/>
  <c r="B417" i="15"/>
  <c r="G417" i="15" s="1"/>
  <c r="C417" i="15"/>
  <c r="D417" i="15" s="1"/>
  <c r="R417" i="15"/>
  <c r="E416" i="15"/>
  <c r="Q417" i="15"/>
  <c r="F417" i="15" l="1"/>
  <c r="T418" i="15"/>
  <c r="J418" i="15" s="1"/>
  <c r="L446" i="15"/>
  <c r="M446" i="15"/>
  <c r="Q418" i="15" l="1"/>
  <c r="O447" i="15"/>
  <c r="M447" i="15" s="1"/>
  <c r="B418" i="15"/>
  <c r="G418" i="15" s="1"/>
  <c r="C418" i="15"/>
  <c r="D418" i="15" s="1"/>
  <c r="F418" i="15" s="1"/>
  <c r="R418" i="15"/>
  <c r="E417" i="15"/>
  <c r="O448" i="15" l="1"/>
  <c r="E418" i="15"/>
  <c r="T419" i="15"/>
  <c r="J419" i="15" s="1"/>
  <c r="L447" i="15"/>
  <c r="L448" i="15" l="1"/>
  <c r="R419" i="15"/>
  <c r="Q419" i="15"/>
  <c r="T420" i="15" s="1"/>
  <c r="J420" i="15" s="1"/>
  <c r="B419" i="15"/>
  <c r="G419" i="15" s="1"/>
  <c r="C419" i="15"/>
  <c r="D419" i="15" s="1"/>
  <c r="M448" i="15"/>
  <c r="R420" i="15" l="1"/>
  <c r="F419" i="15"/>
  <c r="O449" i="15"/>
  <c r="B420" i="15"/>
  <c r="G420" i="15" s="1"/>
  <c r="C420" i="15"/>
  <c r="D420" i="15" s="1"/>
  <c r="Q420" i="15"/>
  <c r="T421" i="15" l="1"/>
  <c r="L449" i="15"/>
  <c r="M449" i="15"/>
  <c r="F420" i="15"/>
  <c r="E419" i="15"/>
  <c r="E420" i="15" l="1"/>
  <c r="O450" i="15"/>
  <c r="J421" i="15"/>
  <c r="R421" i="15"/>
  <c r="Q421" i="15"/>
  <c r="T422" i="15" l="1"/>
  <c r="J422" i="15" s="1"/>
  <c r="L450" i="15"/>
  <c r="B421" i="15"/>
  <c r="G421" i="15" s="1"/>
  <c r="C421" i="15"/>
  <c r="D421" i="15" s="1"/>
  <c r="M450" i="15"/>
  <c r="R422" i="15" l="1"/>
  <c r="F421" i="15"/>
  <c r="O451" i="15"/>
  <c r="L451" i="15" s="1"/>
  <c r="B422" i="15"/>
  <c r="G422" i="15" s="1"/>
  <c r="C422" i="15"/>
  <c r="D422" i="15" s="1"/>
  <c r="Q422" i="15"/>
  <c r="F422" i="15" l="1"/>
  <c r="E421" i="15"/>
  <c r="M451" i="15"/>
  <c r="T423" i="15"/>
  <c r="Q423" i="15" s="1"/>
  <c r="J423" i="15" l="1"/>
  <c r="R423" i="15"/>
  <c r="O452" i="15"/>
  <c r="E422" i="15"/>
  <c r="L452" i="15" l="1"/>
  <c r="M452" i="15"/>
  <c r="T424" i="15"/>
  <c r="R424" i="15" s="1"/>
  <c r="B423" i="15"/>
  <c r="G423" i="15" s="1"/>
  <c r="C423" i="15"/>
  <c r="D423" i="15" s="1"/>
  <c r="T425" i="15" l="1"/>
  <c r="J425" i="15" s="1"/>
  <c r="F423" i="15"/>
  <c r="J424" i="15"/>
  <c r="Q424" i="15"/>
  <c r="O453" i="15"/>
  <c r="M453" i="15" s="1"/>
  <c r="Q425" i="15" l="1"/>
  <c r="L453" i="15"/>
  <c r="B424" i="15"/>
  <c r="G424" i="15" s="1"/>
  <c r="C424" i="15"/>
  <c r="D424" i="15" s="1"/>
  <c r="B425" i="15"/>
  <c r="G425" i="15" s="1"/>
  <c r="C425" i="15"/>
  <c r="O454" i="15"/>
  <c r="E423" i="15"/>
  <c r="R425" i="15"/>
  <c r="D425" i="15" l="1"/>
  <c r="M454" i="15"/>
  <c r="T426" i="15"/>
  <c r="F424" i="15"/>
  <c r="L454" i="15"/>
  <c r="F425" i="15" l="1"/>
  <c r="E424" i="15"/>
  <c r="O455" i="15"/>
  <c r="L455" i="15" s="1"/>
  <c r="J426" i="15"/>
  <c r="Q426" i="15"/>
  <c r="R426" i="15"/>
  <c r="T427" i="15" l="1"/>
  <c r="J427" i="15" s="1"/>
  <c r="B426" i="15"/>
  <c r="G426" i="15" s="1"/>
  <c r="C426" i="15"/>
  <c r="D426" i="15" s="1"/>
  <c r="M455" i="15"/>
  <c r="E425" i="15"/>
  <c r="O456" i="15" l="1"/>
  <c r="B427" i="15"/>
  <c r="G427" i="15" s="1"/>
  <c r="C427" i="15"/>
  <c r="D427" i="15" s="1"/>
  <c r="R427" i="15"/>
  <c r="F426" i="15"/>
  <c r="Q427" i="15"/>
  <c r="T428" i="15" l="1"/>
  <c r="J428" i="15" s="1"/>
  <c r="F427" i="15"/>
  <c r="E426" i="15"/>
  <c r="L456" i="15"/>
  <c r="M456" i="15"/>
  <c r="R428" i="15" l="1"/>
  <c r="E427" i="15"/>
  <c r="B428" i="15"/>
  <c r="G428" i="15" s="1"/>
  <c r="C428" i="15"/>
  <c r="D428" i="15" s="1"/>
  <c r="Q428" i="15"/>
  <c r="O457" i="15"/>
  <c r="M457" i="15" s="1"/>
  <c r="O458" i="15" l="1"/>
  <c r="T429" i="15"/>
  <c r="Q429" i="15" s="1"/>
  <c r="F428" i="15"/>
  <c r="L457" i="15"/>
  <c r="L458" i="15" l="1"/>
  <c r="T430" i="15"/>
  <c r="J430" i="15" s="1"/>
  <c r="E428" i="15"/>
  <c r="J429" i="15"/>
  <c r="R429" i="15"/>
  <c r="M458" i="15"/>
  <c r="R430" i="15" l="1"/>
  <c r="B429" i="15"/>
  <c r="G429" i="15" s="1"/>
  <c r="C429" i="15"/>
  <c r="D429" i="15" s="1"/>
  <c r="B430" i="15"/>
  <c r="G430" i="15" s="1"/>
  <c r="C430" i="15"/>
  <c r="O459" i="15"/>
  <c r="M459" i="15" s="1"/>
  <c r="Q430" i="15"/>
  <c r="O460" i="15" l="1"/>
  <c r="T431" i="15"/>
  <c r="Q431" i="15" s="1"/>
  <c r="D430" i="15"/>
  <c r="F429" i="15"/>
  <c r="L459" i="15"/>
  <c r="L460" i="15" l="1"/>
  <c r="F430" i="15"/>
  <c r="E429" i="15"/>
  <c r="J431" i="15"/>
  <c r="R431" i="15"/>
  <c r="M460" i="15"/>
  <c r="T432" i="15" l="1"/>
  <c r="B431" i="15"/>
  <c r="G431" i="15" s="1"/>
  <c r="C431" i="15"/>
  <c r="D431" i="15" s="1"/>
  <c r="F431" i="15" s="1"/>
  <c r="E430" i="15"/>
  <c r="O461" i="15"/>
  <c r="E431" i="15" l="1"/>
  <c r="L461" i="15"/>
  <c r="M461" i="15"/>
  <c r="J432" i="15"/>
  <c r="Q432" i="15"/>
  <c r="R432" i="15"/>
  <c r="B432" i="15" l="1"/>
  <c r="G432" i="15" s="1"/>
  <c r="C432" i="15"/>
  <c r="D432" i="15" s="1"/>
  <c r="T433" i="15"/>
  <c r="J433" i="15" s="1"/>
  <c r="O462" i="15"/>
  <c r="R433" i="15" l="1"/>
  <c r="Q433" i="15"/>
  <c r="L462" i="15"/>
  <c r="F432" i="15"/>
  <c r="B433" i="15"/>
  <c r="G433" i="15" s="1"/>
  <c r="C433" i="15"/>
  <c r="D433" i="15" s="1"/>
  <c r="M462" i="15"/>
  <c r="F433" i="15" l="1"/>
  <c r="E432" i="15"/>
  <c r="T434" i="15"/>
  <c r="O463" i="15"/>
  <c r="J434" i="15" l="1"/>
  <c r="R434" i="15"/>
  <c r="M463" i="15"/>
  <c r="Q434" i="15"/>
  <c r="E433" i="15"/>
  <c r="L463" i="15"/>
  <c r="T435" i="15" l="1"/>
  <c r="J435" i="15" s="1"/>
  <c r="O464" i="15"/>
  <c r="M464" i="15" s="1"/>
  <c r="B434" i="15"/>
  <c r="G434" i="15" s="1"/>
  <c r="C434" i="15"/>
  <c r="D434" i="15" s="1"/>
  <c r="F434" i="15" l="1"/>
  <c r="B435" i="15"/>
  <c r="G435" i="15" s="1"/>
  <c r="C435" i="15"/>
  <c r="D435" i="15" s="1"/>
  <c r="Q435" i="15"/>
  <c r="L464" i="15"/>
  <c r="R435" i="15"/>
  <c r="T436" i="15" l="1"/>
  <c r="J436" i="15" s="1"/>
  <c r="O465" i="15"/>
  <c r="L465" i="15" s="1"/>
  <c r="F435" i="15"/>
  <c r="E434" i="15"/>
  <c r="R436" i="15"/>
  <c r="O466" i="15" l="1"/>
  <c r="E435" i="15"/>
  <c r="M465" i="15"/>
  <c r="B436" i="15"/>
  <c r="G436" i="15" s="1"/>
  <c r="C436" i="15"/>
  <c r="D436" i="15" s="1"/>
  <c r="F436" i="15" s="1"/>
  <c r="Q436" i="15"/>
  <c r="M466" i="15" l="1"/>
  <c r="E436" i="15"/>
  <c r="O467" i="15"/>
  <c r="T437" i="15"/>
  <c r="L466" i="15"/>
  <c r="J437" i="15" l="1"/>
  <c r="R437" i="15"/>
  <c r="Q437" i="15"/>
  <c r="M467" i="15"/>
  <c r="L467" i="15"/>
  <c r="O468" i="15" l="1"/>
  <c r="T438" i="15"/>
  <c r="J438" i="15" s="1"/>
  <c r="B437" i="15"/>
  <c r="G437" i="15" s="1"/>
  <c r="C437" i="15"/>
  <c r="D437" i="15" s="1"/>
  <c r="F437" i="15" l="1"/>
  <c r="B438" i="15"/>
  <c r="G438" i="15" s="1"/>
  <c r="C438" i="15"/>
  <c r="D438" i="15" s="1"/>
  <c r="Q438" i="15"/>
  <c r="R438" i="15"/>
  <c r="M468" i="15"/>
  <c r="L468" i="15"/>
  <c r="T439" i="15" l="1"/>
  <c r="J439" i="15" s="1"/>
  <c r="F438" i="15"/>
  <c r="E437" i="15"/>
  <c r="O469" i="15"/>
  <c r="M469" i="15" s="1"/>
  <c r="R439" i="15" l="1"/>
  <c r="E438" i="15"/>
  <c r="B439" i="15"/>
  <c r="G439" i="15" s="1"/>
  <c r="C439" i="15"/>
  <c r="D439" i="15" s="1"/>
  <c r="Q439" i="15"/>
  <c r="L469" i="15"/>
  <c r="T440" i="15" l="1"/>
  <c r="F439" i="15"/>
  <c r="O470" i="15"/>
  <c r="M470" i="15" l="1"/>
  <c r="L470" i="15"/>
  <c r="E439" i="15"/>
  <c r="J440" i="15"/>
  <c r="R440" i="15"/>
  <c r="Q440" i="15"/>
  <c r="T441" i="15" l="1"/>
  <c r="J441" i="15" s="1"/>
  <c r="B440" i="15"/>
  <c r="G440" i="15" s="1"/>
  <c r="C440" i="15"/>
  <c r="D440" i="15" s="1"/>
  <c r="O471" i="15"/>
  <c r="L471" i="15" l="1"/>
  <c r="M471" i="15"/>
  <c r="F440" i="15"/>
  <c r="B441" i="15"/>
  <c r="G441" i="15" s="1"/>
  <c r="C441" i="15"/>
  <c r="D441" i="15" s="1"/>
  <c r="Q441" i="15"/>
  <c r="R441" i="15"/>
  <c r="O472" i="15" l="1"/>
  <c r="M472" i="15" s="1"/>
  <c r="F441" i="15"/>
  <c r="E440" i="15"/>
  <c r="L472" i="15"/>
  <c r="T442" i="15"/>
  <c r="J442" i="15" s="1"/>
  <c r="R442" i="15" l="1"/>
  <c r="Q442" i="15"/>
  <c r="O473" i="15"/>
  <c r="L473" i="15" s="1"/>
  <c r="E441" i="15"/>
  <c r="T443" i="15"/>
  <c r="J443" i="15" s="1"/>
  <c r="B442" i="15"/>
  <c r="G442" i="15" s="1"/>
  <c r="C442" i="15"/>
  <c r="D442" i="15" s="1"/>
  <c r="Q443" i="15" l="1"/>
  <c r="R443" i="15"/>
  <c r="B443" i="15"/>
  <c r="G443" i="15" s="1"/>
  <c r="C443" i="15"/>
  <c r="D443" i="15" s="1"/>
  <c r="F442" i="15"/>
  <c r="M473" i="15"/>
  <c r="F443" i="15" l="1"/>
  <c r="E442" i="15"/>
  <c r="T444" i="15"/>
  <c r="R444" i="15" s="1"/>
  <c r="O474" i="15"/>
  <c r="M474" i="15" s="1"/>
  <c r="L474" i="15" l="1"/>
  <c r="J444" i="15"/>
  <c r="Q444" i="15"/>
  <c r="E443" i="15"/>
  <c r="T445" i="15" l="1"/>
  <c r="Q445" i="15" s="1"/>
  <c r="B444" i="15"/>
  <c r="G444" i="15" s="1"/>
  <c r="C444" i="15"/>
  <c r="D444" i="15" s="1"/>
  <c r="O475" i="15"/>
  <c r="M475" i="15" l="1"/>
  <c r="T446" i="15"/>
  <c r="J446" i="15" s="1"/>
  <c r="L475" i="15"/>
  <c r="F444" i="15"/>
  <c r="J445" i="15"/>
  <c r="R445" i="15"/>
  <c r="O476" i="15" l="1"/>
  <c r="L476" i="15" s="1"/>
  <c r="B445" i="15"/>
  <c r="G445" i="15" s="1"/>
  <c r="C445" i="15"/>
  <c r="D445" i="15" s="1"/>
  <c r="F445" i="15" s="1"/>
  <c r="B446" i="15"/>
  <c r="G446" i="15" s="1"/>
  <c r="C446" i="15"/>
  <c r="E444" i="15"/>
  <c r="Q446" i="15"/>
  <c r="R446" i="15"/>
  <c r="M476" i="15" l="1"/>
  <c r="E445" i="15"/>
  <c r="O477" i="15"/>
  <c r="D446" i="15"/>
  <c r="F446" i="15" s="1"/>
  <c r="T447" i="15"/>
  <c r="J447" i="15" s="1"/>
  <c r="Q447" i="15" l="1"/>
  <c r="T448" i="15" s="1"/>
  <c r="J448" i="15" s="1"/>
  <c r="E446" i="15"/>
  <c r="M477" i="15"/>
  <c r="L477" i="15"/>
  <c r="B447" i="15"/>
  <c r="G447" i="15" s="1"/>
  <c r="C447" i="15"/>
  <c r="D447" i="15" s="1"/>
  <c r="R447" i="15"/>
  <c r="B448" i="15" l="1"/>
  <c r="G448" i="15" s="1"/>
  <c r="C448" i="15"/>
  <c r="D448" i="15" s="1"/>
  <c r="O478" i="15"/>
  <c r="Q448" i="15"/>
  <c r="R448" i="15"/>
  <c r="F447" i="15"/>
  <c r="T449" i="15" l="1"/>
  <c r="J449" i="15" s="1"/>
  <c r="M478" i="15"/>
  <c r="L478" i="15"/>
  <c r="F448" i="15"/>
  <c r="E447" i="15"/>
  <c r="R449" i="15" l="1"/>
  <c r="O479" i="15"/>
  <c r="E448" i="15"/>
  <c r="B449" i="15"/>
  <c r="G449" i="15" s="1"/>
  <c r="C449" i="15"/>
  <c r="D449" i="15" s="1"/>
  <c r="Q449" i="15"/>
  <c r="F449" i="15" l="1"/>
  <c r="M479" i="15"/>
  <c r="T450" i="15"/>
  <c r="L479" i="15"/>
  <c r="J450" i="15" l="1"/>
  <c r="R450" i="15"/>
  <c r="O480" i="15"/>
  <c r="Q450" i="15"/>
  <c r="E449" i="15"/>
  <c r="M480" i="15" l="1"/>
  <c r="T451" i="15"/>
  <c r="J451" i="15" s="1"/>
  <c r="B450" i="15"/>
  <c r="G450" i="15" s="1"/>
  <c r="C450" i="15"/>
  <c r="D450" i="15" s="1"/>
  <c r="L480" i="15"/>
  <c r="F450" i="15" l="1"/>
  <c r="R451" i="15"/>
  <c r="B451" i="15"/>
  <c r="G451" i="15" s="1"/>
  <c r="C451" i="15"/>
  <c r="D451" i="15" s="1"/>
  <c r="O481" i="15"/>
  <c r="M481" i="15" s="1"/>
  <c r="Q451" i="15"/>
  <c r="O482" i="15" l="1"/>
  <c r="F451" i="15"/>
  <c r="E450" i="15"/>
  <c r="L481" i="15"/>
  <c r="T452" i="15"/>
  <c r="J452" i="15" s="1"/>
  <c r="L482" i="15" l="1"/>
  <c r="R452" i="15"/>
  <c r="Q452" i="15"/>
  <c r="T453" i="15"/>
  <c r="J453" i="15" s="1"/>
  <c r="E451" i="15"/>
  <c r="B452" i="15"/>
  <c r="G452" i="15" s="1"/>
  <c r="C452" i="15"/>
  <c r="D452" i="15" s="1"/>
  <c r="F452" i="15" s="1"/>
  <c r="M482" i="15"/>
  <c r="Q453" i="15" l="1"/>
  <c r="E452" i="15"/>
  <c r="O483" i="15"/>
  <c r="M483" i="15" s="1"/>
  <c r="B453" i="15"/>
  <c r="G453" i="15" s="1"/>
  <c r="C453" i="15"/>
  <c r="D453" i="15" s="1"/>
  <c r="R453" i="15"/>
  <c r="L483" i="15" l="1"/>
  <c r="F453" i="15"/>
  <c r="T454" i="15"/>
  <c r="E453" i="15" l="1"/>
  <c r="J454" i="15"/>
  <c r="Q454" i="15"/>
  <c r="R454" i="15"/>
  <c r="O484" i="15"/>
  <c r="L484" i="15" s="1"/>
  <c r="M484" i="15" l="1"/>
  <c r="T455" i="15"/>
  <c r="J455" i="15" s="1"/>
  <c r="B454" i="15"/>
  <c r="G454" i="15" s="1"/>
  <c r="C454" i="15"/>
  <c r="D454" i="15" s="1"/>
  <c r="Q455" i="15"/>
  <c r="F454" i="15" l="1"/>
  <c r="B455" i="15"/>
  <c r="G455" i="15" s="1"/>
  <c r="C455" i="15"/>
  <c r="D455" i="15" s="1"/>
  <c r="R455" i="15"/>
  <c r="O485" i="15"/>
  <c r="T456" i="15" l="1"/>
  <c r="L485" i="15"/>
  <c r="M485" i="15"/>
  <c r="F455" i="15"/>
  <c r="E454" i="15"/>
  <c r="E455" i="15" l="1"/>
  <c r="O486" i="15"/>
  <c r="J456" i="15"/>
  <c r="Q456" i="15"/>
  <c r="R456" i="15"/>
  <c r="B456" i="15" l="1"/>
  <c r="G456" i="15" s="1"/>
  <c r="C456" i="15"/>
  <c r="D456" i="15" s="1"/>
  <c r="T457" i="15"/>
  <c r="J457" i="15" s="1"/>
  <c r="L486" i="15"/>
  <c r="M486" i="15"/>
  <c r="Q457" i="15" l="1"/>
  <c r="B457" i="15"/>
  <c r="G457" i="15" s="1"/>
  <c r="C457" i="15"/>
  <c r="D457" i="15" s="1"/>
  <c r="F456" i="15"/>
  <c r="O487" i="15"/>
  <c r="L487" i="15" s="1"/>
  <c r="R457" i="15"/>
  <c r="F457" i="15" l="1"/>
  <c r="E456" i="15"/>
  <c r="T458" i="15"/>
  <c r="J458" i="15" s="1"/>
  <c r="M487" i="15"/>
  <c r="R458" i="15" l="1"/>
  <c r="Q458" i="15"/>
  <c r="B458" i="15"/>
  <c r="G458" i="15" s="1"/>
  <c r="C458" i="15"/>
  <c r="D458" i="15" s="1"/>
  <c r="F458" i="15" s="1"/>
  <c r="E457" i="15"/>
  <c r="O488" i="15"/>
  <c r="E458" i="15" l="1"/>
  <c r="L488" i="15"/>
  <c r="M488" i="15"/>
  <c r="T459" i="15"/>
  <c r="J459" i="15" s="1"/>
  <c r="O489" i="15" l="1"/>
  <c r="B459" i="15"/>
  <c r="G459" i="15" s="1"/>
  <c r="C459" i="15"/>
  <c r="D459" i="15" s="1"/>
  <c r="Q459" i="15"/>
  <c r="L489" i="15"/>
  <c r="R459" i="15"/>
  <c r="T460" i="15" l="1"/>
  <c r="J460" i="15" s="1"/>
  <c r="F459" i="15"/>
  <c r="M489" i="15"/>
  <c r="O490" i="15" l="1"/>
  <c r="M490" i="15" s="1"/>
  <c r="E459" i="15"/>
  <c r="B460" i="15"/>
  <c r="G460" i="15" s="1"/>
  <c r="C460" i="15"/>
  <c r="D460" i="15" s="1"/>
  <c r="Q460" i="15"/>
  <c r="R460" i="15"/>
  <c r="O491" i="15" l="1"/>
  <c r="M491" i="15" s="1"/>
  <c r="T461" i="15"/>
  <c r="J461" i="15" s="1"/>
  <c r="F460" i="15"/>
  <c r="L490" i="15"/>
  <c r="O492" i="15" l="1"/>
  <c r="Q461" i="15"/>
  <c r="B461" i="15"/>
  <c r="G461" i="15" s="1"/>
  <c r="C461" i="15"/>
  <c r="D461" i="15" s="1"/>
  <c r="F461" i="15" s="1"/>
  <c r="E460" i="15"/>
  <c r="L491" i="15"/>
  <c r="R461" i="15"/>
  <c r="E461" i="15" l="1"/>
  <c r="T462" i="15"/>
  <c r="J462" i="15" s="1"/>
  <c r="L492" i="15"/>
  <c r="M492" i="15"/>
  <c r="B462" i="15" l="1"/>
  <c r="G462" i="15" s="1"/>
  <c r="C462" i="15"/>
  <c r="D462" i="15" s="1"/>
  <c r="R462" i="15"/>
  <c r="Q462" i="15"/>
  <c r="O493" i="15"/>
  <c r="T463" i="15" l="1"/>
  <c r="J463" i="15" s="1"/>
  <c r="F462" i="15"/>
  <c r="M493" i="15"/>
  <c r="L493" i="15"/>
  <c r="O494" i="15" l="1"/>
  <c r="E462" i="15"/>
  <c r="B463" i="15"/>
  <c r="G463" i="15" s="1"/>
  <c r="C463" i="15"/>
  <c r="D463" i="15" s="1"/>
  <c r="R463" i="15"/>
  <c r="Q463" i="15"/>
  <c r="T464" i="15" l="1"/>
  <c r="J464" i="15" s="1"/>
  <c r="F463" i="15"/>
  <c r="L494" i="15"/>
  <c r="Q464" i="15"/>
  <c r="M494" i="15"/>
  <c r="O495" i="15" l="1"/>
  <c r="L495" i="15" s="1"/>
  <c r="E463" i="15"/>
  <c r="B464" i="15"/>
  <c r="G464" i="15" s="1"/>
  <c r="C464" i="15"/>
  <c r="D464" i="15" s="1"/>
  <c r="R464" i="15"/>
  <c r="O496" i="15" l="1"/>
  <c r="F464" i="15"/>
  <c r="T465" i="15"/>
  <c r="R465" i="15" s="1"/>
  <c r="M495" i="15"/>
  <c r="M496" i="15" s="1"/>
  <c r="T466" i="15" l="1"/>
  <c r="J466" i="15" s="1"/>
  <c r="J465" i="15"/>
  <c r="Q465" i="15"/>
  <c r="Q466" i="15" s="1"/>
  <c r="O497" i="15"/>
  <c r="M497" i="15" s="1"/>
  <c r="E464" i="15"/>
  <c r="L496" i="15"/>
  <c r="O498" i="15" l="1"/>
  <c r="L497" i="15"/>
  <c r="B465" i="15"/>
  <c r="G465" i="15" s="1"/>
  <c r="C465" i="15"/>
  <c r="D465" i="15" s="1"/>
  <c r="B466" i="15"/>
  <c r="G466" i="15" s="1"/>
  <c r="C466" i="15"/>
  <c r="R466" i="15"/>
  <c r="L498" i="15" l="1"/>
  <c r="D466" i="15"/>
  <c r="F465" i="15"/>
  <c r="T467" i="15"/>
  <c r="M498" i="15"/>
  <c r="O499" i="15" l="1"/>
  <c r="F466" i="15"/>
  <c r="E465" i="15"/>
  <c r="J467" i="15"/>
  <c r="Q467" i="15"/>
  <c r="R467" i="15"/>
  <c r="E466" i="15" l="1"/>
  <c r="T468" i="15"/>
  <c r="J468" i="15" s="1"/>
  <c r="B467" i="15"/>
  <c r="G467" i="15" s="1"/>
  <c r="C467" i="15"/>
  <c r="D467" i="15" s="1"/>
  <c r="L499" i="15"/>
  <c r="M499" i="15"/>
  <c r="B468" i="15" l="1"/>
  <c r="G468" i="15" s="1"/>
  <c r="C468" i="15"/>
  <c r="D468" i="15" s="1"/>
  <c r="F467" i="15"/>
  <c r="R468" i="15"/>
  <c r="O500" i="15"/>
  <c r="L500" i="15" s="1"/>
  <c r="Q468" i="15"/>
  <c r="T469" i="15" l="1"/>
  <c r="J469" i="15" s="1"/>
  <c r="M500" i="15"/>
  <c r="F468" i="15"/>
  <c r="E467" i="15"/>
  <c r="E468" i="15" l="1"/>
  <c r="O501" i="15"/>
  <c r="M501" i="15" s="1"/>
  <c r="C469" i="15"/>
  <c r="D469" i="15" s="1"/>
  <c r="B469" i="15"/>
  <c r="G469" i="15" s="1"/>
  <c r="R469" i="15"/>
  <c r="Q469" i="15"/>
  <c r="O502" i="15" l="1"/>
  <c r="T470" i="15"/>
  <c r="J470" i="15" s="1"/>
  <c r="L501" i="15"/>
  <c r="L502" i="15" s="1"/>
  <c r="F469" i="15"/>
  <c r="C470" i="15" l="1"/>
  <c r="D470" i="15" s="1"/>
  <c r="B470" i="15"/>
  <c r="G470" i="15" s="1"/>
  <c r="R470" i="15"/>
  <c r="Q470" i="15"/>
  <c r="F470" i="15"/>
  <c r="E469" i="15"/>
  <c r="M502" i="15"/>
  <c r="E470" i="15" l="1"/>
  <c r="T471" i="15"/>
  <c r="J471" i="15" s="1"/>
  <c r="O503" i="15"/>
  <c r="L503" i="15" l="1"/>
  <c r="C471" i="15"/>
  <c r="D471" i="15" s="1"/>
  <c r="B471" i="15"/>
  <c r="G471" i="15" s="1"/>
  <c r="M503" i="15"/>
  <c r="Q471" i="15"/>
  <c r="R471" i="15"/>
  <c r="T472" i="15" l="1"/>
  <c r="J472" i="15" s="1"/>
  <c r="F471" i="15"/>
  <c r="O504" i="15"/>
  <c r="E471" i="15" l="1"/>
  <c r="L504" i="15"/>
  <c r="C472" i="15"/>
  <c r="D472" i="15" s="1"/>
  <c r="B472" i="15"/>
  <c r="G472" i="15" s="1"/>
  <c r="Q472" i="15"/>
  <c r="R472" i="15"/>
  <c r="M504" i="15"/>
  <c r="T473" i="15" l="1"/>
  <c r="J473" i="15" s="1"/>
  <c r="F472" i="15"/>
  <c r="O505" i="15"/>
  <c r="L505" i="15" s="1"/>
  <c r="O506" i="15" l="1"/>
  <c r="C473" i="15"/>
  <c r="D473" i="15" s="1"/>
  <c r="F473" i="15" s="1"/>
  <c r="B473" i="15"/>
  <c r="G473" i="15" s="1"/>
  <c r="M505" i="15"/>
  <c r="M506" i="15" s="1"/>
  <c r="E472" i="15"/>
  <c r="Q473" i="15"/>
  <c r="R473" i="15"/>
  <c r="E473" i="15" l="1"/>
  <c r="O507" i="15"/>
  <c r="M507" i="15" s="1"/>
  <c r="T474" i="15"/>
  <c r="J474" i="15" s="1"/>
  <c r="L506" i="15"/>
  <c r="O508" i="15" l="1"/>
  <c r="C474" i="15"/>
  <c r="D474" i="15" s="1"/>
  <c r="B474" i="15"/>
  <c r="G474" i="15" s="1"/>
  <c r="R474" i="15"/>
  <c r="L507" i="15"/>
  <c r="L508" i="15" s="1"/>
  <c r="Q474" i="15"/>
  <c r="T475" i="15" l="1"/>
  <c r="J475" i="15" s="1"/>
  <c r="F474" i="15"/>
  <c r="M508" i="15"/>
  <c r="O509" i="15" l="1"/>
  <c r="E474" i="15"/>
  <c r="C475" i="15"/>
  <c r="D475" i="15" s="1"/>
  <c r="F475" i="15" s="1"/>
  <c r="B475" i="15"/>
  <c r="G475" i="15" s="1"/>
  <c r="R475" i="15"/>
  <c r="Q475" i="15"/>
  <c r="E475" i="15" l="1"/>
  <c r="T476" i="15"/>
  <c r="J476" i="15" s="1"/>
  <c r="L509" i="15"/>
  <c r="M509" i="15"/>
  <c r="C476" i="15" l="1"/>
  <c r="D476" i="15" s="1"/>
  <c r="B476" i="15"/>
  <c r="G476" i="15" s="1"/>
  <c r="Q476" i="15"/>
  <c r="R476" i="15"/>
  <c r="O510" i="15"/>
  <c r="M510" i="15" s="1"/>
  <c r="O511" i="15" l="1"/>
  <c r="T477" i="15"/>
  <c r="J477" i="15" s="1"/>
  <c r="F476" i="15"/>
  <c r="L510" i="15"/>
  <c r="R477" i="15" l="1"/>
  <c r="E476" i="15"/>
  <c r="B477" i="15"/>
  <c r="G477" i="15" s="1"/>
  <c r="C477" i="15"/>
  <c r="D477" i="15" s="1"/>
  <c r="Q477" i="15"/>
  <c r="L511" i="15"/>
  <c r="M511" i="15"/>
  <c r="O512" i="15" l="1"/>
  <c r="M512" i="15" s="1"/>
  <c r="T478" i="15"/>
  <c r="F477" i="15"/>
  <c r="E477" i="15" l="1"/>
  <c r="J478" i="15"/>
  <c r="R478" i="15"/>
  <c r="Q478" i="15"/>
  <c r="L512" i="15"/>
  <c r="T479" i="15" l="1"/>
  <c r="J479" i="15" s="1"/>
  <c r="O513" i="15"/>
  <c r="L513" i="15" s="1"/>
  <c r="B478" i="15"/>
  <c r="G478" i="15" s="1"/>
  <c r="C478" i="15"/>
  <c r="D478" i="15" s="1"/>
  <c r="R479" i="15" l="1"/>
  <c r="F478" i="15"/>
  <c r="M513" i="15"/>
  <c r="C479" i="15"/>
  <c r="D479" i="15" s="1"/>
  <c r="B479" i="15"/>
  <c r="G479" i="15" s="1"/>
  <c r="Q479" i="15"/>
  <c r="O514" i="15" l="1"/>
  <c r="F479" i="15"/>
  <c r="E478" i="15"/>
  <c r="T480" i="15"/>
  <c r="E479" i="15" l="1"/>
  <c r="J480" i="15"/>
  <c r="R480" i="15"/>
  <c r="Q480" i="15"/>
  <c r="L514" i="15"/>
  <c r="M514" i="15"/>
  <c r="O515" i="15" l="1"/>
  <c r="B480" i="15"/>
  <c r="G480" i="15" s="1"/>
  <c r="C480" i="15"/>
  <c r="D480" i="15" s="1"/>
  <c r="T481" i="15"/>
  <c r="J481" i="15" s="1"/>
  <c r="Q481" i="15" l="1"/>
  <c r="B481" i="15"/>
  <c r="G481" i="15" s="1"/>
  <c r="C481" i="15"/>
  <c r="D481" i="15" s="1"/>
  <c r="R481" i="15"/>
  <c r="F480" i="15"/>
  <c r="L515" i="15"/>
  <c r="M515" i="15"/>
  <c r="O516" i="15" l="1"/>
  <c r="L516" i="15" s="1"/>
  <c r="F481" i="15"/>
  <c r="E480" i="15"/>
  <c r="T482" i="15"/>
  <c r="J482" i="15" s="1"/>
  <c r="M516" i="15" l="1"/>
  <c r="Q482" i="15"/>
  <c r="R482" i="15"/>
  <c r="E481" i="15"/>
  <c r="O517" i="15"/>
  <c r="T483" i="15"/>
  <c r="J483" i="15" s="1"/>
  <c r="B482" i="15"/>
  <c r="G482" i="15" s="1"/>
  <c r="C482" i="15"/>
  <c r="D482" i="15" s="1"/>
  <c r="M517" i="15" l="1"/>
  <c r="R483" i="15"/>
  <c r="C483" i="15"/>
  <c r="B483" i="15"/>
  <c r="G483" i="15" s="1"/>
  <c r="Q483" i="15"/>
  <c r="D483" i="15"/>
  <c r="F482" i="15"/>
  <c r="L517" i="15"/>
  <c r="F483" i="15" l="1"/>
  <c r="E482" i="15"/>
  <c r="T484" i="15"/>
  <c r="J484" i="15" s="1"/>
  <c r="O518" i="15"/>
  <c r="M518" i="15" s="1"/>
  <c r="R484" i="15" l="1"/>
  <c r="B484" i="15"/>
  <c r="G484" i="15" s="1"/>
  <c r="C484" i="15"/>
  <c r="D484" i="15" s="1"/>
  <c r="F484" i="15" s="1"/>
  <c r="Q484" i="15"/>
  <c r="L518" i="15"/>
  <c r="E483" i="15"/>
  <c r="T485" i="15" l="1"/>
  <c r="E484" i="15"/>
  <c r="O519" i="15"/>
  <c r="M519" i="15" l="1"/>
  <c r="L519" i="15"/>
  <c r="J485" i="15"/>
  <c r="R485" i="15"/>
  <c r="Q485" i="15"/>
  <c r="O520" i="15" l="1"/>
  <c r="M520" i="15" s="1"/>
  <c r="T486" i="15"/>
  <c r="J486" i="15" s="1"/>
  <c r="B485" i="15"/>
  <c r="G485" i="15" s="1"/>
  <c r="C485" i="15"/>
  <c r="D485" i="15" s="1"/>
  <c r="F485" i="15" l="1"/>
  <c r="R486" i="15"/>
  <c r="Q486" i="15"/>
  <c r="B486" i="15"/>
  <c r="G486" i="15" s="1"/>
  <c r="C486" i="15"/>
  <c r="D486" i="15" s="1"/>
  <c r="L520" i="15"/>
  <c r="F486" i="15" l="1"/>
  <c r="E485" i="15"/>
  <c r="T487" i="15"/>
  <c r="J487" i="15" s="1"/>
  <c r="O521" i="15"/>
  <c r="R487" i="15" l="1"/>
  <c r="M521" i="15"/>
  <c r="L521" i="15"/>
  <c r="T488" i="15"/>
  <c r="J488" i="15" s="1"/>
  <c r="C487" i="15"/>
  <c r="D487" i="15" s="1"/>
  <c r="B487" i="15"/>
  <c r="G487" i="15" s="1"/>
  <c r="Q487" i="15"/>
  <c r="Q488" i="15" s="1"/>
  <c r="E486" i="15"/>
  <c r="R488" i="15" l="1"/>
  <c r="O522" i="15"/>
  <c r="B488" i="15"/>
  <c r="G488" i="15" s="1"/>
  <c r="C488" i="15"/>
  <c r="D488" i="15" s="1"/>
  <c r="F487" i="15"/>
  <c r="L522" i="15" l="1"/>
  <c r="M522" i="15"/>
  <c r="T489" i="15"/>
  <c r="R489" i="15" s="1"/>
  <c r="F488" i="15"/>
  <c r="E487" i="15"/>
  <c r="J489" i="15" l="1"/>
  <c r="Q489" i="15"/>
  <c r="O523" i="15"/>
  <c r="M523" i="15" s="1"/>
  <c r="E488" i="15"/>
  <c r="L523" i="15" l="1"/>
  <c r="O524" i="15"/>
  <c r="L524" i="15" s="1"/>
  <c r="T490" i="15"/>
  <c r="B489" i="15"/>
  <c r="G489" i="15" s="1"/>
  <c r="C489" i="15"/>
  <c r="D489" i="15" s="1"/>
  <c r="F489" i="15" l="1"/>
  <c r="J490" i="15"/>
  <c r="R490" i="15"/>
  <c r="Q490" i="15"/>
  <c r="M524" i="15"/>
  <c r="O525" i="15" l="1"/>
  <c r="T491" i="15"/>
  <c r="J491" i="15" s="1"/>
  <c r="B490" i="15"/>
  <c r="G490" i="15" s="1"/>
  <c r="C490" i="15"/>
  <c r="D490" i="15" s="1"/>
  <c r="E489" i="15"/>
  <c r="L525" i="15" l="1"/>
  <c r="F490" i="15"/>
  <c r="C491" i="15"/>
  <c r="D491" i="15" s="1"/>
  <c r="B491" i="15"/>
  <c r="G491" i="15" s="1"/>
  <c r="Q491" i="15"/>
  <c r="R491" i="15"/>
  <c r="M525" i="15"/>
  <c r="F491" i="15" l="1"/>
  <c r="E490" i="15"/>
  <c r="T492" i="15"/>
  <c r="J492" i="15" s="1"/>
  <c r="O526" i="15"/>
  <c r="B492" i="15" l="1"/>
  <c r="G492" i="15" s="1"/>
  <c r="C492" i="15"/>
  <c r="D492" i="15" s="1"/>
  <c r="F492" i="15" s="1"/>
  <c r="Q492" i="15"/>
  <c r="L526" i="15"/>
  <c r="E491" i="15"/>
  <c r="R492" i="15"/>
  <c r="M526" i="15"/>
  <c r="T493" i="15" l="1"/>
  <c r="J493" i="15" s="1"/>
  <c r="E492" i="15"/>
  <c r="O527" i="15"/>
  <c r="L527" i="15" l="1"/>
  <c r="B493" i="15"/>
  <c r="G493" i="15" s="1"/>
  <c r="C493" i="15"/>
  <c r="D493" i="15" s="1"/>
  <c r="Q493" i="15"/>
  <c r="M527" i="15"/>
  <c r="R493" i="15"/>
  <c r="T494" i="15" l="1"/>
  <c r="J494" i="15" s="1"/>
  <c r="R494" i="15"/>
  <c r="O528" i="15"/>
  <c r="F493" i="15"/>
  <c r="L528" i="15" l="1"/>
  <c r="E493" i="15"/>
  <c r="M528" i="15"/>
  <c r="B494" i="15"/>
  <c r="G494" i="15" s="1"/>
  <c r="C494" i="15"/>
  <c r="D494" i="15" s="1"/>
  <c r="Q494" i="15"/>
  <c r="O529" i="15" l="1"/>
  <c r="F494" i="15"/>
  <c r="T495" i="15"/>
  <c r="Q495" i="15" s="1"/>
  <c r="T496" i="15" l="1"/>
  <c r="J496" i="15" s="1"/>
  <c r="E494" i="15"/>
  <c r="J495" i="15"/>
  <c r="R495" i="15"/>
  <c r="R496" i="15" s="1"/>
  <c r="M529" i="15"/>
  <c r="L529" i="15"/>
  <c r="C495" i="15" l="1"/>
  <c r="D495" i="15" s="1"/>
  <c r="B495" i="15"/>
  <c r="G495" i="15" s="1"/>
  <c r="B496" i="15"/>
  <c r="G496" i="15" s="1"/>
  <c r="C496" i="15"/>
  <c r="T497" i="15"/>
  <c r="J497" i="15" s="1"/>
  <c r="O530" i="15"/>
  <c r="L530" i="15" s="1"/>
  <c r="Q496" i="15"/>
  <c r="M530" i="15" l="1"/>
  <c r="B497" i="15"/>
  <c r="G497" i="15" s="1"/>
  <c r="C497" i="15"/>
  <c r="R497" i="15"/>
  <c r="O531" i="15"/>
  <c r="Q497" i="15"/>
  <c r="D496" i="15"/>
  <c r="D497" i="15" s="1"/>
  <c r="F495" i="15"/>
  <c r="T498" i="15" l="1"/>
  <c r="J498" i="15" s="1"/>
  <c r="M531" i="15"/>
  <c r="L531" i="15"/>
  <c r="F496" i="15"/>
  <c r="E495" i="15"/>
  <c r="Q498" i="15" l="1"/>
  <c r="F497" i="15"/>
  <c r="E496" i="15"/>
  <c r="O532" i="15"/>
  <c r="B498" i="15"/>
  <c r="G498" i="15" s="1"/>
  <c r="C498" i="15"/>
  <c r="D498" i="15" s="1"/>
  <c r="R498" i="15"/>
  <c r="L532" i="15" l="1"/>
  <c r="M532" i="15"/>
  <c r="T499" i="15"/>
  <c r="F498" i="15"/>
  <c r="E497" i="15"/>
  <c r="E498" i="15" l="1"/>
  <c r="J499" i="15"/>
  <c r="Q499" i="15"/>
  <c r="R499" i="15"/>
  <c r="O533" i="15"/>
  <c r="L533" i="15" s="1"/>
  <c r="T500" i="15" l="1"/>
  <c r="J500" i="15" s="1"/>
  <c r="M533" i="15"/>
  <c r="C499" i="15"/>
  <c r="D499" i="15" s="1"/>
  <c r="B499" i="15"/>
  <c r="G499" i="15" s="1"/>
  <c r="Q500" i="15" l="1"/>
  <c r="T501" i="15" s="1"/>
  <c r="J501" i="15" s="1"/>
  <c r="F499" i="15"/>
  <c r="O534" i="15"/>
  <c r="B500" i="15"/>
  <c r="G500" i="15" s="1"/>
  <c r="C500" i="15"/>
  <c r="D500" i="15" s="1"/>
  <c r="R500" i="15"/>
  <c r="L534" i="15" l="1"/>
  <c r="M534" i="15"/>
  <c r="B501" i="15"/>
  <c r="G501" i="15" s="1"/>
  <c r="C501" i="15"/>
  <c r="D501" i="15" s="1"/>
  <c r="F500" i="15"/>
  <c r="E499" i="15"/>
  <c r="R501" i="15"/>
  <c r="Q501" i="15"/>
  <c r="T502" i="15" l="1"/>
  <c r="J502" i="15" s="1"/>
  <c r="F501" i="15"/>
  <c r="E500" i="15"/>
  <c r="O535" i="15"/>
  <c r="L535" i="15" s="1"/>
  <c r="O536" i="15" l="1"/>
  <c r="E501" i="15"/>
  <c r="B502" i="15"/>
  <c r="G502" i="15" s="1"/>
  <c r="C502" i="15"/>
  <c r="D502" i="15" s="1"/>
  <c r="Q502" i="15"/>
  <c r="M535" i="15"/>
  <c r="R502" i="15"/>
  <c r="F502" i="15" l="1"/>
  <c r="T503" i="15"/>
  <c r="J503" i="15" s="1"/>
  <c r="M536" i="15"/>
  <c r="L536" i="15"/>
  <c r="O537" i="15" l="1"/>
  <c r="L537" i="15" s="1"/>
  <c r="R503" i="15"/>
  <c r="C503" i="15"/>
  <c r="D503" i="15" s="1"/>
  <c r="B503" i="15"/>
  <c r="G503" i="15" s="1"/>
  <c r="E502" i="15"/>
  <c r="Q503" i="15"/>
  <c r="T504" i="15" l="1"/>
  <c r="J504" i="15" s="1"/>
  <c r="F503" i="15"/>
  <c r="M537" i="15"/>
  <c r="Q504" i="15" l="1"/>
  <c r="T505" i="15" s="1"/>
  <c r="J505" i="15" s="1"/>
  <c r="E503" i="15"/>
  <c r="O538" i="15"/>
  <c r="M538" i="15" s="1"/>
  <c r="B504" i="15"/>
  <c r="G504" i="15" s="1"/>
  <c r="C504" i="15"/>
  <c r="D504" i="15" s="1"/>
  <c r="F504" i="15" s="1"/>
  <c r="R504" i="15"/>
  <c r="E504" i="15" l="1"/>
  <c r="L538" i="15"/>
  <c r="B505" i="15"/>
  <c r="G505" i="15" s="1"/>
  <c r="C505" i="15"/>
  <c r="D505" i="15" s="1"/>
  <c r="R505" i="15"/>
  <c r="Q505" i="15"/>
  <c r="F505" i="15" l="1"/>
  <c r="O539" i="15"/>
  <c r="L539" i="15" s="1"/>
  <c r="T506" i="15"/>
  <c r="J506" i="15" s="1"/>
  <c r="O540" i="15" l="1"/>
  <c r="B506" i="15"/>
  <c r="G506" i="15" s="1"/>
  <c r="C506" i="15"/>
  <c r="D506" i="15" s="1"/>
  <c r="Q506" i="15"/>
  <c r="R506" i="15"/>
  <c r="M539" i="15"/>
  <c r="M540" i="15" s="1"/>
  <c r="E505" i="15"/>
  <c r="O541" i="15" l="1"/>
  <c r="T507" i="15"/>
  <c r="J507" i="15" s="1"/>
  <c r="F506" i="15"/>
  <c r="L540" i="15"/>
  <c r="Q507" i="15" l="1"/>
  <c r="E506" i="15"/>
  <c r="C507" i="15"/>
  <c r="D507" i="15" s="1"/>
  <c r="B507" i="15"/>
  <c r="G507" i="15" s="1"/>
  <c r="R507" i="15"/>
  <c r="L541" i="15"/>
  <c r="M541" i="15"/>
  <c r="O542" i="15" l="1"/>
  <c r="T508" i="15"/>
  <c r="R508" i="15" s="1"/>
  <c r="F507" i="15"/>
  <c r="M542" i="15"/>
  <c r="E507" i="15" l="1"/>
  <c r="J508" i="15"/>
  <c r="Q508" i="15"/>
  <c r="L542" i="15"/>
  <c r="T509" i="15" l="1"/>
  <c r="O543" i="15"/>
  <c r="L543" i="15" s="1"/>
  <c r="B508" i="15"/>
  <c r="G508" i="15" s="1"/>
  <c r="C508" i="15"/>
  <c r="D508" i="15" s="1"/>
  <c r="O544" i="15" l="1"/>
  <c r="F508" i="15"/>
  <c r="M543" i="15"/>
  <c r="J509" i="15"/>
  <c r="R509" i="15"/>
  <c r="Q509" i="15"/>
  <c r="M544" i="15" l="1"/>
  <c r="B509" i="15"/>
  <c r="G509" i="15" s="1"/>
  <c r="C509" i="15"/>
  <c r="D509" i="15" s="1"/>
  <c r="E508" i="15"/>
  <c r="T510" i="15"/>
  <c r="J510" i="15" s="1"/>
  <c r="L544" i="15"/>
  <c r="Q510" i="15" l="1"/>
  <c r="T511" i="15"/>
  <c r="J511" i="15" s="1"/>
  <c r="F509" i="15"/>
  <c r="O545" i="15"/>
  <c r="B510" i="15"/>
  <c r="G510" i="15" s="1"/>
  <c r="C510" i="15"/>
  <c r="D510" i="15" s="1"/>
  <c r="R510" i="15"/>
  <c r="M545" i="15" l="1"/>
  <c r="F510" i="15"/>
  <c r="E509" i="15"/>
  <c r="Q511" i="15"/>
  <c r="L545" i="15"/>
  <c r="C511" i="15"/>
  <c r="D511" i="15" s="1"/>
  <c r="B511" i="15"/>
  <c r="G511" i="15" s="1"/>
  <c r="R511" i="15"/>
  <c r="O546" i="15" l="1"/>
  <c r="M546" i="15" s="1"/>
  <c r="F511" i="15"/>
  <c r="E510" i="15"/>
  <c r="T512" i="15"/>
  <c r="J512" i="15" s="1"/>
  <c r="R512" i="15" l="1"/>
  <c r="Q512" i="15"/>
  <c r="O547" i="15"/>
  <c r="E511" i="15"/>
  <c r="T513" i="15"/>
  <c r="J513" i="15" s="1"/>
  <c r="L546" i="15"/>
  <c r="B512" i="15"/>
  <c r="G512" i="15" s="1"/>
  <c r="C512" i="15"/>
  <c r="D512" i="15" s="1"/>
  <c r="F512" i="15" s="1"/>
  <c r="E512" i="15" l="1"/>
  <c r="Q513" i="15"/>
  <c r="B513" i="15"/>
  <c r="G513" i="15" s="1"/>
  <c r="C513" i="15"/>
  <c r="D513" i="15" s="1"/>
  <c r="R513" i="15"/>
  <c r="L547" i="15"/>
  <c r="M547" i="15"/>
  <c r="F513" i="15" l="1"/>
  <c r="O548" i="15"/>
  <c r="L548" i="15" s="1"/>
  <c r="T514" i="15"/>
  <c r="J514" i="15" s="1"/>
  <c r="B514" i="15" l="1"/>
  <c r="G514" i="15" s="1"/>
  <c r="C514" i="15"/>
  <c r="D514" i="15" s="1"/>
  <c r="O549" i="15"/>
  <c r="R514" i="15"/>
  <c r="Q514" i="15"/>
  <c r="M548" i="15"/>
  <c r="E513" i="15"/>
  <c r="M549" i="15" l="1"/>
  <c r="L549" i="15"/>
  <c r="T515" i="15"/>
  <c r="J515" i="15" s="1"/>
  <c r="F514" i="15"/>
  <c r="Q515" i="15" l="1"/>
  <c r="E514" i="15"/>
  <c r="R515" i="15"/>
  <c r="C515" i="15"/>
  <c r="D515" i="15" s="1"/>
  <c r="B515" i="15"/>
  <c r="G515" i="15" s="1"/>
  <c r="O550" i="15"/>
  <c r="L550" i="15" s="1"/>
  <c r="O551" i="15" l="1"/>
  <c r="M550" i="15"/>
  <c r="T516" i="15"/>
  <c r="R516" i="15" s="1"/>
  <c r="F515" i="15"/>
  <c r="M551" i="15" l="1"/>
  <c r="E515" i="15"/>
  <c r="J516" i="15"/>
  <c r="Q516" i="15"/>
  <c r="L551" i="15"/>
  <c r="O552" i="15" l="1"/>
  <c r="B516" i="15"/>
  <c r="G516" i="15" s="1"/>
  <c r="C516" i="15"/>
  <c r="D516" i="15" s="1"/>
  <c r="T517" i="15"/>
  <c r="Q517" i="15" s="1"/>
  <c r="T518" i="15" l="1"/>
  <c r="J518" i="15" s="1"/>
  <c r="J517" i="15"/>
  <c r="R517" i="15"/>
  <c r="R518" i="15" s="1"/>
  <c r="F516" i="15"/>
  <c r="M552" i="15"/>
  <c r="L552" i="15"/>
  <c r="E516" i="15" l="1"/>
  <c r="B518" i="15"/>
  <c r="G518" i="15" s="1"/>
  <c r="C518" i="15"/>
  <c r="B517" i="15"/>
  <c r="G517" i="15" s="1"/>
  <c r="C517" i="15"/>
  <c r="D517" i="15" s="1"/>
  <c r="D518" i="15" s="1"/>
  <c r="O553" i="15"/>
  <c r="M553" i="15" s="1"/>
  <c r="Q518" i="15"/>
  <c r="T519" i="15" l="1"/>
  <c r="L553" i="15"/>
  <c r="F517" i="15"/>
  <c r="F518" i="15" l="1"/>
  <c r="E517" i="15"/>
  <c r="O554" i="15"/>
  <c r="J519" i="15"/>
  <c r="R519" i="15"/>
  <c r="Q519" i="15"/>
  <c r="T520" i="15" l="1"/>
  <c r="J520" i="15" s="1"/>
  <c r="M554" i="15"/>
  <c r="Q520" i="15"/>
  <c r="C519" i="15"/>
  <c r="D519" i="15" s="1"/>
  <c r="B519" i="15"/>
  <c r="G519" i="15" s="1"/>
  <c r="L554" i="15"/>
  <c r="E518" i="15"/>
  <c r="B520" i="15" l="1"/>
  <c r="G520" i="15" s="1"/>
  <c r="C520" i="15"/>
  <c r="D520" i="15" s="1"/>
  <c r="O555" i="15"/>
  <c r="M555" i="15" s="1"/>
  <c r="F519" i="15"/>
  <c r="R520" i="15"/>
  <c r="F520" i="15" l="1"/>
  <c r="E519" i="15"/>
  <c r="T521" i="15"/>
  <c r="L555" i="15"/>
  <c r="J521" i="15" l="1"/>
  <c r="Q521" i="15"/>
  <c r="O556" i="15"/>
  <c r="L556" i="15" s="1"/>
  <c r="R521" i="15"/>
  <c r="E520" i="15"/>
  <c r="O557" i="15" l="1"/>
  <c r="T522" i="15"/>
  <c r="J522" i="15" s="1"/>
  <c r="M556" i="15"/>
  <c r="B521" i="15"/>
  <c r="G521" i="15" s="1"/>
  <c r="C521" i="15"/>
  <c r="D521" i="15" s="1"/>
  <c r="Q522" i="15" l="1"/>
  <c r="M557" i="15"/>
  <c r="O558" i="15" s="1"/>
  <c r="B522" i="15"/>
  <c r="G522" i="15" s="1"/>
  <c r="C522" i="15"/>
  <c r="D522" i="15" s="1"/>
  <c r="R522" i="15"/>
  <c r="F521" i="15"/>
  <c r="L557" i="15"/>
  <c r="T523" i="15" l="1"/>
  <c r="L558" i="15"/>
  <c r="M558" i="15"/>
  <c r="F522" i="15"/>
  <c r="E521" i="15"/>
  <c r="E522" i="15" l="1"/>
  <c r="O559" i="15"/>
  <c r="M559" i="15" s="1"/>
  <c r="J523" i="15"/>
  <c r="Q523" i="15"/>
  <c r="R523" i="15"/>
  <c r="L559" i="15" l="1"/>
  <c r="O560" i="15"/>
  <c r="L560" i="15" s="1"/>
  <c r="C523" i="15"/>
  <c r="D523" i="15" s="1"/>
  <c r="B523" i="15"/>
  <c r="G523" i="15" s="1"/>
  <c r="T524" i="15"/>
  <c r="J524" i="15" s="1"/>
  <c r="Q524" i="15" l="1"/>
  <c r="F523" i="15"/>
  <c r="B524" i="15"/>
  <c r="G524" i="15" s="1"/>
  <c r="C524" i="15"/>
  <c r="D524" i="15" s="1"/>
  <c r="R524" i="15"/>
  <c r="M560" i="15"/>
  <c r="F524" i="15" l="1"/>
  <c r="E523" i="15"/>
  <c r="O561" i="15"/>
  <c r="T525" i="15"/>
  <c r="J525" i="15" s="1"/>
  <c r="Q525" i="15" l="1"/>
  <c r="B525" i="15"/>
  <c r="G525" i="15" s="1"/>
  <c r="C525" i="15"/>
  <c r="D525" i="15" s="1"/>
  <c r="F525" i="15" s="1"/>
  <c r="L561" i="15"/>
  <c r="M561" i="15"/>
  <c r="E524" i="15"/>
  <c r="R525" i="15"/>
  <c r="O562" i="15" l="1"/>
  <c r="M562" i="15" s="1"/>
  <c r="E525" i="15"/>
  <c r="T526" i="15"/>
  <c r="J526" i="15" s="1"/>
  <c r="R526" i="15" l="1"/>
  <c r="T527" i="15" s="1"/>
  <c r="J527" i="15" s="1"/>
  <c r="Q526" i="15"/>
  <c r="B526" i="15"/>
  <c r="G526" i="15" s="1"/>
  <c r="C526" i="15"/>
  <c r="D526" i="15" s="1"/>
  <c r="L562" i="15"/>
  <c r="Q527" i="15" l="1"/>
  <c r="O563" i="15"/>
  <c r="F526" i="15"/>
  <c r="T528" i="15"/>
  <c r="J528" i="15" s="1"/>
  <c r="C527" i="15"/>
  <c r="D527" i="15" s="1"/>
  <c r="B527" i="15"/>
  <c r="G527" i="15" s="1"/>
  <c r="R527" i="15"/>
  <c r="B528" i="15" l="1"/>
  <c r="G528" i="15" s="1"/>
  <c r="C528" i="15"/>
  <c r="D528" i="15" s="1"/>
  <c r="Q528" i="15"/>
  <c r="F527" i="15"/>
  <c r="E526" i="15"/>
  <c r="M563" i="15"/>
  <c r="R528" i="15"/>
  <c r="L563" i="15"/>
  <c r="F528" i="15" l="1"/>
  <c r="E527" i="15"/>
  <c r="O564" i="15"/>
  <c r="L564" i="15" s="1"/>
  <c r="T529" i="15"/>
  <c r="J529" i="15" s="1"/>
  <c r="R529" i="15" l="1"/>
  <c r="T530" i="15" s="1"/>
  <c r="J530" i="15" s="1"/>
  <c r="Q529" i="15"/>
  <c r="E528" i="15"/>
  <c r="M564" i="15"/>
  <c r="B529" i="15"/>
  <c r="G529" i="15" s="1"/>
  <c r="C529" i="15"/>
  <c r="D529" i="15" s="1"/>
  <c r="F529" i="15" s="1"/>
  <c r="Q530" i="15" l="1"/>
  <c r="T531" i="15" s="1"/>
  <c r="J531" i="15" s="1"/>
  <c r="E529" i="15"/>
  <c r="O565" i="15"/>
  <c r="M565" i="15" s="1"/>
  <c r="B530" i="15"/>
  <c r="G530" i="15" s="1"/>
  <c r="C530" i="15"/>
  <c r="D530" i="15" s="1"/>
  <c r="R530" i="15"/>
  <c r="O566" i="15" l="1"/>
  <c r="L565" i="15"/>
  <c r="L566" i="15" s="1"/>
  <c r="C531" i="15"/>
  <c r="D531" i="15" s="1"/>
  <c r="B531" i="15"/>
  <c r="G531" i="15" s="1"/>
  <c r="Q531" i="15"/>
  <c r="R531" i="15"/>
  <c r="F530" i="15"/>
  <c r="T532" i="15" l="1"/>
  <c r="J532" i="15" s="1"/>
  <c r="F531" i="15"/>
  <c r="E530" i="15"/>
  <c r="O567" i="15"/>
  <c r="R532" i="15"/>
  <c r="M566" i="15"/>
  <c r="B532" i="15" l="1"/>
  <c r="G532" i="15" s="1"/>
  <c r="C532" i="15"/>
  <c r="D532" i="15" s="1"/>
  <c r="F532" i="15" s="1"/>
  <c r="L567" i="15"/>
  <c r="E531" i="15"/>
  <c r="M567" i="15"/>
  <c r="Q532" i="15"/>
  <c r="T533" i="15"/>
  <c r="J533" i="15" s="1"/>
  <c r="Q533" i="15" l="1"/>
  <c r="O568" i="15"/>
  <c r="B533" i="15"/>
  <c r="G533" i="15" s="1"/>
  <c r="C533" i="15"/>
  <c r="D533" i="15" s="1"/>
  <c r="E532" i="15"/>
  <c r="R533" i="15"/>
  <c r="F533" i="15" l="1"/>
  <c r="L568" i="15"/>
  <c r="T534" i="15"/>
  <c r="M568" i="15"/>
  <c r="O569" i="15" l="1"/>
  <c r="L569" i="15" s="1"/>
  <c r="J534" i="15"/>
  <c r="Q534" i="15"/>
  <c r="R534" i="15"/>
  <c r="E533" i="15"/>
  <c r="B534" i="15" l="1"/>
  <c r="G534" i="15" s="1"/>
  <c r="C534" i="15"/>
  <c r="D534" i="15" s="1"/>
  <c r="T535" i="15"/>
  <c r="J535" i="15" s="1"/>
  <c r="O570" i="15"/>
  <c r="L570" i="15" s="1"/>
  <c r="M569" i="15"/>
  <c r="O571" i="15" l="1"/>
  <c r="R535" i="15"/>
  <c r="C535" i="15"/>
  <c r="B535" i="15"/>
  <c r="G535" i="15" s="1"/>
  <c r="D535" i="15"/>
  <c r="F534" i="15"/>
  <c r="M570" i="15"/>
  <c r="Q535" i="15"/>
  <c r="T536" i="15" l="1"/>
  <c r="J536" i="15" s="1"/>
  <c r="F535" i="15"/>
  <c r="E534" i="15"/>
  <c r="Q536" i="15"/>
  <c r="M571" i="15"/>
  <c r="L571" i="15"/>
  <c r="O572" i="15" l="1"/>
  <c r="E535" i="15"/>
  <c r="R536" i="15"/>
  <c r="B536" i="15"/>
  <c r="G536" i="15" s="1"/>
  <c r="C536" i="15"/>
  <c r="D536" i="15" s="1"/>
  <c r="T537" i="15" l="1"/>
  <c r="F536" i="15"/>
  <c r="L572" i="15"/>
  <c r="M572" i="15"/>
  <c r="E536" i="15" l="1"/>
  <c r="O573" i="15"/>
  <c r="J537" i="15"/>
  <c r="Q537" i="15"/>
  <c r="R537" i="15"/>
  <c r="T538" i="15" l="1"/>
  <c r="J538" i="15" s="1"/>
  <c r="B537" i="15"/>
  <c r="G537" i="15" s="1"/>
  <c r="C537" i="15"/>
  <c r="D537" i="15" s="1"/>
  <c r="M573" i="15"/>
  <c r="L573" i="15"/>
  <c r="O574" i="15" l="1"/>
  <c r="L574" i="15" s="1"/>
  <c r="F537" i="15"/>
  <c r="B538" i="15"/>
  <c r="G538" i="15" s="1"/>
  <c r="C538" i="15"/>
  <c r="D538" i="15" s="1"/>
  <c r="R538" i="15"/>
  <c r="Q538" i="15"/>
  <c r="T539" i="15" l="1"/>
  <c r="J539" i="15" s="1"/>
  <c r="F538" i="15"/>
  <c r="E537" i="15"/>
  <c r="Q539" i="15"/>
  <c r="M574" i="15"/>
  <c r="E538" i="15" l="1"/>
  <c r="C539" i="15"/>
  <c r="D539" i="15" s="1"/>
  <c r="B539" i="15"/>
  <c r="G539" i="15" s="1"/>
  <c r="R539" i="15"/>
  <c r="O575" i="15"/>
  <c r="L575" i="15" l="1"/>
  <c r="M575" i="15"/>
  <c r="T540" i="15"/>
  <c r="F539" i="15"/>
  <c r="J540" i="15" l="1"/>
  <c r="Q540" i="15"/>
  <c r="O576" i="15"/>
  <c r="M576" i="15" s="1"/>
  <c r="E539" i="15"/>
  <c r="R540" i="15"/>
  <c r="L576" i="15" l="1"/>
  <c r="O577" i="15"/>
  <c r="L577" i="15" s="1"/>
  <c r="T541" i="15"/>
  <c r="J541" i="15" s="1"/>
  <c r="B540" i="15"/>
  <c r="G540" i="15" s="1"/>
  <c r="C540" i="15"/>
  <c r="D540" i="15" s="1"/>
  <c r="Q541" i="15" l="1"/>
  <c r="R541" i="15"/>
  <c r="T542" i="15"/>
  <c r="J542" i="15" s="1"/>
  <c r="B541" i="15"/>
  <c r="G541" i="15" s="1"/>
  <c r="C541" i="15"/>
  <c r="D541" i="15" s="1"/>
  <c r="O578" i="15"/>
  <c r="F540" i="15"/>
  <c r="M577" i="15"/>
  <c r="Q542" i="15" l="1"/>
  <c r="L578" i="15"/>
  <c r="M578" i="15"/>
  <c r="F541" i="15"/>
  <c r="E540" i="15"/>
  <c r="B542" i="15"/>
  <c r="G542" i="15" s="1"/>
  <c r="C542" i="15"/>
  <c r="D542" i="15" s="1"/>
  <c r="R542" i="15"/>
  <c r="T543" i="15" l="1"/>
  <c r="F542" i="15"/>
  <c r="E541" i="15"/>
  <c r="O579" i="15"/>
  <c r="E542" i="15" l="1"/>
  <c r="L579" i="15"/>
  <c r="J543" i="15"/>
  <c r="Q543" i="15"/>
  <c r="R543" i="15"/>
  <c r="M579" i="15"/>
  <c r="T544" i="15" l="1"/>
  <c r="J544" i="15" s="1"/>
  <c r="O580" i="15"/>
  <c r="L580" i="15" s="1"/>
  <c r="Q544" i="15"/>
  <c r="C543" i="15"/>
  <c r="D543" i="15" s="1"/>
  <c r="B543" i="15"/>
  <c r="G543" i="15" s="1"/>
  <c r="O581" i="15" l="1"/>
  <c r="L581" i="15" s="1"/>
  <c r="F543" i="15"/>
  <c r="B544" i="15"/>
  <c r="G544" i="15" s="1"/>
  <c r="C544" i="15"/>
  <c r="D544" i="15" s="1"/>
  <c r="R544" i="15"/>
  <c r="M580" i="15"/>
  <c r="M581" i="15" s="1"/>
  <c r="O582" i="15" l="1"/>
  <c r="F544" i="15"/>
  <c r="E543" i="15"/>
  <c r="M582" i="15"/>
  <c r="T545" i="15"/>
  <c r="O583" i="15" l="1"/>
  <c r="J545" i="15"/>
  <c r="Q545" i="15"/>
  <c r="E544" i="15"/>
  <c r="R545" i="15"/>
  <c r="L582" i="15"/>
  <c r="T546" i="15" l="1"/>
  <c r="J546" i="15" s="1"/>
  <c r="B545" i="15"/>
  <c r="G545" i="15" s="1"/>
  <c r="C545" i="15"/>
  <c r="D545" i="15" s="1"/>
  <c r="L583" i="15"/>
  <c r="M583" i="15"/>
  <c r="Q546" i="15" l="1"/>
  <c r="F545" i="15"/>
  <c r="O584" i="15"/>
  <c r="M584" i="15" s="1"/>
  <c r="B546" i="15"/>
  <c r="G546" i="15" s="1"/>
  <c r="C546" i="15"/>
  <c r="D546" i="15" s="1"/>
  <c r="R546" i="15"/>
  <c r="L584" i="15" l="1"/>
  <c r="F546" i="15"/>
  <c r="E545" i="15"/>
  <c r="T547" i="15"/>
  <c r="R547" i="15" s="1"/>
  <c r="T548" i="15" l="1"/>
  <c r="J548" i="15" s="1"/>
  <c r="E546" i="15"/>
  <c r="J547" i="15"/>
  <c r="Q547" i="15"/>
  <c r="Q548" i="15" s="1"/>
  <c r="O585" i="15"/>
  <c r="L585" i="15" s="1"/>
  <c r="T549" i="15" l="1"/>
  <c r="J549" i="15" s="1"/>
  <c r="B547" i="15"/>
  <c r="G547" i="15" s="1"/>
  <c r="C547" i="15"/>
  <c r="D547" i="15" s="1"/>
  <c r="M585" i="15"/>
  <c r="B548" i="15"/>
  <c r="G548" i="15" s="1"/>
  <c r="C548" i="15"/>
  <c r="R548" i="15"/>
  <c r="D548" i="15" l="1"/>
  <c r="F547" i="15"/>
  <c r="Q549" i="15"/>
  <c r="O586" i="15"/>
  <c r="B549" i="15"/>
  <c r="G549" i="15" s="1"/>
  <c r="C549" i="15"/>
  <c r="R549" i="15"/>
  <c r="L586" i="15" l="1"/>
  <c r="M586" i="15"/>
  <c r="F548" i="15"/>
  <c r="E547" i="15"/>
  <c r="T550" i="15"/>
  <c r="J550" i="15" s="1"/>
  <c r="D549" i="15"/>
  <c r="Q550" i="15" l="1"/>
  <c r="O587" i="15"/>
  <c r="C550" i="15"/>
  <c r="D550" i="15" s="1"/>
  <c r="B550" i="15"/>
  <c r="G550" i="15" s="1"/>
  <c r="F549" i="15"/>
  <c r="E548" i="15"/>
  <c r="R550" i="15"/>
  <c r="F550" i="15" l="1"/>
  <c r="E549" i="15"/>
  <c r="M587" i="15"/>
  <c r="L587" i="15"/>
  <c r="T551" i="15"/>
  <c r="J551" i="15" s="1"/>
  <c r="Q551" i="15" l="1"/>
  <c r="R551" i="15"/>
  <c r="T552" i="15"/>
  <c r="J552" i="15" s="1"/>
  <c r="O588" i="15"/>
  <c r="L588" i="15" s="1"/>
  <c r="E550" i="15"/>
  <c r="C551" i="15"/>
  <c r="D551" i="15" s="1"/>
  <c r="F551" i="15" s="1"/>
  <c r="B551" i="15"/>
  <c r="G551" i="15" s="1"/>
  <c r="E551" i="15" l="1"/>
  <c r="C552" i="15"/>
  <c r="D552" i="15" s="1"/>
  <c r="B552" i="15"/>
  <c r="G552" i="15" s="1"/>
  <c r="Q552" i="15"/>
  <c r="M588" i="15"/>
  <c r="R552" i="15"/>
  <c r="F552" i="15" l="1"/>
  <c r="O589" i="15"/>
  <c r="T553" i="15"/>
  <c r="J553" i="15" s="1"/>
  <c r="C553" i="15" l="1"/>
  <c r="D553" i="15" s="1"/>
  <c r="F553" i="15" s="1"/>
  <c r="B553" i="15"/>
  <c r="G553" i="15" s="1"/>
  <c r="R553" i="15"/>
  <c r="Q553" i="15"/>
  <c r="E552" i="15"/>
  <c r="L589" i="15"/>
  <c r="M589" i="15"/>
  <c r="O590" i="15" l="1"/>
  <c r="E553" i="15"/>
  <c r="T554" i="15"/>
  <c r="J554" i="15" s="1"/>
  <c r="M590" i="15"/>
  <c r="C554" i="15" l="1"/>
  <c r="D554" i="15" s="1"/>
  <c r="B554" i="15"/>
  <c r="G554" i="15" s="1"/>
  <c r="Q554" i="15"/>
  <c r="R554" i="15"/>
  <c r="L590" i="15"/>
  <c r="O591" i="15" l="1"/>
  <c r="T555" i="15"/>
  <c r="J555" i="15" s="1"/>
  <c r="F554" i="15"/>
  <c r="Q555" i="15" l="1"/>
  <c r="T556" i="15" s="1"/>
  <c r="J556" i="15" s="1"/>
  <c r="M591" i="15"/>
  <c r="E554" i="15"/>
  <c r="C555" i="15"/>
  <c r="D555" i="15" s="1"/>
  <c r="F555" i="15" s="1"/>
  <c r="B555" i="15"/>
  <c r="G555" i="15" s="1"/>
  <c r="R555" i="15"/>
  <c r="L591" i="15"/>
  <c r="R556" i="15" l="1"/>
  <c r="E555" i="15"/>
  <c r="O592" i="15"/>
  <c r="L592" i="15" s="1"/>
  <c r="C556" i="15"/>
  <c r="B556" i="15"/>
  <c r="G556" i="15" s="1"/>
  <c r="D556" i="15"/>
  <c r="Q556" i="15"/>
  <c r="O593" i="15" l="1"/>
  <c r="L593" i="15" s="1"/>
  <c r="F556" i="15"/>
  <c r="M592" i="15"/>
  <c r="M593" i="15" s="1"/>
  <c r="T557" i="15"/>
  <c r="Q557" i="15" s="1"/>
  <c r="T558" i="15" l="1"/>
  <c r="J558" i="15" s="1"/>
  <c r="E556" i="15"/>
  <c r="O594" i="15"/>
  <c r="J557" i="15"/>
  <c r="R557" i="15"/>
  <c r="R558" i="15" l="1"/>
  <c r="C557" i="15"/>
  <c r="D557" i="15" s="1"/>
  <c r="B557" i="15"/>
  <c r="G557" i="15" s="1"/>
  <c r="L594" i="15"/>
  <c r="C558" i="15"/>
  <c r="B558" i="15"/>
  <c r="G558" i="15" s="1"/>
  <c r="M594" i="15"/>
  <c r="Q558" i="15"/>
  <c r="O595" i="15" l="1"/>
  <c r="D558" i="15"/>
  <c r="F557" i="15"/>
  <c r="T559" i="15"/>
  <c r="E557" i="15" l="1"/>
  <c r="F558" i="15"/>
  <c r="J559" i="15"/>
  <c r="R559" i="15"/>
  <c r="Q559" i="15"/>
  <c r="L595" i="15"/>
  <c r="M595" i="15"/>
  <c r="T560" i="15" l="1"/>
  <c r="J560" i="15" s="1"/>
  <c r="B559" i="15"/>
  <c r="G559" i="15" s="1"/>
  <c r="C559" i="15"/>
  <c r="D559" i="15" s="1"/>
  <c r="F559" i="15" s="1"/>
  <c r="R560" i="15"/>
  <c r="E558" i="15"/>
  <c r="O596" i="15"/>
  <c r="E559" i="15" l="1"/>
  <c r="T561" i="15"/>
  <c r="J561" i="15" s="1"/>
  <c r="L596" i="15"/>
  <c r="B560" i="15"/>
  <c r="G560" i="15" s="1"/>
  <c r="C560" i="15"/>
  <c r="D560" i="15" s="1"/>
  <c r="M596" i="15"/>
  <c r="Q560" i="15"/>
  <c r="R561" i="15" l="1"/>
  <c r="B561" i="15"/>
  <c r="G561" i="15" s="1"/>
  <c r="C561" i="15"/>
  <c r="D561" i="15" s="1"/>
  <c r="Q561" i="15"/>
  <c r="O597" i="15"/>
  <c r="F560" i="15"/>
  <c r="T562" i="15" l="1"/>
  <c r="J562" i="15" s="1"/>
  <c r="M597" i="15"/>
  <c r="F561" i="15"/>
  <c r="E560" i="15"/>
  <c r="L597" i="15"/>
  <c r="E561" i="15" l="1"/>
  <c r="O598" i="15"/>
  <c r="B562" i="15"/>
  <c r="G562" i="15" s="1"/>
  <c r="C562" i="15"/>
  <c r="D562" i="15" s="1"/>
  <c r="R562" i="15"/>
  <c r="Q562" i="15"/>
  <c r="T563" i="15" l="1"/>
  <c r="J563" i="15" s="1"/>
  <c r="M598" i="15"/>
  <c r="L598" i="15"/>
  <c r="F562" i="15"/>
  <c r="E562" i="15" l="1"/>
  <c r="O599" i="15"/>
  <c r="B563" i="15"/>
  <c r="G563" i="15" s="1"/>
  <c r="C563" i="15"/>
  <c r="D563" i="15" s="1"/>
  <c r="R563" i="15"/>
  <c r="Q563" i="15"/>
  <c r="T564" i="15" l="1"/>
  <c r="J564" i="15" s="1"/>
  <c r="M599" i="15"/>
  <c r="L599" i="15"/>
  <c r="F563" i="15"/>
  <c r="Q564" i="15" l="1"/>
  <c r="E563" i="15"/>
  <c r="O600" i="15"/>
  <c r="L600" i="15" s="1"/>
  <c r="B564" i="15"/>
  <c r="G564" i="15" s="1"/>
  <c r="C564" i="15"/>
  <c r="D564" i="15" s="1"/>
  <c r="R564" i="15"/>
  <c r="M600" i="15" l="1"/>
  <c r="F564" i="15"/>
  <c r="T565" i="15"/>
  <c r="R565" i="15" s="1"/>
  <c r="T566" i="15" l="1"/>
  <c r="J566" i="15" s="1"/>
  <c r="J565" i="15"/>
  <c r="Q565" i="15"/>
  <c r="Q566" i="15" s="1"/>
  <c r="E564" i="15"/>
  <c r="O601" i="15"/>
  <c r="L601" i="15" l="1"/>
  <c r="M601" i="15"/>
  <c r="T567" i="15"/>
  <c r="J567" i="15" s="1"/>
  <c r="B565" i="15"/>
  <c r="G565" i="15" s="1"/>
  <c r="C565" i="15"/>
  <c r="D565" i="15" s="1"/>
  <c r="B566" i="15"/>
  <c r="G566" i="15" s="1"/>
  <c r="C566" i="15"/>
  <c r="R566" i="15"/>
  <c r="B567" i="15" l="1"/>
  <c r="G567" i="15" s="1"/>
  <c r="C567" i="15"/>
  <c r="D566" i="15"/>
  <c r="F565" i="15"/>
  <c r="R567" i="15"/>
  <c r="Q567" i="15"/>
  <c r="O602" i="15"/>
  <c r="M602" i="15" s="1"/>
  <c r="L602" i="15" l="1"/>
  <c r="D567" i="15"/>
  <c r="O603" i="15"/>
  <c r="M603" i="15" s="1"/>
  <c r="E565" i="15"/>
  <c r="F566" i="15"/>
  <c r="T568" i="15"/>
  <c r="J568" i="15" s="1"/>
  <c r="R568" i="15" l="1"/>
  <c r="T569" i="15" s="1"/>
  <c r="Q568" i="15"/>
  <c r="F567" i="15"/>
  <c r="E566" i="15"/>
  <c r="B568" i="15"/>
  <c r="G568" i="15" s="1"/>
  <c r="C568" i="15"/>
  <c r="D568" i="15" s="1"/>
  <c r="L603" i="15"/>
  <c r="J569" i="15" l="1"/>
  <c r="B569" i="15" s="1"/>
  <c r="G569" i="15" s="1"/>
  <c r="Q569" i="15"/>
  <c r="F568" i="15"/>
  <c r="E567" i="15"/>
  <c r="O604" i="15"/>
  <c r="L604" i="15" s="1"/>
  <c r="R569" i="15"/>
  <c r="C569" i="15" l="1"/>
  <c r="D569" i="15" s="1"/>
  <c r="F569" i="15" s="1"/>
  <c r="M604" i="15"/>
  <c r="T570" i="15"/>
  <c r="E568" i="15"/>
  <c r="E569" i="15" l="1"/>
  <c r="J570" i="15"/>
  <c r="Q570" i="15"/>
  <c r="R570" i="15"/>
  <c r="O605" i="15"/>
  <c r="M605" i="15" s="1"/>
  <c r="O606" i="15" l="1"/>
  <c r="T571" i="15"/>
  <c r="J571" i="15" s="1"/>
  <c r="B570" i="15"/>
  <c r="G570" i="15" s="1"/>
  <c r="C570" i="15"/>
  <c r="D570" i="15" s="1"/>
  <c r="L605" i="15"/>
  <c r="L606" i="15" s="1"/>
  <c r="F570" i="15" l="1"/>
  <c r="B571" i="15"/>
  <c r="G571" i="15" s="1"/>
  <c r="C571" i="15"/>
  <c r="D571" i="15" s="1"/>
  <c r="R571" i="15"/>
  <c r="Q571" i="15"/>
  <c r="M606" i="15"/>
  <c r="T572" i="15" l="1"/>
  <c r="J572" i="15" s="1"/>
  <c r="F571" i="15"/>
  <c r="E570" i="15"/>
  <c r="O607" i="15"/>
  <c r="E571" i="15" l="1"/>
  <c r="L607" i="15"/>
  <c r="M607" i="15"/>
  <c r="B572" i="15"/>
  <c r="G572" i="15" s="1"/>
  <c r="C572" i="15"/>
  <c r="D572" i="15" s="1"/>
  <c r="Q572" i="15"/>
  <c r="R572" i="15"/>
  <c r="O608" i="15" l="1"/>
  <c r="L608" i="15" s="1"/>
  <c r="T573" i="15"/>
  <c r="J573" i="15" s="1"/>
  <c r="F572" i="15"/>
  <c r="O609" i="15" l="1"/>
  <c r="E572" i="15"/>
  <c r="R573" i="15"/>
  <c r="Q573" i="15"/>
  <c r="B573" i="15"/>
  <c r="G573" i="15" s="1"/>
  <c r="C573" i="15"/>
  <c r="D573" i="15" s="1"/>
  <c r="F573" i="15" s="1"/>
  <c r="M608" i="15"/>
  <c r="E573" i="15" l="1"/>
  <c r="T574" i="15"/>
  <c r="J574" i="15" s="1"/>
  <c r="M609" i="15"/>
  <c r="L609" i="15"/>
  <c r="R574" i="15" l="1"/>
  <c r="B574" i="15"/>
  <c r="G574" i="15" s="1"/>
  <c r="C574" i="15"/>
  <c r="D574" i="15" s="1"/>
  <c r="Q574" i="15"/>
  <c r="O610" i="15"/>
  <c r="L610" i="15" s="1"/>
  <c r="O611" i="15" l="1"/>
  <c r="T575" i="15"/>
  <c r="J575" i="15" s="1"/>
  <c r="F574" i="15"/>
  <c r="M610" i="15"/>
  <c r="R575" i="15" l="1"/>
  <c r="T576" i="15"/>
  <c r="J576" i="15" s="1"/>
  <c r="B575" i="15"/>
  <c r="G575" i="15" s="1"/>
  <c r="C575" i="15"/>
  <c r="D575" i="15" s="1"/>
  <c r="F575" i="15" s="1"/>
  <c r="E574" i="15"/>
  <c r="Q575" i="15"/>
  <c r="Q576" i="15" s="1"/>
  <c r="M611" i="15"/>
  <c r="L611" i="15"/>
  <c r="E575" i="15" l="1"/>
  <c r="B576" i="15"/>
  <c r="G576" i="15" s="1"/>
  <c r="C576" i="15"/>
  <c r="D576" i="15" s="1"/>
  <c r="O612" i="15"/>
  <c r="L612" i="15" s="1"/>
  <c r="R576" i="15"/>
  <c r="M612" i="15" l="1"/>
  <c r="F576" i="15"/>
  <c r="O613" i="15"/>
  <c r="M613" i="15" s="1"/>
  <c r="T577" i="15"/>
  <c r="R577" i="15" s="1"/>
  <c r="T578" i="15" l="1"/>
  <c r="J578" i="15" s="1"/>
  <c r="O614" i="15"/>
  <c r="J577" i="15"/>
  <c r="Q577" i="15"/>
  <c r="Q578" i="15" s="1"/>
  <c r="L613" i="15"/>
  <c r="L614" i="15" s="1"/>
  <c r="E576" i="15"/>
  <c r="O615" i="15" l="1"/>
  <c r="L615" i="15" s="1"/>
  <c r="B577" i="15"/>
  <c r="G577" i="15" s="1"/>
  <c r="C577" i="15"/>
  <c r="D577" i="15" s="1"/>
  <c r="B578" i="15"/>
  <c r="G578" i="15" s="1"/>
  <c r="C578" i="15"/>
  <c r="M614" i="15"/>
  <c r="R578" i="15"/>
  <c r="O616" i="15" l="1"/>
  <c r="D578" i="15"/>
  <c r="F577" i="15"/>
  <c r="T579" i="15"/>
  <c r="M615" i="15"/>
  <c r="M616" i="15" s="1"/>
  <c r="J579" i="15" l="1"/>
  <c r="Q579" i="15"/>
  <c r="R579" i="15"/>
  <c r="F578" i="15"/>
  <c r="E577" i="15"/>
  <c r="L616" i="15"/>
  <c r="E578" i="15" l="1"/>
  <c r="T580" i="15"/>
  <c r="J580" i="15" s="1"/>
  <c r="B579" i="15"/>
  <c r="G579" i="15" s="1"/>
  <c r="C579" i="15"/>
  <c r="D579" i="15" s="1"/>
  <c r="O617" i="15"/>
  <c r="L617" i="15" s="1"/>
  <c r="Q580" i="15" l="1"/>
  <c r="B580" i="15"/>
  <c r="G580" i="15" s="1"/>
  <c r="C580" i="15"/>
  <c r="D580" i="15" s="1"/>
  <c r="O618" i="15"/>
  <c r="R580" i="15"/>
  <c r="M617" i="15"/>
  <c r="F579" i="15"/>
  <c r="T581" i="15" l="1"/>
  <c r="L618" i="15"/>
  <c r="F580" i="15"/>
  <c r="E579" i="15"/>
  <c r="M618" i="15"/>
  <c r="E580" i="15" l="1"/>
  <c r="O619" i="15"/>
  <c r="M619" i="15" s="1"/>
  <c r="J581" i="15"/>
  <c r="Q581" i="15"/>
  <c r="R581" i="15"/>
  <c r="T582" i="15" l="1"/>
  <c r="J582" i="15" s="1"/>
  <c r="B581" i="15"/>
  <c r="G581" i="15" s="1"/>
  <c r="C581" i="15"/>
  <c r="D581" i="15" s="1"/>
  <c r="L619" i="15"/>
  <c r="O620" i="15" l="1"/>
  <c r="F581" i="15"/>
  <c r="B582" i="15"/>
  <c r="G582" i="15" s="1"/>
  <c r="C582" i="15"/>
  <c r="D582" i="15" s="1"/>
  <c r="R582" i="15"/>
  <c r="Q582" i="15"/>
  <c r="T583" i="15" l="1"/>
  <c r="J583" i="15" s="1"/>
  <c r="E581" i="15"/>
  <c r="F582" i="15"/>
  <c r="M620" i="15"/>
  <c r="L620" i="15"/>
  <c r="E582" i="15" l="1"/>
  <c r="Q583" i="15"/>
  <c r="B583" i="15"/>
  <c r="G583" i="15" s="1"/>
  <c r="C583" i="15"/>
  <c r="D583" i="15" s="1"/>
  <c r="R583" i="15"/>
  <c r="O621" i="15"/>
  <c r="M621" i="15" s="1"/>
  <c r="L621" i="15" l="1"/>
  <c r="O622" i="15"/>
  <c r="T584" i="15"/>
  <c r="J584" i="15" s="1"/>
  <c r="F583" i="15"/>
  <c r="Q584" i="15" l="1"/>
  <c r="B584" i="15"/>
  <c r="G584" i="15" s="1"/>
  <c r="C584" i="15"/>
  <c r="D584" i="15" s="1"/>
  <c r="F584" i="15" s="1"/>
  <c r="R584" i="15"/>
  <c r="L622" i="15"/>
  <c r="E583" i="15"/>
  <c r="M622" i="15"/>
  <c r="T585" i="15" l="1"/>
  <c r="E584" i="15"/>
  <c r="O623" i="15"/>
  <c r="M623" i="15" s="1"/>
  <c r="O624" i="15" l="1"/>
  <c r="J585" i="15"/>
  <c r="Q585" i="15"/>
  <c r="R585" i="15"/>
  <c r="L623" i="15"/>
  <c r="L624" i="15" s="1"/>
  <c r="T586" i="15" l="1"/>
  <c r="J586" i="15" s="1"/>
  <c r="B585" i="15"/>
  <c r="G585" i="15" s="1"/>
  <c r="C585" i="15"/>
  <c r="D585" i="15" s="1"/>
  <c r="M624" i="15"/>
  <c r="Q586" i="15" l="1"/>
  <c r="F585" i="15"/>
  <c r="O625" i="15"/>
  <c r="M625" i="15" s="1"/>
  <c r="B586" i="15"/>
  <c r="G586" i="15" s="1"/>
  <c r="C586" i="15"/>
  <c r="D586" i="15" s="1"/>
  <c r="R586" i="15"/>
  <c r="O626" i="15" l="1"/>
  <c r="M626" i="15" s="1"/>
  <c r="T587" i="15"/>
  <c r="L625" i="15"/>
  <c r="E585" i="15"/>
  <c r="F586" i="15"/>
  <c r="L626" i="15" l="1"/>
  <c r="J587" i="15"/>
  <c r="Q587" i="15"/>
  <c r="O627" i="15"/>
  <c r="L627" i="15" s="1"/>
  <c r="R587" i="15"/>
  <c r="E586" i="15"/>
  <c r="O628" i="15" l="1"/>
  <c r="T588" i="15"/>
  <c r="J588" i="15" s="1"/>
  <c r="B587" i="15"/>
  <c r="G587" i="15" s="1"/>
  <c r="C587" i="15"/>
  <c r="D587" i="15" s="1"/>
  <c r="M627" i="15"/>
  <c r="Q588" i="15" l="1"/>
  <c r="F587" i="15"/>
  <c r="R588" i="15"/>
  <c r="B588" i="15"/>
  <c r="G588" i="15" s="1"/>
  <c r="C588" i="15"/>
  <c r="D588" i="15" s="1"/>
  <c r="M628" i="15"/>
  <c r="L628" i="15"/>
  <c r="F588" i="15" l="1"/>
  <c r="E587" i="15"/>
  <c r="T589" i="15"/>
  <c r="O629" i="15"/>
  <c r="J589" i="15" l="1"/>
  <c r="Q589" i="15"/>
  <c r="L629" i="15"/>
  <c r="R589" i="15"/>
  <c r="E588" i="15"/>
  <c r="M629" i="15"/>
  <c r="O630" i="15" l="1"/>
  <c r="L630" i="15" s="1"/>
  <c r="T590" i="15"/>
  <c r="J590" i="15" s="1"/>
  <c r="B589" i="15"/>
  <c r="G589" i="15" s="1"/>
  <c r="C589" i="15"/>
  <c r="D589" i="15" s="1"/>
  <c r="O631" i="15" l="1"/>
  <c r="B590" i="15"/>
  <c r="G590" i="15" s="1"/>
  <c r="C590" i="15"/>
  <c r="D590" i="15" s="1"/>
  <c r="R590" i="15"/>
  <c r="F589" i="15"/>
  <c r="Q590" i="15"/>
  <c r="M630" i="15"/>
  <c r="M631" i="15" l="1"/>
  <c r="E589" i="15"/>
  <c r="F590" i="15"/>
  <c r="T591" i="15"/>
  <c r="J591" i="15" s="1"/>
  <c r="L631" i="15"/>
  <c r="R591" i="15" l="1"/>
  <c r="B591" i="15"/>
  <c r="G591" i="15" s="1"/>
  <c r="C591" i="15"/>
  <c r="D591" i="15" s="1"/>
  <c r="F591" i="15" s="1"/>
  <c r="E590" i="15"/>
  <c r="Q591" i="15"/>
  <c r="O632" i="15"/>
  <c r="M632" i="15" s="1"/>
  <c r="L632" i="15" l="1"/>
  <c r="O633" i="15" s="1"/>
  <c r="L633" i="15" s="1"/>
  <c r="E591" i="15"/>
  <c r="T592" i="15"/>
  <c r="J592" i="15" s="1"/>
  <c r="Q592" i="15" l="1"/>
  <c r="B592" i="15"/>
  <c r="G592" i="15" s="1"/>
  <c r="C592" i="15"/>
  <c r="D592" i="15" s="1"/>
  <c r="R592" i="15"/>
  <c r="M633" i="15"/>
  <c r="T593" i="15" l="1"/>
  <c r="J593" i="15" s="1"/>
  <c r="O634" i="15"/>
  <c r="F592" i="15"/>
  <c r="Q593" i="15" l="1"/>
  <c r="L634" i="15"/>
  <c r="E592" i="15"/>
  <c r="M634" i="15"/>
  <c r="B593" i="15"/>
  <c r="G593" i="15" s="1"/>
  <c r="C593" i="15"/>
  <c r="D593" i="15" s="1"/>
  <c r="R593" i="15"/>
  <c r="O635" i="15" l="1"/>
  <c r="F593" i="15"/>
  <c r="T594" i="15"/>
  <c r="R594" i="15" s="1"/>
  <c r="T595" i="15" l="1"/>
  <c r="J595" i="15" s="1"/>
  <c r="J594" i="15"/>
  <c r="Q594" i="15"/>
  <c r="Q595" i="15" s="1"/>
  <c r="E593" i="15"/>
  <c r="M635" i="15"/>
  <c r="L635" i="15"/>
  <c r="B595" i="15" l="1"/>
  <c r="G595" i="15" s="1"/>
  <c r="C595" i="15"/>
  <c r="B594" i="15"/>
  <c r="G594" i="15" s="1"/>
  <c r="C594" i="15"/>
  <c r="D594" i="15" s="1"/>
  <c r="O636" i="15"/>
  <c r="R595" i="15"/>
  <c r="D595" i="15" l="1"/>
  <c r="F594" i="15"/>
  <c r="L636" i="15"/>
  <c r="M636" i="15"/>
  <c r="T596" i="15"/>
  <c r="O637" i="15" l="1"/>
  <c r="M637" i="15"/>
  <c r="F595" i="15"/>
  <c r="E594" i="15"/>
  <c r="J596" i="15"/>
  <c r="Q596" i="15"/>
  <c r="R596" i="15"/>
  <c r="T597" i="15" l="1"/>
  <c r="J597" i="15" s="1"/>
  <c r="B596" i="15"/>
  <c r="G596" i="15" s="1"/>
  <c r="C596" i="15"/>
  <c r="D596" i="15" s="1"/>
  <c r="E595" i="15"/>
  <c r="L637" i="15"/>
  <c r="R597" i="15" l="1"/>
  <c r="F596" i="15"/>
  <c r="B597" i="15"/>
  <c r="G597" i="15" s="1"/>
  <c r="C597" i="15"/>
  <c r="D597" i="15" s="1"/>
  <c r="O638" i="15"/>
  <c r="Q597" i="15"/>
  <c r="T598" i="15" l="1"/>
  <c r="J598" i="15" s="1"/>
  <c r="M638" i="15"/>
  <c r="L638" i="15"/>
  <c r="F597" i="15"/>
  <c r="E596" i="15"/>
  <c r="E597" i="15" l="1"/>
  <c r="O639" i="15"/>
  <c r="B598" i="15"/>
  <c r="G598" i="15" s="1"/>
  <c r="C598" i="15"/>
  <c r="D598" i="15" s="1"/>
  <c r="Q598" i="15"/>
  <c r="R598" i="15"/>
  <c r="T599" i="15" l="1"/>
  <c r="J599" i="15" s="1"/>
  <c r="M639" i="15"/>
  <c r="F598" i="15"/>
  <c r="R599" i="15"/>
  <c r="L639" i="15"/>
  <c r="E598" i="15" l="1"/>
  <c r="O640" i="15"/>
  <c r="B599" i="15"/>
  <c r="G599" i="15" s="1"/>
  <c r="C599" i="15"/>
  <c r="D599" i="15" s="1"/>
  <c r="F599" i="15" s="1"/>
  <c r="Q599" i="15"/>
  <c r="E599" i="15" l="1"/>
  <c r="M640" i="15"/>
  <c r="L640" i="15"/>
  <c r="T600" i="15"/>
  <c r="Q600" i="15" s="1"/>
  <c r="T601" i="15" l="1"/>
  <c r="J601" i="15" s="1"/>
  <c r="J600" i="15"/>
  <c r="R600" i="15"/>
  <c r="R601" i="15" s="1"/>
  <c r="O641" i="15"/>
  <c r="M641" i="15" l="1"/>
  <c r="L641" i="15"/>
  <c r="B600" i="15"/>
  <c r="G600" i="15" s="1"/>
  <c r="C600" i="15"/>
  <c r="D600" i="15" s="1"/>
  <c r="C601" i="15"/>
  <c r="B601" i="15"/>
  <c r="G601" i="15" s="1"/>
  <c r="Q601" i="15"/>
  <c r="D601" i="15" l="1"/>
  <c r="F600" i="15"/>
  <c r="O642" i="15"/>
  <c r="M642" i="15" s="1"/>
  <c r="T602" i="15"/>
  <c r="J602" i="15" l="1"/>
  <c r="R602" i="15"/>
  <c r="F601" i="15"/>
  <c r="E600" i="15"/>
  <c r="Q602" i="15"/>
  <c r="L642" i="15"/>
  <c r="T603" i="15" l="1"/>
  <c r="J603" i="15" s="1"/>
  <c r="O643" i="15"/>
  <c r="E601" i="15"/>
  <c r="C602" i="15"/>
  <c r="D602" i="15" s="1"/>
  <c r="F602" i="15" s="1"/>
  <c r="B602" i="15"/>
  <c r="G602" i="15" s="1"/>
  <c r="E602" i="15" l="1"/>
  <c r="M643" i="15"/>
  <c r="L643" i="15"/>
  <c r="R603" i="15"/>
  <c r="C603" i="15"/>
  <c r="D603" i="15" s="1"/>
  <c r="B603" i="15"/>
  <c r="G603" i="15" s="1"/>
  <c r="Q603" i="15"/>
  <c r="F603" i="15" l="1"/>
  <c r="O644" i="15"/>
  <c r="L644" i="15" s="1"/>
  <c r="T604" i="15"/>
  <c r="J604" i="15" s="1"/>
  <c r="M644" i="15" l="1"/>
  <c r="O645" i="15"/>
  <c r="Q604" i="15"/>
  <c r="C604" i="15"/>
  <c r="D604" i="15" s="1"/>
  <c r="F604" i="15" s="1"/>
  <c r="B604" i="15"/>
  <c r="G604" i="15" s="1"/>
  <c r="M645" i="15"/>
  <c r="R604" i="15"/>
  <c r="E603" i="15"/>
  <c r="E604" i="15" l="1"/>
  <c r="O646" i="15"/>
  <c r="T605" i="15"/>
  <c r="J605" i="15" s="1"/>
  <c r="L645" i="15"/>
  <c r="C605" i="15" l="1"/>
  <c r="D605" i="15" s="1"/>
  <c r="B605" i="15"/>
  <c r="G605" i="15" s="1"/>
  <c r="R605" i="15"/>
  <c r="Q605" i="15"/>
  <c r="L646" i="15"/>
  <c r="M646" i="15"/>
  <c r="T606" i="15" l="1"/>
  <c r="J606" i="15" s="1"/>
  <c r="O647" i="15"/>
  <c r="M647" i="15" s="1"/>
  <c r="R606" i="15"/>
  <c r="F605" i="15"/>
  <c r="E605" i="15" l="1"/>
  <c r="L647" i="15"/>
  <c r="T607" i="15"/>
  <c r="J607" i="15" s="1"/>
  <c r="C606" i="15"/>
  <c r="D606" i="15" s="1"/>
  <c r="F606" i="15" s="1"/>
  <c r="B606" i="15"/>
  <c r="G606" i="15" s="1"/>
  <c r="Q606" i="15"/>
  <c r="E606" i="15" l="1"/>
  <c r="R607" i="15"/>
  <c r="Q607" i="15"/>
  <c r="C607" i="15"/>
  <c r="D607" i="15" s="1"/>
  <c r="B607" i="15"/>
  <c r="G607" i="15" s="1"/>
  <c r="O648" i="15"/>
  <c r="L648" i="15" s="1"/>
  <c r="F607" i="15" l="1"/>
  <c r="T608" i="15"/>
  <c r="J608" i="15" s="1"/>
  <c r="O649" i="15"/>
  <c r="M648" i="15"/>
  <c r="Q608" i="15" l="1"/>
  <c r="L649" i="15"/>
  <c r="R608" i="15"/>
  <c r="C608" i="15"/>
  <c r="D608" i="15" s="1"/>
  <c r="B608" i="15"/>
  <c r="G608" i="15" s="1"/>
  <c r="E607" i="15"/>
  <c r="F608" i="15"/>
  <c r="M649" i="15"/>
  <c r="E608" i="15" l="1"/>
  <c r="T609" i="15"/>
  <c r="R609" i="15" s="1"/>
  <c r="O650" i="15"/>
  <c r="M650" i="15" s="1"/>
  <c r="O651" i="15" l="1"/>
  <c r="L650" i="15"/>
  <c r="L651" i="15" s="1"/>
  <c r="J609" i="15"/>
  <c r="Q609" i="15"/>
  <c r="T610" i="15" l="1"/>
  <c r="B609" i="15"/>
  <c r="G609" i="15" s="1"/>
  <c r="C609" i="15"/>
  <c r="D609" i="15" s="1"/>
  <c r="O652" i="15"/>
  <c r="L652" i="15" s="1"/>
  <c r="M651" i="15"/>
  <c r="M652" i="15" l="1"/>
  <c r="O653" i="15"/>
  <c r="L653" i="15" s="1"/>
  <c r="F609" i="15"/>
  <c r="J610" i="15"/>
  <c r="R610" i="15"/>
  <c r="Q610" i="15"/>
  <c r="M653" i="15" l="1"/>
  <c r="E609" i="15"/>
  <c r="O654" i="15"/>
  <c r="B610" i="15"/>
  <c r="G610" i="15" s="1"/>
  <c r="C610" i="15"/>
  <c r="D610" i="15" s="1"/>
  <c r="M654" i="15"/>
  <c r="T611" i="15"/>
  <c r="J611" i="15" s="1"/>
  <c r="R611" i="15" l="1"/>
  <c r="B611" i="15"/>
  <c r="G611" i="15" s="1"/>
  <c r="C611" i="15"/>
  <c r="D611" i="15" s="1"/>
  <c r="L654" i="15"/>
  <c r="F610" i="15"/>
  <c r="Q611" i="15"/>
  <c r="E610" i="15" l="1"/>
  <c r="F611" i="15"/>
  <c r="O655" i="15"/>
  <c r="L655" i="15" s="1"/>
  <c r="T612" i="15"/>
  <c r="Q612" i="15" s="1"/>
  <c r="T613" i="15" l="1"/>
  <c r="J613" i="15" s="1"/>
  <c r="J612" i="15"/>
  <c r="R612" i="15"/>
  <c r="R613" i="15" s="1"/>
  <c r="M655" i="15"/>
  <c r="O656" i="15"/>
  <c r="E611" i="15"/>
  <c r="B612" i="15" l="1"/>
  <c r="G612" i="15" s="1"/>
  <c r="C612" i="15"/>
  <c r="D612" i="15" s="1"/>
  <c r="M656" i="15"/>
  <c r="L656" i="15"/>
  <c r="B613" i="15"/>
  <c r="G613" i="15" s="1"/>
  <c r="C613" i="15"/>
  <c r="Q613" i="15"/>
  <c r="O657" i="15" l="1"/>
  <c r="L657" i="15" s="1"/>
  <c r="M657" i="15"/>
  <c r="D613" i="15"/>
  <c r="F612" i="15"/>
  <c r="T614" i="15"/>
  <c r="Q614" i="15" s="1"/>
  <c r="T615" i="15" l="1"/>
  <c r="J615" i="15" s="1"/>
  <c r="E612" i="15"/>
  <c r="F613" i="15"/>
  <c r="O658" i="15"/>
  <c r="J614" i="15"/>
  <c r="R614" i="15"/>
  <c r="R615" i="15" s="1"/>
  <c r="L658" i="15" l="1"/>
  <c r="B615" i="15"/>
  <c r="G615" i="15" s="1"/>
  <c r="C615" i="15"/>
  <c r="B614" i="15"/>
  <c r="G614" i="15" s="1"/>
  <c r="C614" i="15"/>
  <c r="D614" i="15" s="1"/>
  <c r="D615" i="15" s="1"/>
  <c r="E613" i="15"/>
  <c r="M658" i="15"/>
  <c r="Q615" i="15"/>
  <c r="T616" i="15" l="1"/>
  <c r="O659" i="15"/>
  <c r="M659" i="15" s="1"/>
  <c r="F614" i="15"/>
  <c r="L659" i="15" l="1"/>
  <c r="E614" i="15"/>
  <c r="F615" i="15"/>
  <c r="J616" i="15"/>
  <c r="R616" i="15"/>
  <c r="Q616" i="15"/>
  <c r="B616" i="15" l="1"/>
  <c r="G616" i="15" s="1"/>
  <c r="C616" i="15"/>
  <c r="D616" i="15" s="1"/>
  <c r="F616" i="15" s="1"/>
  <c r="T617" i="15"/>
  <c r="J617" i="15" s="1"/>
  <c r="E615" i="15"/>
  <c r="O660" i="15"/>
  <c r="L660" i="15" s="1"/>
  <c r="Q617" i="15" l="1"/>
  <c r="E616" i="15"/>
  <c r="B617" i="15"/>
  <c r="G617" i="15" s="1"/>
  <c r="C617" i="15"/>
  <c r="D617" i="15" s="1"/>
  <c r="M660" i="15"/>
  <c r="R617" i="15"/>
  <c r="F617" i="15" l="1"/>
  <c r="T618" i="15"/>
  <c r="J618" i="15" s="1"/>
  <c r="O661" i="15"/>
  <c r="Q618" i="15" l="1"/>
  <c r="L661" i="15"/>
  <c r="M661" i="15"/>
  <c r="R618" i="15"/>
  <c r="B618" i="15"/>
  <c r="G618" i="15" s="1"/>
  <c r="C618" i="15"/>
  <c r="D618" i="15" s="1"/>
  <c r="E617" i="15"/>
  <c r="T619" i="15" l="1"/>
  <c r="O662" i="15"/>
  <c r="F618" i="15"/>
  <c r="E618" i="15" l="1"/>
  <c r="L662" i="15"/>
  <c r="M662" i="15"/>
  <c r="J619" i="15"/>
  <c r="Q619" i="15"/>
  <c r="R619" i="15"/>
  <c r="B619" i="15" l="1"/>
  <c r="G619" i="15" s="1"/>
  <c r="C619" i="15"/>
  <c r="D619" i="15" s="1"/>
  <c r="T620" i="15"/>
  <c r="J620" i="15" s="1"/>
  <c r="O663" i="15"/>
  <c r="Q620" i="15" l="1"/>
  <c r="T621" i="15" s="1"/>
  <c r="J621" i="15" s="1"/>
  <c r="R620" i="15"/>
  <c r="M663" i="15"/>
  <c r="L663" i="15"/>
  <c r="F619" i="15"/>
  <c r="B620" i="15"/>
  <c r="G620" i="15" s="1"/>
  <c r="C620" i="15"/>
  <c r="D620" i="15" s="1"/>
  <c r="B621" i="15" l="1"/>
  <c r="G621" i="15" s="1"/>
  <c r="C621" i="15"/>
  <c r="D621" i="15" s="1"/>
  <c r="Q621" i="15"/>
  <c r="O664" i="15"/>
  <c r="R621" i="15"/>
  <c r="E619" i="15"/>
  <c r="F620" i="15"/>
  <c r="T622" i="15" l="1"/>
  <c r="J622" i="15" s="1"/>
  <c r="E620" i="15"/>
  <c r="F621" i="15"/>
  <c r="R622" i="15"/>
  <c r="L664" i="15"/>
  <c r="M664" i="15"/>
  <c r="B622" i="15" l="1"/>
  <c r="G622" i="15" s="1"/>
  <c r="C622" i="15"/>
  <c r="D622" i="15" s="1"/>
  <c r="E621" i="15"/>
  <c r="Q622" i="15"/>
  <c r="O665" i="15"/>
  <c r="L665" i="15" s="1"/>
  <c r="M665" i="15" l="1"/>
  <c r="T623" i="15"/>
  <c r="F622" i="15"/>
  <c r="O666" i="15"/>
  <c r="E622" i="15" l="1"/>
  <c r="L666" i="15"/>
  <c r="J623" i="15"/>
  <c r="R623" i="15"/>
  <c r="Q623" i="15"/>
  <c r="M666" i="15"/>
  <c r="T624" i="15" l="1"/>
  <c r="J624" i="15" s="1"/>
  <c r="B623" i="15"/>
  <c r="G623" i="15" s="1"/>
  <c r="C623" i="15"/>
  <c r="D623" i="15" s="1"/>
  <c r="R624" i="15"/>
  <c r="O667" i="15"/>
  <c r="M667" i="15" s="1"/>
  <c r="F623" i="15" l="1"/>
  <c r="L667" i="15"/>
  <c r="B624" i="15"/>
  <c r="G624" i="15" s="1"/>
  <c r="C624" i="15"/>
  <c r="D624" i="15" s="1"/>
  <c r="Q624" i="15"/>
  <c r="O668" i="15" l="1"/>
  <c r="E623" i="15"/>
  <c r="F624" i="15"/>
  <c r="T625" i="15"/>
  <c r="Q625" i="15" s="1"/>
  <c r="T626" i="15" l="1"/>
  <c r="J626" i="15" s="1"/>
  <c r="J625" i="15"/>
  <c r="R625" i="15"/>
  <c r="R626" i="15" s="1"/>
  <c r="E624" i="15"/>
  <c r="M668" i="15"/>
  <c r="L668" i="15"/>
  <c r="B626" i="15" l="1"/>
  <c r="G626" i="15" s="1"/>
  <c r="C626" i="15"/>
  <c r="B625" i="15"/>
  <c r="G625" i="15" s="1"/>
  <c r="C625" i="15"/>
  <c r="D625" i="15" s="1"/>
  <c r="O669" i="15"/>
  <c r="Q626" i="15"/>
  <c r="L669" i="15" l="1"/>
  <c r="M669" i="15"/>
  <c r="D626" i="15"/>
  <c r="F625" i="15"/>
  <c r="T627" i="15"/>
  <c r="Q627" i="15" s="1"/>
  <c r="E625" i="15" l="1"/>
  <c r="F626" i="15"/>
  <c r="J627" i="15"/>
  <c r="R627" i="15"/>
  <c r="O670" i="15"/>
  <c r="M670" i="15" s="1"/>
  <c r="L670" i="15" l="1"/>
  <c r="B627" i="15"/>
  <c r="G627" i="15" s="1"/>
  <c r="C627" i="15"/>
  <c r="D627" i="15" s="1"/>
  <c r="F627" i="15" s="1"/>
  <c r="E626" i="15"/>
  <c r="T628" i="15"/>
  <c r="O671" i="15"/>
  <c r="L671" i="15" s="1"/>
  <c r="M671" i="15" l="1"/>
  <c r="O672" i="15" s="1"/>
  <c r="M672" i="15" s="1"/>
  <c r="J628" i="15"/>
  <c r="Q628" i="15"/>
  <c r="R628" i="15"/>
  <c r="E627" i="15"/>
  <c r="O673" i="15" l="1"/>
  <c r="T629" i="15"/>
  <c r="J629" i="15" s="1"/>
  <c r="B628" i="15"/>
  <c r="G628" i="15" s="1"/>
  <c r="C628" i="15"/>
  <c r="D628" i="15" s="1"/>
  <c r="Q629" i="15"/>
  <c r="L672" i="15"/>
  <c r="B629" i="15" l="1"/>
  <c r="G629" i="15" s="1"/>
  <c r="C629" i="15"/>
  <c r="D629" i="15" s="1"/>
  <c r="F628" i="15"/>
  <c r="R629" i="15"/>
  <c r="L673" i="15"/>
  <c r="M673" i="15"/>
  <c r="T630" i="15" l="1"/>
  <c r="E628" i="15"/>
  <c r="F629" i="15"/>
  <c r="O674" i="15"/>
  <c r="L674" i="15" s="1"/>
  <c r="M674" i="15" l="1"/>
  <c r="J630" i="15"/>
  <c r="Q630" i="15"/>
  <c r="E629" i="15"/>
  <c r="R630" i="15"/>
  <c r="T631" i="15" l="1"/>
  <c r="J631" i="15" s="1"/>
  <c r="B630" i="15"/>
  <c r="G630" i="15" s="1"/>
  <c r="C630" i="15"/>
  <c r="D630" i="15" s="1"/>
  <c r="O675" i="15"/>
  <c r="Q631" i="15" l="1"/>
  <c r="F630" i="15"/>
  <c r="L675" i="15"/>
  <c r="M675" i="15"/>
  <c r="B631" i="15"/>
  <c r="G631" i="15" s="1"/>
  <c r="C631" i="15"/>
  <c r="D631" i="15" s="1"/>
  <c r="R631" i="15"/>
  <c r="O676" i="15" l="1"/>
  <c r="L676" i="15" s="1"/>
  <c r="E630" i="15"/>
  <c r="F631" i="15"/>
  <c r="T632" i="15"/>
  <c r="R632" i="15" s="1"/>
  <c r="J632" i="15" l="1"/>
  <c r="Q632" i="15"/>
  <c r="O677" i="15"/>
  <c r="E631" i="15"/>
  <c r="M676" i="15"/>
  <c r="L677" i="15" l="1"/>
  <c r="B632" i="15"/>
  <c r="G632" i="15" s="1"/>
  <c r="C632" i="15"/>
  <c r="D632" i="15" s="1"/>
  <c r="T633" i="15"/>
  <c r="Q633" i="15" s="1"/>
  <c r="M677" i="15"/>
  <c r="T634" i="15" l="1"/>
  <c r="J634" i="15" s="1"/>
  <c r="J633" i="15"/>
  <c r="R633" i="15"/>
  <c r="R634" i="15" s="1"/>
  <c r="F632" i="15"/>
  <c r="O678" i="15"/>
  <c r="M678" i="15" s="1"/>
  <c r="L678" i="15" l="1"/>
  <c r="O679" i="15" s="1"/>
  <c r="L679" i="15" s="1"/>
  <c r="E632" i="15"/>
  <c r="B633" i="15"/>
  <c r="G633" i="15" s="1"/>
  <c r="C633" i="15"/>
  <c r="D633" i="15" s="1"/>
  <c r="B634" i="15"/>
  <c r="G634" i="15" s="1"/>
  <c r="C634" i="15"/>
  <c r="Q634" i="15"/>
  <c r="O680" i="15" l="1"/>
  <c r="T635" i="15"/>
  <c r="M679" i="15"/>
  <c r="M680" i="15" s="1"/>
  <c r="D634" i="15"/>
  <c r="F633" i="15"/>
  <c r="E633" i="15" l="1"/>
  <c r="F634" i="15"/>
  <c r="J635" i="15"/>
  <c r="R635" i="15"/>
  <c r="Q635" i="15"/>
  <c r="L680" i="15"/>
  <c r="B635" i="15" l="1"/>
  <c r="G635" i="15" s="1"/>
  <c r="C635" i="15"/>
  <c r="D635" i="15" s="1"/>
  <c r="F635" i="15" s="1"/>
  <c r="T636" i="15"/>
  <c r="J636" i="15" s="1"/>
  <c r="E634" i="15"/>
  <c r="O681" i="15"/>
  <c r="L681" i="15" s="1"/>
  <c r="R636" i="15" l="1"/>
  <c r="Q636" i="15"/>
  <c r="E635" i="15"/>
  <c r="C636" i="15"/>
  <c r="D636" i="15" s="1"/>
  <c r="B636" i="15"/>
  <c r="G636" i="15" s="1"/>
  <c r="M681" i="15"/>
  <c r="F636" i="15" l="1"/>
  <c r="O682" i="15"/>
  <c r="T637" i="15"/>
  <c r="L682" i="15" l="1"/>
  <c r="J637" i="15"/>
  <c r="R637" i="15"/>
  <c r="Q637" i="15"/>
  <c r="M682" i="15"/>
  <c r="E636" i="15"/>
  <c r="T638" i="15" l="1"/>
  <c r="J638" i="15" s="1"/>
  <c r="B637" i="15"/>
  <c r="G637" i="15" s="1"/>
  <c r="C637" i="15"/>
  <c r="D637" i="15" s="1"/>
  <c r="O683" i="15"/>
  <c r="M683" i="15" l="1"/>
  <c r="L683" i="15"/>
  <c r="F637" i="15"/>
  <c r="B638" i="15"/>
  <c r="G638" i="15" s="1"/>
  <c r="C638" i="15"/>
  <c r="D638" i="15" s="1"/>
  <c r="R638" i="15"/>
  <c r="Q638" i="15"/>
  <c r="T639" i="15" l="1"/>
  <c r="J639" i="15" s="1"/>
  <c r="E637" i="15"/>
  <c r="F638" i="15"/>
  <c r="O684" i="15"/>
  <c r="L684" i="15" s="1"/>
  <c r="E638" i="15" l="1"/>
  <c r="B639" i="15"/>
  <c r="G639" i="15" s="1"/>
  <c r="C639" i="15"/>
  <c r="D639" i="15" s="1"/>
  <c r="R639" i="15"/>
  <c r="M684" i="15"/>
  <c r="Q639" i="15"/>
  <c r="O685" i="15" l="1"/>
  <c r="T640" i="15"/>
  <c r="J640" i="15" s="1"/>
  <c r="F639" i="15"/>
  <c r="Q640" i="15" l="1"/>
  <c r="E639" i="15"/>
  <c r="R640" i="15"/>
  <c r="C640" i="15"/>
  <c r="D640" i="15" s="1"/>
  <c r="F640" i="15" s="1"/>
  <c r="B640" i="15"/>
  <c r="G640" i="15" s="1"/>
  <c r="L685" i="15"/>
  <c r="M685" i="15"/>
  <c r="E640" i="15" l="1"/>
  <c r="T641" i="15"/>
  <c r="O686" i="15"/>
  <c r="J641" i="15" l="1"/>
  <c r="Q641" i="15"/>
  <c r="R641" i="15"/>
  <c r="L686" i="15"/>
  <c r="M686" i="15"/>
  <c r="O687" i="15" l="1"/>
  <c r="T642" i="15"/>
  <c r="J642" i="15" s="1"/>
  <c r="B641" i="15"/>
  <c r="G641" i="15" s="1"/>
  <c r="C641" i="15"/>
  <c r="D641" i="15" s="1"/>
  <c r="Q642" i="15" l="1"/>
  <c r="F641" i="15"/>
  <c r="B642" i="15"/>
  <c r="G642" i="15" s="1"/>
  <c r="C642" i="15"/>
  <c r="D642" i="15" s="1"/>
  <c r="L687" i="15"/>
  <c r="R642" i="15"/>
  <c r="M687" i="15"/>
  <c r="E641" i="15" l="1"/>
  <c r="F642" i="15"/>
  <c r="O688" i="15"/>
  <c r="T643" i="15"/>
  <c r="J643" i="15" s="1"/>
  <c r="B643" i="15" l="1"/>
  <c r="G643" i="15" s="1"/>
  <c r="C643" i="15"/>
  <c r="D643" i="15" s="1"/>
  <c r="F643" i="15" s="1"/>
  <c r="Q643" i="15"/>
  <c r="E642" i="15"/>
  <c r="M688" i="15"/>
  <c r="L688" i="15"/>
  <c r="R643" i="15"/>
  <c r="O689" i="15" l="1"/>
  <c r="E643" i="15"/>
  <c r="T644" i="15"/>
  <c r="J644" i="15" s="1"/>
  <c r="R644" i="15" l="1"/>
  <c r="T645" i="15"/>
  <c r="J645" i="15" s="1"/>
  <c r="M689" i="15"/>
  <c r="Q644" i="15"/>
  <c r="Q645" i="15" s="1"/>
  <c r="C644" i="15"/>
  <c r="D644" i="15" s="1"/>
  <c r="B644" i="15"/>
  <c r="G644" i="15" s="1"/>
  <c r="L689" i="15"/>
  <c r="F644" i="15" l="1"/>
  <c r="O690" i="15"/>
  <c r="B645" i="15"/>
  <c r="G645" i="15" s="1"/>
  <c r="C645" i="15"/>
  <c r="D645" i="15" s="1"/>
  <c r="R645" i="15"/>
  <c r="E644" i="15" l="1"/>
  <c r="F645" i="15"/>
  <c r="M690" i="15"/>
  <c r="L690" i="15"/>
  <c r="T646" i="15"/>
  <c r="J646" i="15" l="1"/>
  <c r="Q646" i="15"/>
  <c r="R646" i="15"/>
  <c r="O691" i="15"/>
  <c r="L691" i="15" s="1"/>
  <c r="E645" i="15"/>
  <c r="M691" i="15" l="1"/>
  <c r="T647" i="15"/>
  <c r="J647" i="15" s="1"/>
  <c r="B646" i="15"/>
  <c r="G646" i="15" s="1"/>
  <c r="C646" i="15"/>
  <c r="D646" i="15" s="1"/>
  <c r="Q647" i="15" l="1"/>
  <c r="F646" i="15"/>
  <c r="T648" i="15"/>
  <c r="J648" i="15" s="1"/>
  <c r="R647" i="15"/>
  <c r="B647" i="15"/>
  <c r="G647" i="15" s="1"/>
  <c r="C647" i="15"/>
  <c r="D647" i="15" s="1"/>
  <c r="O692" i="15"/>
  <c r="M692" i="15" s="1"/>
  <c r="R648" i="15" l="1"/>
  <c r="E646" i="15"/>
  <c r="F647" i="15"/>
  <c r="O693" i="15"/>
  <c r="M693" i="15" s="1"/>
  <c r="B648" i="15"/>
  <c r="G648" i="15" s="1"/>
  <c r="C648" i="15"/>
  <c r="D648" i="15" s="1"/>
  <c r="Q648" i="15"/>
  <c r="L692" i="15"/>
  <c r="E647" i="15" l="1"/>
  <c r="F648" i="15"/>
  <c r="L693" i="15"/>
  <c r="T649" i="15"/>
  <c r="J649" i="15" l="1"/>
  <c r="R649" i="15"/>
  <c r="Q649" i="15"/>
  <c r="O694" i="15"/>
  <c r="L694" i="15" s="1"/>
  <c r="E648" i="15"/>
  <c r="O695" i="15" l="1"/>
  <c r="M694" i="15"/>
  <c r="M695" i="15" s="1"/>
  <c r="T650" i="15"/>
  <c r="J650" i="15" s="1"/>
  <c r="B649" i="15"/>
  <c r="G649" i="15" s="1"/>
  <c r="C649" i="15"/>
  <c r="D649" i="15" s="1"/>
  <c r="Q650" i="15" l="1"/>
  <c r="B650" i="15"/>
  <c r="G650" i="15" s="1"/>
  <c r="C650" i="15"/>
  <c r="D650" i="15" s="1"/>
  <c r="R650" i="15"/>
  <c r="O696" i="15"/>
  <c r="M696" i="15" s="1"/>
  <c r="F649" i="15"/>
  <c r="L695" i="15"/>
  <c r="O697" i="15" l="1"/>
  <c r="T651" i="15"/>
  <c r="J651" i="15" s="1"/>
  <c r="L696" i="15"/>
  <c r="L697" i="15" s="1"/>
  <c r="E649" i="15"/>
  <c r="F650" i="15"/>
  <c r="R651" i="15" l="1"/>
  <c r="B651" i="15"/>
  <c r="G651" i="15" s="1"/>
  <c r="C651" i="15"/>
  <c r="D651" i="15" s="1"/>
  <c r="F651" i="15" s="1"/>
  <c r="Q651" i="15"/>
  <c r="E650" i="15"/>
  <c r="M697" i="15"/>
  <c r="T652" i="15" l="1"/>
  <c r="J652" i="15" s="1"/>
  <c r="E651" i="15"/>
  <c r="O698" i="15"/>
  <c r="M698" i="15" s="1"/>
  <c r="R652" i="15" l="1"/>
  <c r="L698" i="15"/>
  <c r="B652" i="15"/>
  <c r="G652" i="15" s="1"/>
  <c r="C652" i="15"/>
  <c r="D652" i="15" s="1"/>
  <c r="Q652" i="15"/>
  <c r="T653" i="15" l="1"/>
  <c r="F652" i="15"/>
  <c r="O699" i="15"/>
  <c r="E652" i="15" l="1"/>
  <c r="M699" i="15"/>
  <c r="L699" i="15"/>
  <c r="J653" i="15"/>
  <c r="R653" i="15"/>
  <c r="Q653" i="15"/>
  <c r="O700" i="15" l="1"/>
  <c r="T654" i="15"/>
  <c r="J654" i="15" s="1"/>
  <c r="B653" i="15"/>
  <c r="G653" i="15" s="1"/>
  <c r="C653" i="15"/>
  <c r="D653" i="15" s="1"/>
  <c r="C654" i="15" l="1"/>
  <c r="B654" i="15"/>
  <c r="G654" i="15" s="1"/>
  <c r="Q654" i="15"/>
  <c r="D654" i="15"/>
  <c r="F653" i="15"/>
  <c r="R654" i="15"/>
  <c r="L700" i="15"/>
  <c r="M700" i="15"/>
  <c r="E653" i="15" l="1"/>
  <c r="F654" i="15"/>
  <c r="T655" i="15"/>
  <c r="J655" i="15" s="1"/>
  <c r="O701" i="15"/>
  <c r="M701" i="15" s="1"/>
  <c r="O702" i="15" l="1"/>
  <c r="Q655" i="15"/>
  <c r="R655" i="15"/>
  <c r="E654" i="15"/>
  <c r="C655" i="15"/>
  <c r="D655" i="15" s="1"/>
  <c r="B655" i="15"/>
  <c r="G655" i="15" s="1"/>
  <c r="L701" i="15"/>
  <c r="L702" i="15" s="1"/>
  <c r="F655" i="15" l="1"/>
  <c r="T656" i="15"/>
  <c r="J656" i="15" s="1"/>
  <c r="M702" i="15"/>
  <c r="O703" i="15" l="1"/>
  <c r="C656" i="15"/>
  <c r="D656" i="15" s="1"/>
  <c r="B656" i="15"/>
  <c r="G656" i="15" s="1"/>
  <c r="Q656" i="15"/>
  <c r="E655" i="15"/>
  <c r="F656" i="15"/>
  <c r="R656" i="15"/>
  <c r="E656" i="15" l="1"/>
  <c r="T657" i="15"/>
  <c r="J657" i="15" s="1"/>
  <c r="L703" i="15"/>
  <c r="M703" i="15"/>
  <c r="R657" i="15" l="1"/>
  <c r="C657" i="15"/>
  <c r="D657" i="15" s="1"/>
  <c r="B657" i="15"/>
  <c r="G657" i="15" s="1"/>
  <c r="Q657" i="15"/>
  <c r="O704" i="15"/>
  <c r="T658" i="15" l="1"/>
  <c r="M704" i="15"/>
  <c r="F657" i="15"/>
  <c r="L704" i="15"/>
  <c r="O705" i="15" l="1"/>
  <c r="L705" i="15" s="1"/>
  <c r="E657" i="15"/>
  <c r="J658" i="15"/>
  <c r="R658" i="15"/>
  <c r="Q658" i="15"/>
  <c r="O706" i="15" l="1"/>
  <c r="T659" i="15"/>
  <c r="J659" i="15" s="1"/>
  <c r="C658" i="15"/>
  <c r="D658" i="15" s="1"/>
  <c r="B658" i="15"/>
  <c r="G658" i="15" s="1"/>
  <c r="M705" i="15"/>
  <c r="F658" i="15" l="1"/>
  <c r="C659" i="15"/>
  <c r="D659" i="15" s="1"/>
  <c r="B659" i="15"/>
  <c r="G659" i="15" s="1"/>
  <c r="Q659" i="15"/>
  <c r="R659" i="15"/>
  <c r="M706" i="15"/>
  <c r="L706" i="15"/>
  <c r="T660" i="15" l="1"/>
  <c r="J660" i="15" s="1"/>
  <c r="E658" i="15"/>
  <c r="F659" i="15"/>
  <c r="O707" i="15"/>
  <c r="M707" i="15" s="1"/>
  <c r="L707" i="15" l="1"/>
  <c r="E659" i="15"/>
  <c r="R660" i="15"/>
  <c r="Q660" i="15"/>
  <c r="O708" i="15"/>
  <c r="L708" i="15" s="1"/>
  <c r="C660" i="15"/>
  <c r="D660" i="15" s="1"/>
  <c r="B660" i="15"/>
  <c r="G660" i="15" s="1"/>
  <c r="O709" i="15" l="1"/>
  <c r="T661" i="15"/>
  <c r="J661" i="15" s="1"/>
  <c r="F660" i="15"/>
  <c r="M708" i="15"/>
  <c r="Q661" i="15" l="1"/>
  <c r="E660" i="15"/>
  <c r="C661" i="15"/>
  <c r="D661" i="15" s="1"/>
  <c r="B661" i="15"/>
  <c r="G661" i="15" s="1"/>
  <c r="R661" i="15"/>
  <c r="M709" i="15"/>
  <c r="L709" i="15"/>
  <c r="F661" i="15" l="1"/>
  <c r="O710" i="15"/>
  <c r="M710" i="15" s="1"/>
  <c r="T662" i="15"/>
  <c r="L710" i="15" l="1"/>
  <c r="O711" i="15" s="1"/>
  <c r="L711" i="15" s="1"/>
  <c r="J662" i="15"/>
  <c r="Q662" i="15"/>
  <c r="R662" i="15"/>
  <c r="E661" i="15"/>
  <c r="O712" i="15" l="1"/>
  <c r="T663" i="15"/>
  <c r="J663" i="15" s="1"/>
  <c r="C662" i="15"/>
  <c r="D662" i="15" s="1"/>
  <c r="B662" i="15"/>
  <c r="G662" i="15" s="1"/>
  <c r="M711" i="15"/>
  <c r="F662" i="15" l="1"/>
  <c r="C663" i="15"/>
  <c r="D663" i="15" s="1"/>
  <c r="B663" i="15"/>
  <c r="G663" i="15" s="1"/>
  <c r="R663" i="15"/>
  <c r="Q663" i="15"/>
  <c r="M712" i="15"/>
  <c r="L712" i="15"/>
  <c r="T664" i="15" l="1"/>
  <c r="J664" i="15" s="1"/>
  <c r="E662" i="15"/>
  <c r="F663" i="15"/>
  <c r="O713" i="15"/>
  <c r="L713" i="15" s="1"/>
  <c r="M713" i="15" l="1"/>
  <c r="O714" i="15"/>
  <c r="C664" i="15"/>
  <c r="D664" i="15" s="1"/>
  <c r="B664" i="15"/>
  <c r="G664" i="15" s="1"/>
  <c r="Q664" i="15"/>
  <c r="R664" i="15"/>
  <c r="E663" i="15"/>
  <c r="T665" i="15" l="1"/>
  <c r="J665" i="15" s="1"/>
  <c r="L714" i="15"/>
  <c r="F664" i="15"/>
  <c r="M714" i="15"/>
  <c r="E664" i="15" l="1"/>
  <c r="O715" i="15"/>
  <c r="C665" i="15"/>
  <c r="D665" i="15" s="1"/>
  <c r="B665" i="15"/>
  <c r="G665" i="15" s="1"/>
  <c r="Q665" i="15"/>
  <c r="R665" i="15"/>
  <c r="F665" i="15" l="1"/>
  <c r="T666" i="15"/>
  <c r="J666" i="15" s="1"/>
  <c r="L715" i="15"/>
  <c r="M715" i="15"/>
  <c r="R666" i="15" l="1"/>
  <c r="O716" i="15"/>
  <c r="L716" i="15" s="1"/>
  <c r="Q666" i="15"/>
  <c r="C666" i="15"/>
  <c r="D666" i="15" s="1"/>
  <c r="B666" i="15"/>
  <c r="G666" i="15" s="1"/>
  <c r="E665" i="15"/>
  <c r="T667" i="15" l="1"/>
  <c r="F666" i="15"/>
  <c r="M716" i="15"/>
  <c r="O717" i="15" l="1"/>
  <c r="E666" i="15"/>
  <c r="J667" i="15"/>
  <c r="R667" i="15"/>
  <c r="Q667" i="15"/>
  <c r="C667" i="15" l="1"/>
  <c r="D667" i="15" s="1"/>
  <c r="B667" i="15"/>
  <c r="G667" i="15" s="1"/>
  <c r="T668" i="15"/>
  <c r="J668" i="15" s="1"/>
  <c r="L717" i="15"/>
  <c r="M717" i="15"/>
  <c r="R668" i="15" l="1"/>
  <c r="O718" i="15"/>
  <c r="L718" i="15" s="1"/>
  <c r="C668" i="15"/>
  <c r="B668" i="15"/>
  <c r="G668" i="15" s="1"/>
  <c r="D668" i="15"/>
  <c r="F667" i="15"/>
  <c r="Q668" i="15"/>
  <c r="O719" i="15" l="1"/>
  <c r="E667" i="15"/>
  <c r="F668" i="15"/>
  <c r="T669" i="15"/>
  <c r="J669" i="15" s="1"/>
  <c r="M718" i="15"/>
  <c r="M719" i="15" s="1"/>
  <c r="R669" i="15" l="1"/>
  <c r="Q669" i="15"/>
  <c r="T670" i="15" s="1"/>
  <c r="J670" i="15" s="1"/>
  <c r="E668" i="15"/>
  <c r="C669" i="15"/>
  <c r="D669" i="15" s="1"/>
  <c r="B669" i="15"/>
  <c r="G669" i="15" s="1"/>
  <c r="L719" i="15"/>
  <c r="R670" i="15" l="1"/>
  <c r="C670" i="15"/>
  <c r="B670" i="15"/>
  <c r="G670" i="15" s="1"/>
  <c r="Q670" i="15"/>
  <c r="D670" i="15"/>
  <c r="O720" i="15"/>
  <c r="L720" i="15" s="1"/>
  <c r="F669" i="15"/>
  <c r="O721" i="15" l="1"/>
  <c r="T671" i="15"/>
  <c r="E669" i="15"/>
  <c r="F670" i="15"/>
  <c r="M720" i="15"/>
  <c r="J671" i="15" l="1"/>
  <c r="R671" i="15"/>
  <c r="E670" i="15"/>
  <c r="Q671" i="15"/>
  <c r="M721" i="15"/>
  <c r="L721" i="15"/>
  <c r="O722" i="15" l="1"/>
  <c r="L722" i="15" s="1"/>
  <c r="T672" i="15"/>
  <c r="J672" i="15" s="1"/>
  <c r="C671" i="15"/>
  <c r="D671" i="15" s="1"/>
  <c r="B671" i="15"/>
  <c r="G671" i="15" s="1"/>
  <c r="Q672" i="15" l="1"/>
  <c r="F671" i="15"/>
  <c r="O723" i="15"/>
  <c r="L723" i="15" s="1"/>
  <c r="C672" i="15"/>
  <c r="D672" i="15" s="1"/>
  <c r="B672" i="15"/>
  <c r="G672" i="15" s="1"/>
  <c r="R672" i="15"/>
  <c r="M722" i="15"/>
  <c r="M723" i="15" l="1"/>
  <c r="T673" i="15"/>
  <c r="J673" i="15" s="1"/>
  <c r="E671" i="15"/>
  <c r="F672" i="15"/>
  <c r="E672" i="15" l="1"/>
  <c r="R673" i="15"/>
  <c r="C673" i="15"/>
  <c r="D673" i="15" s="1"/>
  <c r="B673" i="15"/>
  <c r="G673" i="15" s="1"/>
  <c r="O724" i="15"/>
  <c r="M724" i="15" s="1"/>
  <c r="Q673" i="15"/>
  <c r="O725" i="15" l="1"/>
  <c r="T674" i="15"/>
  <c r="J674" i="15" s="1"/>
  <c r="L724" i="15"/>
  <c r="F673" i="15"/>
  <c r="L725" i="15" l="1"/>
  <c r="C674" i="15"/>
  <c r="D674" i="15" s="1"/>
  <c r="B674" i="15"/>
  <c r="G674" i="15" s="1"/>
  <c r="R674" i="15"/>
  <c r="Q674" i="15"/>
  <c r="E673" i="15"/>
  <c r="F674" i="15"/>
  <c r="M725" i="15"/>
  <c r="T675" i="15" l="1"/>
  <c r="J675" i="15" s="1"/>
  <c r="E674" i="15"/>
  <c r="R675" i="15"/>
  <c r="O726" i="15"/>
  <c r="M726" i="15" s="1"/>
  <c r="O727" i="15" l="1"/>
  <c r="L726" i="15"/>
  <c r="L727" i="15" s="1"/>
  <c r="C675" i="15"/>
  <c r="D675" i="15" s="1"/>
  <c r="B675" i="15"/>
  <c r="G675" i="15" s="1"/>
  <c r="Q675" i="15"/>
  <c r="F675" i="15" l="1"/>
  <c r="T676" i="15"/>
  <c r="O728" i="15"/>
  <c r="L728" i="15" s="1"/>
  <c r="M727" i="15"/>
  <c r="M728" i="15" l="1"/>
  <c r="O729" i="15"/>
  <c r="J676" i="15"/>
  <c r="R676" i="15"/>
  <c r="Q676" i="15"/>
  <c r="E675" i="15"/>
  <c r="T677" i="15" l="1"/>
  <c r="J677" i="15" s="1"/>
  <c r="C676" i="15"/>
  <c r="D676" i="15" s="1"/>
  <c r="B676" i="15"/>
  <c r="G676" i="15" s="1"/>
  <c r="M729" i="15"/>
  <c r="L729" i="15"/>
  <c r="O730" i="15" l="1"/>
  <c r="M730" i="15" s="1"/>
  <c r="C677" i="15"/>
  <c r="D677" i="15" s="1"/>
  <c r="B677" i="15"/>
  <c r="G677" i="15" s="1"/>
  <c r="F676" i="15"/>
  <c r="Q677" i="15"/>
  <c r="R677" i="15"/>
  <c r="E676" i="15" l="1"/>
  <c r="F677" i="15"/>
  <c r="O731" i="15"/>
  <c r="T678" i="15"/>
  <c r="J678" i="15" s="1"/>
  <c r="L730" i="15"/>
  <c r="C678" i="15" l="1"/>
  <c r="D678" i="15" s="1"/>
  <c r="F678" i="15" s="1"/>
  <c r="B678" i="15"/>
  <c r="G678" i="15" s="1"/>
  <c r="E677" i="15"/>
  <c r="Q678" i="15"/>
  <c r="M731" i="15"/>
  <c r="L731" i="15"/>
  <c r="R678" i="15"/>
  <c r="T679" i="15" l="1"/>
  <c r="J679" i="15" s="1"/>
  <c r="O732" i="15"/>
  <c r="M732" i="15" s="1"/>
  <c r="E678" i="15"/>
  <c r="R679" i="15"/>
  <c r="O733" i="15" l="1"/>
  <c r="L732" i="15"/>
  <c r="L733" i="15" s="1"/>
  <c r="C679" i="15"/>
  <c r="D679" i="15" s="1"/>
  <c r="B679" i="15"/>
  <c r="G679" i="15" s="1"/>
  <c r="Q679" i="15"/>
  <c r="F679" i="15" l="1"/>
  <c r="T680" i="15"/>
  <c r="Q680" i="15" s="1"/>
  <c r="M733" i="15"/>
  <c r="O734" i="15" l="1"/>
  <c r="J680" i="15"/>
  <c r="R680" i="15"/>
  <c r="E679" i="15"/>
  <c r="T681" i="15" l="1"/>
  <c r="C680" i="15"/>
  <c r="D680" i="15" s="1"/>
  <c r="B680" i="15"/>
  <c r="G680" i="15" s="1"/>
  <c r="L734" i="15"/>
  <c r="M734" i="15"/>
  <c r="O735" i="15" l="1"/>
  <c r="L735" i="15" s="1"/>
  <c r="F680" i="15"/>
  <c r="J681" i="15"/>
  <c r="Q681" i="15"/>
  <c r="R681" i="15"/>
  <c r="C681" i="15" l="1"/>
  <c r="D681" i="15" s="1"/>
  <c r="B681" i="15"/>
  <c r="G681" i="15" s="1"/>
  <c r="O736" i="15"/>
  <c r="T682" i="15"/>
  <c r="J682" i="15" s="1"/>
  <c r="E680" i="15"/>
  <c r="M735" i="15"/>
  <c r="C682" i="15" l="1"/>
  <c r="B682" i="15"/>
  <c r="G682" i="15" s="1"/>
  <c r="R682" i="15"/>
  <c r="D682" i="15"/>
  <c r="L736" i="15"/>
  <c r="M736" i="15"/>
  <c r="F681" i="15"/>
  <c r="Q682" i="15"/>
  <c r="E681" i="15" l="1"/>
  <c r="F682" i="15"/>
  <c r="O737" i="15"/>
  <c r="T683" i="15"/>
  <c r="J683" i="15" s="1"/>
  <c r="R683" i="15" l="1"/>
  <c r="C683" i="15"/>
  <c r="D683" i="15" s="1"/>
  <c r="B683" i="15"/>
  <c r="G683" i="15" s="1"/>
  <c r="E682" i="15"/>
  <c r="F683" i="15"/>
  <c r="L737" i="15"/>
  <c r="M737" i="15"/>
  <c r="Q683" i="15"/>
  <c r="O738" i="15" l="1"/>
  <c r="L738" i="15" s="1"/>
  <c r="E683" i="15"/>
  <c r="T684" i="15"/>
  <c r="J684" i="15" s="1"/>
  <c r="R684" i="15" l="1"/>
  <c r="Q684" i="15"/>
  <c r="T685" i="15"/>
  <c r="J685" i="15" s="1"/>
  <c r="C684" i="15"/>
  <c r="D684" i="15" s="1"/>
  <c r="B684" i="15"/>
  <c r="G684" i="15" s="1"/>
  <c r="M738" i="15"/>
  <c r="O739" i="15" l="1"/>
  <c r="C685" i="15"/>
  <c r="D685" i="15" s="1"/>
  <c r="B685" i="15"/>
  <c r="G685" i="15" s="1"/>
  <c r="F684" i="15"/>
  <c r="Q685" i="15"/>
  <c r="R685" i="15"/>
  <c r="T686" i="15" l="1"/>
  <c r="J686" i="15" s="1"/>
  <c r="E684" i="15"/>
  <c r="F685" i="15"/>
  <c r="L739" i="15"/>
  <c r="M739" i="15"/>
  <c r="Q686" i="15" l="1"/>
  <c r="C686" i="15"/>
  <c r="D686" i="15" s="1"/>
  <c r="F686" i="15" s="1"/>
  <c r="B686" i="15"/>
  <c r="G686" i="15" s="1"/>
  <c r="E685" i="15"/>
  <c r="O740" i="15"/>
  <c r="R686" i="15"/>
  <c r="M740" i="15" l="1"/>
  <c r="L740" i="15"/>
  <c r="E686" i="15"/>
  <c r="T687" i="15"/>
  <c r="R687" i="15" s="1"/>
  <c r="T688" i="15" l="1"/>
  <c r="J688" i="15" s="1"/>
  <c r="O741" i="15"/>
  <c r="L741" i="15" s="1"/>
  <c r="J687" i="15"/>
  <c r="Q687" i="15"/>
  <c r="Q688" i="15" s="1"/>
  <c r="M741" i="15" l="1"/>
  <c r="O742" i="15"/>
  <c r="M742" i="15" s="1"/>
  <c r="C687" i="15"/>
  <c r="D687" i="15" s="1"/>
  <c r="B687" i="15"/>
  <c r="G687" i="15" s="1"/>
  <c r="C688" i="15"/>
  <c r="B688" i="15"/>
  <c r="G688" i="15" s="1"/>
  <c r="R688" i="15"/>
  <c r="O743" i="15" l="1"/>
  <c r="D688" i="15"/>
  <c r="F687" i="15"/>
  <c r="T689" i="15"/>
  <c r="R689" i="15" s="1"/>
  <c r="L742" i="15"/>
  <c r="L743" i="15" s="1"/>
  <c r="T690" i="15" l="1"/>
  <c r="J690" i="15" s="1"/>
  <c r="J689" i="15"/>
  <c r="Q689" i="15"/>
  <c r="Q690" i="15" s="1"/>
  <c r="E687" i="15"/>
  <c r="F688" i="15"/>
  <c r="M743" i="15"/>
  <c r="E688" i="15" l="1"/>
  <c r="C690" i="15"/>
  <c r="B690" i="15"/>
  <c r="G690" i="15" s="1"/>
  <c r="T691" i="15"/>
  <c r="J691" i="15" s="1"/>
  <c r="C689" i="15"/>
  <c r="D689" i="15" s="1"/>
  <c r="D690" i="15" s="1"/>
  <c r="B689" i="15"/>
  <c r="G689" i="15" s="1"/>
  <c r="O744" i="15"/>
  <c r="R690" i="15"/>
  <c r="R691" i="15" l="1"/>
  <c r="C691" i="15"/>
  <c r="D691" i="15" s="1"/>
  <c r="B691" i="15"/>
  <c r="G691" i="15" s="1"/>
  <c r="Q691" i="15"/>
  <c r="F689" i="15"/>
  <c r="L744" i="15"/>
  <c r="M744" i="15"/>
  <c r="E689" i="15" l="1"/>
  <c r="F690" i="15"/>
  <c r="T692" i="15"/>
  <c r="J692" i="15" s="1"/>
  <c r="O745" i="15"/>
  <c r="L745" i="15" s="1"/>
  <c r="M745" i="15" l="1"/>
  <c r="R692" i="15"/>
  <c r="O746" i="15"/>
  <c r="C692" i="15"/>
  <c r="D692" i="15" s="1"/>
  <c r="B692" i="15"/>
  <c r="G692" i="15" s="1"/>
  <c r="Q692" i="15"/>
  <c r="E690" i="15"/>
  <c r="F691" i="15"/>
  <c r="T693" i="15" l="1"/>
  <c r="M746" i="15"/>
  <c r="L746" i="15"/>
  <c r="E691" i="15"/>
  <c r="F692" i="15"/>
  <c r="O747" i="15" l="1"/>
  <c r="E692" i="15"/>
  <c r="M747" i="15"/>
  <c r="J693" i="15"/>
  <c r="R693" i="15"/>
  <c r="Q693" i="15"/>
  <c r="C693" i="15" l="1"/>
  <c r="D693" i="15" s="1"/>
  <c r="B693" i="15"/>
  <c r="G693" i="15" s="1"/>
  <c r="T694" i="15"/>
  <c r="J694" i="15" s="1"/>
  <c r="L747" i="15"/>
  <c r="C694" i="15" l="1"/>
  <c r="B694" i="15"/>
  <c r="G694" i="15" s="1"/>
  <c r="O748" i="15"/>
  <c r="R694" i="15"/>
  <c r="Q694" i="15"/>
  <c r="D694" i="15"/>
  <c r="F693" i="15"/>
  <c r="E693" i="15" l="1"/>
  <c r="F694" i="15"/>
  <c r="T695" i="15"/>
  <c r="J695" i="15" s="1"/>
  <c r="M748" i="15"/>
  <c r="L748" i="15"/>
  <c r="O749" i="15" l="1"/>
  <c r="E694" i="15"/>
  <c r="M749" i="15"/>
  <c r="C695" i="15"/>
  <c r="D695" i="15" s="1"/>
  <c r="F695" i="15" s="1"/>
  <c r="B695" i="15"/>
  <c r="G695" i="15" s="1"/>
  <c r="R695" i="15"/>
  <c r="Q695" i="15"/>
  <c r="E695" i="15" l="1"/>
  <c r="T696" i="15"/>
  <c r="J696" i="15" s="1"/>
  <c r="L749" i="15"/>
  <c r="Q696" i="15" l="1"/>
  <c r="C696" i="15"/>
  <c r="D696" i="15" s="1"/>
  <c r="B696" i="15"/>
  <c r="G696" i="15" s="1"/>
  <c r="R696" i="15"/>
  <c r="O750" i="15"/>
  <c r="T697" i="15" l="1"/>
  <c r="M750" i="15"/>
  <c r="L750" i="15"/>
  <c r="F696" i="15"/>
  <c r="E696" i="15" l="1"/>
  <c r="O751" i="15"/>
  <c r="L751" i="15" s="1"/>
  <c r="J697" i="15"/>
  <c r="Q697" i="15"/>
  <c r="R697" i="15"/>
  <c r="O752" i="15" l="1"/>
  <c r="T698" i="15"/>
  <c r="J698" i="15" s="1"/>
  <c r="C697" i="15"/>
  <c r="D697" i="15" s="1"/>
  <c r="B697" i="15"/>
  <c r="G697" i="15" s="1"/>
  <c r="M751" i="15"/>
  <c r="M752" i="15" s="1"/>
  <c r="R698" i="15"/>
  <c r="F697" i="15" l="1"/>
  <c r="O753" i="15"/>
  <c r="C698" i="15"/>
  <c r="D698" i="15" s="1"/>
  <c r="B698" i="15"/>
  <c r="G698" i="15" s="1"/>
  <c r="Q698" i="15"/>
  <c r="L752" i="15"/>
  <c r="E697" i="15" l="1"/>
  <c r="F698" i="15"/>
  <c r="M753" i="15"/>
  <c r="L753" i="15"/>
  <c r="T699" i="15"/>
  <c r="O754" i="15" l="1"/>
  <c r="L754" i="15" s="1"/>
  <c r="J699" i="15"/>
  <c r="R699" i="15"/>
  <c r="Q699" i="15"/>
  <c r="E698" i="15"/>
  <c r="T700" i="15" l="1"/>
  <c r="J700" i="15" s="1"/>
  <c r="C699" i="15"/>
  <c r="D699" i="15" s="1"/>
  <c r="B699" i="15"/>
  <c r="G699" i="15" s="1"/>
  <c r="M754" i="15"/>
  <c r="O755" i="15" l="1"/>
  <c r="C700" i="15"/>
  <c r="B700" i="15"/>
  <c r="G700" i="15" s="1"/>
  <c r="D700" i="15"/>
  <c r="F699" i="15"/>
  <c r="R700" i="15"/>
  <c r="Q700" i="15"/>
  <c r="E699" i="15" l="1"/>
  <c r="F700" i="15"/>
  <c r="T701" i="15"/>
  <c r="J701" i="15" s="1"/>
  <c r="L755" i="15"/>
  <c r="M755" i="15"/>
  <c r="C701" i="15" l="1"/>
  <c r="D701" i="15" s="1"/>
  <c r="B701" i="15"/>
  <c r="G701" i="15" s="1"/>
  <c r="Q701" i="15"/>
  <c r="E700" i="15"/>
  <c r="F701" i="15"/>
  <c r="O756" i="15"/>
  <c r="R701" i="15"/>
  <c r="L756" i="15" l="1"/>
  <c r="E701" i="15"/>
  <c r="M756" i="15"/>
  <c r="T702" i="15"/>
  <c r="J702" i="15" s="1"/>
  <c r="Q702" i="15" l="1"/>
  <c r="C702" i="15"/>
  <c r="D702" i="15" s="1"/>
  <c r="B702" i="15"/>
  <c r="G702" i="15" s="1"/>
  <c r="R702" i="15"/>
  <c r="O757" i="15"/>
  <c r="M757" i="15" l="1"/>
  <c r="T703" i="15"/>
  <c r="J703" i="15" s="1"/>
  <c r="F702" i="15"/>
  <c r="L757" i="15"/>
  <c r="Q703" i="15"/>
  <c r="E702" i="15" l="1"/>
  <c r="R703" i="15"/>
  <c r="O758" i="15"/>
  <c r="C703" i="15"/>
  <c r="D703" i="15" s="1"/>
  <c r="F703" i="15" s="1"/>
  <c r="B703" i="15"/>
  <c r="G703" i="15" s="1"/>
  <c r="E703" i="15" l="1"/>
  <c r="L758" i="15"/>
  <c r="T704" i="15"/>
  <c r="M758" i="15"/>
  <c r="J704" i="15" l="1"/>
  <c r="Q704" i="15"/>
  <c r="O759" i="15"/>
  <c r="L759" i="15" s="1"/>
  <c r="R704" i="15"/>
  <c r="O760" i="15" l="1"/>
  <c r="M759" i="15"/>
  <c r="T705" i="15"/>
  <c r="J705" i="15" s="1"/>
  <c r="C704" i="15"/>
  <c r="D704" i="15" s="1"/>
  <c r="B704" i="15"/>
  <c r="G704" i="15" s="1"/>
  <c r="M760" i="15" l="1"/>
  <c r="F704" i="15"/>
  <c r="Q705" i="15"/>
  <c r="R705" i="15"/>
  <c r="C705" i="15"/>
  <c r="D705" i="15" s="1"/>
  <c r="B705" i="15"/>
  <c r="G705" i="15" s="1"/>
  <c r="O761" i="15"/>
  <c r="M761" i="15" s="1"/>
  <c r="L760" i="15"/>
  <c r="L761" i="15" l="1"/>
  <c r="T706" i="15"/>
  <c r="J706" i="15" s="1"/>
  <c r="E704" i="15"/>
  <c r="F705" i="15"/>
  <c r="O762" i="15"/>
  <c r="M762" i="15" l="1"/>
  <c r="R706" i="15"/>
  <c r="E705" i="15"/>
  <c r="C706" i="15"/>
  <c r="D706" i="15" s="1"/>
  <c r="F706" i="15" s="1"/>
  <c r="B706" i="15"/>
  <c r="G706" i="15" s="1"/>
  <c r="Q706" i="15"/>
  <c r="L762" i="15"/>
  <c r="E706" i="15" l="1"/>
  <c r="T707" i="15"/>
  <c r="J707" i="15" s="1"/>
  <c r="O763" i="15"/>
  <c r="L763" i="15" s="1"/>
  <c r="R707" i="15" l="1"/>
  <c r="M763" i="15"/>
  <c r="O764" i="15"/>
  <c r="L764" i="15" s="1"/>
  <c r="C707" i="15"/>
  <c r="D707" i="15" s="1"/>
  <c r="B707" i="15"/>
  <c r="G707" i="15" s="1"/>
  <c r="Q707" i="15"/>
  <c r="F707" i="15" l="1"/>
  <c r="T708" i="15"/>
  <c r="Q708" i="15" s="1"/>
  <c r="M764" i="15"/>
  <c r="T709" i="15" l="1"/>
  <c r="J709" i="15" s="1"/>
  <c r="O765" i="15"/>
  <c r="J708" i="15"/>
  <c r="R708" i="15"/>
  <c r="R709" i="15" s="1"/>
  <c r="E707" i="15"/>
  <c r="L765" i="15" l="1"/>
  <c r="M765" i="15"/>
  <c r="C708" i="15"/>
  <c r="D708" i="15" s="1"/>
  <c r="B708" i="15"/>
  <c r="G708" i="15" s="1"/>
  <c r="C709" i="15"/>
  <c r="B709" i="15"/>
  <c r="G709" i="15" s="1"/>
  <c r="Q709" i="15"/>
  <c r="D709" i="15" l="1"/>
  <c r="F708" i="15"/>
  <c r="O766" i="15"/>
  <c r="T710" i="15"/>
  <c r="L766" i="15" l="1"/>
  <c r="E708" i="15"/>
  <c r="F709" i="15"/>
  <c r="J710" i="15"/>
  <c r="R710" i="15"/>
  <c r="Q710" i="15"/>
  <c r="M766" i="15"/>
  <c r="T711" i="15" l="1"/>
  <c r="J711" i="15" s="1"/>
  <c r="O767" i="15"/>
  <c r="L767" i="15" s="1"/>
  <c r="C710" i="15"/>
  <c r="D710" i="15" s="1"/>
  <c r="B710" i="15"/>
  <c r="G710" i="15" s="1"/>
  <c r="E709" i="15"/>
  <c r="O768" i="15" l="1"/>
  <c r="C711" i="15"/>
  <c r="D711" i="15" s="1"/>
  <c r="B711" i="15"/>
  <c r="G711" i="15" s="1"/>
  <c r="Q711" i="15"/>
  <c r="M767" i="15"/>
  <c r="M768" i="15" s="1"/>
  <c r="F710" i="15"/>
  <c r="R711" i="15"/>
  <c r="T712" i="15" l="1"/>
  <c r="J712" i="15" s="1"/>
  <c r="E710" i="15"/>
  <c r="F711" i="15"/>
  <c r="L768" i="15"/>
  <c r="E711" i="15" l="1"/>
  <c r="R712" i="15"/>
  <c r="Q712" i="15"/>
  <c r="C712" i="15"/>
  <c r="D712" i="15" s="1"/>
  <c r="B712" i="15"/>
  <c r="G712" i="15" s="1"/>
  <c r="O769" i="15"/>
  <c r="M769" i="15" l="1"/>
  <c r="L769" i="15"/>
  <c r="T713" i="15"/>
  <c r="J713" i="15" s="1"/>
  <c r="F712" i="15"/>
  <c r="R713" i="15" l="1"/>
  <c r="C713" i="15"/>
  <c r="D713" i="15" s="1"/>
  <c r="B713" i="15"/>
  <c r="G713" i="15" s="1"/>
  <c r="Q713" i="15"/>
  <c r="E712" i="15"/>
  <c r="F713" i="15"/>
  <c r="O770" i="15"/>
  <c r="T714" i="15" l="1"/>
  <c r="J714" i="15" s="1"/>
  <c r="E713" i="15"/>
  <c r="M770" i="15"/>
  <c r="L770" i="15"/>
  <c r="O771" i="15" l="1"/>
  <c r="C714" i="15"/>
  <c r="D714" i="15" s="1"/>
  <c r="B714" i="15"/>
  <c r="G714" i="15" s="1"/>
  <c r="Q714" i="15"/>
  <c r="R714" i="15"/>
  <c r="F714" i="15" l="1"/>
  <c r="T715" i="15"/>
  <c r="J715" i="15" s="1"/>
  <c r="L771" i="15"/>
  <c r="M771" i="15"/>
  <c r="C715" i="15" l="1"/>
  <c r="D715" i="15" s="1"/>
  <c r="B715" i="15"/>
  <c r="G715" i="15" s="1"/>
  <c r="R715" i="15"/>
  <c r="O772" i="15"/>
  <c r="Q715" i="15"/>
  <c r="E714" i="15"/>
  <c r="T716" i="15" l="1"/>
  <c r="J716" i="15" s="1"/>
  <c r="L772" i="15"/>
  <c r="F715" i="15"/>
  <c r="M772" i="15"/>
  <c r="R716" i="15" l="1"/>
  <c r="E715" i="15"/>
  <c r="O773" i="15"/>
  <c r="C716" i="15"/>
  <c r="D716" i="15" s="1"/>
  <c r="F716" i="15" s="1"/>
  <c r="B716" i="15"/>
  <c r="G716" i="15" s="1"/>
  <c r="Q716" i="15"/>
  <c r="E716" i="15" l="1"/>
  <c r="L773" i="15"/>
  <c r="M773" i="15"/>
  <c r="T717" i="15"/>
  <c r="J717" i="15" l="1"/>
  <c r="R717" i="15"/>
  <c r="Q717" i="15"/>
  <c r="O774" i="15"/>
  <c r="L774" i="15" s="1"/>
  <c r="T718" i="15" l="1"/>
  <c r="J718" i="15" s="1"/>
  <c r="C717" i="15"/>
  <c r="D717" i="15" s="1"/>
  <c r="B717" i="15"/>
  <c r="G717" i="15" s="1"/>
  <c r="M774" i="15"/>
  <c r="R718" i="15" l="1"/>
  <c r="O775" i="15"/>
  <c r="T719" i="15"/>
  <c r="J719" i="15" s="1"/>
  <c r="F717" i="15"/>
  <c r="C718" i="15"/>
  <c r="D718" i="15" s="1"/>
  <c r="B718" i="15"/>
  <c r="G718" i="15" s="1"/>
  <c r="Q718" i="15"/>
  <c r="E717" i="15" l="1"/>
  <c r="F718" i="15"/>
  <c r="L775" i="15"/>
  <c r="C719" i="15"/>
  <c r="D719" i="15" s="1"/>
  <c r="B719" i="15"/>
  <c r="G719" i="15" s="1"/>
  <c r="R719" i="15"/>
  <c r="Q719" i="15"/>
  <c r="M775" i="15"/>
  <c r="O776" i="15" l="1"/>
  <c r="M776" i="15" s="1"/>
  <c r="E718" i="15"/>
  <c r="F719" i="15"/>
  <c r="T720" i="15"/>
  <c r="J720" i="15" s="1"/>
  <c r="Q720" i="15" l="1"/>
  <c r="R720" i="15"/>
  <c r="O777" i="15"/>
  <c r="T721" i="15"/>
  <c r="J721" i="15" s="1"/>
  <c r="E719" i="15"/>
  <c r="L776" i="15"/>
  <c r="C720" i="15"/>
  <c r="D720" i="15" s="1"/>
  <c r="F720" i="15" s="1"/>
  <c r="B720" i="15"/>
  <c r="G720" i="15" s="1"/>
  <c r="R721" i="15" l="1"/>
  <c r="E720" i="15"/>
  <c r="Q721" i="15"/>
  <c r="C721" i="15"/>
  <c r="D721" i="15" s="1"/>
  <c r="B721" i="15"/>
  <c r="G721" i="15" s="1"/>
  <c r="L777" i="15"/>
  <c r="M777" i="15"/>
  <c r="F721" i="15" l="1"/>
  <c r="T722" i="15"/>
  <c r="O778" i="15"/>
  <c r="M778" i="15" s="1"/>
  <c r="L778" i="15" l="1"/>
  <c r="J722" i="15"/>
  <c r="R722" i="15"/>
  <c r="Q722" i="15"/>
  <c r="E721" i="15"/>
  <c r="T723" i="15" l="1"/>
  <c r="J723" i="15" s="1"/>
  <c r="R723" i="15"/>
  <c r="C722" i="15"/>
  <c r="D722" i="15" s="1"/>
  <c r="B722" i="15"/>
  <c r="G722" i="15" s="1"/>
  <c r="O779" i="15"/>
  <c r="M779" i="15" l="1"/>
  <c r="L779" i="15"/>
  <c r="F722" i="15"/>
  <c r="C723" i="15"/>
  <c r="D723" i="15" s="1"/>
  <c r="B723" i="15"/>
  <c r="G723" i="15" s="1"/>
  <c r="Q723" i="15"/>
  <c r="E722" i="15" l="1"/>
  <c r="F723" i="15"/>
  <c r="O780" i="15"/>
  <c r="M780" i="15" s="1"/>
  <c r="T724" i="15"/>
  <c r="L780" i="15" l="1"/>
  <c r="J724" i="15"/>
  <c r="R724" i="15"/>
  <c r="Q724" i="15"/>
  <c r="E723" i="15"/>
  <c r="T725" i="15" l="1"/>
  <c r="J725" i="15" s="1"/>
  <c r="C724" i="15"/>
  <c r="D724" i="15" s="1"/>
  <c r="B724" i="15"/>
  <c r="G724" i="15" s="1"/>
  <c r="O781" i="15"/>
  <c r="L781" i="15" s="1"/>
  <c r="Q725" i="15" l="1"/>
  <c r="O782" i="15"/>
  <c r="M781" i="15"/>
  <c r="M782" i="15" s="1"/>
  <c r="F724" i="15"/>
  <c r="C725" i="15"/>
  <c r="D725" i="15" s="1"/>
  <c r="B725" i="15"/>
  <c r="G725" i="15" s="1"/>
  <c r="R725" i="15"/>
  <c r="F725" i="15" l="1"/>
  <c r="E724" i="15"/>
  <c r="O783" i="15"/>
  <c r="T726" i="15"/>
  <c r="L782" i="15"/>
  <c r="J726" i="15" l="1"/>
  <c r="Q726" i="15"/>
  <c r="E725" i="15"/>
  <c r="R726" i="15"/>
  <c r="M783" i="15"/>
  <c r="L783" i="15"/>
  <c r="O784" i="15" l="1"/>
  <c r="M784" i="15" s="1"/>
  <c r="T727" i="15"/>
  <c r="J727" i="15" s="1"/>
  <c r="C726" i="15"/>
  <c r="D726" i="15" s="1"/>
  <c r="B726" i="15"/>
  <c r="G726" i="15" s="1"/>
  <c r="C727" i="15" l="1"/>
  <c r="B727" i="15"/>
  <c r="G727" i="15" s="1"/>
  <c r="D727" i="15"/>
  <c r="F726" i="15"/>
  <c r="Q727" i="15"/>
  <c r="R727" i="15"/>
  <c r="L784" i="15"/>
  <c r="F727" i="15" l="1"/>
  <c r="E726" i="15"/>
  <c r="T728" i="15"/>
  <c r="J728" i="15" s="1"/>
  <c r="O785" i="15"/>
  <c r="R728" i="15" l="1"/>
  <c r="M785" i="15"/>
  <c r="Q728" i="15"/>
  <c r="L785" i="15"/>
  <c r="C728" i="15"/>
  <c r="D728" i="15" s="1"/>
  <c r="B728" i="15"/>
  <c r="G728" i="15" s="1"/>
  <c r="E727" i="15"/>
  <c r="T729" i="15" l="1"/>
  <c r="F728" i="15"/>
  <c r="O786" i="15"/>
  <c r="L786" i="15" s="1"/>
  <c r="O787" i="15" l="1"/>
  <c r="E728" i="15"/>
  <c r="M786" i="15"/>
  <c r="M787" i="15" s="1"/>
  <c r="J729" i="15"/>
  <c r="R729" i="15"/>
  <c r="Q729" i="15"/>
  <c r="C729" i="15" l="1"/>
  <c r="D729" i="15" s="1"/>
  <c r="B729" i="15"/>
  <c r="G729" i="15" s="1"/>
  <c r="T730" i="15"/>
  <c r="J730" i="15" s="1"/>
  <c r="L787" i="15"/>
  <c r="O788" i="15" l="1"/>
  <c r="R730" i="15"/>
  <c r="C730" i="15"/>
  <c r="B730" i="15"/>
  <c r="G730" i="15" s="1"/>
  <c r="Q730" i="15"/>
  <c r="D730" i="15"/>
  <c r="F729" i="15"/>
  <c r="E729" i="15" l="1"/>
  <c r="F730" i="15"/>
  <c r="T731" i="15"/>
  <c r="J731" i="15" s="1"/>
  <c r="M788" i="15"/>
  <c r="L788" i="15"/>
  <c r="C731" i="15" l="1"/>
  <c r="D731" i="15" s="1"/>
  <c r="B731" i="15"/>
  <c r="G731" i="15" s="1"/>
  <c r="Q731" i="15"/>
  <c r="R731" i="15"/>
  <c r="F731" i="15"/>
  <c r="E730" i="15"/>
  <c r="O789" i="15"/>
  <c r="E731" i="15" l="1"/>
  <c r="M789" i="15"/>
  <c r="T732" i="15"/>
  <c r="J732" i="15" s="1"/>
  <c r="L789" i="15"/>
  <c r="R732" i="15" l="1"/>
  <c r="O790" i="15"/>
  <c r="C732" i="15"/>
  <c r="D732" i="15" s="1"/>
  <c r="B732" i="15"/>
  <c r="G732" i="15" s="1"/>
  <c r="M790" i="15"/>
  <c r="Q732" i="15"/>
  <c r="F732" i="15" l="1"/>
  <c r="L790" i="15"/>
  <c r="T733" i="15"/>
  <c r="J733" i="15" s="1"/>
  <c r="R733" i="15" l="1"/>
  <c r="E732" i="15"/>
  <c r="C733" i="15"/>
  <c r="D733" i="15" s="1"/>
  <c r="B733" i="15"/>
  <c r="G733" i="15" s="1"/>
  <c r="O791" i="15"/>
  <c r="Q733" i="15"/>
  <c r="M791" i="15" l="1"/>
  <c r="L791" i="15"/>
  <c r="F733" i="15"/>
  <c r="T734" i="15"/>
  <c r="J734" i="15" s="1"/>
  <c r="C734" i="15" l="1"/>
  <c r="D734" i="15" s="1"/>
  <c r="B734" i="15"/>
  <c r="G734" i="15" s="1"/>
  <c r="R734" i="15"/>
  <c r="O792" i="15"/>
  <c r="E733" i="15"/>
  <c r="F734" i="15"/>
  <c r="Q734" i="15"/>
  <c r="E734" i="15" l="1"/>
  <c r="T735" i="15"/>
  <c r="J735" i="15" s="1"/>
  <c r="L792" i="15"/>
  <c r="M792" i="15"/>
  <c r="O793" i="15" l="1"/>
  <c r="M793" i="15"/>
  <c r="C735" i="15"/>
  <c r="D735" i="15" s="1"/>
  <c r="B735" i="15"/>
  <c r="G735" i="15" s="1"/>
  <c r="R735" i="15"/>
  <c r="L793" i="15"/>
  <c r="Q735" i="15"/>
  <c r="O794" i="15" l="1"/>
  <c r="T736" i="15"/>
  <c r="J736" i="15" s="1"/>
  <c r="F735" i="15"/>
  <c r="E735" i="15" l="1"/>
  <c r="C736" i="15"/>
  <c r="D736" i="15" s="1"/>
  <c r="B736" i="15"/>
  <c r="G736" i="15" s="1"/>
  <c r="R736" i="15"/>
  <c r="L794" i="15"/>
  <c r="Q736" i="15"/>
  <c r="M794" i="15"/>
  <c r="T737" i="15" l="1"/>
  <c r="J737" i="15" s="1"/>
  <c r="Q737" i="15"/>
  <c r="O795" i="15"/>
  <c r="F736" i="15"/>
  <c r="E736" i="15" l="1"/>
  <c r="M795" i="15"/>
  <c r="C737" i="15"/>
  <c r="D737" i="15" s="1"/>
  <c r="F737" i="15" s="1"/>
  <c r="B737" i="15"/>
  <c r="G737" i="15" s="1"/>
  <c r="R737" i="15"/>
  <c r="L795" i="15"/>
  <c r="E737" i="15" l="1"/>
  <c r="T738" i="15"/>
  <c r="O796" i="15"/>
  <c r="M796" i="15" s="1"/>
  <c r="L796" i="15" l="1"/>
  <c r="O797" i="15"/>
  <c r="M797" i="15" s="1"/>
  <c r="J738" i="15"/>
  <c r="Q738" i="15"/>
  <c r="R738" i="15"/>
  <c r="L797" i="15" l="1"/>
  <c r="C738" i="15"/>
  <c r="D738" i="15" s="1"/>
  <c r="B738" i="15"/>
  <c r="G738" i="15" s="1"/>
  <c r="O798" i="15"/>
  <c r="L798" i="15" s="1"/>
  <c r="T739" i="15"/>
  <c r="J739" i="15" s="1"/>
  <c r="R739" i="15" l="1"/>
  <c r="C739" i="15"/>
  <c r="B739" i="15"/>
  <c r="G739" i="15" s="1"/>
  <c r="Q739" i="15"/>
  <c r="M798" i="15"/>
  <c r="D739" i="15"/>
  <c r="F738" i="15"/>
  <c r="T740" i="15" l="1"/>
  <c r="J740" i="15" s="1"/>
  <c r="O799" i="15"/>
  <c r="E738" i="15"/>
  <c r="F739" i="15"/>
  <c r="R740" i="15" l="1"/>
  <c r="E739" i="15"/>
  <c r="L799" i="15"/>
  <c r="M799" i="15"/>
  <c r="C740" i="15"/>
  <c r="D740" i="15" s="1"/>
  <c r="F740" i="15" s="1"/>
  <c r="B740" i="15"/>
  <c r="G740" i="15" s="1"/>
  <c r="Q740" i="15"/>
  <c r="E740" i="15" l="1"/>
  <c r="O800" i="15"/>
  <c r="L800" i="15" s="1"/>
  <c r="T741" i="15"/>
  <c r="O801" i="15" l="1"/>
  <c r="L801" i="15" s="1"/>
  <c r="J741" i="15"/>
  <c r="R741" i="15"/>
  <c r="M800" i="15"/>
  <c r="M801" i="15" s="1"/>
  <c r="Q741" i="15"/>
  <c r="C741" i="15" l="1"/>
  <c r="D741" i="15" s="1"/>
  <c r="B741" i="15"/>
  <c r="G741" i="15" s="1"/>
  <c r="O802" i="15"/>
  <c r="M802" i="15" s="1"/>
  <c r="T742" i="15"/>
  <c r="J742" i="15" s="1"/>
  <c r="C742" i="15" l="1"/>
  <c r="B742" i="15"/>
  <c r="G742" i="15" s="1"/>
  <c r="R742" i="15"/>
  <c r="Q742" i="15"/>
  <c r="L802" i="15"/>
  <c r="D742" i="15"/>
  <c r="F741" i="15"/>
  <c r="O803" i="15" l="1"/>
  <c r="T743" i="15"/>
  <c r="J743" i="15" s="1"/>
  <c r="F742" i="15"/>
  <c r="E741" i="15"/>
  <c r="E742" i="15" l="1"/>
  <c r="Q743" i="15"/>
  <c r="C743" i="15"/>
  <c r="D743" i="15" s="1"/>
  <c r="B743" i="15"/>
  <c r="G743" i="15" s="1"/>
  <c r="R743" i="15"/>
  <c r="M803" i="15"/>
  <c r="L803" i="15"/>
  <c r="F743" i="15" l="1"/>
  <c r="T744" i="15"/>
  <c r="J744" i="15" s="1"/>
  <c r="O804" i="15"/>
  <c r="Q744" i="15" l="1"/>
  <c r="L804" i="15"/>
  <c r="R744" i="15"/>
  <c r="C744" i="15"/>
  <c r="D744" i="15" s="1"/>
  <c r="B744" i="15"/>
  <c r="G744" i="15" s="1"/>
  <c r="M804" i="15"/>
  <c r="E743" i="15"/>
  <c r="F744" i="15"/>
  <c r="O805" i="15" l="1"/>
  <c r="L805" i="15" s="1"/>
  <c r="E744" i="15"/>
  <c r="T745" i="15"/>
  <c r="O806" i="15" l="1"/>
  <c r="J745" i="15"/>
  <c r="Q745" i="15"/>
  <c r="R745" i="15"/>
  <c r="M805" i="15"/>
  <c r="M806" i="15" l="1"/>
  <c r="O807" i="15" s="1"/>
  <c r="T746" i="15"/>
  <c r="J746" i="15" s="1"/>
  <c r="C745" i="15"/>
  <c r="D745" i="15" s="1"/>
  <c r="B745" i="15"/>
  <c r="G745" i="15" s="1"/>
  <c r="Q746" i="15"/>
  <c r="L806" i="15"/>
  <c r="M807" i="15" l="1"/>
  <c r="C746" i="15"/>
  <c r="B746" i="15"/>
  <c r="G746" i="15" s="1"/>
  <c r="D746" i="15"/>
  <c r="F745" i="15"/>
  <c r="L807" i="15"/>
  <c r="R746" i="15"/>
  <c r="O808" i="15" l="1"/>
  <c r="L808" i="15" s="1"/>
  <c r="E745" i="15"/>
  <c r="F746" i="15"/>
  <c r="T747" i="15"/>
  <c r="R747" i="15" s="1"/>
  <c r="T748" i="15" l="1"/>
  <c r="J748" i="15" s="1"/>
  <c r="J747" i="15"/>
  <c r="Q747" i="15"/>
  <c r="Q748" i="15" s="1"/>
  <c r="E746" i="15"/>
  <c r="M808" i="15"/>
  <c r="C747" i="15" l="1"/>
  <c r="D747" i="15" s="1"/>
  <c r="B747" i="15"/>
  <c r="G747" i="15" s="1"/>
  <c r="C748" i="15"/>
  <c r="B748" i="15"/>
  <c r="G748" i="15" s="1"/>
  <c r="O809" i="15"/>
  <c r="M809" i="15" s="1"/>
  <c r="R748" i="15"/>
  <c r="L809" i="15" l="1"/>
  <c r="T749" i="15"/>
  <c r="R749" i="15" s="1"/>
  <c r="D748" i="15"/>
  <c r="F747" i="15"/>
  <c r="T750" i="15" l="1"/>
  <c r="J750" i="15" s="1"/>
  <c r="E747" i="15"/>
  <c r="F748" i="15"/>
  <c r="J749" i="15"/>
  <c r="Q749" i="15"/>
  <c r="Q750" i="15" s="1"/>
  <c r="O810" i="15"/>
  <c r="L810" i="15" s="1"/>
  <c r="E748" i="15" l="1"/>
  <c r="C750" i="15"/>
  <c r="B750" i="15"/>
  <c r="G750" i="15" s="1"/>
  <c r="O811" i="15"/>
  <c r="L811" i="15" s="1"/>
  <c r="C749" i="15"/>
  <c r="D749" i="15" s="1"/>
  <c r="D750" i="15" s="1"/>
  <c r="B749" i="15"/>
  <c r="G749" i="15" s="1"/>
  <c r="M810" i="15"/>
  <c r="R750" i="15"/>
  <c r="O812" i="15" l="1"/>
  <c r="M811" i="15"/>
  <c r="M812" i="15" s="1"/>
  <c r="T751" i="15"/>
  <c r="F749" i="15"/>
  <c r="J751" i="15" l="1"/>
  <c r="Q751" i="15"/>
  <c r="E749" i="15"/>
  <c r="F750" i="15"/>
  <c r="R751" i="15"/>
  <c r="L812" i="15"/>
  <c r="T752" i="15" l="1"/>
  <c r="J752" i="15" s="1"/>
  <c r="O813" i="15"/>
  <c r="E750" i="15"/>
  <c r="Q752" i="15"/>
  <c r="C751" i="15"/>
  <c r="D751" i="15" s="1"/>
  <c r="B751" i="15"/>
  <c r="G751" i="15" s="1"/>
  <c r="M813" i="15" l="1"/>
  <c r="F751" i="15"/>
  <c r="L813" i="15"/>
  <c r="C752" i="15"/>
  <c r="D752" i="15" s="1"/>
  <c r="B752" i="15"/>
  <c r="G752" i="15" s="1"/>
  <c r="T753" i="15"/>
  <c r="J753" i="15" s="1"/>
  <c r="R752" i="15"/>
  <c r="R753" i="15" l="1"/>
  <c r="Q753" i="15"/>
  <c r="E751" i="15"/>
  <c r="F752" i="15"/>
  <c r="T754" i="15"/>
  <c r="J754" i="15" s="1"/>
  <c r="O814" i="15"/>
  <c r="C753" i="15"/>
  <c r="D753" i="15" s="1"/>
  <c r="B753" i="15"/>
  <c r="G753" i="15" s="1"/>
  <c r="L814" i="15" l="1"/>
  <c r="E752" i="15"/>
  <c r="F753" i="15"/>
  <c r="C754" i="15"/>
  <c r="D754" i="15" s="1"/>
  <c r="B754" i="15"/>
  <c r="G754" i="15" s="1"/>
  <c r="Q754" i="15"/>
  <c r="M814" i="15"/>
  <c r="R754" i="15"/>
  <c r="T755" i="15" l="1"/>
  <c r="J755" i="15" s="1"/>
  <c r="E753" i="15"/>
  <c r="F754" i="15"/>
  <c r="R755" i="15"/>
  <c r="O815" i="15"/>
  <c r="L815" i="15" s="1"/>
  <c r="M815" i="15" l="1"/>
  <c r="E754" i="15"/>
  <c r="C755" i="15"/>
  <c r="D755" i="15" s="1"/>
  <c r="F755" i="15" s="1"/>
  <c r="B755" i="15"/>
  <c r="G755" i="15" s="1"/>
  <c r="Q755" i="15"/>
  <c r="O816" i="15"/>
  <c r="M816" i="15" s="1"/>
  <c r="O817" i="15" l="1"/>
  <c r="M817" i="15" s="1"/>
  <c r="E755" i="15"/>
  <c r="T756" i="15"/>
  <c r="Q756" i="15" s="1"/>
  <c r="L816" i="15"/>
  <c r="L817" i="15" s="1"/>
  <c r="T757" i="15" l="1"/>
  <c r="J757" i="15" s="1"/>
  <c r="J756" i="15"/>
  <c r="R756" i="15"/>
  <c r="R757" i="15" s="1"/>
  <c r="O818" i="15"/>
  <c r="M818" i="15" l="1"/>
  <c r="L818" i="15"/>
  <c r="C756" i="15"/>
  <c r="D756" i="15" s="1"/>
  <c r="B756" i="15"/>
  <c r="G756" i="15" s="1"/>
  <c r="C757" i="15"/>
  <c r="B757" i="15"/>
  <c r="G757" i="15" s="1"/>
  <c r="Q757" i="15"/>
  <c r="D757" i="15" l="1"/>
  <c r="F756" i="15"/>
  <c r="O819" i="15"/>
  <c r="T758" i="15"/>
  <c r="Q758" i="15" s="1"/>
  <c r="T759" i="15" l="1"/>
  <c r="J759" i="15" s="1"/>
  <c r="J758" i="15"/>
  <c r="R758" i="15"/>
  <c r="E756" i="15"/>
  <c r="F757" i="15"/>
  <c r="M819" i="15"/>
  <c r="L819" i="15"/>
  <c r="R759" i="15" l="1"/>
  <c r="E757" i="15"/>
  <c r="C758" i="15"/>
  <c r="D758" i="15" s="1"/>
  <c r="B758" i="15"/>
  <c r="G758" i="15" s="1"/>
  <c r="O820" i="15"/>
  <c r="M820" i="15" s="1"/>
  <c r="C759" i="15"/>
  <c r="B759" i="15"/>
  <c r="G759" i="15" s="1"/>
  <c r="Q759" i="15"/>
  <c r="L820" i="15" l="1"/>
  <c r="O821" i="15" s="1"/>
  <c r="L821" i="15" s="1"/>
  <c r="D759" i="15"/>
  <c r="T760" i="15"/>
  <c r="F758" i="15"/>
  <c r="O822" i="15" l="1"/>
  <c r="E758" i="15"/>
  <c r="F759" i="15"/>
  <c r="J760" i="15"/>
  <c r="R760" i="15"/>
  <c r="Q760" i="15"/>
  <c r="M821" i="15"/>
  <c r="C760" i="15" l="1"/>
  <c r="D760" i="15" s="1"/>
  <c r="F760" i="15" s="1"/>
  <c r="B760" i="15"/>
  <c r="G760" i="15" s="1"/>
  <c r="T761" i="15"/>
  <c r="J761" i="15" s="1"/>
  <c r="E759" i="15"/>
  <c r="M822" i="15"/>
  <c r="L822" i="15"/>
  <c r="Q761" i="15" l="1"/>
  <c r="E760" i="15"/>
  <c r="R761" i="15"/>
  <c r="C761" i="15"/>
  <c r="D761" i="15" s="1"/>
  <c r="B761" i="15"/>
  <c r="G761" i="15" s="1"/>
  <c r="O823" i="15"/>
  <c r="F761" i="15" l="1"/>
  <c r="T762" i="15"/>
  <c r="J762" i="15" s="1"/>
  <c r="L823" i="15"/>
  <c r="M823" i="15"/>
  <c r="Q762" i="15"/>
  <c r="O824" i="15" l="1"/>
  <c r="L824" i="15" s="1"/>
  <c r="C762" i="15"/>
  <c r="D762" i="15" s="1"/>
  <c r="B762" i="15"/>
  <c r="G762" i="15" s="1"/>
  <c r="R762" i="15"/>
  <c r="E761" i="15"/>
  <c r="T763" i="15" l="1"/>
  <c r="F762" i="15"/>
  <c r="M824" i="15"/>
  <c r="O825" i="15" l="1"/>
  <c r="M825" i="15" s="1"/>
  <c r="E762" i="15"/>
  <c r="J763" i="15"/>
  <c r="Q763" i="15"/>
  <c r="R763" i="15"/>
  <c r="T764" i="15" l="1"/>
  <c r="J764" i="15" s="1"/>
  <c r="C763" i="15"/>
  <c r="D763" i="15" s="1"/>
  <c r="B763" i="15"/>
  <c r="G763" i="15" s="1"/>
  <c r="O826" i="15"/>
  <c r="M826" i="15" s="1"/>
  <c r="L825" i="15"/>
  <c r="O827" i="15" l="1"/>
  <c r="C764" i="15"/>
  <c r="B764" i="15"/>
  <c r="G764" i="15" s="1"/>
  <c r="R764" i="15"/>
  <c r="D764" i="15"/>
  <c r="F763" i="15"/>
  <c r="L826" i="15"/>
  <c r="Q764" i="15"/>
  <c r="E763" i="15" l="1"/>
  <c r="F764" i="15"/>
  <c r="T765" i="15"/>
  <c r="J765" i="15" s="1"/>
  <c r="L827" i="15"/>
  <c r="M827" i="15"/>
  <c r="Q765" i="15" l="1"/>
  <c r="R765" i="15"/>
  <c r="C765" i="15"/>
  <c r="D765" i="15" s="1"/>
  <c r="B765" i="15"/>
  <c r="G765" i="15" s="1"/>
  <c r="E764" i="15"/>
  <c r="F765" i="15"/>
  <c r="O828" i="15"/>
  <c r="M828" i="15" s="1"/>
  <c r="E765" i="15" l="1"/>
  <c r="T766" i="15"/>
  <c r="L828" i="15"/>
  <c r="O829" i="15" l="1"/>
  <c r="L829" i="15" s="1"/>
  <c r="J766" i="15"/>
  <c r="Q766" i="15"/>
  <c r="R766" i="15"/>
  <c r="O830" i="15" l="1"/>
  <c r="T767" i="15"/>
  <c r="J767" i="15" s="1"/>
  <c r="C766" i="15"/>
  <c r="D766" i="15" s="1"/>
  <c r="B766" i="15"/>
  <c r="G766" i="15" s="1"/>
  <c r="M829" i="15"/>
  <c r="F766" i="15" l="1"/>
  <c r="C767" i="15"/>
  <c r="D767" i="15" s="1"/>
  <c r="B767" i="15"/>
  <c r="G767" i="15" s="1"/>
  <c r="Q767" i="15"/>
  <c r="L830" i="15"/>
  <c r="M830" i="15"/>
  <c r="R767" i="15"/>
  <c r="T768" i="15" l="1"/>
  <c r="J768" i="15" s="1"/>
  <c r="E766" i="15"/>
  <c r="F767" i="15"/>
  <c r="O831" i="15"/>
  <c r="E767" i="15" l="1"/>
  <c r="Q768" i="15"/>
  <c r="L831" i="15"/>
  <c r="C768" i="15"/>
  <c r="D768" i="15" s="1"/>
  <c r="B768" i="15"/>
  <c r="G768" i="15" s="1"/>
  <c r="M831" i="15"/>
  <c r="R768" i="15"/>
  <c r="T769" i="15" l="1"/>
  <c r="J769" i="15" s="1"/>
  <c r="O832" i="15"/>
  <c r="F768" i="15"/>
  <c r="E768" i="15" l="1"/>
  <c r="C769" i="15"/>
  <c r="D769" i="15" s="1"/>
  <c r="B769" i="15"/>
  <c r="G769" i="15" s="1"/>
  <c r="R769" i="15"/>
  <c r="M832" i="15"/>
  <c r="L832" i="15"/>
  <c r="Q769" i="15"/>
  <c r="O833" i="15" l="1"/>
  <c r="M833" i="15" s="1"/>
  <c r="F769" i="15"/>
  <c r="T770" i="15"/>
  <c r="J770" i="15" s="1"/>
  <c r="L833" i="15" l="1"/>
  <c r="E769" i="15"/>
  <c r="Q770" i="15"/>
  <c r="R770" i="15"/>
  <c r="O834" i="15"/>
  <c r="M834" i="15" s="1"/>
  <c r="C770" i="15"/>
  <c r="D770" i="15" s="1"/>
  <c r="F770" i="15" s="1"/>
  <c r="B770" i="15"/>
  <c r="G770" i="15" s="1"/>
  <c r="E770" i="15" l="1"/>
  <c r="O835" i="15"/>
  <c r="T771" i="15"/>
  <c r="J771" i="15" s="1"/>
  <c r="L834" i="15"/>
  <c r="Q771" i="15" l="1"/>
  <c r="R771" i="15"/>
  <c r="L835" i="15"/>
  <c r="T772" i="15"/>
  <c r="J772" i="15" s="1"/>
  <c r="M835" i="15"/>
  <c r="C771" i="15"/>
  <c r="D771" i="15" s="1"/>
  <c r="B771" i="15"/>
  <c r="G771" i="15" s="1"/>
  <c r="O836" i="15" l="1"/>
  <c r="F771" i="15"/>
  <c r="Q772" i="15"/>
  <c r="C772" i="15"/>
  <c r="D772" i="15" s="1"/>
  <c r="B772" i="15"/>
  <c r="G772" i="15" s="1"/>
  <c r="R772" i="15"/>
  <c r="T773" i="15" l="1"/>
  <c r="J773" i="15" s="1"/>
  <c r="F772" i="15"/>
  <c r="E771" i="15"/>
  <c r="L836" i="15"/>
  <c r="M836" i="15"/>
  <c r="O837" i="15" l="1"/>
  <c r="L837" i="15" s="1"/>
  <c r="E772" i="15"/>
  <c r="R773" i="15"/>
  <c r="C773" i="15"/>
  <c r="D773" i="15" s="1"/>
  <c r="B773" i="15"/>
  <c r="G773" i="15" s="1"/>
  <c r="Q773" i="15"/>
  <c r="M837" i="15"/>
  <c r="T774" i="15" l="1"/>
  <c r="J774" i="15" s="1"/>
  <c r="Q774" i="15"/>
  <c r="F773" i="15"/>
  <c r="O838" i="15"/>
  <c r="T775" i="15" l="1"/>
  <c r="J775" i="15" s="1"/>
  <c r="M838" i="15"/>
  <c r="L838" i="15"/>
  <c r="R774" i="15"/>
  <c r="R775" i="15" s="1"/>
  <c r="E773" i="15"/>
  <c r="C774" i="15"/>
  <c r="D774" i="15" s="1"/>
  <c r="F774" i="15" s="1"/>
  <c r="B774" i="15"/>
  <c r="G774" i="15" s="1"/>
  <c r="E774" i="15" l="1"/>
  <c r="C775" i="15"/>
  <c r="D775" i="15" s="1"/>
  <c r="B775" i="15"/>
  <c r="G775" i="15" s="1"/>
  <c r="O839" i="15"/>
  <c r="M839" i="15" s="1"/>
  <c r="Q775" i="15"/>
  <c r="F775" i="15" l="1"/>
  <c r="L839" i="15"/>
  <c r="T776" i="15"/>
  <c r="J776" i="15" l="1"/>
  <c r="R776" i="15"/>
  <c r="Q776" i="15"/>
  <c r="O840" i="15"/>
  <c r="L840" i="15" s="1"/>
  <c r="E775" i="15"/>
  <c r="M840" i="15" l="1"/>
  <c r="T777" i="15"/>
  <c r="J777" i="15" s="1"/>
  <c r="C776" i="15"/>
  <c r="D776" i="15" s="1"/>
  <c r="B776" i="15"/>
  <c r="G776" i="15" s="1"/>
  <c r="F776" i="15" l="1"/>
  <c r="C777" i="15"/>
  <c r="D777" i="15" s="1"/>
  <c r="B777" i="15"/>
  <c r="G777" i="15" s="1"/>
  <c r="R777" i="15"/>
  <c r="Q777" i="15"/>
  <c r="O841" i="15"/>
  <c r="M841" i="15" s="1"/>
  <c r="T778" i="15" l="1"/>
  <c r="J778" i="15" s="1"/>
  <c r="O842" i="15"/>
  <c r="L841" i="15"/>
  <c r="R778" i="15"/>
  <c r="E776" i="15"/>
  <c r="F777" i="15"/>
  <c r="M842" i="15" l="1"/>
  <c r="L842" i="15"/>
  <c r="C778" i="15"/>
  <c r="D778" i="15" s="1"/>
  <c r="F778" i="15" s="1"/>
  <c r="B778" i="15"/>
  <c r="G778" i="15" s="1"/>
  <c r="E777" i="15"/>
  <c r="Q778" i="15"/>
  <c r="E778" i="15" l="1"/>
  <c r="O843" i="15"/>
  <c r="M843" i="15" s="1"/>
  <c r="T779" i="15"/>
  <c r="J779" i="15" l="1"/>
  <c r="R779" i="15"/>
  <c r="Q779" i="15"/>
  <c r="L843" i="15"/>
  <c r="O844" i="15" l="1"/>
  <c r="T780" i="15"/>
  <c r="J780" i="15" s="1"/>
  <c r="C779" i="15"/>
  <c r="D779" i="15" s="1"/>
  <c r="B779" i="15"/>
  <c r="G779" i="15" s="1"/>
  <c r="R780" i="15" l="1"/>
  <c r="Q780" i="15"/>
  <c r="F779" i="15"/>
  <c r="T781" i="15"/>
  <c r="J781" i="15" s="1"/>
  <c r="C780" i="15"/>
  <c r="D780" i="15" s="1"/>
  <c r="B780" i="15"/>
  <c r="G780" i="15" s="1"/>
  <c r="M844" i="15"/>
  <c r="L844" i="15"/>
  <c r="R781" i="15" l="1"/>
  <c r="C781" i="15"/>
  <c r="D781" i="15" s="1"/>
  <c r="B781" i="15"/>
  <c r="G781" i="15" s="1"/>
  <c r="Q781" i="15"/>
  <c r="E779" i="15"/>
  <c r="F780" i="15"/>
  <c r="O845" i="15"/>
  <c r="M845" i="15" s="1"/>
  <c r="O846" i="15" l="1"/>
  <c r="L845" i="15"/>
  <c r="L846" i="15" s="1"/>
  <c r="E780" i="15"/>
  <c r="F781" i="15"/>
  <c r="T782" i="15"/>
  <c r="E781" i="15" l="1"/>
  <c r="J782" i="15"/>
  <c r="R782" i="15"/>
  <c r="Q782" i="15"/>
  <c r="O847" i="15"/>
  <c r="M846" i="15"/>
  <c r="T783" i="15" l="1"/>
  <c r="J783" i="15" s="1"/>
  <c r="L847" i="15"/>
  <c r="R783" i="15"/>
  <c r="C782" i="15"/>
  <c r="D782" i="15" s="1"/>
  <c r="B782" i="15"/>
  <c r="G782" i="15" s="1"/>
  <c r="M847" i="15"/>
  <c r="O848" i="15" l="1"/>
  <c r="M848" i="15" s="1"/>
  <c r="F782" i="15"/>
  <c r="T784" i="15"/>
  <c r="J784" i="15" s="1"/>
  <c r="B783" i="15"/>
  <c r="G783" i="15" s="1"/>
  <c r="C783" i="15"/>
  <c r="D783" i="15" s="1"/>
  <c r="Q783" i="15"/>
  <c r="Q784" i="15" l="1"/>
  <c r="B784" i="15"/>
  <c r="G784" i="15" s="1"/>
  <c r="C784" i="15"/>
  <c r="D784" i="15" s="1"/>
  <c r="R784" i="15"/>
  <c r="E782" i="15"/>
  <c r="F783" i="15"/>
  <c r="O849" i="15"/>
  <c r="L848" i="15"/>
  <c r="L849" i="15" l="1"/>
  <c r="F784" i="15"/>
  <c r="E783" i="15"/>
  <c r="T785" i="15"/>
  <c r="J785" i="15" s="1"/>
  <c r="M849" i="15"/>
  <c r="C785" i="15" l="1"/>
  <c r="D785" i="15" s="1"/>
  <c r="B785" i="15"/>
  <c r="G785" i="15" s="1"/>
  <c r="F785" i="15"/>
  <c r="E784" i="15"/>
  <c r="Q785" i="15"/>
  <c r="R785" i="15"/>
  <c r="L850" i="15"/>
  <c r="M850" i="15"/>
  <c r="O850" i="15"/>
  <c r="O851" i="15" l="1"/>
  <c r="T786" i="15"/>
  <c r="J786" i="15" s="1"/>
  <c r="E785" i="15"/>
  <c r="L851" i="15"/>
  <c r="Q786" i="15"/>
  <c r="R786" i="15" l="1"/>
  <c r="O852" i="15"/>
  <c r="L852" i="15" s="1"/>
  <c r="B786" i="15"/>
  <c r="G786" i="15" s="1"/>
  <c r="C786" i="15"/>
  <c r="D786" i="15" s="1"/>
  <c r="M851" i="15"/>
  <c r="M852" i="15" s="1"/>
  <c r="O853" i="15" l="1"/>
  <c r="L853" i="15" s="1"/>
  <c r="F786" i="15"/>
  <c r="M853" i="15"/>
  <c r="T787" i="15"/>
  <c r="R787" i="15" s="1"/>
  <c r="T788" i="15" l="1"/>
  <c r="J788" i="15" s="1"/>
  <c r="O854" i="15"/>
  <c r="J787" i="15"/>
  <c r="Q787" i="15"/>
  <c r="Q788" i="15" s="1"/>
  <c r="E786" i="15"/>
  <c r="L854" i="15" l="1"/>
  <c r="B788" i="15"/>
  <c r="G788" i="15" s="1"/>
  <c r="C788" i="15"/>
  <c r="B787" i="15"/>
  <c r="G787" i="15" s="1"/>
  <c r="C787" i="15"/>
  <c r="D787" i="15" s="1"/>
  <c r="M854" i="15"/>
  <c r="R788" i="15"/>
  <c r="D788" i="15" l="1"/>
  <c r="F787" i="15"/>
  <c r="O855" i="15"/>
  <c r="M855" i="15" s="1"/>
  <c r="T789" i="15"/>
  <c r="R789" i="15" s="1"/>
  <c r="T790" i="15" l="1"/>
  <c r="J790" i="15" s="1"/>
  <c r="O856" i="15"/>
  <c r="M856" i="15" s="1"/>
  <c r="L855" i="15"/>
  <c r="F788" i="15"/>
  <c r="E787" i="15"/>
  <c r="J789" i="15"/>
  <c r="Q789" i="15"/>
  <c r="L856" i="15" l="1"/>
  <c r="O857" i="15"/>
  <c r="L857" i="15" s="1"/>
  <c r="E788" i="15"/>
  <c r="B790" i="15"/>
  <c r="G790" i="15" s="1"/>
  <c r="C790" i="15"/>
  <c r="C789" i="15"/>
  <c r="D789" i="15" s="1"/>
  <c r="F789" i="15" s="1"/>
  <c r="B789" i="15"/>
  <c r="G789" i="15" s="1"/>
  <c r="Q790" i="15"/>
  <c r="R790" i="15"/>
  <c r="M857" i="15" l="1"/>
  <c r="E789" i="15"/>
  <c r="O858" i="15"/>
  <c r="D790" i="15"/>
  <c r="T791" i="15"/>
  <c r="J791" i="15" s="1"/>
  <c r="R791" i="15" l="1"/>
  <c r="Q791" i="15"/>
  <c r="T792" i="15"/>
  <c r="J792" i="15" s="1"/>
  <c r="M858" i="15"/>
  <c r="L858" i="15"/>
  <c r="B791" i="15"/>
  <c r="G791" i="15" s="1"/>
  <c r="C791" i="15"/>
  <c r="D791" i="15" s="1"/>
  <c r="F790" i="15"/>
  <c r="O859" i="15" l="1"/>
  <c r="B792" i="15"/>
  <c r="G792" i="15" s="1"/>
  <c r="C792" i="15"/>
  <c r="D792" i="15" s="1"/>
  <c r="R792" i="15"/>
  <c r="E790" i="15"/>
  <c r="F791" i="15"/>
  <c r="Q792" i="15"/>
  <c r="L859" i="15" l="1"/>
  <c r="T793" i="15"/>
  <c r="J793" i="15" s="1"/>
  <c r="F792" i="15"/>
  <c r="E791" i="15"/>
  <c r="M859" i="15"/>
  <c r="Q793" i="15" l="1"/>
  <c r="C793" i="15"/>
  <c r="D793" i="15" s="1"/>
  <c r="B793" i="15"/>
  <c r="G793" i="15" s="1"/>
  <c r="R793" i="15"/>
  <c r="F793" i="15"/>
  <c r="E792" i="15"/>
  <c r="O860" i="15"/>
  <c r="M860" i="15" s="1"/>
  <c r="L860" i="15" l="1"/>
  <c r="O861" i="15"/>
  <c r="M861" i="15" s="1"/>
  <c r="E793" i="15"/>
  <c r="L861" i="15"/>
  <c r="T794" i="15"/>
  <c r="J794" i="15" s="1"/>
  <c r="B794" i="15" l="1"/>
  <c r="G794" i="15" s="1"/>
  <c r="C794" i="15"/>
  <c r="D794" i="15" s="1"/>
  <c r="O862" i="15"/>
  <c r="R794" i="15"/>
  <c r="Q794" i="15"/>
  <c r="L862" i="15" l="1"/>
  <c r="F794" i="15"/>
  <c r="T795" i="15"/>
  <c r="J795" i="15" s="1"/>
  <c r="M862" i="15"/>
  <c r="O863" i="15" l="1"/>
  <c r="Q795" i="15"/>
  <c r="E794" i="15"/>
  <c r="B795" i="15"/>
  <c r="G795" i="15" s="1"/>
  <c r="C795" i="15"/>
  <c r="D795" i="15" s="1"/>
  <c r="F795" i="15" s="1"/>
  <c r="R795" i="15"/>
  <c r="E795" i="15" l="1"/>
  <c r="T796" i="15"/>
  <c r="J796" i="15" s="1"/>
  <c r="L863" i="15"/>
  <c r="M863" i="15"/>
  <c r="R796" i="15" l="1"/>
  <c r="B796" i="15"/>
  <c r="G796" i="15" s="1"/>
  <c r="C796" i="15"/>
  <c r="D796" i="15" s="1"/>
  <c r="Q796" i="15"/>
  <c r="O864" i="15"/>
  <c r="M864" i="15" l="1"/>
  <c r="T797" i="15"/>
  <c r="J797" i="15" s="1"/>
  <c r="F796" i="15"/>
  <c r="L864" i="15"/>
  <c r="R797" i="15"/>
  <c r="E796" i="15" l="1"/>
  <c r="Q797" i="15"/>
  <c r="O865" i="15"/>
  <c r="C797" i="15"/>
  <c r="D797" i="15" s="1"/>
  <c r="B797" i="15"/>
  <c r="G797" i="15" s="1"/>
  <c r="L865" i="15" l="1"/>
  <c r="T798" i="15"/>
  <c r="Q798" i="15" s="1"/>
  <c r="F797" i="15"/>
  <c r="M865" i="15"/>
  <c r="T799" i="15" l="1"/>
  <c r="J799" i="15" s="1"/>
  <c r="E797" i="15"/>
  <c r="J798" i="15"/>
  <c r="R798" i="15"/>
  <c r="O866" i="15"/>
  <c r="M866" i="15" s="1"/>
  <c r="R799" i="15" l="1"/>
  <c r="L866" i="15"/>
  <c r="B799" i="15"/>
  <c r="G799" i="15" s="1"/>
  <c r="C799" i="15"/>
  <c r="O867" i="15"/>
  <c r="M867" i="15" s="1"/>
  <c r="B798" i="15"/>
  <c r="G798" i="15" s="1"/>
  <c r="C798" i="15"/>
  <c r="D798" i="15" s="1"/>
  <c r="Q799" i="15"/>
  <c r="T800" i="15" l="1"/>
  <c r="D799" i="15"/>
  <c r="F798" i="15"/>
  <c r="L867" i="15"/>
  <c r="O868" i="15" l="1"/>
  <c r="E798" i="15"/>
  <c r="F799" i="15"/>
  <c r="J800" i="15"/>
  <c r="R800" i="15"/>
  <c r="Q800" i="15"/>
  <c r="B800" i="15" l="1"/>
  <c r="G800" i="15" s="1"/>
  <c r="C800" i="15"/>
  <c r="D800" i="15" s="1"/>
  <c r="F800" i="15" s="1"/>
  <c r="T801" i="15"/>
  <c r="J801" i="15" s="1"/>
  <c r="E799" i="15"/>
  <c r="M868" i="15"/>
  <c r="L868" i="15"/>
  <c r="E800" i="15" l="1"/>
  <c r="C801" i="15"/>
  <c r="D801" i="15" s="1"/>
  <c r="B801" i="15"/>
  <c r="G801" i="15" s="1"/>
  <c r="Q801" i="15"/>
  <c r="O869" i="15"/>
  <c r="L869" i="15" s="1"/>
  <c r="R801" i="15"/>
  <c r="F801" i="15" l="1"/>
  <c r="O870" i="15"/>
  <c r="T802" i="15"/>
  <c r="J802" i="15" s="1"/>
  <c r="M869" i="15"/>
  <c r="R802" i="15" l="1"/>
  <c r="B802" i="15"/>
  <c r="G802" i="15" s="1"/>
  <c r="C802" i="15"/>
  <c r="D802" i="15" s="1"/>
  <c r="F802" i="15" s="1"/>
  <c r="Q802" i="15"/>
  <c r="L870" i="15"/>
  <c r="E801" i="15"/>
  <c r="M870" i="15"/>
  <c r="E802" i="15" l="1"/>
  <c r="T803" i="15"/>
  <c r="J803" i="15" s="1"/>
  <c r="O871" i="15"/>
  <c r="L871" i="15" s="1"/>
  <c r="B803" i="15" l="1"/>
  <c r="G803" i="15" s="1"/>
  <c r="C803" i="15"/>
  <c r="D803" i="15" s="1"/>
  <c r="M871" i="15"/>
  <c r="Q803" i="15"/>
  <c r="R803" i="15"/>
  <c r="O872" i="15" l="1"/>
  <c r="F803" i="15"/>
  <c r="T804" i="15"/>
  <c r="J804" i="15" s="1"/>
  <c r="B804" i="15" l="1"/>
  <c r="G804" i="15" s="1"/>
  <c r="C804" i="15"/>
  <c r="D804" i="15" s="1"/>
  <c r="F804" i="15" s="1"/>
  <c r="Q804" i="15"/>
  <c r="E803" i="15"/>
  <c r="L872" i="15"/>
  <c r="M872" i="15"/>
  <c r="R804" i="15"/>
  <c r="T805" i="15" l="1"/>
  <c r="J805" i="15" s="1"/>
  <c r="O873" i="15"/>
  <c r="M873" i="15" s="1"/>
  <c r="E804" i="15"/>
  <c r="L873" i="15" l="1"/>
  <c r="O874" i="15"/>
  <c r="C805" i="15"/>
  <c r="D805" i="15" s="1"/>
  <c r="B805" i="15"/>
  <c r="G805" i="15" s="1"/>
  <c r="R805" i="15"/>
  <c r="Q805" i="15"/>
  <c r="L874" i="15" l="1"/>
  <c r="T806" i="15"/>
  <c r="J806" i="15" s="1"/>
  <c r="F805" i="15"/>
  <c r="M874" i="15"/>
  <c r="R806" i="15" l="1"/>
  <c r="O875" i="15"/>
  <c r="E805" i="15"/>
  <c r="B806" i="15"/>
  <c r="G806" i="15" s="1"/>
  <c r="C806" i="15"/>
  <c r="D806" i="15" s="1"/>
  <c r="Q806" i="15"/>
  <c r="T807" i="15" l="1"/>
  <c r="F806" i="15"/>
  <c r="L875" i="15"/>
  <c r="M875" i="15"/>
  <c r="O876" i="15" l="1"/>
  <c r="E806" i="15"/>
  <c r="M876" i="15"/>
  <c r="J807" i="15"/>
  <c r="R807" i="15"/>
  <c r="Q807" i="15"/>
  <c r="T808" i="15" l="1"/>
  <c r="J808" i="15" s="1"/>
  <c r="B807" i="15"/>
  <c r="G807" i="15" s="1"/>
  <c r="C807" i="15"/>
  <c r="D807" i="15" s="1"/>
  <c r="L876" i="15"/>
  <c r="O877" i="15" l="1"/>
  <c r="F807" i="15"/>
  <c r="B808" i="15"/>
  <c r="G808" i="15" s="1"/>
  <c r="C808" i="15"/>
  <c r="D808" i="15" s="1"/>
  <c r="R808" i="15"/>
  <c r="Q808" i="15"/>
  <c r="T809" i="15" l="1"/>
  <c r="J809" i="15" s="1"/>
  <c r="F808" i="15"/>
  <c r="E807" i="15"/>
  <c r="M877" i="15"/>
  <c r="L877" i="15"/>
  <c r="E808" i="15" l="1"/>
  <c r="Q809" i="15"/>
  <c r="O878" i="15"/>
  <c r="C809" i="15"/>
  <c r="D809" i="15" s="1"/>
  <c r="B809" i="15"/>
  <c r="G809" i="15" s="1"/>
  <c r="R809" i="15"/>
  <c r="T810" i="15" l="1"/>
  <c r="J810" i="15" s="1"/>
  <c r="M878" i="15"/>
  <c r="L878" i="15"/>
  <c r="F809" i="15"/>
  <c r="R810" i="15" l="1"/>
  <c r="E809" i="15"/>
  <c r="O879" i="15"/>
  <c r="L879" i="15" s="1"/>
  <c r="T811" i="15"/>
  <c r="J811" i="15" s="1"/>
  <c r="B810" i="15"/>
  <c r="G810" i="15" s="1"/>
  <c r="C810" i="15"/>
  <c r="D810" i="15" s="1"/>
  <c r="Q810" i="15"/>
  <c r="M879" i="15" l="1"/>
  <c r="O880" i="15"/>
  <c r="R811" i="15"/>
  <c r="Q811" i="15"/>
  <c r="B811" i="15"/>
  <c r="G811" i="15" s="1"/>
  <c r="C811" i="15"/>
  <c r="D811" i="15" s="1"/>
  <c r="F810" i="15"/>
  <c r="T812" i="15" l="1"/>
  <c r="J812" i="15" s="1"/>
  <c r="E810" i="15"/>
  <c r="F811" i="15"/>
  <c r="L880" i="15"/>
  <c r="M880" i="15"/>
  <c r="B812" i="15" l="1"/>
  <c r="G812" i="15" s="1"/>
  <c r="C812" i="15"/>
  <c r="D812" i="15" s="1"/>
  <c r="F812" i="15" s="1"/>
  <c r="Q812" i="15"/>
  <c r="O881" i="15"/>
  <c r="E811" i="15"/>
  <c r="R812" i="15"/>
  <c r="E812" i="15" l="1"/>
  <c r="T813" i="15"/>
  <c r="J813" i="15" s="1"/>
  <c r="L881" i="15"/>
  <c r="M881" i="15"/>
  <c r="O882" i="15" l="1"/>
  <c r="M882" i="15" s="1"/>
  <c r="C813" i="15"/>
  <c r="D813" i="15" s="1"/>
  <c r="B813" i="15"/>
  <c r="G813" i="15" s="1"/>
  <c r="R813" i="15"/>
  <c r="Q813" i="15"/>
  <c r="T814" i="15" l="1"/>
  <c r="J814" i="15" s="1"/>
  <c r="F813" i="15"/>
  <c r="L882" i="15"/>
  <c r="E813" i="15" l="1"/>
  <c r="O883" i="15"/>
  <c r="B814" i="15"/>
  <c r="G814" i="15" s="1"/>
  <c r="C814" i="15"/>
  <c r="D814" i="15" s="1"/>
  <c r="R814" i="15"/>
  <c r="Q814" i="15"/>
  <c r="T815" i="15" l="1"/>
  <c r="J815" i="15" s="1"/>
  <c r="M883" i="15"/>
  <c r="L883" i="15"/>
  <c r="F814" i="15"/>
  <c r="E814" i="15" l="1"/>
  <c r="O884" i="15"/>
  <c r="M884" i="15" s="1"/>
  <c r="R815" i="15"/>
  <c r="B815" i="15"/>
  <c r="G815" i="15" s="1"/>
  <c r="C815" i="15"/>
  <c r="D815" i="15" s="1"/>
  <c r="Q815" i="15"/>
  <c r="O885" i="15" l="1"/>
  <c r="T816" i="15"/>
  <c r="J816" i="15" s="1"/>
  <c r="F815" i="15"/>
  <c r="L884" i="15"/>
  <c r="L885" i="15" l="1"/>
  <c r="E815" i="15"/>
  <c r="B816" i="15"/>
  <c r="G816" i="15" s="1"/>
  <c r="C816" i="15"/>
  <c r="D816" i="15" s="1"/>
  <c r="R816" i="15"/>
  <c r="Q816" i="15"/>
  <c r="M885" i="15"/>
  <c r="T817" i="15" l="1"/>
  <c r="J817" i="15" s="1"/>
  <c r="O886" i="15"/>
  <c r="F816" i="15"/>
  <c r="E816" i="15" l="1"/>
  <c r="L886" i="15"/>
  <c r="M886" i="15"/>
  <c r="C817" i="15"/>
  <c r="D817" i="15" s="1"/>
  <c r="B817" i="15"/>
  <c r="G817" i="15" s="1"/>
  <c r="R817" i="15"/>
  <c r="Q817" i="15"/>
  <c r="T818" i="15" l="1"/>
  <c r="J818" i="15" s="1"/>
  <c r="O887" i="15"/>
  <c r="Q818" i="15"/>
  <c r="F817" i="15"/>
  <c r="E817" i="15" l="1"/>
  <c r="M887" i="15"/>
  <c r="L887" i="15"/>
  <c r="B818" i="15"/>
  <c r="G818" i="15" s="1"/>
  <c r="C818" i="15"/>
  <c r="D818" i="15" s="1"/>
  <c r="R818" i="15"/>
  <c r="O888" i="15" l="1"/>
  <c r="F818" i="15"/>
  <c r="L888" i="15"/>
  <c r="T819" i="15"/>
  <c r="J819" i="15" l="1"/>
  <c r="Q819" i="15"/>
  <c r="R819" i="15"/>
  <c r="O889" i="15"/>
  <c r="E818" i="15"/>
  <c r="M888" i="15"/>
  <c r="L889" i="15" l="1"/>
  <c r="T820" i="15"/>
  <c r="J820" i="15" s="1"/>
  <c r="M889" i="15"/>
  <c r="B819" i="15"/>
  <c r="G819" i="15" s="1"/>
  <c r="C819" i="15"/>
  <c r="D819" i="15" s="1"/>
  <c r="F819" i="15" l="1"/>
  <c r="R820" i="15"/>
  <c r="B820" i="15"/>
  <c r="G820" i="15" s="1"/>
  <c r="C820" i="15"/>
  <c r="D820" i="15" s="1"/>
  <c r="O890" i="15"/>
  <c r="Q820" i="15"/>
  <c r="L890" i="15" l="1"/>
  <c r="F820" i="15"/>
  <c r="E819" i="15"/>
  <c r="T821" i="15"/>
  <c r="J821" i="15" s="1"/>
  <c r="M890" i="15"/>
  <c r="C821" i="15" l="1"/>
  <c r="D821" i="15" s="1"/>
  <c r="B821" i="15"/>
  <c r="G821" i="15" s="1"/>
  <c r="O891" i="15"/>
  <c r="R821" i="15"/>
  <c r="F821" i="15"/>
  <c r="E820" i="15"/>
  <c r="Q821" i="15"/>
  <c r="L891" i="15" l="1"/>
  <c r="E821" i="15"/>
  <c r="T822" i="15"/>
  <c r="J822" i="15" s="1"/>
  <c r="M891" i="15"/>
  <c r="Q822" i="15" l="1"/>
  <c r="R822" i="15"/>
  <c r="O892" i="15"/>
  <c r="M892" i="15" s="1"/>
  <c r="B822" i="15"/>
  <c r="G822" i="15" s="1"/>
  <c r="C822" i="15"/>
  <c r="D822" i="15" s="1"/>
  <c r="L892" i="15"/>
  <c r="O893" i="15" l="1"/>
  <c r="F822" i="15"/>
  <c r="T823" i="15"/>
  <c r="J823" i="15" l="1"/>
  <c r="Q823" i="15"/>
  <c r="R823" i="15"/>
  <c r="E822" i="15"/>
  <c r="L893" i="15"/>
  <c r="M893" i="15"/>
  <c r="O894" i="15" l="1"/>
  <c r="T824" i="15"/>
  <c r="J824" i="15" s="1"/>
  <c r="B823" i="15"/>
  <c r="G823" i="15" s="1"/>
  <c r="C823" i="15"/>
  <c r="D823" i="15" s="1"/>
  <c r="F823" i="15" l="1"/>
  <c r="B824" i="15"/>
  <c r="G824" i="15" s="1"/>
  <c r="C824" i="15"/>
  <c r="D824" i="15" s="1"/>
  <c r="Q824" i="15"/>
  <c r="R824" i="15"/>
  <c r="M894" i="15"/>
  <c r="L894" i="15"/>
  <c r="O895" i="15" l="1"/>
  <c r="T825" i="15"/>
  <c r="J825" i="15" s="1"/>
  <c r="F824" i="15"/>
  <c r="E823" i="15"/>
  <c r="C825" i="15" l="1"/>
  <c r="D825" i="15" s="1"/>
  <c r="B825" i="15"/>
  <c r="G825" i="15" s="1"/>
  <c r="F825" i="15"/>
  <c r="E824" i="15"/>
  <c r="Q825" i="15"/>
  <c r="M895" i="15"/>
  <c r="R825" i="15"/>
  <c r="L895" i="15"/>
  <c r="E825" i="15" l="1"/>
  <c r="T826" i="15"/>
  <c r="J826" i="15" s="1"/>
  <c r="O896" i="15"/>
  <c r="L896" i="15" l="1"/>
  <c r="M896" i="15"/>
  <c r="B826" i="15"/>
  <c r="G826" i="15" s="1"/>
  <c r="C826" i="15"/>
  <c r="D826" i="15" s="1"/>
  <c r="R826" i="15"/>
  <c r="Q826" i="15"/>
  <c r="F826" i="15" l="1"/>
  <c r="O897" i="15"/>
  <c r="L897" i="15" s="1"/>
  <c r="T827" i="15"/>
  <c r="J827" i="15" s="1"/>
  <c r="O898" i="15" l="1"/>
  <c r="B827" i="15"/>
  <c r="G827" i="15" s="1"/>
  <c r="C827" i="15"/>
  <c r="D827" i="15" s="1"/>
  <c r="M897" i="15"/>
  <c r="M898" i="15" s="1"/>
  <c r="R827" i="15"/>
  <c r="Q827" i="15"/>
  <c r="E826" i="15"/>
  <c r="T828" i="15" l="1"/>
  <c r="J828" i="15" s="1"/>
  <c r="F827" i="15"/>
  <c r="L898" i="15"/>
  <c r="E827" i="15" l="1"/>
  <c r="O899" i="15"/>
  <c r="B828" i="15"/>
  <c r="G828" i="15" s="1"/>
  <c r="C828" i="15"/>
  <c r="D828" i="15" s="1"/>
  <c r="R828" i="15"/>
  <c r="Q828" i="15"/>
  <c r="T829" i="15" l="1"/>
  <c r="J829" i="15" s="1"/>
  <c r="M899" i="15"/>
  <c r="L899" i="15"/>
  <c r="F828" i="15"/>
  <c r="E828" i="15" l="1"/>
  <c r="O900" i="15"/>
  <c r="L900" i="15" s="1"/>
  <c r="C829" i="15"/>
  <c r="D829" i="15" s="1"/>
  <c r="B829" i="15"/>
  <c r="G829" i="15" s="1"/>
  <c r="R829" i="15"/>
  <c r="Q829" i="15"/>
  <c r="M900" i="15" l="1"/>
  <c r="T830" i="15"/>
  <c r="J830" i="15" s="1"/>
  <c r="F829" i="15"/>
  <c r="B830" i="15" l="1"/>
  <c r="G830" i="15" s="1"/>
  <c r="C830" i="15"/>
  <c r="D830" i="15" s="1"/>
  <c r="F830" i="15" s="1"/>
  <c r="E829" i="15"/>
  <c r="Q830" i="15"/>
  <c r="R830" i="15"/>
  <c r="O901" i="15"/>
  <c r="T831" i="15" l="1"/>
  <c r="J831" i="15" s="1"/>
  <c r="E830" i="15"/>
  <c r="L901" i="15"/>
  <c r="Q831" i="15"/>
  <c r="M901" i="15"/>
  <c r="B831" i="15" l="1"/>
  <c r="G831" i="15" s="1"/>
  <c r="C831" i="15"/>
  <c r="D831" i="15" s="1"/>
  <c r="O902" i="15"/>
  <c r="M902" i="15" s="1"/>
  <c r="R831" i="15"/>
  <c r="O903" i="15" l="1"/>
  <c r="T832" i="15"/>
  <c r="R832" i="15" s="1"/>
  <c r="F831" i="15"/>
  <c r="L902" i="15"/>
  <c r="L903" i="15" s="1"/>
  <c r="T833" i="15" l="1"/>
  <c r="J833" i="15" s="1"/>
  <c r="E831" i="15"/>
  <c r="J832" i="15"/>
  <c r="Q832" i="15"/>
  <c r="Q833" i="15" s="1"/>
  <c r="M903" i="15"/>
  <c r="B832" i="15" l="1"/>
  <c r="G832" i="15" s="1"/>
  <c r="C832" i="15"/>
  <c r="D832" i="15" s="1"/>
  <c r="C833" i="15"/>
  <c r="B833" i="15"/>
  <c r="G833" i="15" s="1"/>
  <c r="O904" i="15"/>
  <c r="R833" i="15"/>
  <c r="L904" i="15" l="1"/>
  <c r="D833" i="15"/>
  <c r="F832" i="15"/>
  <c r="T834" i="15"/>
  <c r="R834" i="15" s="1"/>
  <c r="M904" i="15"/>
  <c r="T835" i="15" l="1"/>
  <c r="J835" i="15" s="1"/>
  <c r="O905" i="15"/>
  <c r="J834" i="15"/>
  <c r="Q834" i="15"/>
  <c r="F833" i="15"/>
  <c r="E832" i="15"/>
  <c r="Q835" i="15" l="1"/>
  <c r="B834" i="15"/>
  <c r="G834" i="15" s="1"/>
  <c r="C834" i="15"/>
  <c r="D834" i="15" s="1"/>
  <c r="F834" i="15" s="1"/>
  <c r="B835" i="15"/>
  <c r="G835" i="15" s="1"/>
  <c r="C835" i="15"/>
  <c r="E833" i="15"/>
  <c r="M905" i="15"/>
  <c r="L905" i="15"/>
  <c r="R835" i="15"/>
  <c r="D835" i="15" l="1"/>
  <c r="T836" i="15"/>
  <c r="R836" i="15" s="1"/>
  <c r="E834" i="15"/>
  <c r="F835" i="15"/>
  <c r="O906" i="15"/>
  <c r="L906" i="15" s="1"/>
  <c r="E835" i="15" l="1"/>
  <c r="M906" i="15"/>
  <c r="J836" i="15"/>
  <c r="Q836" i="15"/>
  <c r="O907" i="15" l="1"/>
  <c r="T837" i="15"/>
  <c r="B836" i="15"/>
  <c r="G836" i="15" s="1"/>
  <c r="C836" i="15"/>
  <c r="D836" i="15" s="1"/>
  <c r="F836" i="15" l="1"/>
  <c r="J837" i="15"/>
  <c r="R837" i="15"/>
  <c r="Q837" i="15"/>
  <c r="L907" i="15"/>
  <c r="M907" i="15"/>
  <c r="T838" i="15" l="1"/>
  <c r="J838" i="15" s="1"/>
  <c r="C837" i="15"/>
  <c r="D837" i="15" s="1"/>
  <c r="B837" i="15"/>
  <c r="G837" i="15" s="1"/>
  <c r="O908" i="15"/>
  <c r="R838" i="15"/>
  <c r="E836" i="15"/>
  <c r="L908" i="15" l="1"/>
  <c r="B838" i="15"/>
  <c r="G838" i="15" s="1"/>
  <c r="C838" i="15"/>
  <c r="D838" i="15" s="1"/>
  <c r="Q838" i="15"/>
  <c r="F837" i="15"/>
  <c r="M908" i="15"/>
  <c r="F838" i="15" l="1"/>
  <c r="E837" i="15"/>
  <c r="T839" i="15"/>
  <c r="Q839" i="15" s="1"/>
  <c r="O909" i="15"/>
  <c r="L909" i="15" l="1"/>
  <c r="M909" i="15"/>
  <c r="J839" i="15"/>
  <c r="R839" i="15"/>
  <c r="E838" i="15"/>
  <c r="T840" i="15" l="1"/>
  <c r="B839" i="15"/>
  <c r="G839" i="15" s="1"/>
  <c r="C839" i="15"/>
  <c r="D839" i="15" s="1"/>
  <c r="O910" i="15"/>
  <c r="F839" i="15" l="1"/>
  <c r="L910" i="15"/>
  <c r="M910" i="15"/>
  <c r="J840" i="15"/>
  <c r="Q840" i="15"/>
  <c r="R840" i="15"/>
  <c r="T841" i="15" l="1"/>
  <c r="J841" i="15" s="1"/>
  <c r="B840" i="15"/>
  <c r="G840" i="15" s="1"/>
  <c r="C840" i="15"/>
  <c r="D840" i="15" s="1"/>
  <c r="O911" i="15"/>
  <c r="E839" i="15"/>
  <c r="R841" i="15" l="1"/>
  <c r="L911" i="15"/>
  <c r="T842" i="15"/>
  <c r="J842" i="15" s="1"/>
  <c r="C841" i="15"/>
  <c r="D841" i="15" s="1"/>
  <c r="B841" i="15"/>
  <c r="G841" i="15" s="1"/>
  <c r="M911" i="15"/>
  <c r="F840" i="15"/>
  <c r="Q841" i="15"/>
  <c r="B842" i="15" l="1"/>
  <c r="G842" i="15" s="1"/>
  <c r="C842" i="15"/>
  <c r="D842" i="15" s="1"/>
  <c r="Q842" i="15"/>
  <c r="O912" i="15"/>
  <c r="M912" i="15" s="1"/>
  <c r="R842" i="15"/>
  <c r="F841" i="15"/>
  <c r="E840" i="15"/>
  <c r="T843" i="15" l="1"/>
  <c r="J843" i="15" s="1"/>
  <c r="O913" i="15"/>
  <c r="M913" i="15" s="1"/>
  <c r="L912" i="15"/>
  <c r="F842" i="15"/>
  <c r="E841" i="15"/>
  <c r="L913" i="15" l="1"/>
  <c r="O914" i="15"/>
  <c r="B843" i="15"/>
  <c r="G843" i="15" s="1"/>
  <c r="C843" i="15"/>
  <c r="D843" i="15" s="1"/>
  <c r="L914" i="15"/>
  <c r="Q843" i="15"/>
  <c r="R843" i="15"/>
  <c r="E842" i="15"/>
  <c r="T844" i="15" l="1"/>
  <c r="J844" i="15" s="1"/>
  <c r="O915" i="15"/>
  <c r="F843" i="15"/>
  <c r="M914" i="15"/>
  <c r="L915" i="15" l="1"/>
  <c r="E843" i="15"/>
  <c r="B844" i="15"/>
  <c r="G844" i="15" s="1"/>
  <c r="C844" i="15"/>
  <c r="D844" i="15" s="1"/>
  <c r="Q844" i="15"/>
  <c r="M915" i="15"/>
  <c r="R844" i="15"/>
  <c r="T845" i="15" l="1"/>
  <c r="J845" i="15" s="1"/>
  <c r="O916" i="15"/>
  <c r="L916" i="15" s="1"/>
  <c r="F844" i="15"/>
  <c r="R845" i="15"/>
  <c r="O917" i="15" l="1"/>
  <c r="E844" i="15"/>
  <c r="T846" i="15"/>
  <c r="J846" i="15" s="1"/>
  <c r="C845" i="15"/>
  <c r="D845" i="15" s="1"/>
  <c r="B845" i="15"/>
  <c r="G845" i="15" s="1"/>
  <c r="Q845" i="15"/>
  <c r="M916" i="15"/>
  <c r="M917" i="15" s="1"/>
  <c r="R846" i="15" l="1"/>
  <c r="F845" i="15"/>
  <c r="B846" i="15"/>
  <c r="G846" i="15" s="1"/>
  <c r="C846" i="15"/>
  <c r="D846" i="15" s="1"/>
  <c r="Q846" i="15"/>
  <c r="L917" i="15"/>
  <c r="T847" i="15" l="1"/>
  <c r="J847" i="15" s="1"/>
  <c r="F846" i="15"/>
  <c r="E845" i="15"/>
  <c r="O918" i="15"/>
  <c r="L918" i="15" s="1"/>
  <c r="R847" i="15" l="1"/>
  <c r="M918" i="15"/>
  <c r="E846" i="15"/>
  <c r="B847" i="15"/>
  <c r="G847" i="15" s="1"/>
  <c r="C847" i="15"/>
  <c r="D847" i="15" s="1"/>
  <c r="Q847" i="15"/>
  <c r="F847" i="15" l="1"/>
  <c r="O919" i="15"/>
  <c r="M919" i="15" s="1"/>
  <c r="T848" i="15"/>
  <c r="O920" i="15" l="1"/>
  <c r="J848" i="15"/>
  <c r="R848" i="15"/>
  <c r="Q848" i="15"/>
  <c r="L919" i="15"/>
  <c r="L920" i="15" s="1"/>
  <c r="E847" i="15"/>
  <c r="T849" i="15" l="1"/>
  <c r="J849" i="15" s="1"/>
  <c r="B848" i="15"/>
  <c r="G848" i="15" s="1"/>
  <c r="C848" i="15"/>
  <c r="D848" i="15" s="1"/>
  <c r="Q849" i="15"/>
  <c r="M920" i="15"/>
  <c r="T850" i="15" l="1"/>
  <c r="J850" i="15" s="1"/>
  <c r="O921" i="15"/>
  <c r="F848" i="15"/>
  <c r="C849" i="15"/>
  <c r="D849" i="15" s="1"/>
  <c r="B849" i="15"/>
  <c r="G849" i="15" s="1"/>
  <c r="R849" i="15"/>
  <c r="F849" i="15" l="1"/>
  <c r="E848" i="15"/>
  <c r="B850" i="15"/>
  <c r="G850" i="15" s="1"/>
  <c r="C850" i="15"/>
  <c r="D850" i="15" s="1"/>
  <c r="L921" i="15"/>
  <c r="M921" i="15"/>
  <c r="R850" i="15"/>
  <c r="Q850" i="15"/>
  <c r="O922" i="15" l="1"/>
  <c r="F850" i="15"/>
  <c r="E849" i="15"/>
  <c r="L922" i="15"/>
  <c r="T851" i="15"/>
  <c r="J851" i="15" s="1"/>
  <c r="Q851" i="15" l="1"/>
  <c r="B851" i="15"/>
  <c r="G851" i="15" s="1"/>
  <c r="C851" i="15"/>
  <c r="D851" i="15" s="1"/>
  <c r="F851" i="15" s="1"/>
  <c r="E850" i="15"/>
  <c r="M922" i="15"/>
  <c r="R851" i="15"/>
  <c r="O923" i="15" l="1"/>
  <c r="E851" i="15"/>
  <c r="T852" i="15"/>
  <c r="J852" i="15" s="1"/>
  <c r="B852" i="15" l="1"/>
  <c r="G852" i="15" s="1"/>
  <c r="C852" i="15"/>
  <c r="D852" i="15" s="1"/>
  <c r="Q852" i="15"/>
  <c r="R852" i="15"/>
  <c r="L923" i="15"/>
  <c r="M923" i="15"/>
  <c r="T853" i="15" l="1"/>
  <c r="J853" i="15" s="1"/>
  <c r="F852" i="15"/>
  <c r="O924" i="15"/>
  <c r="R853" i="15"/>
  <c r="E852" i="15" l="1"/>
  <c r="L924" i="15"/>
  <c r="C853" i="15"/>
  <c r="D853" i="15" s="1"/>
  <c r="B853" i="15"/>
  <c r="G853" i="15" s="1"/>
  <c r="Q853" i="15"/>
  <c r="M924" i="15"/>
  <c r="T854" i="15" l="1"/>
  <c r="O925" i="15"/>
  <c r="F853" i="15"/>
  <c r="L925" i="15" l="1"/>
  <c r="E853" i="15"/>
  <c r="M925" i="15"/>
  <c r="J854" i="15"/>
  <c r="R854" i="15"/>
  <c r="Q854" i="15"/>
  <c r="T855" i="15" l="1"/>
  <c r="J855" i="15" s="1"/>
  <c r="O926" i="15"/>
  <c r="M926" i="15" s="1"/>
  <c r="B854" i="15"/>
  <c r="G854" i="15" s="1"/>
  <c r="C854" i="15"/>
  <c r="D854" i="15" s="1"/>
  <c r="L926" i="15"/>
  <c r="O927" i="15" l="1"/>
  <c r="L927" i="15" s="1"/>
  <c r="F854" i="15"/>
  <c r="B855" i="15"/>
  <c r="G855" i="15" s="1"/>
  <c r="C855" i="15"/>
  <c r="D855" i="15" s="1"/>
  <c r="R855" i="15"/>
  <c r="Q855" i="15"/>
  <c r="E854" i="15" l="1"/>
  <c r="F855" i="15"/>
  <c r="T856" i="15"/>
  <c r="J856" i="15" s="1"/>
  <c r="M927" i="15"/>
  <c r="B856" i="15" l="1"/>
  <c r="G856" i="15" s="1"/>
  <c r="C856" i="15"/>
  <c r="D856" i="15" s="1"/>
  <c r="F856" i="15" s="1"/>
  <c r="E855" i="15"/>
  <c r="R856" i="15"/>
  <c r="Q856" i="15"/>
  <c r="O928" i="15"/>
  <c r="M928" i="15" s="1"/>
  <c r="E856" i="15" l="1"/>
  <c r="L928" i="15"/>
  <c r="T857" i="15"/>
  <c r="J857" i="15" s="1"/>
  <c r="R857" i="15" l="1"/>
  <c r="Q857" i="15"/>
  <c r="T858" i="15"/>
  <c r="J858" i="15" s="1"/>
  <c r="O929" i="15"/>
  <c r="C857" i="15"/>
  <c r="D857" i="15" s="1"/>
  <c r="B857" i="15"/>
  <c r="G857" i="15" s="1"/>
  <c r="F857" i="15" l="1"/>
  <c r="M929" i="15"/>
  <c r="L929" i="15"/>
  <c r="B858" i="15"/>
  <c r="G858" i="15" s="1"/>
  <c r="C858" i="15"/>
  <c r="D858" i="15" s="1"/>
  <c r="R858" i="15"/>
  <c r="Q858" i="15"/>
  <c r="O930" i="15" l="1"/>
  <c r="F858" i="15"/>
  <c r="E857" i="15"/>
  <c r="M930" i="15"/>
  <c r="T859" i="15"/>
  <c r="J859" i="15" s="1"/>
  <c r="Q859" i="15" l="1"/>
  <c r="R859" i="15"/>
  <c r="E858" i="15"/>
  <c r="T860" i="15"/>
  <c r="J860" i="15" s="1"/>
  <c r="L930" i="15"/>
  <c r="B859" i="15"/>
  <c r="G859" i="15" s="1"/>
  <c r="C859" i="15"/>
  <c r="D859" i="15" s="1"/>
  <c r="B860" i="15" l="1"/>
  <c r="G860" i="15" s="1"/>
  <c r="C860" i="15"/>
  <c r="D860" i="15" s="1"/>
  <c r="Q860" i="15"/>
  <c r="F859" i="15"/>
  <c r="O931" i="15"/>
  <c r="R860" i="15"/>
  <c r="F860" i="15" l="1"/>
  <c r="E859" i="15"/>
  <c r="M931" i="15"/>
  <c r="L931" i="15"/>
  <c r="T861" i="15"/>
  <c r="J861" i="15" s="1"/>
  <c r="Q861" i="15" l="1"/>
  <c r="T862" i="15" s="1"/>
  <c r="J862" i="15" s="1"/>
  <c r="R861" i="15"/>
  <c r="O932" i="15"/>
  <c r="L932" i="15" s="1"/>
  <c r="C861" i="15"/>
  <c r="D861" i="15" s="1"/>
  <c r="B861" i="15"/>
  <c r="G861" i="15" s="1"/>
  <c r="E860" i="15"/>
  <c r="R862" i="15" l="1"/>
  <c r="B862" i="15"/>
  <c r="G862" i="15" s="1"/>
  <c r="C862" i="15"/>
  <c r="D862" i="15" s="1"/>
  <c r="Q862" i="15"/>
  <c r="F861" i="15"/>
  <c r="M932" i="15"/>
  <c r="F862" i="15" l="1"/>
  <c r="E861" i="15"/>
  <c r="T863" i="15"/>
  <c r="J863" i="15" s="1"/>
  <c r="O933" i="15"/>
  <c r="M933" i="15" s="1"/>
  <c r="R863" i="15" l="1"/>
  <c r="O934" i="15"/>
  <c r="L933" i="15"/>
  <c r="L934" i="15" s="1"/>
  <c r="Q863" i="15"/>
  <c r="B863" i="15"/>
  <c r="G863" i="15" s="1"/>
  <c r="C863" i="15"/>
  <c r="D863" i="15" s="1"/>
  <c r="E862" i="15"/>
  <c r="T864" i="15" l="1"/>
  <c r="F863" i="15"/>
  <c r="M934" i="15"/>
  <c r="E863" i="15" l="1"/>
  <c r="O935" i="15"/>
  <c r="J864" i="15"/>
  <c r="R864" i="15"/>
  <c r="Q864" i="15"/>
  <c r="T865" i="15" l="1"/>
  <c r="J865" i="15" s="1"/>
  <c r="L935" i="15"/>
  <c r="B864" i="15"/>
  <c r="G864" i="15" s="1"/>
  <c r="C864" i="15"/>
  <c r="D864" i="15" s="1"/>
  <c r="M935" i="15"/>
  <c r="F864" i="15" l="1"/>
  <c r="O936" i="15"/>
  <c r="C865" i="15"/>
  <c r="D865" i="15" s="1"/>
  <c r="B865" i="15"/>
  <c r="G865" i="15" s="1"/>
  <c r="Q865" i="15"/>
  <c r="R865" i="15"/>
  <c r="M936" i="15" l="1"/>
  <c r="L936" i="15"/>
  <c r="F865" i="15"/>
  <c r="E864" i="15"/>
  <c r="T866" i="15"/>
  <c r="J866" i="15" s="1"/>
  <c r="E865" i="15" l="1"/>
  <c r="Q866" i="15"/>
  <c r="R866" i="15"/>
  <c r="O937" i="15"/>
  <c r="L937" i="15" s="1"/>
  <c r="B866" i="15"/>
  <c r="G866" i="15" s="1"/>
  <c r="C866" i="15"/>
  <c r="D866" i="15" s="1"/>
  <c r="O938" i="15" l="1"/>
  <c r="M937" i="15"/>
  <c r="T867" i="15"/>
  <c r="J867" i="15" s="1"/>
  <c r="F866" i="15"/>
  <c r="M938" i="15" l="1"/>
  <c r="B867" i="15"/>
  <c r="G867" i="15" s="1"/>
  <c r="C867" i="15"/>
  <c r="D867" i="15" s="1"/>
  <c r="F867" i="15" s="1"/>
  <c r="Q867" i="15"/>
  <c r="R867" i="15"/>
  <c r="E866" i="15"/>
  <c r="L938" i="15"/>
  <c r="T868" i="15" l="1"/>
  <c r="J868" i="15" s="1"/>
  <c r="E867" i="15"/>
  <c r="O939" i="15"/>
  <c r="L939" i="15" s="1"/>
  <c r="M939" i="15" l="1"/>
  <c r="B868" i="15"/>
  <c r="G868" i="15" s="1"/>
  <c r="C868" i="15"/>
  <c r="D868" i="15" s="1"/>
  <c r="R868" i="15"/>
  <c r="Q868" i="15"/>
  <c r="T869" i="15" l="1"/>
  <c r="J869" i="15" s="1"/>
  <c r="F868" i="15"/>
  <c r="O940" i="15"/>
  <c r="E868" i="15" l="1"/>
  <c r="L940" i="15"/>
  <c r="M940" i="15"/>
  <c r="C869" i="15"/>
  <c r="D869" i="15" s="1"/>
  <c r="B869" i="15"/>
  <c r="G869" i="15" s="1"/>
  <c r="R869" i="15"/>
  <c r="Q869" i="15"/>
  <c r="O941" i="15" l="1"/>
  <c r="L941" i="15" s="1"/>
  <c r="T870" i="15"/>
  <c r="J870" i="15" s="1"/>
  <c r="F869" i="15"/>
  <c r="B870" i="15" l="1"/>
  <c r="G870" i="15" s="1"/>
  <c r="C870" i="15"/>
  <c r="D870" i="15" s="1"/>
  <c r="F870" i="15" s="1"/>
  <c r="R870" i="15"/>
  <c r="E869" i="15"/>
  <c r="Q870" i="15"/>
  <c r="M941" i="15"/>
  <c r="E870" i="15" l="1"/>
  <c r="T871" i="15"/>
  <c r="J871" i="15" s="1"/>
  <c r="O942" i="15"/>
  <c r="L942" i="15" l="1"/>
  <c r="Q871" i="15"/>
  <c r="B871" i="15"/>
  <c r="G871" i="15" s="1"/>
  <c r="C871" i="15"/>
  <c r="D871" i="15" s="1"/>
  <c r="R871" i="15"/>
  <c r="M942" i="15"/>
  <c r="F871" i="15" l="1"/>
  <c r="O943" i="15"/>
  <c r="M943" i="15" s="1"/>
  <c r="T872" i="15"/>
  <c r="J872" i="15" s="1"/>
  <c r="L943" i="15"/>
  <c r="Q872" i="15" l="1"/>
  <c r="O944" i="15"/>
  <c r="L944" i="15" s="1"/>
  <c r="T873" i="15"/>
  <c r="J873" i="15" s="1"/>
  <c r="R872" i="15"/>
  <c r="B872" i="15"/>
  <c r="G872" i="15" s="1"/>
  <c r="C872" i="15"/>
  <c r="D872" i="15" s="1"/>
  <c r="E871" i="15"/>
  <c r="R873" i="15" l="1"/>
  <c r="Q873" i="15"/>
  <c r="B873" i="15"/>
  <c r="G873" i="15" s="1"/>
  <c r="C873" i="15"/>
  <c r="D873" i="15" s="1"/>
  <c r="F872" i="15"/>
  <c r="M944" i="15"/>
  <c r="E872" i="15" l="1"/>
  <c r="F873" i="15"/>
  <c r="T874" i="15"/>
  <c r="O945" i="15"/>
  <c r="M945" i="15" s="1"/>
  <c r="O946" i="15" l="1"/>
  <c r="L945" i="15"/>
  <c r="L946" i="15" s="1"/>
  <c r="E873" i="15"/>
  <c r="J874" i="15"/>
  <c r="R874" i="15"/>
  <c r="Q874" i="15"/>
  <c r="T875" i="15" l="1"/>
  <c r="J875" i="15" s="1"/>
  <c r="B874" i="15"/>
  <c r="G874" i="15" s="1"/>
  <c r="C874" i="15"/>
  <c r="D874" i="15" s="1"/>
  <c r="O947" i="15"/>
  <c r="L947" i="15" s="1"/>
  <c r="Q875" i="15"/>
  <c r="M946" i="15"/>
  <c r="O948" i="15" l="1"/>
  <c r="T876" i="15"/>
  <c r="J876" i="15" s="1"/>
  <c r="F874" i="15"/>
  <c r="B875" i="15"/>
  <c r="G875" i="15" s="1"/>
  <c r="C875" i="15"/>
  <c r="D875" i="15" s="1"/>
  <c r="M947" i="15"/>
  <c r="M948" i="15" s="1"/>
  <c r="R875" i="15"/>
  <c r="R876" i="15" l="1"/>
  <c r="O949" i="15"/>
  <c r="E874" i="15"/>
  <c r="F875" i="15"/>
  <c r="B876" i="15"/>
  <c r="G876" i="15" s="1"/>
  <c r="C876" i="15"/>
  <c r="D876" i="15" s="1"/>
  <c r="Q876" i="15"/>
  <c r="L948" i="15"/>
  <c r="L949" i="15" s="1"/>
  <c r="T877" i="15" l="1"/>
  <c r="J877" i="15" s="1"/>
  <c r="E875" i="15"/>
  <c r="F876" i="15"/>
  <c r="M949" i="15"/>
  <c r="O950" i="15" l="1"/>
  <c r="E876" i="15"/>
  <c r="B877" i="15"/>
  <c r="G877" i="15" s="1"/>
  <c r="C877" i="15"/>
  <c r="D877" i="15" s="1"/>
  <c r="R877" i="15"/>
  <c r="Q877" i="15"/>
  <c r="T878" i="15" l="1"/>
  <c r="J878" i="15" s="1"/>
  <c r="F877" i="15"/>
  <c r="L950" i="15"/>
  <c r="M950" i="15"/>
  <c r="O951" i="15" l="1"/>
  <c r="L951" i="15" s="1"/>
  <c r="E877" i="15"/>
  <c r="B878" i="15"/>
  <c r="G878" i="15" s="1"/>
  <c r="C878" i="15"/>
  <c r="D878" i="15" s="1"/>
  <c r="R878" i="15"/>
  <c r="Q878" i="15"/>
  <c r="O952" i="15" l="1"/>
  <c r="L952" i="15" s="1"/>
  <c r="F878" i="15"/>
  <c r="T879" i="15"/>
  <c r="J879" i="15" s="1"/>
  <c r="M951" i="15"/>
  <c r="O953" i="15" l="1"/>
  <c r="B879" i="15"/>
  <c r="G879" i="15" s="1"/>
  <c r="C879" i="15"/>
  <c r="D879" i="15" s="1"/>
  <c r="F879" i="15" s="1"/>
  <c r="E878" i="15"/>
  <c r="Q879" i="15"/>
  <c r="M952" i="15"/>
  <c r="R879" i="15"/>
  <c r="E879" i="15" l="1"/>
  <c r="T880" i="15"/>
  <c r="J880" i="15" s="1"/>
  <c r="M953" i="15"/>
  <c r="L953" i="15"/>
  <c r="Q880" i="15" l="1"/>
  <c r="B880" i="15"/>
  <c r="G880" i="15" s="1"/>
  <c r="C880" i="15"/>
  <c r="D880" i="15" s="1"/>
  <c r="R880" i="15"/>
  <c r="O954" i="15"/>
  <c r="F880" i="15" l="1"/>
  <c r="T881" i="15"/>
  <c r="J881" i="15" s="1"/>
  <c r="L954" i="15"/>
  <c r="M954" i="15"/>
  <c r="O955" i="15" l="1"/>
  <c r="L955" i="15" s="1"/>
  <c r="Q881" i="15"/>
  <c r="B881" i="15"/>
  <c r="G881" i="15" s="1"/>
  <c r="C881" i="15"/>
  <c r="D881" i="15" s="1"/>
  <c r="R881" i="15"/>
  <c r="E880" i="15"/>
  <c r="T882" i="15" l="1"/>
  <c r="J882" i="15" s="1"/>
  <c r="F881" i="15"/>
  <c r="M955" i="15"/>
  <c r="O956" i="15" l="1"/>
  <c r="E881" i="15"/>
  <c r="B882" i="15"/>
  <c r="G882" i="15" s="1"/>
  <c r="C882" i="15"/>
  <c r="D882" i="15" s="1"/>
  <c r="Q882" i="15"/>
  <c r="R882" i="15"/>
  <c r="T883" i="15" l="1"/>
  <c r="J883" i="15" s="1"/>
  <c r="F882" i="15"/>
  <c r="L956" i="15"/>
  <c r="M956" i="15"/>
  <c r="O957" i="15" l="1"/>
  <c r="E882" i="15"/>
  <c r="Q883" i="15"/>
  <c r="L957" i="15"/>
  <c r="B883" i="15"/>
  <c r="G883" i="15" s="1"/>
  <c r="C883" i="15"/>
  <c r="D883" i="15" s="1"/>
  <c r="R883" i="15"/>
  <c r="T884" i="15" l="1"/>
  <c r="J884" i="15" s="1"/>
  <c r="F883" i="15"/>
  <c r="M957" i="15"/>
  <c r="R884" i="15" l="1"/>
  <c r="E883" i="15"/>
  <c r="O958" i="15"/>
  <c r="M958" i="15" s="1"/>
  <c r="B884" i="15"/>
  <c r="G884" i="15" s="1"/>
  <c r="C884" i="15"/>
  <c r="D884" i="15" s="1"/>
  <c r="Q884" i="15"/>
  <c r="T885" i="15" l="1"/>
  <c r="L958" i="15"/>
  <c r="F884" i="15"/>
  <c r="E884" i="15" l="1"/>
  <c r="O959" i="15"/>
  <c r="L959" i="15" s="1"/>
  <c r="J885" i="15"/>
  <c r="R885" i="15"/>
  <c r="Q885" i="15"/>
  <c r="B885" i="15" l="1"/>
  <c r="G885" i="15" s="1"/>
  <c r="C885" i="15"/>
  <c r="D885" i="15" s="1"/>
  <c r="T886" i="15"/>
  <c r="J886" i="15" s="1"/>
  <c r="M959" i="15"/>
  <c r="O960" i="15" l="1"/>
  <c r="F885" i="15"/>
  <c r="B886" i="15"/>
  <c r="G886" i="15" s="1"/>
  <c r="C886" i="15"/>
  <c r="D886" i="15" s="1"/>
  <c r="Q886" i="15"/>
  <c r="R886" i="15"/>
  <c r="T887" i="15" l="1"/>
  <c r="J887" i="15" s="1"/>
  <c r="E885" i="15"/>
  <c r="F886" i="15"/>
  <c r="L960" i="15"/>
  <c r="M960" i="15"/>
  <c r="E886" i="15" l="1"/>
  <c r="Q887" i="15"/>
  <c r="B887" i="15"/>
  <c r="G887" i="15" s="1"/>
  <c r="C887" i="15"/>
  <c r="D887" i="15" s="1"/>
  <c r="R887" i="15"/>
  <c r="O961" i="15"/>
  <c r="L961" i="15" s="1"/>
  <c r="M961" i="15" l="1"/>
  <c r="T888" i="15"/>
  <c r="J888" i="15" s="1"/>
  <c r="F887" i="15"/>
  <c r="O962" i="15"/>
  <c r="L962" i="15" s="1"/>
  <c r="R888" i="15" l="1"/>
  <c r="E887" i="15"/>
  <c r="M962" i="15"/>
  <c r="B888" i="15"/>
  <c r="G888" i="15" s="1"/>
  <c r="C888" i="15"/>
  <c r="D888" i="15" s="1"/>
  <c r="Q888" i="15"/>
  <c r="O963" i="15" l="1"/>
  <c r="F888" i="15"/>
  <c r="T889" i="15"/>
  <c r="E888" i="15" l="1"/>
  <c r="J889" i="15"/>
  <c r="R889" i="15"/>
  <c r="Q889" i="15"/>
  <c r="L963" i="15"/>
  <c r="M963" i="15"/>
  <c r="T890" i="15" l="1"/>
  <c r="J890" i="15" s="1"/>
  <c r="O964" i="15"/>
  <c r="B889" i="15"/>
  <c r="G889" i="15" s="1"/>
  <c r="C889" i="15"/>
  <c r="D889" i="15" s="1"/>
  <c r="L964" i="15"/>
  <c r="R890" i="15"/>
  <c r="F889" i="15" l="1"/>
  <c r="M964" i="15"/>
  <c r="B890" i="15"/>
  <c r="G890" i="15" s="1"/>
  <c r="C890" i="15"/>
  <c r="D890" i="15" s="1"/>
  <c r="Q890" i="15"/>
  <c r="O965" i="15" l="1"/>
  <c r="E889" i="15"/>
  <c r="F890" i="15"/>
  <c r="T891" i="15"/>
  <c r="J891" i="15" l="1"/>
  <c r="R891" i="15"/>
  <c r="Q891" i="15"/>
  <c r="E890" i="15"/>
  <c r="L965" i="15"/>
  <c r="M965" i="15"/>
  <c r="O966" i="15" l="1"/>
  <c r="T892" i="15"/>
  <c r="J892" i="15" s="1"/>
  <c r="B891" i="15"/>
  <c r="G891" i="15" s="1"/>
  <c r="C891" i="15"/>
  <c r="D891" i="15" s="1"/>
  <c r="F891" i="15" l="1"/>
  <c r="R892" i="15"/>
  <c r="Q892" i="15"/>
  <c r="B892" i="15"/>
  <c r="G892" i="15" s="1"/>
  <c r="C892" i="15"/>
  <c r="D892" i="15" s="1"/>
  <c r="L966" i="15"/>
  <c r="M966" i="15"/>
  <c r="E891" i="15" l="1"/>
  <c r="F892" i="15"/>
  <c r="O967" i="15"/>
  <c r="L967" i="15" s="1"/>
  <c r="T893" i="15"/>
  <c r="J893" i="15" s="1"/>
  <c r="O968" i="15" l="1"/>
  <c r="R893" i="15"/>
  <c r="B893" i="15"/>
  <c r="G893" i="15" s="1"/>
  <c r="C893" i="15"/>
  <c r="D893" i="15" s="1"/>
  <c r="Q893" i="15"/>
  <c r="E892" i="15"/>
  <c r="M967" i="15"/>
  <c r="T894" i="15" l="1"/>
  <c r="J894" i="15" s="1"/>
  <c r="M968" i="15"/>
  <c r="F893" i="15"/>
  <c r="L968" i="15"/>
  <c r="O969" i="15" l="1"/>
  <c r="M969" i="15"/>
  <c r="E893" i="15"/>
  <c r="B894" i="15"/>
  <c r="G894" i="15" s="1"/>
  <c r="C894" i="15"/>
  <c r="D894" i="15" s="1"/>
  <c r="R894" i="15"/>
  <c r="Q894" i="15"/>
  <c r="F894" i="15" l="1"/>
  <c r="O970" i="15"/>
  <c r="M970" i="15" s="1"/>
  <c r="T895" i="15"/>
  <c r="J895" i="15" s="1"/>
  <c r="L969" i="15"/>
  <c r="O971" i="15" l="1"/>
  <c r="E894" i="15"/>
  <c r="B895" i="15"/>
  <c r="G895" i="15" s="1"/>
  <c r="C895" i="15"/>
  <c r="D895" i="15" s="1"/>
  <c r="F895" i="15" s="1"/>
  <c r="Q895" i="15"/>
  <c r="R895" i="15"/>
  <c r="L970" i="15"/>
  <c r="L971" i="15" s="1"/>
  <c r="E895" i="15" l="1"/>
  <c r="T896" i="15"/>
  <c r="J896" i="15" s="1"/>
  <c r="O972" i="15"/>
  <c r="M971" i="15"/>
  <c r="Q896" i="15" l="1"/>
  <c r="R896" i="15"/>
  <c r="T897" i="15"/>
  <c r="J897" i="15" s="1"/>
  <c r="L972" i="15"/>
  <c r="B896" i="15"/>
  <c r="G896" i="15" s="1"/>
  <c r="C896" i="15"/>
  <c r="D896" i="15" s="1"/>
  <c r="M972" i="15"/>
  <c r="O973" i="15" l="1"/>
  <c r="L973" i="15" s="1"/>
  <c r="Q897" i="15"/>
  <c r="F896" i="15"/>
  <c r="B897" i="15"/>
  <c r="G897" i="15" s="1"/>
  <c r="C897" i="15"/>
  <c r="D897" i="15" s="1"/>
  <c r="R897" i="15"/>
  <c r="T898" i="15" l="1"/>
  <c r="J898" i="15" s="1"/>
  <c r="E896" i="15"/>
  <c r="F897" i="15"/>
  <c r="M973" i="15"/>
  <c r="R898" i="15" l="1"/>
  <c r="E897" i="15"/>
  <c r="B898" i="15"/>
  <c r="G898" i="15" s="1"/>
  <c r="C898" i="15"/>
  <c r="D898" i="15" s="1"/>
  <c r="Q898" i="15"/>
  <c r="O974" i="15"/>
  <c r="M974" i="15" s="1"/>
  <c r="O975" i="15" l="1"/>
  <c r="T899" i="15"/>
  <c r="Q899" i="15" s="1"/>
  <c r="F898" i="15"/>
  <c r="L974" i="15"/>
  <c r="L975" i="15" s="1"/>
  <c r="T900" i="15" l="1"/>
  <c r="J900" i="15" s="1"/>
  <c r="E898" i="15"/>
  <c r="O976" i="15"/>
  <c r="J899" i="15"/>
  <c r="R899" i="15"/>
  <c r="M975" i="15"/>
  <c r="R900" i="15" l="1"/>
  <c r="B899" i="15"/>
  <c r="G899" i="15" s="1"/>
  <c r="C899" i="15"/>
  <c r="D899" i="15" s="1"/>
  <c r="L976" i="15"/>
  <c r="M976" i="15"/>
  <c r="B900" i="15"/>
  <c r="G900" i="15" s="1"/>
  <c r="C900" i="15"/>
  <c r="Q900" i="15"/>
  <c r="O977" i="15" l="1"/>
  <c r="D900" i="15"/>
  <c r="F899" i="15"/>
  <c r="L977" i="15"/>
  <c r="T901" i="15"/>
  <c r="Q901" i="15" s="1"/>
  <c r="T902" i="15" l="1"/>
  <c r="J902" i="15" s="1"/>
  <c r="J901" i="15"/>
  <c r="R901" i="15"/>
  <c r="E899" i="15"/>
  <c r="F900" i="15"/>
  <c r="M977" i="15"/>
  <c r="R902" i="15" l="1"/>
  <c r="B901" i="15"/>
  <c r="G901" i="15" s="1"/>
  <c r="C901" i="15"/>
  <c r="D901" i="15" s="1"/>
  <c r="F901" i="15" s="1"/>
  <c r="O978" i="15"/>
  <c r="E900" i="15"/>
  <c r="B902" i="15"/>
  <c r="G902" i="15" s="1"/>
  <c r="C902" i="15"/>
  <c r="Q902" i="15"/>
  <c r="D902" i="15" l="1"/>
  <c r="F902" i="15" s="1"/>
  <c r="E901" i="15"/>
  <c r="L978" i="15"/>
  <c r="M978" i="15"/>
  <c r="T903" i="15"/>
  <c r="J903" i="15" l="1"/>
  <c r="R903" i="15"/>
  <c r="O979" i="15"/>
  <c r="Q903" i="15"/>
  <c r="M979" i="15"/>
  <c r="E902" i="15"/>
  <c r="L979" i="15" l="1"/>
  <c r="T904" i="15"/>
  <c r="J904" i="15" s="1"/>
  <c r="B903" i="15"/>
  <c r="G903" i="15" s="1"/>
  <c r="C903" i="15"/>
  <c r="D903" i="15" s="1"/>
  <c r="B904" i="15" l="1"/>
  <c r="G904" i="15" s="1"/>
  <c r="C904" i="15"/>
  <c r="D904" i="15" s="1"/>
  <c r="R904" i="15"/>
  <c r="F903" i="15"/>
  <c r="O980" i="15"/>
  <c r="Q904" i="15"/>
  <c r="T905" i="15" l="1"/>
  <c r="J905" i="15" s="1"/>
  <c r="E903" i="15"/>
  <c r="F904" i="15"/>
  <c r="M980" i="15"/>
  <c r="L980" i="15"/>
  <c r="R905" i="15" l="1"/>
  <c r="O981" i="15"/>
  <c r="M981" i="15" s="1"/>
  <c r="E904" i="15"/>
  <c r="B905" i="15"/>
  <c r="G905" i="15" s="1"/>
  <c r="C905" i="15"/>
  <c r="D905" i="15" s="1"/>
  <c r="Q905" i="15"/>
  <c r="F905" i="15" l="1"/>
  <c r="T906" i="15"/>
  <c r="L981" i="15"/>
  <c r="J906" i="15" l="1"/>
  <c r="R906" i="15"/>
  <c r="O982" i="15"/>
  <c r="L982" i="15" s="1"/>
  <c r="O983" i="15" s="1"/>
  <c r="Q906" i="15"/>
  <c r="E905" i="15"/>
  <c r="T907" i="15" l="1"/>
  <c r="J907" i="15" s="1"/>
  <c r="M982" i="15"/>
  <c r="B906" i="15"/>
  <c r="G906" i="15" s="1"/>
  <c r="C906" i="15"/>
  <c r="D906" i="15" s="1"/>
  <c r="R907" i="15" l="1"/>
  <c r="F906" i="15"/>
  <c r="B907" i="15"/>
  <c r="G907" i="15" s="1"/>
  <c r="C907" i="15"/>
  <c r="D907" i="15" s="1"/>
  <c r="Q907" i="15"/>
  <c r="T908" i="15" l="1"/>
  <c r="E906" i="15"/>
  <c r="F907" i="15"/>
  <c r="E907" i="15" l="1"/>
  <c r="J908" i="15"/>
  <c r="R908" i="15"/>
  <c r="Q908" i="15"/>
  <c r="T909" i="15" l="1"/>
  <c r="J909" i="15" s="1"/>
  <c r="B908" i="15"/>
  <c r="G908" i="15" s="1"/>
  <c r="C908" i="15"/>
  <c r="D908" i="15" s="1"/>
  <c r="R909" i="15" l="1"/>
  <c r="F908" i="15"/>
  <c r="B909" i="15"/>
  <c r="G909" i="15" s="1"/>
  <c r="C909" i="15"/>
  <c r="D909" i="15" s="1"/>
  <c r="Q909" i="15"/>
  <c r="T910" i="15" l="1"/>
  <c r="E908" i="15"/>
  <c r="F909" i="15"/>
  <c r="E909" i="15" l="1"/>
  <c r="J910" i="15"/>
  <c r="R910" i="15"/>
  <c r="Q910" i="15"/>
  <c r="T911" i="15" l="1"/>
  <c r="J911" i="15" s="1"/>
  <c r="B910" i="15"/>
  <c r="G910" i="15" s="1"/>
  <c r="C910" i="15"/>
  <c r="D910" i="15" s="1"/>
  <c r="R911" i="15"/>
  <c r="F910" i="15" l="1"/>
  <c r="B911" i="15"/>
  <c r="G911" i="15" s="1"/>
  <c r="C911" i="15"/>
  <c r="D911" i="15" s="1"/>
  <c r="Q911" i="15"/>
  <c r="T912" i="15" l="1"/>
  <c r="E910" i="15"/>
  <c r="F911" i="15"/>
  <c r="E911" i="15" l="1"/>
  <c r="J912" i="15"/>
  <c r="R912" i="15"/>
  <c r="Q912" i="15"/>
  <c r="B912" i="15" l="1"/>
  <c r="G912" i="15" s="1"/>
  <c r="C912" i="15"/>
  <c r="D912" i="15" s="1"/>
  <c r="T913" i="15"/>
  <c r="J913" i="15" s="1"/>
  <c r="Q913" i="15" l="1"/>
  <c r="R913" i="15"/>
  <c r="F912" i="15"/>
  <c r="B913" i="15"/>
  <c r="G913" i="15" s="1"/>
  <c r="C913" i="15"/>
  <c r="D913" i="15" s="1"/>
  <c r="T914" i="15" l="1"/>
  <c r="J914" i="15" s="1"/>
  <c r="E912" i="15"/>
  <c r="F913" i="15"/>
  <c r="Q914" i="15"/>
  <c r="T915" i="15" l="1"/>
  <c r="J915" i="15" s="1"/>
  <c r="E913" i="15"/>
  <c r="B914" i="15"/>
  <c r="G914" i="15" s="1"/>
  <c r="C914" i="15"/>
  <c r="D914" i="15" s="1"/>
  <c r="R914" i="15"/>
  <c r="R915" i="15" l="1"/>
  <c r="T916" i="15"/>
  <c r="J916" i="15" s="1"/>
  <c r="F914" i="15"/>
  <c r="B915" i="15"/>
  <c r="G915" i="15" s="1"/>
  <c r="C915" i="15"/>
  <c r="D915" i="15" s="1"/>
  <c r="Q915" i="15"/>
  <c r="Q916" i="15" l="1"/>
  <c r="E914" i="15"/>
  <c r="F915" i="15"/>
  <c r="B916" i="15"/>
  <c r="G916" i="15" s="1"/>
  <c r="C916" i="15"/>
  <c r="D916" i="15" s="1"/>
  <c r="R916" i="15"/>
  <c r="T917" i="15" l="1"/>
  <c r="E915" i="15"/>
  <c r="F916" i="15"/>
  <c r="E916" i="15" l="1"/>
  <c r="J917" i="15"/>
  <c r="Q917" i="15"/>
  <c r="R917" i="15"/>
  <c r="B917" i="15" l="1"/>
  <c r="G917" i="15" s="1"/>
  <c r="C917" i="15"/>
  <c r="D917" i="15" s="1"/>
  <c r="T918" i="15"/>
  <c r="J918" i="15" s="1"/>
  <c r="B918" i="15" l="1"/>
  <c r="G918" i="15" s="1"/>
  <c r="C918" i="15"/>
  <c r="D918" i="15" s="1"/>
  <c r="F917" i="15"/>
  <c r="Q918" i="15"/>
  <c r="R918" i="15"/>
  <c r="E917" i="15" l="1"/>
  <c r="F918" i="15"/>
  <c r="T919" i="15"/>
  <c r="J919" i="15" s="1"/>
  <c r="B919" i="15" l="1"/>
  <c r="G919" i="15" s="1"/>
  <c r="C919" i="15"/>
  <c r="D919" i="15" s="1"/>
  <c r="F919" i="15" s="1"/>
  <c r="Q919" i="15"/>
  <c r="R919" i="15"/>
  <c r="E918" i="15"/>
  <c r="E919" i="15" l="1"/>
  <c r="T920" i="15"/>
  <c r="J920" i="15" s="1"/>
  <c r="R920" i="15" l="1"/>
  <c r="Q920" i="15"/>
  <c r="B920" i="15"/>
  <c r="G920" i="15" s="1"/>
  <c r="C920" i="15"/>
  <c r="D920" i="15" s="1"/>
  <c r="F920" i="15" l="1"/>
  <c r="T921" i="15"/>
  <c r="Q921" i="15" s="1"/>
  <c r="T922" i="15" l="1"/>
  <c r="J922" i="15" s="1"/>
  <c r="J921" i="15"/>
  <c r="R921" i="15"/>
  <c r="R922" i="15" s="1"/>
  <c r="E920" i="15"/>
  <c r="B921" i="15" l="1"/>
  <c r="G921" i="15" s="1"/>
  <c r="C921" i="15"/>
  <c r="D921" i="15" s="1"/>
  <c r="B922" i="15"/>
  <c r="G922" i="15" s="1"/>
  <c r="C922" i="15"/>
  <c r="Q922" i="15"/>
  <c r="T923" i="15" l="1"/>
  <c r="D922" i="15"/>
  <c r="F921" i="15"/>
  <c r="E921" i="15" l="1"/>
  <c r="F922" i="15"/>
  <c r="J923" i="15"/>
  <c r="R923" i="15"/>
  <c r="Q923" i="15"/>
  <c r="T924" i="15" l="1"/>
  <c r="J924" i="15" s="1"/>
  <c r="B923" i="15"/>
  <c r="G923" i="15" s="1"/>
  <c r="C923" i="15"/>
  <c r="D923" i="15" s="1"/>
  <c r="F923" i="15" s="1"/>
  <c r="E922" i="15"/>
  <c r="E923" i="15" l="1"/>
  <c r="B924" i="15"/>
  <c r="G924" i="15" s="1"/>
  <c r="C924" i="15"/>
  <c r="D924" i="15" s="1"/>
  <c r="Q924" i="15"/>
  <c r="R924" i="15"/>
  <c r="F924" i="15" l="1"/>
  <c r="T925" i="15"/>
  <c r="J925" i="15" s="1"/>
  <c r="B925" i="15" l="1"/>
  <c r="G925" i="15" s="1"/>
  <c r="C925" i="15"/>
  <c r="D925" i="15" s="1"/>
  <c r="F925" i="15" s="1"/>
  <c r="R925" i="15"/>
  <c r="Q925" i="15"/>
  <c r="E924" i="15"/>
  <c r="E925" i="15" l="1"/>
  <c r="T926" i="15"/>
  <c r="J926" i="15" s="1"/>
  <c r="B926" i="15" l="1"/>
  <c r="G926" i="15" s="1"/>
  <c r="C926" i="15"/>
  <c r="D926" i="15" s="1"/>
  <c r="Q926" i="15"/>
  <c r="R926" i="15"/>
  <c r="F926" i="15" l="1"/>
  <c r="T927" i="15"/>
  <c r="J927" i="15" s="1"/>
  <c r="R927" i="15" l="1"/>
  <c r="B927" i="15"/>
  <c r="G927" i="15" s="1"/>
  <c r="C927" i="15"/>
  <c r="D927" i="15" s="1"/>
  <c r="F927" i="15" s="1"/>
  <c r="Q927" i="15"/>
  <c r="E926" i="15"/>
  <c r="T928" i="15" l="1"/>
  <c r="J928" i="15" s="1"/>
  <c r="E927" i="15"/>
  <c r="R928" i="15" l="1"/>
  <c r="B928" i="15"/>
  <c r="G928" i="15" s="1"/>
  <c r="C928" i="15"/>
  <c r="D928" i="15" s="1"/>
  <c r="Q928" i="15"/>
  <c r="T929" i="15" l="1"/>
  <c r="F928" i="15"/>
  <c r="E928" i="15" l="1"/>
  <c r="J929" i="15"/>
  <c r="R929" i="15"/>
  <c r="Q929" i="15"/>
  <c r="B929" i="15" l="1"/>
  <c r="G929" i="15" s="1"/>
  <c r="C929" i="15"/>
  <c r="D929" i="15" s="1"/>
  <c r="T930" i="15"/>
  <c r="J930" i="15" s="1"/>
  <c r="B930" i="15" l="1"/>
  <c r="G930" i="15" s="1"/>
  <c r="C930" i="15"/>
  <c r="D930" i="15" s="1"/>
  <c r="F929" i="15"/>
  <c r="R930" i="15"/>
  <c r="Q930" i="15"/>
  <c r="T931" i="15" l="1"/>
  <c r="J931" i="15" s="1"/>
  <c r="E929" i="15"/>
  <c r="F930" i="15"/>
  <c r="R931" i="15" l="1"/>
  <c r="E930" i="15"/>
  <c r="B931" i="15"/>
  <c r="G931" i="15" s="1"/>
  <c r="C931" i="15"/>
  <c r="D931" i="15" s="1"/>
  <c r="Q931" i="15"/>
  <c r="T932" i="15" l="1"/>
  <c r="F931" i="15"/>
  <c r="E931" i="15" l="1"/>
  <c r="J932" i="15"/>
  <c r="R932" i="15"/>
  <c r="Q932" i="15"/>
  <c r="B932" i="15" l="1"/>
  <c r="G932" i="15" s="1"/>
  <c r="C932" i="15"/>
  <c r="D932" i="15" s="1"/>
  <c r="T933" i="15"/>
  <c r="J933" i="15" s="1"/>
  <c r="R933" i="15" l="1"/>
  <c r="B933" i="15"/>
  <c r="G933" i="15" s="1"/>
  <c r="C933" i="15"/>
  <c r="D933" i="15" s="1"/>
  <c r="F932" i="15"/>
  <c r="Q933" i="15"/>
  <c r="E932" i="15" l="1"/>
  <c r="F933" i="15"/>
  <c r="T934" i="15"/>
  <c r="J934" i="15" s="1"/>
  <c r="Q934" i="15" l="1"/>
  <c r="B934" i="15"/>
  <c r="G934" i="15" s="1"/>
  <c r="C934" i="15"/>
  <c r="D934" i="15" s="1"/>
  <c r="F934" i="15" s="1"/>
  <c r="R934" i="15"/>
  <c r="E933" i="15"/>
  <c r="E934" i="15" l="1"/>
  <c r="T935" i="15"/>
  <c r="J935" i="15" s="1"/>
  <c r="Q935" i="15" l="1"/>
  <c r="R935" i="15"/>
  <c r="B935" i="15"/>
  <c r="G935" i="15" s="1"/>
  <c r="C935" i="15"/>
  <c r="D935" i="15" s="1"/>
  <c r="F935" i="15" l="1"/>
  <c r="T936" i="15"/>
  <c r="J936" i="15" s="1"/>
  <c r="Q936" i="15" l="1"/>
  <c r="R936" i="15"/>
  <c r="C936" i="15"/>
  <c r="D936" i="15" s="1"/>
  <c r="B936" i="15"/>
  <c r="G936" i="15" s="1"/>
  <c r="E935" i="15"/>
  <c r="F936" i="15"/>
  <c r="T937" i="15" l="1"/>
  <c r="J937" i="15" s="1"/>
  <c r="E936" i="15"/>
  <c r="Q937" i="15" l="1"/>
  <c r="C937" i="15"/>
  <c r="D937" i="15" s="1"/>
  <c r="B937" i="15"/>
  <c r="G937" i="15" s="1"/>
  <c r="R937" i="15"/>
  <c r="T938" i="15" l="1"/>
  <c r="F937" i="15"/>
  <c r="E937" i="15" l="1"/>
  <c r="J938" i="15"/>
  <c r="Q938" i="15"/>
  <c r="R938" i="15"/>
  <c r="T939" i="15" l="1"/>
  <c r="J939" i="15" s="1"/>
  <c r="C938" i="15"/>
  <c r="D938" i="15" s="1"/>
  <c r="B938" i="15"/>
  <c r="G938" i="15" s="1"/>
  <c r="Q939" i="15"/>
  <c r="T940" i="15" l="1"/>
  <c r="J940" i="15" s="1"/>
  <c r="F938" i="15"/>
  <c r="C939" i="15"/>
  <c r="D939" i="15" s="1"/>
  <c r="B939" i="15"/>
  <c r="G939" i="15" s="1"/>
  <c r="R939" i="15"/>
  <c r="R940" i="15" s="1"/>
  <c r="T941" i="15" l="1"/>
  <c r="J941" i="15" s="1"/>
  <c r="E938" i="15"/>
  <c r="F939" i="15"/>
  <c r="C940" i="15"/>
  <c r="D940" i="15" s="1"/>
  <c r="B940" i="15"/>
  <c r="G940" i="15" s="1"/>
  <c r="Q940" i="15"/>
  <c r="Q941" i="15" s="1"/>
  <c r="T942" i="15" l="1"/>
  <c r="J942" i="15" s="1"/>
  <c r="E939" i="15"/>
  <c r="F940" i="15"/>
  <c r="C941" i="15"/>
  <c r="D941" i="15" s="1"/>
  <c r="B941" i="15"/>
  <c r="G941" i="15" s="1"/>
  <c r="R941" i="15"/>
  <c r="R942" i="15" s="1"/>
  <c r="T943" i="15" l="1"/>
  <c r="J943" i="15" s="1"/>
  <c r="E940" i="15"/>
  <c r="F941" i="15"/>
  <c r="C942" i="15"/>
  <c r="D942" i="15" s="1"/>
  <c r="B942" i="15"/>
  <c r="G942" i="15" s="1"/>
  <c r="Q942" i="15"/>
  <c r="Q943" i="15" s="1"/>
  <c r="T944" i="15" l="1"/>
  <c r="J944" i="15" s="1"/>
  <c r="E941" i="15"/>
  <c r="F942" i="15"/>
  <c r="C943" i="15"/>
  <c r="D943" i="15" s="1"/>
  <c r="B943" i="15"/>
  <c r="G943" i="15" s="1"/>
  <c r="R943" i="15"/>
  <c r="R944" i="15" s="1"/>
  <c r="E942" i="15" l="1"/>
  <c r="F943" i="15"/>
  <c r="C944" i="15"/>
  <c r="D944" i="15" s="1"/>
  <c r="B944" i="15"/>
  <c r="G944" i="15" s="1"/>
  <c r="Q944" i="15"/>
  <c r="T945" i="15" l="1"/>
  <c r="E943" i="15"/>
  <c r="F944" i="15"/>
  <c r="E944" i="15" l="1"/>
  <c r="J945" i="15"/>
  <c r="R945" i="15"/>
  <c r="Q945" i="15"/>
  <c r="T946" i="15" l="1"/>
  <c r="J946" i="15" s="1"/>
  <c r="C945" i="15"/>
  <c r="D945" i="15" s="1"/>
  <c r="B945" i="15"/>
  <c r="G945" i="15" s="1"/>
  <c r="R946" i="15"/>
  <c r="T947" i="15" l="1"/>
  <c r="J947" i="15" s="1"/>
  <c r="F945" i="15"/>
  <c r="C946" i="15"/>
  <c r="D946" i="15" s="1"/>
  <c r="B946" i="15"/>
  <c r="G946" i="15" s="1"/>
  <c r="Q946" i="15"/>
  <c r="Q947" i="15" s="1"/>
  <c r="E945" i="15" l="1"/>
  <c r="F946" i="15"/>
  <c r="C947" i="15"/>
  <c r="D947" i="15" s="1"/>
  <c r="B947" i="15"/>
  <c r="G947" i="15" s="1"/>
  <c r="R947" i="15"/>
  <c r="T948" i="15" l="1"/>
  <c r="E946" i="15"/>
  <c r="F947" i="15"/>
  <c r="E947" i="15" l="1"/>
  <c r="J948" i="15"/>
  <c r="Q948" i="15"/>
  <c r="R948" i="15"/>
  <c r="T949" i="15" l="1"/>
  <c r="J949" i="15" s="1"/>
  <c r="C948" i="15"/>
  <c r="D948" i="15" s="1"/>
  <c r="B948" i="15"/>
  <c r="G948" i="15" s="1"/>
  <c r="F948" i="15" l="1"/>
  <c r="C949" i="15"/>
  <c r="D949" i="15" s="1"/>
  <c r="B949" i="15"/>
  <c r="G949" i="15" s="1"/>
  <c r="R949" i="15"/>
  <c r="Q949" i="15"/>
  <c r="T950" i="15" l="1"/>
  <c r="J950" i="15" s="1"/>
  <c r="E948" i="15"/>
  <c r="F949" i="15"/>
  <c r="E949" i="15" l="1"/>
  <c r="C950" i="15"/>
  <c r="D950" i="15" s="1"/>
  <c r="B950" i="15"/>
  <c r="G950" i="15" s="1"/>
  <c r="R950" i="15"/>
  <c r="Q950" i="15"/>
  <c r="T951" i="15" l="1"/>
  <c r="J951" i="15" s="1"/>
  <c r="F950" i="15"/>
  <c r="E950" i="15" l="1"/>
  <c r="C951" i="15"/>
  <c r="D951" i="15" s="1"/>
  <c r="B951" i="15"/>
  <c r="G951" i="15" s="1"/>
  <c r="R951" i="15"/>
  <c r="Q951" i="15"/>
  <c r="T952" i="15" l="1"/>
  <c r="J952" i="15" s="1"/>
  <c r="Q952" i="15"/>
  <c r="F951" i="15"/>
  <c r="E951" i="15" l="1"/>
  <c r="C952" i="15"/>
  <c r="D952" i="15" s="1"/>
  <c r="F952" i="15" s="1"/>
  <c r="B952" i="15"/>
  <c r="G952" i="15" s="1"/>
  <c r="R952" i="15"/>
  <c r="E952" i="15" l="1"/>
  <c r="T953" i="15"/>
  <c r="R953" i="15" s="1"/>
  <c r="T954" i="15" l="1"/>
  <c r="J954" i="15" s="1"/>
  <c r="J953" i="15"/>
  <c r="Q953" i="15"/>
  <c r="Q954" i="15" l="1"/>
  <c r="C953" i="15"/>
  <c r="D953" i="15" s="1"/>
  <c r="B953" i="15"/>
  <c r="G953" i="15" s="1"/>
  <c r="C954" i="15"/>
  <c r="B954" i="15"/>
  <c r="G954" i="15" s="1"/>
  <c r="R954" i="15"/>
  <c r="T955" i="15" l="1"/>
  <c r="D954" i="15"/>
  <c r="F953" i="15"/>
  <c r="E953" i="15" l="1"/>
  <c r="F954" i="15"/>
  <c r="J955" i="15"/>
  <c r="Q955" i="15"/>
  <c r="R955" i="15"/>
  <c r="T956" i="15" l="1"/>
  <c r="J956" i="15" s="1"/>
  <c r="E954" i="15"/>
  <c r="C955" i="15"/>
  <c r="D955" i="15" s="1"/>
  <c r="B955" i="15"/>
  <c r="G955" i="15" s="1"/>
  <c r="Q956" i="15" l="1"/>
  <c r="T957" i="15" s="1"/>
  <c r="J957" i="15" s="1"/>
  <c r="F955" i="15"/>
  <c r="C956" i="15"/>
  <c r="D956" i="15" s="1"/>
  <c r="B956" i="15"/>
  <c r="G956" i="15" s="1"/>
  <c r="R956" i="15"/>
  <c r="R957" i="15" l="1"/>
  <c r="Q957" i="15"/>
  <c r="C957" i="15"/>
  <c r="D957" i="15" s="1"/>
  <c r="B957" i="15"/>
  <c r="G957" i="15" s="1"/>
  <c r="E955" i="15"/>
  <c r="F956" i="15"/>
  <c r="E956" i="15" l="1"/>
  <c r="F957" i="15"/>
  <c r="T958" i="15"/>
  <c r="Q958" i="15" s="1"/>
  <c r="T959" i="15" l="1"/>
  <c r="J959" i="15" s="1"/>
  <c r="J958" i="15"/>
  <c r="R958" i="15"/>
  <c r="E957" i="15"/>
  <c r="R959" i="15" l="1"/>
  <c r="C958" i="15"/>
  <c r="D958" i="15" s="1"/>
  <c r="B958" i="15"/>
  <c r="G958" i="15" s="1"/>
  <c r="C959" i="15"/>
  <c r="B959" i="15"/>
  <c r="G959" i="15" s="1"/>
  <c r="Q959" i="15"/>
  <c r="T960" i="15" l="1"/>
  <c r="D959" i="15"/>
  <c r="F958" i="15"/>
  <c r="E958" i="15" l="1"/>
  <c r="F959" i="15"/>
  <c r="J960" i="15"/>
  <c r="R960" i="15"/>
  <c r="Q960" i="15"/>
  <c r="T961" i="15" l="1"/>
  <c r="J961" i="15" s="1"/>
  <c r="E959" i="15"/>
  <c r="C960" i="15"/>
  <c r="D960" i="15" s="1"/>
  <c r="B960" i="15"/>
  <c r="G960" i="15" s="1"/>
  <c r="R961" i="15" l="1"/>
  <c r="T962" i="15"/>
  <c r="J962" i="15" s="1"/>
  <c r="F960" i="15"/>
  <c r="C961" i="15"/>
  <c r="D961" i="15" s="1"/>
  <c r="B961" i="15"/>
  <c r="G961" i="15" s="1"/>
  <c r="Q961" i="15"/>
  <c r="Q962" i="15" s="1"/>
  <c r="E960" i="15" l="1"/>
  <c r="F961" i="15"/>
  <c r="C962" i="15"/>
  <c r="D962" i="15" s="1"/>
  <c r="B962" i="15"/>
  <c r="G962" i="15" s="1"/>
  <c r="R962" i="15"/>
  <c r="T963" i="15" l="1"/>
  <c r="E961" i="15"/>
  <c r="F962" i="15"/>
  <c r="E962" i="15" l="1"/>
  <c r="J963" i="15"/>
  <c r="Q963" i="15"/>
  <c r="R963" i="15"/>
  <c r="T964" i="15" l="1"/>
  <c r="J964" i="15" s="1"/>
  <c r="C963" i="15"/>
  <c r="D963" i="15" s="1"/>
  <c r="B963" i="15"/>
  <c r="G963" i="15" s="1"/>
  <c r="Q964" i="15" l="1"/>
  <c r="F963" i="15"/>
  <c r="C964" i="15"/>
  <c r="D964" i="15" s="1"/>
  <c r="B964" i="15"/>
  <c r="G964" i="15" s="1"/>
  <c r="R964" i="15"/>
  <c r="T965" i="15" l="1"/>
  <c r="E963" i="15"/>
  <c r="F964" i="15"/>
  <c r="E964" i="15" l="1"/>
  <c r="J965" i="15"/>
  <c r="Q965" i="15"/>
  <c r="R965" i="15"/>
  <c r="T966" i="15" l="1"/>
  <c r="J966" i="15" s="1"/>
  <c r="C965" i="15"/>
  <c r="D965" i="15" s="1"/>
  <c r="B965" i="15"/>
  <c r="G965" i="15" s="1"/>
  <c r="Q966" i="15" l="1"/>
  <c r="F965" i="15"/>
  <c r="C966" i="15"/>
  <c r="D966" i="15" s="1"/>
  <c r="B966" i="15"/>
  <c r="G966" i="15" s="1"/>
  <c r="R966" i="15"/>
  <c r="T967" i="15" l="1"/>
  <c r="E965" i="15"/>
  <c r="F966" i="15"/>
  <c r="E966" i="15" l="1"/>
  <c r="J967" i="15"/>
  <c r="Q967" i="15"/>
  <c r="R967" i="15"/>
  <c r="C967" i="15" l="1"/>
  <c r="D967" i="15" s="1"/>
  <c r="B967" i="15"/>
  <c r="G967" i="15" s="1"/>
  <c r="T968" i="15"/>
  <c r="J968" i="15" s="1"/>
  <c r="Q968" i="15" l="1"/>
  <c r="C968" i="15"/>
  <c r="B968" i="15"/>
  <c r="G968" i="15" s="1"/>
  <c r="D968" i="15"/>
  <c r="F967" i="15"/>
  <c r="R968" i="15"/>
  <c r="E967" i="15" l="1"/>
  <c r="F968" i="15"/>
  <c r="T969" i="15"/>
  <c r="J969" i="15" s="1"/>
  <c r="C969" i="15" l="1"/>
  <c r="D969" i="15" s="1"/>
  <c r="B969" i="15"/>
  <c r="G969" i="15" s="1"/>
  <c r="Q969" i="15"/>
  <c r="R969" i="15"/>
  <c r="E968" i="15"/>
  <c r="F969" i="15"/>
  <c r="E969" i="15" l="1"/>
  <c r="T970" i="15"/>
  <c r="J970" i="15" s="1"/>
  <c r="R970" i="15" l="1"/>
  <c r="C970" i="15"/>
  <c r="D970" i="15" s="1"/>
  <c r="B970" i="15"/>
  <c r="G970" i="15" s="1"/>
  <c r="Q970" i="15"/>
  <c r="T971" i="15" l="1"/>
  <c r="J971" i="15" s="1"/>
  <c r="F970" i="15"/>
  <c r="R971" i="15" l="1"/>
  <c r="T972" i="15"/>
  <c r="J972" i="15" s="1"/>
  <c r="E970" i="15"/>
  <c r="C971" i="15"/>
  <c r="D971" i="15" s="1"/>
  <c r="B971" i="15"/>
  <c r="G971" i="15" s="1"/>
  <c r="Q971" i="15"/>
  <c r="Q972" i="15" s="1"/>
  <c r="F971" i="15" l="1"/>
  <c r="C972" i="15"/>
  <c r="D972" i="15" s="1"/>
  <c r="B972" i="15"/>
  <c r="G972" i="15" s="1"/>
  <c r="R972" i="15"/>
  <c r="T973" i="15" l="1"/>
  <c r="E971" i="15"/>
  <c r="F972" i="15"/>
  <c r="E972" i="15" l="1"/>
  <c r="J973" i="15"/>
  <c r="Q973" i="15"/>
  <c r="R973" i="15"/>
  <c r="C973" i="15" l="1"/>
  <c r="D973" i="15" s="1"/>
  <c r="B973" i="15"/>
  <c r="G973" i="15" s="1"/>
  <c r="T974" i="15"/>
  <c r="J974" i="15" s="1"/>
  <c r="C974" i="15" l="1"/>
  <c r="B974" i="15"/>
  <c r="G974" i="15" s="1"/>
  <c r="Q974" i="15"/>
  <c r="D974" i="15"/>
  <c r="F973" i="15"/>
  <c r="R974" i="15"/>
  <c r="T975" i="15" l="1"/>
  <c r="J975" i="15" s="1"/>
  <c r="E973" i="15"/>
  <c r="F974" i="15"/>
  <c r="Q975" i="15" l="1"/>
  <c r="E974" i="15"/>
  <c r="C975" i="15"/>
  <c r="D975" i="15" s="1"/>
  <c r="F975" i="15" s="1"/>
  <c r="B975" i="15"/>
  <c r="G975" i="15" s="1"/>
  <c r="R975" i="15"/>
  <c r="E975" i="15" l="1"/>
  <c r="T976" i="15"/>
  <c r="J976" i="15" s="1"/>
  <c r="Q976" i="15" l="1"/>
  <c r="R976" i="15"/>
  <c r="C976" i="15"/>
  <c r="D976" i="15" s="1"/>
  <c r="B976" i="15"/>
  <c r="G976" i="15" s="1"/>
  <c r="F976" i="15" l="1"/>
  <c r="T977" i="15"/>
  <c r="J977" i="15" s="1"/>
  <c r="C977" i="15" l="1"/>
  <c r="D977" i="15" s="1"/>
  <c r="B977" i="15"/>
  <c r="G977" i="15" s="1"/>
  <c r="R977" i="15"/>
  <c r="Q977" i="15"/>
  <c r="E976" i="15"/>
  <c r="F977" i="15"/>
  <c r="T978" i="15" l="1"/>
  <c r="J978" i="15" s="1"/>
  <c r="E977" i="15"/>
  <c r="R978" i="15" l="1"/>
  <c r="C978" i="15"/>
  <c r="D978" i="15" s="1"/>
  <c r="B978" i="15"/>
  <c r="G978" i="15" s="1"/>
  <c r="Q978" i="15"/>
  <c r="T979" i="15" l="1"/>
  <c r="F978" i="15"/>
  <c r="E978" i="15" l="1"/>
  <c r="J979" i="15"/>
  <c r="R979" i="15"/>
  <c r="Q979" i="15"/>
  <c r="C979" i="15" l="1"/>
  <c r="D979" i="15" s="1"/>
  <c r="B979" i="15"/>
  <c r="G979" i="15" s="1"/>
  <c r="T980" i="15"/>
  <c r="J980" i="15" s="1"/>
  <c r="R980" i="15" l="1"/>
  <c r="C980" i="15"/>
  <c r="B980" i="15"/>
  <c r="G980" i="15" s="1"/>
  <c r="D980" i="15"/>
  <c r="F979" i="15"/>
  <c r="Q980" i="15"/>
  <c r="E979" i="15" l="1"/>
  <c r="F980" i="15"/>
  <c r="T981" i="15"/>
  <c r="J981" i="15" s="1"/>
  <c r="C981" i="15" l="1"/>
  <c r="D981" i="15" s="1"/>
  <c r="B981" i="15"/>
  <c r="G981" i="15" s="1"/>
  <c r="R981" i="15"/>
  <c r="Q981" i="15"/>
  <c r="E980" i="15"/>
  <c r="F981" i="15"/>
  <c r="T982" i="15" l="1"/>
  <c r="J982" i="15" s="1"/>
  <c r="E981" i="15"/>
  <c r="R982" i="15" l="1"/>
  <c r="T983" i="15" s="1"/>
  <c r="J983" i="15" s="1"/>
  <c r="B983" i="15" s="1"/>
  <c r="C983" i="15"/>
  <c r="C982" i="15"/>
  <c r="D982" i="15" s="1"/>
  <c r="B982" i="15"/>
  <c r="Q982" i="15"/>
  <c r="G2" i="15" l="1"/>
  <c r="G982" i="15"/>
  <c r="H2" i="15"/>
  <c r="F982" i="15"/>
  <c r="E982" i="15" s="1"/>
  <c r="E2" i="15" s="1"/>
</calcChain>
</file>

<file path=xl/sharedStrings.xml><?xml version="1.0" encoding="utf-8"?>
<sst xmlns="http://schemas.openxmlformats.org/spreadsheetml/2006/main" count="35" uniqueCount="30">
  <si>
    <t>Datum</t>
  </si>
  <si>
    <t>Forecast</t>
  </si>
  <si>
    <t>Position</t>
  </si>
  <si>
    <t>Performance</t>
  </si>
  <si>
    <t>Drawdon</t>
  </si>
  <si>
    <t>Hit Rate</t>
  </si>
  <si>
    <t>Efficency</t>
  </si>
  <si>
    <t>Orders</t>
  </si>
  <si>
    <t>Trend</t>
  </si>
  <si>
    <t>Cash</t>
  </si>
  <si>
    <t>Asset</t>
  </si>
  <si>
    <t>Signal</t>
  </si>
  <si>
    <t>Order</t>
  </si>
  <si>
    <t>S&amp;P 500</t>
  </si>
  <si>
    <t>EURUSD</t>
  </si>
  <si>
    <t>DAX</t>
  </si>
  <si>
    <t>Nikkei 225</t>
  </si>
  <si>
    <t>In Sample</t>
  </si>
  <si>
    <t>Total</t>
  </si>
  <si>
    <t>YENUSD</t>
  </si>
  <si>
    <t>Bond</t>
  </si>
  <si>
    <t>EURUSD=X</t>
  </si>
  <si>
    <t>JPY=X</t>
  </si>
  <si>
    <t>USD</t>
  </si>
  <si>
    <t>EUR</t>
  </si>
  <si>
    <t>YEN</t>
  </si>
  <si>
    <t>^GSPC</t>
  </si>
  <si>
    <t>^GDAXI</t>
  </si>
  <si>
    <t>^N225</t>
  </si>
  <si>
    <t>Contrarian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</si>
</sst>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 &quot;CHF&quot;\ * #,##0.00_ ;_ &quot;CHF&quot;\ * \-#,##0.00_ ;_ &quot;CHF&quot;\ * &quot;-&quot;??_ ;_ @_ "/>
    <numFmt numFmtId="164" formatCode="0.0000"/>
    <numFmt numFmtId="165" formatCode="0.00000000"/>
    <numFmt numFmtId="166" formatCode="0.0000000"/>
    <numFmt numFmtId="167" formatCode="0.0000%"/>
    <numFmt numFmtId="170" formatCode="0.00000"/>
    <numFmt numFmtId="172" formatCode="0.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8"/>
      <name val="Courier"/>
      <family val="3"/>
    </font>
    <font>
      <sz val="1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">
    <xf numFmtId="0" fontId="0" fillId="0" borderId="0" xfId="0"/>
    <xf numFmtId="164" fontId="6" fillId="0" borderId="0" xfId="0" applyNumberFormat="1" applyFont="1" applyAlignment="1">
      <alignment horizontal="right" vertical="center"/>
    </xf>
    <xf numFmtId="2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4" fontId="6" fillId="0" borderId="0" xfId="0" applyNumberFormat="1" applyFont="1" applyAlignment="1">
      <alignment horizontal="right" vertical="center"/>
    </xf>
    <xf numFmtId="1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2" fontId="6" fillId="0" borderId="0" xfId="0" applyNumberFormat="1" applyFont="1" applyAlignment="1">
      <alignment horizontal="right" vertical="center"/>
    </xf>
    <xf numFmtId="0" fontId="3" fillId="0" borderId="0" xfId="0" applyFont="1"/>
    <xf numFmtId="0" fontId="5" fillId="0" borderId="0" xfId="0" applyFont="1"/>
    <xf numFmtId="10" fontId="3" fillId="0" borderId="0" xfId="1" applyNumberFormat="1" applyFont="1" applyFill="1" applyBorder="1" applyAlignment="1">
      <alignment vertical="center"/>
    </xf>
    <xf numFmtId="1" fontId="6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right" vertical="center"/>
    </xf>
    <xf numFmtId="166" fontId="6" fillId="0" borderId="0" xfId="0" applyNumberFormat="1" applyFont="1" applyAlignment="1">
      <alignment horizontal="right" vertical="center"/>
    </xf>
    <xf numFmtId="164" fontId="5" fillId="0" borderId="0" xfId="0" applyNumberFormat="1" applyFont="1"/>
    <xf numFmtId="165" fontId="5" fillId="0" borderId="0" xfId="0" applyNumberFormat="1" applyFont="1"/>
    <xf numFmtId="2" fontId="3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14" fontId="6" fillId="0" borderId="0" xfId="2" applyNumberFormat="1" applyFont="1" applyFill="1" applyBorder="1" applyAlignment="1">
      <alignment horizontal="right" vertical="center"/>
    </xf>
    <xf numFmtId="164" fontId="3" fillId="0" borderId="0" xfId="0" applyNumberFormat="1" applyFont="1"/>
    <xf numFmtId="2" fontId="3" fillId="0" borderId="0" xfId="0" applyNumberFormat="1" applyFont="1"/>
    <xf numFmtId="167" fontId="3" fillId="0" borderId="0" xfId="1" applyNumberFormat="1" applyFont="1" applyFill="1" applyBorder="1" applyAlignment="1">
      <alignment vertical="center"/>
    </xf>
    <xf numFmtId="0" fontId="2" fillId="0" borderId="0" xfId="0" applyFont="1" applyAlignment="1">
      <alignment horizontal="center"/>
    </xf>
    <xf numFmtId="2" fontId="7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right" vertical="center"/>
    </xf>
    <xf numFmtId="172" fontId="3" fillId="0" borderId="0" xfId="1" applyNumberFormat="1" applyFont="1" applyFill="1" applyBorder="1" applyAlignment="1">
      <alignment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Medium9"/>
  <colors>
    <mruColors>
      <color rgb="FF415E6C"/>
      <color rgb="FF9A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5F3D8-98CC-4AE4-B0DA-6F3DFCCA4A4C}">
  <dimension ref="A1:AE983"/>
  <sheetViews>
    <sheetView tabSelected="1" workbookViewId="0">
      <pane ySplit="1320" topLeftCell="A39"/>
      <selection activeCell="V1" sqref="V1:Z1048576"/>
      <selection pane="bottomLeft" activeCell="G45" sqref="G45"/>
    </sheetView>
  </sheetViews>
  <sheetFormatPr defaultColWidth="8.85546875" defaultRowHeight="12.75" x14ac:dyDescent="0.2"/>
  <cols>
    <col min="1" max="1" width="9.7109375" style="4" customWidth="1"/>
    <col min="2" max="3" width="9.140625" style="10" customWidth="1"/>
    <col min="4" max="5" width="10.5703125" style="10" customWidth="1"/>
    <col min="6" max="6" width="1.7109375" style="10" customWidth="1"/>
    <col min="7" max="12" width="9.140625" style="10" customWidth="1"/>
    <col min="13" max="16" width="8.85546875" style="11"/>
    <col min="17" max="17" width="9.140625" style="10" customWidth="1"/>
    <col min="18" max="22" width="8.85546875" style="11"/>
    <col min="23" max="23" width="9.140625" style="10" customWidth="1"/>
    <col min="24" max="26" width="8.85546875" style="11"/>
    <col min="27" max="27" width="17" style="11" bestFit="1" customWidth="1"/>
    <col min="28" max="28" width="10.5703125" style="11" bestFit="1" customWidth="1"/>
    <col min="29" max="29" width="9.28515625" style="11" customWidth="1"/>
    <col min="30" max="30" width="10.5703125" style="11" bestFit="1" customWidth="1"/>
    <col min="31" max="256" width="8.85546875" style="11"/>
    <col min="257" max="257" width="9.7109375" style="11" customWidth="1"/>
    <col min="258" max="259" width="9.140625" style="11" customWidth="1"/>
    <col min="260" max="261" width="10.5703125" style="11" customWidth="1"/>
    <col min="262" max="262" width="1.7109375" style="11" customWidth="1"/>
    <col min="263" max="268" width="9.140625" style="11" customWidth="1"/>
    <col min="269" max="272" width="8.85546875" style="11"/>
    <col min="273" max="273" width="9.140625" style="11" customWidth="1"/>
    <col min="274" max="512" width="8.85546875" style="11"/>
    <col min="513" max="513" width="9.7109375" style="11" customWidth="1"/>
    <col min="514" max="515" width="9.140625" style="11" customWidth="1"/>
    <col min="516" max="517" width="10.5703125" style="11" customWidth="1"/>
    <col min="518" max="518" width="1.7109375" style="11" customWidth="1"/>
    <col min="519" max="524" width="9.140625" style="11" customWidth="1"/>
    <col min="525" max="528" width="8.85546875" style="11"/>
    <col min="529" max="529" width="9.140625" style="11" customWidth="1"/>
    <col min="530" max="768" width="8.85546875" style="11"/>
    <col min="769" max="769" width="9.7109375" style="11" customWidth="1"/>
    <col min="770" max="771" width="9.140625" style="11" customWidth="1"/>
    <col min="772" max="773" width="10.5703125" style="11" customWidth="1"/>
    <col min="774" max="774" width="1.7109375" style="11" customWidth="1"/>
    <col min="775" max="780" width="9.140625" style="11" customWidth="1"/>
    <col min="781" max="784" width="8.85546875" style="11"/>
    <col min="785" max="785" width="9.140625" style="11" customWidth="1"/>
    <col min="786" max="1024" width="8.85546875" style="11"/>
    <col min="1025" max="1025" width="9.7109375" style="11" customWidth="1"/>
    <col min="1026" max="1027" width="9.140625" style="11" customWidth="1"/>
    <col min="1028" max="1029" width="10.5703125" style="11" customWidth="1"/>
    <col min="1030" max="1030" width="1.7109375" style="11" customWidth="1"/>
    <col min="1031" max="1036" width="9.140625" style="11" customWidth="1"/>
    <col min="1037" max="1040" width="8.85546875" style="11"/>
    <col min="1041" max="1041" width="9.140625" style="11" customWidth="1"/>
    <col min="1042" max="1280" width="8.85546875" style="11"/>
    <col min="1281" max="1281" width="9.7109375" style="11" customWidth="1"/>
    <col min="1282" max="1283" width="9.140625" style="11" customWidth="1"/>
    <col min="1284" max="1285" width="10.5703125" style="11" customWidth="1"/>
    <col min="1286" max="1286" width="1.7109375" style="11" customWidth="1"/>
    <col min="1287" max="1292" width="9.140625" style="11" customWidth="1"/>
    <col min="1293" max="1296" width="8.85546875" style="11"/>
    <col min="1297" max="1297" width="9.140625" style="11" customWidth="1"/>
    <col min="1298" max="1536" width="8.85546875" style="11"/>
    <col min="1537" max="1537" width="9.7109375" style="11" customWidth="1"/>
    <col min="1538" max="1539" width="9.140625" style="11" customWidth="1"/>
    <col min="1540" max="1541" width="10.5703125" style="11" customWidth="1"/>
    <col min="1542" max="1542" width="1.7109375" style="11" customWidth="1"/>
    <col min="1543" max="1548" width="9.140625" style="11" customWidth="1"/>
    <col min="1549" max="1552" width="8.85546875" style="11"/>
    <col min="1553" max="1553" width="9.140625" style="11" customWidth="1"/>
    <col min="1554" max="1792" width="8.85546875" style="11"/>
    <col min="1793" max="1793" width="9.7109375" style="11" customWidth="1"/>
    <col min="1794" max="1795" width="9.140625" style="11" customWidth="1"/>
    <col min="1796" max="1797" width="10.5703125" style="11" customWidth="1"/>
    <col min="1798" max="1798" width="1.7109375" style="11" customWidth="1"/>
    <col min="1799" max="1804" width="9.140625" style="11" customWidth="1"/>
    <col min="1805" max="1808" width="8.85546875" style="11"/>
    <col min="1809" max="1809" width="9.140625" style="11" customWidth="1"/>
    <col min="1810" max="2048" width="8.85546875" style="11"/>
    <col min="2049" max="2049" width="9.7109375" style="11" customWidth="1"/>
    <col min="2050" max="2051" width="9.140625" style="11" customWidth="1"/>
    <col min="2052" max="2053" width="10.5703125" style="11" customWidth="1"/>
    <col min="2054" max="2054" width="1.7109375" style="11" customWidth="1"/>
    <col min="2055" max="2060" width="9.140625" style="11" customWidth="1"/>
    <col min="2061" max="2064" width="8.85546875" style="11"/>
    <col min="2065" max="2065" width="9.140625" style="11" customWidth="1"/>
    <col min="2066" max="2304" width="8.85546875" style="11"/>
    <col min="2305" max="2305" width="9.7109375" style="11" customWidth="1"/>
    <col min="2306" max="2307" width="9.140625" style="11" customWidth="1"/>
    <col min="2308" max="2309" width="10.5703125" style="11" customWidth="1"/>
    <col min="2310" max="2310" width="1.7109375" style="11" customWidth="1"/>
    <col min="2311" max="2316" width="9.140625" style="11" customWidth="1"/>
    <col min="2317" max="2320" width="8.85546875" style="11"/>
    <col min="2321" max="2321" width="9.140625" style="11" customWidth="1"/>
    <col min="2322" max="2560" width="8.85546875" style="11"/>
    <col min="2561" max="2561" width="9.7109375" style="11" customWidth="1"/>
    <col min="2562" max="2563" width="9.140625" style="11" customWidth="1"/>
    <col min="2564" max="2565" width="10.5703125" style="11" customWidth="1"/>
    <col min="2566" max="2566" width="1.7109375" style="11" customWidth="1"/>
    <col min="2567" max="2572" width="9.140625" style="11" customWidth="1"/>
    <col min="2573" max="2576" width="8.85546875" style="11"/>
    <col min="2577" max="2577" width="9.140625" style="11" customWidth="1"/>
    <col min="2578" max="2816" width="8.85546875" style="11"/>
    <col min="2817" max="2817" width="9.7109375" style="11" customWidth="1"/>
    <col min="2818" max="2819" width="9.140625" style="11" customWidth="1"/>
    <col min="2820" max="2821" width="10.5703125" style="11" customWidth="1"/>
    <col min="2822" max="2822" width="1.7109375" style="11" customWidth="1"/>
    <col min="2823" max="2828" width="9.140625" style="11" customWidth="1"/>
    <col min="2829" max="2832" width="8.85546875" style="11"/>
    <col min="2833" max="2833" width="9.140625" style="11" customWidth="1"/>
    <col min="2834" max="3072" width="8.85546875" style="11"/>
    <col min="3073" max="3073" width="9.7109375" style="11" customWidth="1"/>
    <col min="3074" max="3075" width="9.140625" style="11" customWidth="1"/>
    <col min="3076" max="3077" width="10.5703125" style="11" customWidth="1"/>
    <col min="3078" max="3078" width="1.7109375" style="11" customWidth="1"/>
    <col min="3079" max="3084" width="9.140625" style="11" customWidth="1"/>
    <col min="3085" max="3088" width="8.85546875" style="11"/>
    <col min="3089" max="3089" width="9.140625" style="11" customWidth="1"/>
    <col min="3090" max="3328" width="8.85546875" style="11"/>
    <col min="3329" max="3329" width="9.7109375" style="11" customWidth="1"/>
    <col min="3330" max="3331" width="9.140625" style="11" customWidth="1"/>
    <col min="3332" max="3333" width="10.5703125" style="11" customWidth="1"/>
    <col min="3334" max="3334" width="1.7109375" style="11" customWidth="1"/>
    <col min="3335" max="3340" width="9.140625" style="11" customWidth="1"/>
    <col min="3341" max="3344" width="8.85546875" style="11"/>
    <col min="3345" max="3345" width="9.140625" style="11" customWidth="1"/>
    <col min="3346" max="3584" width="8.85546875" style="11"/>
    <col min="3585" max="3585" width="9.7109375" style="11" customWidth="1"/>
    <col min="3586" max="3587" width="9.140625" style="11" customWidth="1"/>
    <col min="3588" max="3589" width="10.5703125" style="11" customWidth="1"/>
    <col min="3590" max="3590" width="1.7109375" style="11" customWidth="1"/>
    <col min="3591" max="3596" width="9.140625" style="11" customWidth="1"/>
    <col min="3597" max="3600" width="8.85546875" style="11"/>
    <col min="3601" max="3601" width="9.140625" style="11" customWidth="1"/>
    <col min="3602" max="3840" width="8.85546875" style="11"/>
    <col min="3841" max="3841" width="9.7109375" style="11" customWidth="1"/>
    <col min="3842" max="3843" width="9.140625" style="11" customWidth="1"/>
    <col min="3844" max="3845" width="10.5703125" style="11" customWidth="1"/>
    <col min="3846" max="3846" width="1.7109375" style="11" customWidth="1"/>
    <col min="3847" max="3852" width="9.140625" style="11" customWidth="1"/>
    <col min="3853" max="3856" width="8.85546875" style="11"/>
    <col min="3857" max="3857" width="9.140625" style="11" customWidth="1"/>
    <col min="3858" max="4096" width="8.85546875" style="11"/>
    <col min="4097" max="4097" width="9.7109375" style="11" customWidth="1"/>
    <col min="4098" max="4099" width="9.140625" style="11" customWidth="1"/>
    <col min="4100" max="4101" width="10.5703125" style="11" customWidth="1"/>
    <col min="4102" max="4102" width="1.7109375" style="11" customWidth="1"/>
    <col min="4103" max="4108" width="9.140625" style="11" customWidth="1"/>
    <col min="4109" max="4112" width="8.85546875" style="11"/>
    <col min="4113" max="4113" width="9.140625" style="11" customWidth="1"/>
    <col min="4114" max="4352" width="8.85546875" style="11"/>
    <col min="4353" max="4353" width="9.7109375" style="11" customWidth="1"/>
    <col min="4354" max="4355" width="9.140625" style="11" customWidth="1"/>
    <col min="4356" max="4357" width="10.5703125" style="11" customWidth="1"/>
    <col min="4358" max="4358" width="1.7109375" style="11" customWidth="1"/>
    <col min="4359" max="4364" width="9.140625" style="11" customWidth="1"/>
    <col min="4365" max="4368" width="8.85546875" style="11"/>
    <col min="4369" max="4369" width="9.140625" style="11" customWidth="1"/>
    <col min="4370" max="4608" width="8.85546875" style="11"/>
    <col min="4609" max="4609" width="9.7109375" style="11" customWidth="1"/>
    <col min="4610" max="4611" width="9.140625" style="11" customWidth="1"/>
    <col min="4612" max="4613" width="10.5703125" style="11" customWidth="1"/>
    <col min="4614" max="4614" width="1.7109375" style="11" customWidth="1"/>
    <col min="4615" max="4620" width="9.140625" style="11" customWidth="1"/>
    <col min="4621" max="4624" width="8.85546875" style="11"/>
    <col min="4625" max="4625" width="9.140625" style="11" customWidth="1"/>
    <col min="4626" max="4864" width="8.85546875" style="11"/>
    <col min="4865" max="4865" width="9.7109375" style="11" customWidth="1"/>
    <col min="4866" max="4867" width="9.140625" style="11" customWidth="1"/>
    <col min="4868" max="4869" width="10.5703125" style="11" customWidth="1"/>
    <col min="4870" max="4870" width="1.7109375" style="11" customWidth="1"/>
    <col min="4871" max="4876" width="9.140625" style="11" customWidth="1"/>
    <col min="4877" max="4880" width="8.85546875" style="11"/>
    <col min="4881" max="4881" width="9.140625" style="11" customWidth="1"/>
    <col min="4882" max="5120" width="8.85546875" style="11"/>
    <col min="5121" max="5121" width="9.7109375" style="11" customWidth="1"/>
    <col min="5122" max="5123" width="9.140625" style="11" customWidth="1"/>
    <col min="5124" max="5125" width="10.5703125" style="11" customWidth="1"/>
    <col min="5126" max="5126" width="1.7109375" style="11" customWidth="1"/>
    <col min="5127" max="5132" width="9.140625" style="11" customWidth="1"/>
    <col min="5133" max="5136" width="8.85546875" style="11"/>
    <col min="5137" max="5137" width="9.140625" style="11" customWidth="1"/>
    <col min="5138" max="5376" width="8.85546875" style="11"/>
    <col min="5377" max="5377" width="9.7109375" style="11" customWidth="1"/>
    <col min="5378" max="5379" width="9.140625" style="11" customWidth="1"/>
    <col min="5380" max="5381" width="10.5703125" style="11" customWidth="1"/>
    <col min="5382" max="5382" width="1.7109375" style="11" customWidth="1"/>
    <col min="5383" max="5388" width="9.140625" style="11" customWidth="1"/>
    <col min="5389" max="5392" width="8.85546875" style="11"/>
    <col min="5393" max="5393" width="9.140625" style="11" customWidth="1"/>
    <col min="5394" max="5632" width="8.85546875" style="11"/>
    <col min="5633" max="5633" width="9.7109375" style="11" customWidth="1"/>
    <col min="5634" max="5635" width="9.140625" style="11" customWidth="1"/>
    <col min="5636" max="5637" width="10.5703125" style="11" customWidth="1"/>
    <col min="5638" max="5638" width="1.7109375" style="11" customWidth="1"/>
    <col min="5639" max="5644" width="9.140625" style="11" customWidth="1"/>
    <col min="5645" max="5648" width="8.85546875" style="11"/>
    <col min="5649" max="5649" width="9.140625" style="11" customWidth="1"/>
    <col min="5650" max="5888" width="8.85546875" style="11"/>
    <col min="5889" max="5889" width="9.7109375" style="11" customWidth="1"/>
    <col min="5890" max="5891" width="9.140625" style="11" customWidth="1"/>
    <col min="5892" max="5893" width="10.5703125" style="11" customWidth="1"/>
    <col min="5894" max="5894" width="1.7109375" style="11" customWidth="1"/>
    <col min="5895" max="5900" width="9.140625" style="11" customWidth="1"/>
    <col min="5901" max="5904" width="8.85546875" style="11"/>
    <col min="5905" max="5905" width="9.140625" style="11" customWidth="1"/>
    <col min="5906" max="6144" width="8.85546875" style="11"/>
    <col min="6145" max="6145" width="9.7109375" style="11" customWidth="1"/>
    <col min="6146" max="6147" width="9.140625" style="11" customWidth="1"/>
    <col min="6148" max="6149" width="10.5703125" style="11" customWidth="1"/>
    <col min="6150" max="6150" width="1.7109375" style="11" customWidth="1"/>
    <col min="6151" max="6156" width="9.140625" style="11" customWidth="1"/>
    <col min="6157" max="6160" width="8.85546875" style="11"/>
    <col min="6161" max="6161" width="9.140625" style="11" customWidth="1"/>
    <col min="6162" max="6400" width="8.85546875" style="11"/>
    <col min="6401" max="6401" width="9.7109375" style="11" customWidth="1"/>
    <col min="6402" max="6403" width="9.140625" style="11" customWidth="1"/>
    <col min="6404" max="6405" width="10.5703125" style="11" customWidth="1"/>
    <col min="6406" max="6406" width="1.7109375" style="11" customWidth="1"/>
    <col min="6407" max="6412" width="9.140625" style="11" customWidth="1"/>
    <col min="6413" max="6416" width="8.85546875" style="11"/>
    <col min="6417" max="6417" width="9.140625" style="11" customWidth="1"/>
    <col min="6418" max="6656" width="8.85546875" style="11"/>
    <col min="6657" max="6657" width="9.7109375" style="11" customWidth="1"/>
    <col min="6658" max="6659" width="9.140625" style="11" customWidth="1"/>
    <col min="6660" max="6661" width="10.5703125" style="11" customWidth="1"/>
    <col min="6662" max="6662" width="1.7109375" style="11" customWidth="1"/>
    <col min="6663" max="6668" width="9.140625" style="11" customWidth="1"/>
    <col min="6669" max="6672" width="8.85546875" style="11"/>
    <col min="6673" max="6673" width="9.140625" style="11" customWidth="1"/>
    <col min="6674" max="6912" width="8.85546875" style="11"/>
    <col min="6913" max="6913" width="9.7109375" style="11" customWidth="1"/>
    <col min="6914" max="6915" width="9.140625" style="11" customWidth="1"/>
    <col min="6916" max="6917" width="10.5703125" style="11" customWidth="1"/>
    <col min="6918" max="6918" width="1.7109375" style="11" customWidth="1"/>
    <col min="6919" max="6924" width="9.140625" style="11" customWidth="1"/>
    <col min="6925" max="6928" width="8.85546875" style="11"/>
    <col min="6929" max="6929" width="9.140625" style="11" customWidth="1"/>
    <col min="6930" max="7168" width="8.85546875" style="11"/>
    <col min="7169" max="7169" width="9.7109375" style="11" customWidth="1"/>
    <col min="7170" max="7171" width="9.140625" style="11" customWidth="1"/>
    <col min="7172" max="7173" width="10.5703125" style="11" customWidth="1"/>
    <col min="7174" max="7174" width="1.7109375" style="11" customWidth="1"/>
    <col min="7175" max="7180" width="9.140625" style="11" customWidth="1"/>
    <col min="7181" max="7184" width="8.85546875" style="11"/>
    <col min="7185" max="7185" width="9.140625" style="11" customWidth="1"/>
    <col min="7186" max="7424" width="8.85546875" style="11"/>
    <col min="7425" max="7425" width="9.7109375" style="11" customWidth="1"/>
    <col min="7426" max="7427" width="9.140625" style="11" customWidth="1"/>
    <col min="7428" max="7429" width="10.5703125" style="11" customWidth="1"/>
    <col min="7430" max="7430" width="1.7109375" style="11" customWidth="1"/>
    <col min="7431" max="7436" width="9.140625" style="11" customWidth="1"/>
    <col min="7437" max="7440" width="8.85546875" style="11"/>
    <col min="7441" max="7441" width="9.140625" style="11" customWidth="1"/>
    <col min="7442" max="7680" width="8.85546875" style="11"/>
    <col min="7681" max="7681" width="9.7109375" style="11" customWidth="1"/>
    <col min="7682" max="7683" width="9.140625" style="11" customWidth="1"/>
    <col min="7684" max="7685" width="10.5703125" style="11" customWidth="1"/>
    <col min="7686" max="7686" width="1.7109375" style="11" customWidth="1"/>
    <col min="7687" max="7692" width="9.140625" style="11" customWidth="1"/>
    <col min="7693" max="7696" width="8.85546875" style="11"/>
    <col min="7697" max="7697" width="9.140625" style="11" customWidth="1"/>
    <col min="7698" max="7936" width="8.85546875" style="11"/>
    <col min="7937" max="7937" width="9.7109375" style="11" customWidth="1"/>
    <col min="7938" max="7939" width="9.140625" style="11" customWidth="1"/>
    <col min="7940" max="7941" width="10.5703125" style="11" customWidth="1"/>
    <col min="7942" max="7942" width="1.7109375" style="11" customWidth="1"/>
    <col min="7943" max="7948" width="9.140625" style="11" customWidth="1"/>
    <col min="7949" max="7952" width="8.85546875" style="11"/>
    <col min="7953" max="7953" width="9.140625" style="11" customWidth="1"/>
    <col min="7954" max="8192" width="8.85546875" style="11"/>
    <col min="8193" max="8193" width="9.7109375" style="11" customWidth="1"/>
    <col min="8194" max="8195" width="9.140625" style="11" customWidth="1"/>
    <col min="8196" max="8197" width="10.5703125" style="11" customWidth="1"/>
    <col min="8198" max="8198" width="1.7109375" style="11" customWidth="1"/>
    <col min="8199" max="8204" width="9.140625" style="11" customWidth="1"/>
    <col min="8205" max="8208" width="8.85546875" style="11"/>
    <col min="8209" max="8209" width="9.140625" style="11" customWidth="1"/>
    <col min="8210" max="8448" width="8.85546875" style="11"/>
    <col min="8449" max="8449" width="9.7109375" style="11" customWidth="1"/>
    <col min="8450" max="8451" width="9.140625" style="11" customWidth="1"/>
    <col min="8452" max="8453" width="10.5703125" style="11" customWidth="1"/>
    <col min="8454" max="8454" width="1.7109375" style="11" customWidth="1"/>
    <col min="8455" max="8460" width="9.140625" style="11" customWidth="1"/>
    <col min="8461" max="8464" width="8.85546875" style="11"/>
    <col min="8465" max="8465" width="9.140625" style="11" customWidth="1"/>
    <col min="8466" max="8704" width="8.85546875" style="11"/>
    <col min="8705" max="8705" width="9.7109375" style="11" customWidth="1"/>
    <col min="8706" max="8707" width="9.140625" style="11" customWidth="1"/>
    <col min="8708" max="8709" width="10.5703125" style="11" customWidth="1"/>
    <col min="8710" max="8710" width="1.7109375" style="11" customWidth="1"/>
    <col min="8711" max="8716" width="9.140625" style="11" customWidth="1"/>
    <col min="8717" max="8720" width="8.85546875" style="11"/>
    <col min="8721" max="8721" width="9.140625" style="11" customWidth="1"/>
    <col min="8722" max="8960" width="8.85546875" style="11"/>
    <col min="8961" max="8961" width="9.7109375" style="11" customWidth="1"/>
    <col min="8962" max="8963" width="9.140625" style="11" customWidth="1"/>
    <col min="8964" max="8965" width="10.5703125" style="11" customWidth="1"/>
    <col min="8966" max="8966" width="1.7109375" style="11" customWidth="1"/>
    <col min="8967" max="8972" width="9.140625" style="11" customWidth="1"/>
    <col min="8973" max="8976" width="8.85546875" style="11"/>
    <col min="8977" max="8977" width="9.140625" style="11" customWidth="1"/>
    <col min="8978" max="9216" width="8.85546875" style="11"/>
    <col min="9217" max="9217" width="9.7109375" style="11" customWidth="1"/>
    <col min="9218" max="9219" width="9.140625" style="11" customWidth="1"/>
    <col min="9220" max="9221" width="10.5703125" style="11" customWidth="1"/>
    <col min="9222" max="9222" width="1.7109375" style="11" customWidth="1"/>
    <col min="9223" max="9228" width="9.140625" style="11" customWidth="1"/>
    <col min="9229" max="9232" width="8.85546875" style="11"/>
    <col min="9233" max="9233" width="9.140625" style="11" customWidth="1"/>
    <col min="9234" max="9472" width="8.85546875" style="11"/>
    <col min="9473" max="9473" width="9.7109375" style="11" customWidth="1"/>
    <col min="9474" max="9475" width="9.140625" style="11" customWidth="1"/>
    <col min="9476" max="9477" width="10.5703125" style="11" customWidth="1"/>
    <col min="9478" max="9478" width="1.7109375" style="11" customWidth="1"/>
    <col min="9479" max="9484" width="9.140625" style="11" customWidth="1"/>
    <col min="9485" max="9488" width="8.85546875" style="11"/>
    <col min="9489" max="9489" width="9.140625" style="11" customWidth="1"/>
    <col min="9490" max="9728" width="8.85546875" style="11"/>
    <col min="9729" max="9729" width="9.7109375" style="11" customWidth="1"/>
    <col min="9730" max="9731" width="9.140625" style="11" customWidth="1"/>
    <col min="9732" max="9733" width="10.5703125" style="11" customWidth="1"/>
    <col min="9734" max="9734" width="1.7109375" style="11" customWidth="1"/>
    <col min="9735" max="9740" width="9.140625" style="11" customWidth="1"/>
    <col min="9741" max="9744" width="8.85546875" style="11"/>
    <col min="9745" max="9745" width="9.140625" style="11" customWidth="1"/>
    <col min="9746" max="9984" width="8.85546875" style="11"/>
    <col min="9985" max="9985" width="9.7109375" style="11" customWidth="1"/>
    <col min="9986" max="9987" width="9.140625" style="11" customWidth="1"/>
    <col min="9988" max="9989" width="10.5703125" style="11" customWidth="1"/>
    <col min="9990" max="9990" width="1.7109375" style="11" customWidth="1"/>
    <col min="9991" max="9996" width="9.140625" style="11" customWidth="1"/>
    <col min="9997" max="10000" width="8.85546875" style="11"/>
    <col min="10001" max="10001" width="9.140625" style="11" customWidth="1"/>
    <col min="10002" max="10240" width="8.85546875" style="11"/>
    <col min="10241" max="10241" width="9.7109375" style="11" customWidth="1"/>
    <col min="10242" max="10243" width="9.140625" style="11" customWidth="1"/>
    <col min="10244" max="10245" width="10.5703125" style="11" customWidth="1"/>
    <col min="10246" max="10246" width="1.7109375" style="11" customWidth="1"/>
    <col min="10247" max="10252" width="9.140625" style="11" customWidth="1"/>
    <col min="10253" max="10256" width="8.85546875" style="11"/>
    <col min="10257" max="10257" width="9.140625" style="11" customWidth="1"/>
    <col min="10258" max="10496" width="8.85546875" style="11"/>
    <col min="10497" max="10497" width="9.7109375" style="11" customWidth="1"/>
    <col min="10498" max="10499" width="9.140625" style="11" customWidth="1"/>
    <col min="10500" max="10501" width="10.5703125" style="11" customWidth="1"/>
    <col min="10502" max="10502" width="1.7109375" style="11" customWidth="1"/>
    <col min="10503" max="10508" width="9.140625" style="11" customWidth="1"/>
    <col min="10509" max="10512" width="8.85546875" style="11"/>
    <col min="10513" max="10513" width="9.140625" style="11" customWidth="1"/>
    <col min="10514" max="10752" width="8.85546875" style="11"/>
    <col min="10753" max="10753" width="9.7109375" style="11" customWidth="1"/>
    <col min="10754" max="10755" width="9.140625" style="11" customWidth="1"/>
    <col min="10756" max="10757" width="10.5703125" style="11" customWidth="1"/>
    <col min="10758" max="10758" width="1.7109375" style="11" customWidth="1"/>
    <col min="10759" max="10764" width="9.140625" style="11" customWidth="1"/>
    <col min="10765" max="10768" width="8.85546875" style="11"/>
    <col min="10769" max="10769" width="9.140625" style="11" customWidth="1"/>
    <col min="10770" max="11008" width="8.85546875" style="11"/>
    <col min="11009" max="11009" width="9.7109375" style="11" customWidth="1"/>
    <col min="11010" max="11011" width="9.140625" style="11" customWidth="1"/>
    <col min="11012" max="11013" width="10.5703125" style="11" customWidth="1"/>
    <col min="11014" max="11014" width="1.7109375" style="11" customWidth="1"/>
    <col min="11015" max="11020" width="9.140625" style="11" customWidth="1"/>
    <col min="11021" max="11024" width="8.85546875" style="11"/>
    <col min="11025" max="11025" width="9.140625" style="11" customWidth="1"/>
    <col min="11026" max="11264" width="8.85546875" style="11"/>
    <col min="11265" max="11265" width="9.7109375" style="11" customWidth="1"/>
    <col min="11266" max="11267" width="9.140625" style="11" customWidth="1"/>
    <col min="11268" max="11269" width="10.5703125" style="11" customWidth="1"/>
    <col min="11270" max="11270" width="1.7109375" style="11" customWidth="1"/>
    <col min="11271" max="11276" width="9.140625" style="11" customWidth="1"/>
    <col min="11277" max="11280" width="8.85546875" style="11"/>
    <col min="11281" max="11281" width="9.140625" style="11" customWidth="1"/>
    <col min="11282" max="11520" width="8.85546875" style="11"/>
    <col min="11521" max="11521" width="9.7109375" style="11" customWidth="1"/>
    <col min="11522" max="11523" width="9.140625" style="11" customWidth="1"/>
    <col min="11524" max="11525" width="10.5703125" style="11" customWidth="1"/>
    <col min="11526" max="11526" width="1.7109375" style="11" customWidth="1"/>
    <col min="11527" max="11532" width="9.140625" style="11" customWidth="1"/>
    <col min="11533" max="11536" width="8.85546875" style="11"/>
    <col min="11537" max="11537" width="9.140625" style="11" customWidth="1"/>
    <col min="11538" max="11776" width="8.85546875" style="11"/>
    <col min="11777" max="11777" width="9.7109375" style="11" customWidth="1"/>
    <col min="11778" max="11779" width="9.140625" style="11" customWidth="1"/>
    <col min="11780" max="11781" width="10.5703125" style="11" customWidth="1"/>
    <col min="11782" max="11782" width="1.7109375" style="11" customWidth="1"/>
    <col min="11783" max="11788" width="9.140625" style="11" customWidth="1"/>
    <col min="11789" max="11792" width="8.85546875" style="11"/>
    <col min="11793" max="11793" width="9.140625" style="11" customWidth="1"/>
    <col min="11794" max="12032" width="8.85546875" style="11"/>
    <col min="12033" max="12033" width="9.7109375" style="11" customWidth="1"/>
    <col min="12034" max="12035" width="9.140625" style="11" customWidth="1"/>
    <col min="12036" max="12037" width="10.5703125" style="11" customWidth="1"/>
    <col min="12038" max="12038" width="1.7109375" style="11" customWidth="1"/>
    <col min="12039" max="12044" width="9.140625" style="11" customWidth="1"/>
    <col min="12045" max="12048" width="8.85546875" style="11"/>
    <col min="12049" max="12049" width="9.140625" style="11" customWidth="1"/>
    <col min="12050" max="12288" width="8.85546875" style="11"/>
    <col min="12289" max="12289" width="9.7109375" style="11" customWidth="1"/>
    <col min="12290" max="12291" width="9.140625" style="11" customWidth="1"/>
    <col min="12292" max="12293" width="10.5703125" style="11" customWidth="1"/>
    <col min="12294" max="12294" width="1.7109375" style="11" customWidth="1"/>
    <col min="12295" max="12300" width="9.140625" style="11" customWidth="1"/>
    <col min="12301" max="12304" width="8.85546875" style="11"/>
    <col min="12305" max="12305" width="9.140625" style="11" customWidth="1"/>
    <col min="12306" max="12544" width="8.85546875" style="11"/>
    <col min="12545" max="12545" width="9.7109375" style="11" customWidth="1"/>
    <col min="12546" max="12547" width="9.140625" style="11" customWidth="1"/>
    <col min="12548" max="12549" width="10.5703125" style="11" customWidth="1"/>
    <col min="12550" max="12550" width="1.7109375" style="11" customWidth="1"/>
    <col min="12551" max="12556" width="9.140625" style="11" customWidth="1"/>
    <col min="12557" max="12560" width="8.85546875" style="11"/>
    <col min="12561" max="12561" width="9.140625" style="11" customWidth="1"/>
    <col min="12562" max="12800" width="8.85546875" style="11"/>
    <col min="12801" max="12801" width="9.7109375" style="11" customWidth="1"/>
    <col min="12802" max="12803" width="9.140625" style="11" customWidth="1"/>
    <col min="12804" max="12805" width="10.5703125" style="11" customWidth="1"/>
    <col min="12806" max="12806" width="1.7109375" style="11" customWidth="1"/>
    <col min="12807" max="12812" width="9.140625" style="11" customWidth="1"/>
    <col min="12813" max="12816" width="8.85546875" style="11"/>
    <col min="12817" max="12817" width="9.140625" style="11" customWidth="1"/>
    <col min="12818" max="13056" width="8.85546875" style="11"/>
    <col min="13057" max="13057" width="9.7109375" style="11" customWidth="1"/>
    <col min="13058" max="13059" width="9.140625" style="11" customWidth="1"/>
    <col min="13060" max="13061" width="10.5703125" style="11" customWidth="1"/>
    <col min="13062" max="13062" width="1.7109375" style="11" customWidth="1"/>
    <col min="13063" max="13068" width="9.140625" style="11" customWidth="1"/>
    <col min="13069" max="13072" width="8.85546875" style="11"/>
    <col min="13073" max="13073" width="9.140625" style="11" customWidth="1"/>
    <col min="13074" max="13312" width="8.85546875" style="11"/>
    <col min="13313" max="13313" width="9.7109375" style="11" customWidth="1"/>
    <col min="13314" max="13315" width="9.140625" style="11" customWidth="1"/>
    <col min="13316" max="13317" width="10.5703125" style="11" customWidth="1"/>
    <col min="13318" max="13318" width="1.7109375" style="11" customWidth="1"/>
    <col min="13319" max="13324" width="9.140625" style="11" customWidth="1"/>
    <col min="13325" max="13328" width="8.85546875" style="11"/>
    <col min="13329" max="13329" width="9.140625" style="11" customWidth="1"/>
    <col min="13330" max="13568" width="8.85546875" style="11"/>
    <col min="13569" max="13569" width="9.7109375" style="11" customWidth="1"/>
    <col min="13570" max="13571" width="9.140625" style="11" customWidth="1"/>
    <col min="13572" max="13573" width="10.5703125" style="11" customWidth="1"/>
    <col min="13574" max="13574" width="1.7109375" style="11" customWidth="1"/>
    <col min="13575" max="13580" width="9.140625" style="11" customWidth="1"/>
    <col min="13581" max="13584" width="8.85546875" style="11"/>
    <col min="13585" max="13585" width="9.140625" style="11" customWidth="1"/>
    <col min="13586" max="13824" width="8.85546875" style="11"/>
    <col min="13825" max="13825" width="9.7109375" style="11" customWidth="1"/>
    <col min="13826" max="13827" width="9.140625" style="11" customWidth="1"/>
    <col min="13828" max="13829" width="10.5703125" style="11" customWidth="1"/>
    <col min="13830" max="13830" width="1.7109375" style="11" customWidth="1"/>
    <col min="13831" max="13836" width="9.140625" style="11" customWidth="1"/>
    <col min="13837" max="13840" width="8.85546875" style="11"/>
    <col min="13841" max="13841" width="9.140625" style="11" customWidth="1"/>
    <col min="13842" max="14080" width="8.85546875" style="11"/>
    <col min="14081" max="14081" width="9.7109375" style="11" customWidth="1"/>
    <col min="14082" max="14083" width="9.140625" style="11" customWidth="1"/>
    <col min="14084" max="14085" width="10.5703125" style="11" customWidth="1"/>
    <col min="14086" max="14086" width="1.7109375" style="11" customWidth="1"/>
    <col min="14087" max="14092" width="9.140625" style="11" customWidth="1"/>
    <col min="14093" max="14096" width="8.85546875" style="11"/>
    <col min="14097" max="14097" width="9.140625" style="11" customWidth="1"/>
    <col min="14098" max="14336" width="8.85546875" style="11"/>
    <col min="14337" max="14337" width="9.7109375" style="11" customWidth="1"/>
    <col min="14338" max="14339" width="9.140625" style="11" customWidth="1"/>
    <col min="14340" max="14341" width="10.5703125" style="11" customWidth="1"/>
    <col min="14342" max="14342" width="1.7109375" style="11" customWidth="1"/>
    <col min="14343" max="14348" width="9.140625" style="11" customWidth="1"/>
    <col min="14349" max="14352" width="8.85546875" style="11"/>
    <col min="14353" max="14353" width="9.140625" style="11" customWidth="1"/>
    <col min="14354" max="14592" width="8.85546875" style="11"/>
    <col min="14593" max="14593" width="9.7109375" style="11" customWidth="1"/>
    <col min="14594" max="14595" width="9.140625" style="11" customWidth="1"/>
    <col min="14596" max="14597" width="10.5703125" style="11" customWidth="1"/>
    <col min="14598" max="14598" width="1.7109375" style="11" customWidth="1"/>
    <col min="14599" max="14604" width="9.140625" style="11" customWidth="1"/>
    <col min="14605" max="14608" width="8.85546875" style="11"/>
    <col min="14609" max="14609" width="9.140625" style="11" customWidth="1"/>
    <col min="14610" max="14848" width="8.85546875" style="11"/>
    <col min="14849" max="14849" width="9.7109375" style="11" customWidth="1"/>
    <col min="14850" max="14851" width="9.140625" style="11" customWidth="1"/>
    <col min="14852" max="14853" width="10.5703125" style="11" customWidth="1"/>
    <col min="14854" max="14854" width="1.7109375" style="11" customWidth="1"/>
    <col min="14855" max="14860" width="9.140625" style="11" customWidth="1"/>
    <col min="14861" max="14864" width="8.85546875" style="11"/>
    <col min="14865" max="14865" width="9.140625" style="11" customWidth="1"/>
    <col min="14866" max="15104" width="8.85546875" style="11"/>
    <col min="15105" max="15105" width="9.7109375" style="11" customWidth="1"/>
    <col min="15106" max="15107" width="9.140625" style="11" customWidth="1"/>
    <col min="15108" max="15109" width="10.5703125" style="11" customWidth="1"/>
    <col min="15110" max="15110" width="1.7109375" style="11" customWidth="1"/>
    <col min="15111" max="15116" width="9.140625" style="11" customWidth="1"/>
    <col min="15117" max="15120" width="8.85546875" style="11"/>
    <col min="15121" max="15121" width="9.140625" style="11" customWidth="1"/>
    <col min="15122" max="15360" width="8.85546875" style="11"/>
    <col min="15361" max="15361" width="9.7109375" style="11" customWidth="1"/>
    <col min="15362" max="15363" width="9.140625" style="11" customWidth="1"/>
    <col min="15364" max="15365" width="10.5703125" style="11" customWidth="1"/>
    <col min="15366" max="15366" width="1.7109375" style="11" customWidth="1"/>
    <col min="15367" max="15372" width="9.140625" style="11" customWidth="1"/>
    <col min="15373" max="15376" width="8.85546875" style="11"/>
    <col min="15377" max="15377" width="9.140625" style="11" customWidth="1"/>
    <col min="15378" max="15616" width="8.85546875" style="11"/>
    <col min="15617" max="15617" width="9.7109375" style="11" customWidth="1"/>
    <col min="15618" max="15619" width="9.140625" style="11" customWidth="1"/>
    <col min="15620" max="15621" width="10.5703125" style="11" customWidth="1"/>
    <col min="15622" max="15622" width="1.7109375" style="11" customWidth="1"/>
    <col min="15623" max="15628" width="9.140625" style="11" customWidth="1"/>
    <col min="15629" max="15632" width="8.85546875" style="11"/>
    <col min="15633" max="15633" width="9.140625" style="11" customWidth="1"/>
    <col min="15634" max="15872" width="8.85546875" style="11"/>
    <col min="15873" max="15873" width="9.7109375" style="11" customWidth="1"/>
    <col min="15874" max="15875" width="9.140625" style="11" customWidth="1"/>
    <col min="15876" max="15877" width="10.5703125" style="11" customWidth="1"/>
    <col min="15878" max="15878" width="1.7109375" style="11" customWidth="1"/>
    <col min="15879" max="15884" width="9.140625" style="11" customWidth="1"/>
    <col min="15885" max="15888" width="8.85546875" style="11"/>
    <col min="15889" max="15889" width="9.140625" style="11" customWidth="1"/>
    <col min="15890" max="16128" width="8.85546875" style="11"/>
    <col min="16129" max="16129" width="9.7109375" style="11" customWidth="1"/>
    <col min="16130" max="16131" width="9.140625" style="11" customWidth="1"/>
    <col min="16132" max="16133" width="10.5703125" style="11" customWidth="1"/>
    <col min="16134" max="16134" width="1.7109375" style="11" customWidth="1"/>
    <col min="16135" max="16140" width="9.140625" style="11" customWidth="1"/>
    <col min="16141" max="16144" width="8.85546875" style="11"/>
    <col min="16145" max="16145" width="9.140625" style="11" customWidth="1"/>
    <col min="16146" max="16384" width="8.85546875" style="11"/>
  </cols>
  <sheetData>
    <row r="1" spans="1:31" x14ac:dyDescent="0.2">
      <c r="A1" s="2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/>
      <c r="G1" s="19" t="s">
        <v>5</v>
      </c>
      <c r="H1" s="19" t="s">
        <v>6</v>
      </c>
      <c r="I1" s="19"/>
      <c r="J1" s="19" t="s">
        <v>7</v>
      </c>
      <c r="K1" s="19"/>
      <c r="L1" s="24" t="s">
        <v>8</v>
      </c>
      <c r="M1" s="24"/>
      <c r="N1" s="24"/>
      <c r="O1" s="24"/>
      <c r="Q1" s="24" t="s">
        <v>29</v>
      </c>
      <c r="R1" s="24"/>
      <c r="S1" s="24"/>
      <c r="T1" s="24"/>
      <c r="W1" s="24"/>
      <c r="X1" s="24"/>
      <c r="Y1" s="24"/>
      <c r="Z1" s="24"/>
    </row>
    <row r="2" spans="1:31" x14ac:dyDescent="0.2">
      <c r="B2" s="3"/>
      <c r="C2" s="3"/>
      <c r="D2" s="3" t="s">
        <v>18</v>
      </c>
      <c r="E2" s="23">
        <f ca="1">MAX(E4:E2000)</f>
        <v>0.64822687846185756</v>
      </c>
      <c r="F2" s="3"/>
      <c r="G2" s="23">
        <f ca="1">SUM(G4:G2000)/COUNT(G4:G2000)</f>
        <v>0.48992576882290562</v>
      </c>
      <c r="H2" s="27">
        <f ca="1">D982/SUM(H4:H2000)</f>
        <v>-0.10318851061755273</v>
      </c>
      <c r="I2" s="3"/>
      <c r="J2" s="3"/>
      <c r="K2" s="3"/>
      <c r="L2" s="7" t="s">
        <v>9</v>
      </c>
      <c r="M2" s="7" t="s">
        <v>10</v>
      </c>
      <c r="N2" s="7" t="s">
        <v>11</v>
      </c>
      <c r="O2" s="7" t="s">
        <v>12</v>
      </c>
      <c r="Q2" s="7" t="s">
        <v>9</v>
      </c>
      <c r="R2" s="7" t="s">
        <v>10</v>
      </c>
      <c r="S2" s="7" t="s">
        <v>11</v>
      </c>
      <c r="T2" s="7" t="s">
        <v>12</v>
      </c>
      <c r="W2" s="7"/>
      <c r="X2" s="7"/>
      <c r="Y2" s="7"/>
      <c r="Z2" s="7"/>
    </row>
    <row r="3" spans="1:31" x14ac:dyDescent="0.2">
      <c r="B3" s="8"/>
      <c r="C3" s="8"/>
      <c r="D3" s="3" t="s">
        <v>17</v>
      </c>
      <c r="E3" s="12">
        <f ca="1">MAX(E4:E352)</f>
        <v>0.47332716157874155</v>
      </c>
      <c r="F3" s="3"/>
      <c r="G3" s="12">
        <f ca="1">SUM(G4:G352)/COUNT(G4:G352)</f>
        <v>0.50798722044728439</v>
      </c>
      <c r="H3" s="12">
        <f ca="1">D352/SUM(H4:H352)</f>
        <v>-0.23170978504958503</v>
      </c>
      <c r="I3" s="8"/>
      <c r="J3" s="8"/>
      <c r="K3" s="8"/>
      <c r="L3" s="9"/>
      <c r="M3" s="9"/>
      <c r="N3" s="9">
        <v>2</v>
      </c>
      <c r="O3" s="9">
        <v>0.1</v>
      </c>
      <c r="P3" s="9"/>
      <c r="Q3" s="9"/>
      <c r="R3" s="9"/>
      <c r="S3" s="9">
        <v>4</v>
      </c>
      <c r="T3" s="9">
        <v>0.02</v>
      </c>
      <c r="W3" s="9"/>
      <c r="X3" s="9"/>
      <c r="Y3" s="9"/>
      <c r="Z3" s="1"/>
    </row>
    <row r="4" spans="1:31" x14ac:dyDescent="0.2">
      <c r="A4" s="4">
        <v>33512</v>
      </c>
      <c r="B4" s="9"/>
      <c r="C4" s="9"/>
      <c r="D4" s="9"/>
      <c r="E4" s="9"/>
      <c r="F4" s="9"/>
      <c r="G4" s="9"/>
      <c r="H4" s="9"/>
      <c r="I4" s="13"/>
      <c r="J4" s="9"/>
      <c r="K4" s="9"/>
      <c r="L4" s="9">
        <v>1</v>
      </c>
      <c r="M4" s="1">
        <v>0.01</v>
      </c>
      <c r="N4" s="9"/>
      <c r="O4" s="9"/>
      <c r="P4" s="9"/>
      <c r="Q4" s="9">
        <v>1</v>
      </c>
      <c r="R4" s="1">
        <v>0.01</v>
      </c>
      <c r="S4" s="9"/>
      <c r="T4" s="9"/>
      <c r="W4" s="1"/>
      <c r="X4" s="1"/>
      <c r="Y4" s="9"/>
      <c r="Z4" s="9"/>
    </row>
    <row r="5" spans="1:31" x14ac:dyDescent="0.2">
      <c r="A5" s="4">
        <v>33513</v>
      </c>
      <c r="B5" s="9"/>
      <c r="C5" s="9"/>
      <c r="D5" s="9"/>
      <c r="E5" s="9"/>
      <c r="F5" s="9"/>
      <c r="G5" s="9"/>
      <c r="H5" s="9"/>
      <c r="I5" s="13"/>
      <c r="J5" s="9"/>
      <c r="K5" s="9"/>
      <c r="L5" s="9">
        <f>L4-O5*Prices!B5</f>
        <v>1</v>
      </c>
      <c r="M5" s="1">
        <f t="shared" ref="M5:M39" si="0">M4+O5</f>
        <v>0.01</v>
      </c>
      <c r="N5" s="13"/>
      <c r="O5" s="9"/>
      <c r="P5" s="9"/>
      <c r="Q5" s="9">
        <f>Q4-T5*Prices!B5</f>
        <v>1</v>
      </c>
      <c r="R5" s="1">
        <f t="shared" ref="R5:R17" si="1">R4+T5</f>
        <v>0.01</v>
      </c>
      <c r="S5" s="9"/>
      <c r="T5" s="9"/>
      <c r="W5" s="1"/>
      <c r="X5" s="1"/>
      <c r="Y5" s="13"/>
      <c r="Z5" s="9"/>
    </row>
    <row r="6" spans="1:31" x14ac:dyDescent="0.2">
      <c r="A6" s="4">
        <v>33514</v>
      </c>
      <c r="B6" s="9"/>
      <c r="C6" s="9"/>
      <c r="D6" s="9"/>
      <c r="E6" s="9"/>
      <c r="F6" s="9"/>
      <c r="G6" s="9"/>
      <c r="H6" s="9"/>
      <c r="I6" s="13"/>
      <c r="J6" s="9"/>
      <c r="K6" s="9"/>
      <c r="L6" s="9">
        <f>L5-O6*Prices!B6</f>
        <v>1</v>
      </c>
      <c r="M6" s="1">
        <f t="shared" si="0"/>
        <v>0.01</v>
      </c>
      <c r="N6" s="13"/>
      <c r="O6" s="9"/>
      <c r="P6" s="9"/>
      <c r="Q6" s="9">
        <f>Q5-T6*Prices!B6</f>
        <v>1</v>
      </c>
      <c r="R6" s="1">
        <f t="shared" si="1"/>
        <v>0.01</v>
      </c>
      <c r="S6" s="9"/>
      <c r="T6" s="9"/>
      <c r="W6" s="1"/>
      <c r="X6" s="1"/>
      <c r="Y6" s="13"/>
      <c r="Z6" s="9"/>
    </row>
    <row r="7" spans="1:31" x14ac:dyDescent="0.2">
      <c r="A7" s="4">
        <v>33515</v>
      </c>
      <c r="B7" s="9"/>
      <c r="C7" s="9"/>
      <c r="D7" s="9"/>
      <c r="E7" s="9"/>
      <c r="F7" s="9"/>
      <c r="G7" s="9"/>
      <c r="H7" s="9"/>
      <c r="I7" s="13"/>
      <c r="J7" s="9"/>
      <c r="K7" s="9"/>
      <c r="L7" s="9">
        <f>L6-O7*Prices!B7</f>
        <v>1</v>
      </c>
      <c r="M7" s="1">
        <f t="shared" si="0"/>
        <v>0.01</v>
      </c>
      <c r="N7" s="9"/>
      <c r="O7" s="9"/>
      <c r="P7" s="14"/>
      <c r="Q7" s="9">
        <f>Q6-T7*Prices!B7</f>
        <v>1</v>
      </c>
      <c r="R7" s="1">
        <f t="shared" si="1"/>
        <v>0.01</v>
      </c>
      <c r="S7" s="9"/>
      <c r="T7" s="9"/>
      <c r="U7" s="15"/>
      <c r="W7" s="1"/>
      <c r="X7" s="1"/>
      <c r="Y7" s="9"/>
      <c r="Z7" s="9"/>
    </row>
    <row r="8" spans="1:31" x14ac:dyDescent="0.2">
      <c r="A8" s="4">
        <v>33518</v>
      </c>
      <c r="B8" s="9"/>
      <c r="C8" s="9"/>
      <c r="D8" s="9"/>
      <c r="E8" s="9"/>
      <c r="F8" s="9"/>
      <c r="G8" s="13"/>
      <c r="H8" s="9"/>
      <c r="I8" s="13"/>
      <c r="J8" s="1"/>
      <c r="K8" s="9"/>
      <c r="L8" s="9">
        <f>L7-O8*Prices!B8</f>
        <v>1</v>
      </c>
      <c r="M8" s="1">
        <f t="shared" si="0"/>
        <v>0.01</v>
      </c>
      <c r="N8" s="9"/>
      <c r="O8" s="1"/>
      <c r="P8" s="14"/>
      <c r="Q8" s="9">
        <f>Q7-T8*Prices!B8</f>
        <v>1</v>
      </c>
      <c r="R8" s="1">
        <f t="shared" si="1"/>
        <v>0.01</v>
      </c>
      <c r="S8" s="9"/>
      <c r="T8" s="1"/>
      <c r="U8" s="15"/>
      <c r="V8" s="9"/>
      <c r="W8" s="1"/>
      <c r="X8" s="1"/>
      <c r="Y8" s="9"/>
      <c r="Z8" s="1"/>
    </row>
    <row r="9" spans="1:31" x14ac:dyDescent="0.2">
      <c r="A9" s="4">
        <v>33519</v>
      </c>
      <c r="B9" s="9"/>
      <c r="C9" s="9"/>
      <c r="D9" s="9"/>
      <c r="E9" s="9"/>
      <c r="F9" s="9"/>
      <c r="G9" s="13"/>
      <c r="H9" s="9"/>
      <c r="I9" s="13"/>
      <c r="J9" s="1"/>
      <c r="K9" s="9"/>
      <c r="L9" s="9">
        <f>L8-O9*Prices!B9</f>
        <v>1</v>
      </c>
      <c r="M9" s="1">
        <f t="shared" si="0"/>
        <v>0.01</v>
      </c>
      <c r="N9" s="9"/>
      <c r="O9" s="1"/>
      <c r="P9" s="14"/>
      <c r="Q9" s="9">
        <f>Q8-T9*Prices!B9</f>
        <v>1</v>
      </c>
      <c r="R9" s="1">
        <f t="shared" si="1"/>
        <v>0.01</v>
      </c>
      <c r="S9" s="9"/>
      <c r="T9" s="1"/>
      <c r="V9" s="9"/>
      <c r="W9" s="1"/>
      <c r="X9" s="1"/>
      <c r="Y9" s="9"/>
      <c r="Z9" s="1"/>
    </row>
    <row r="10" spans="1:31" x14ac:dyDescent="0.2">
      <c r="A10" s="4">
        <v>33520</v>
      </c>
      <c r="B10" s="9"/>
      <c r="C10" s="9"/>
      <c r="D10" s="9"/>
      <c r="E10" s="9"/>
      <c r="F10" s="9"/>
      <c r="G10" s="13"/>
      <c r="H10" s="9"/>
      <c r="I10" s="13"/>
      <c r="J10" s="1"/>
      <c r="K10" s="9"/>
      <c r="L10" s="9">
        <f>L9-O10*Prices!B10</f>
        <v>1</v>
      </c>
      <c r="M10" s="1">
        <f t="shared" si="0"/>
        <v>0.01</v>
      </c>
      <c r="N10" s="9"/>
      <c r="O10" s="1"/>
      <c r="P10" s="14"/>
      <c r="Q10" s="9">
        <f>Q9-T10*Prices!B10</f>
        <v>1</v>
      </c>
      <c r="R10" s="1">
        <f t="shared" si="1"/>
        <v>0.01</v>
      </c>
      <c r="S10" s="9"/>
      <c r="T10" s="1"/>
      <c r="V10" s="9"/>
      <c r="W10" s="1"/>
      <c r="X10" s="1"/>
      <c r="Y10" s="9"/>
      <c r="Z10" s="1"/>
    </row>
    <row r="11" spans="1:31" x14ac:dyDescent="0.2">
      <c r="A11" s="4">
        <v>33521</v>
      </c>
      <c r="B11" s="9"/>
      <c r="C11" s="9"/>
      <c r="D11" s="9"/>
      <c r="E11" s="9"/>
      <c r="F11" s="9"/>
      <c r="G11" s="13"/>
      <c r="H11" s="9"/>
      <c r="I11" s="13"/>
      <c r="J11" s="1"/>
      <c r="K11" s="9"/>
      <c r="L11" s="9">
        <f>L10-O11*Prices!B11</f>
        <v>1</v>
      </c>
      <c r="M11" s="1">
        <f t="shared" si="0"/>
        <v>0.01</v>
      </c>
      <c r="N11" s="9"/>
      <c r="O11" s="1"/>
      <c r="P11" s="14"/>
      <c r="Q11" s="9">
        <f>Q10-T11*Prices!B11</f>
        <v>1</v>
      </c>
      <c r="R11" s="1">
        <f t="shared" si="1"/>
        <v>0.01</v>
      </c>
      <c r="S11" s="9"/>
      <c r="T11" s="1"/>
      <c r="V11" s="9"/>
      <c r="W11" s="1"/>
      <c r="X11" s="1"/>
      <c r="Y11" s="9"/>
      <c r="Z11" s="1"/>
    </row>
    <row r="12" spans="1:31" x14ac:dyDescent="0.2">
      <c r="A12" s="4">
        <v>33522</v>
      </c>
      <c r="B12" s="9"/>
      <c r="C12" s="9"/>
      <c r="D12" s="9"/>
      <c r="E12" s="9"/>
      <c r="F12" s="9"/>
      <c r="G12" s="13"/>
      <c r="H12" s="9"/>
      <c r="I12" s="13"/>
      <c r="J12" s="1"/>
      <c r="K12" s="9"/>
      <c r="L12" s="9">
        <f>L11-O12*Prices!B12</f>
        <v>1</v>
      </c>
      <c r="M12" s="1">
        <f t="shared" si="0"/>
        <v>0.01</v>
      </c>
      <c r="N12" s="9"/>
      <c r="O12" s="1"/>
      <c r="P12" s="14"/>
      <c r="Q12" s="9">
        <f>Q11-T12*Prices!B12</f>
        <v>1</v>
      </c>
      <c r="R12" s="1">
        <f t="shared" si="1"/>
        <v>0.01</v>
      </c>
      <c r="S12" s="9"/>
      <c r="T12" s="1"/>
      <c r="V12" s="9"/>
      <c r="W12" s="1"/>
      <c r="X12" s="1"/>
      <c r="Y12" s="9"/>
      <c r="Z12" s="1"/>
    </row>
    <row r="13" spans="1:31" x14ac:dyDescent="0.2">
      <c r="A13" s="4">
        <v>33525</v>
      </c>
      <c r="B13" s="9"/>
      <c r="C13" s="9"/>
      <c r="D13" s="9"/>
      <c r="E13" s="9"/>
      <c r="F13" s="9"/>
      <c r="G13" s="13"/>
      <c r="H13" s="9"/>
      <c r="I13" s="13"/>
      <c r="J13" s="1"/>
      <c r="K13" s="9"/>
      <c r="L13" s="9">
        <f>L12-O13*Prices!B13</f>
        <v>1</v>
      </c>
      <c r="M13" s="1">
        <f t="shared" si="0"/>
        <v>0.01</v>
      </c>
      <c r="N13" s="9"/>
      <c r="O13" s="1"/>
      <c r="P13" s="14"/>
      <c r="Q13" s="9">
        <f>Q12-T13*Prices!B13</f>
        <v>1</v>
      </c>
      <c r="R13" s="1">
        <f t="shared" si="1"/>
        <v>0.01</v>
      </c>
      <c r="S13" s="9"/>
      <c r="T13" s="1"/>
      <c r="V13" s="9"/>
      <c r="W13" s="1"/>
      <c r="X13" s="1"/>
      <c r="Y13" s="9"/>
      <c r="Z13" s="1"/>
    </row>
    <row r="14" spans="1:31" x14ac:dyDescent="0.2">
      <c r="A14" s="4">
        <v>33526</v>
      </c>
      <c r="B14" s="9"/>
      <c r="C14" s="9"/>
      <c r="D14" s="9"/>
      <c r="E14" s="9"/>
      <c r="F14" s="9"/>
      <c r="G14" s="13"/>
      <c r="H14" s="9"/>
      <c r="I14" s="13"/>
      <c r="J14" s="1"/>
      <c r="K14" s="9"/>
      <c r="L14" s="9">
        <f>L13-O14*Prices!B14</f>
        <v>1</v>
      </c>
      <c r="M14" s="1">
        <f t="shared" si="0"/>
        <v>0.01</v>
      </c>
      <c r="N14" s="9"/>
      <c r="O14" s="1"/>
      <c r="P14" s="14"/>
      <c r="Q14" s="9">
        <f>Q13-T14*Prices!B14</f>
        <v>1</v>
      </c>
      <c r="R14" s="1">
        <f t="shared" si="1"/>
        <v>0.01</v>
      </c>
      <c r="S14" s="9"/>
      <c r="T14" s="1"/>
      <c r="V14" s="9"/>
      <c r="W14" s="1"/>
      <c r="X14" s="1"/>
      <c r="Y14" s="1"/>
      <c r="Z14" s="1"/>
      <c r="AA14" s="9"/>
      <c r="AB14" s="1"/>
      <c r="AC14" s="1"/>
      <c r="AD14" s="1"/>
      <c r="AE14" s="16"/>
    </row>
    <row r="15" spans="1:31" x14ac:dyDescent="0.2">
      <c r="A15" s="4">
        <v>33527</v>
      </c>
      <c r="B15" s="9"/>
      <c r="C15" s="9"/>
      <c r="D15" s="9"/>
      <c r="E15" s="9"/>
      <c r="F15" s="9"/>
      <c r="G15" s="13"/>
      <c r="H15" s="9"/>
      <c r="I15" s="13"/>
      <c r="J15" s="1"/>
      <c r="K15" s="9"/>
      <c r="L15" s="9">
        <f>L14-O15*Prices!B15</f>
        <v>1</v>
      </c>
      <c r="M15" s="1">
        <f t="shared" si="0"/>
        <v>0.01</v>
      </c>
      <c r="N15" s="9"/>
      <c r="O15" s="1"/>
      <c r="P15" s="14"/>
      <c r="Q15" s="9">
        <f>Q14-T15*Prices!B15</f>
        <v>1</v>
      </c>
      <c r="R15" s="1">
        <f t="shared" si="1"/>
        <v>0.01</v>
      </c>
      <c r="S15" s="9"/>
      <c r="T15" s="1"/>
      <c r="V15" s="1"/>
      <c r="W15" s="1"/>
      <c r="X15" s="1"/>
      <c r="Y15" s="1"/>
      <c r="Z15" s="1"/>
      <c r="AA15" s="1"/>
      <c r="AB15" s="1"/>
      <c r="AC15" s="1"/>
      <c r="AD15" s="1"/>
      <c r="AE15" s="16"/>
    </row>
    <row r="16" spans="1:31" x14ac:dyDescent="0.2">
      <c r="A16" s="4">
        <v>33528</v>
      </c>
      <c r="B16" s="9"/>
      <c r="C16" s="9"/>
      <c r="D16" s="9"/>
      <c r="E16" s="9"/>
      <c r="F16" s="9"/>
      <c r="G16" s="13"/>
      <c r="H16" s="9"/>
      <c r="I16" s="13"/>
      <c r="J16" s="1"/>
      <c r="K16" s="9"/>
      <c r="L16" s="9">
        <f>L15-O16*Prices!B16</f>
        <v>1</v>
      </c>
      <c r="M16" s="1">
        <f t="shared" si="0"/>
        <v>0.01</v>
      </c>
      <c r="N16" s="9"/>
      <c r="O16" s="1"/>
      <c r="P16" s="14"/>
      <c r="Q16" s="9">
        <f>Q15-T16*Prices!B16</f>
        <v>1</v>
      </c>
      <c r="R16" s="1">
        <f t="shared" si="1"/>
        <v>0.01</v>
      </c>
      <c r="S16" s="9"/>
      <c r="T16" s="1"/>
      <c r="V16" s="1"/>
      <c r="W16" s="1"/>
      <c r="X16" s="1"/>
      <c r="Y16" s="1"/>
      <c r="Z16" s="1"/>
      <c r="AA16" s="1"/>
      <c r="AB16" s="1"/>
      <c r="AC16" s="1"/>
      <c r="AD16" s="1"/>
      <c r="AE16" s="16"/>
    </row>
    <row r="17" spans="1:31" x14ac:dyDescent="0.2">
      <c r="A17" s="4">
        <v>33529</v>
      </c>
      <c r="B17" s="9"/>
      <c r="C17" s="13"/>
      <c r="D17" s="9"/>
      <c r="E17" s="9"/>
      <c r="F17" s="9"/>
      <c r="G17" s="13"/>
      <c r="H17" s="9"/>
      <c r="I17" s="13"/>
      <c r="J17" s="1"/>
      <c r="K17" s="9"/>
      <c r="L17" s="9">
        <f>L16-O17*Prices!B17</f>
        <v>1</v>
      </c>
      <c r="M17" s="1">
        <f t="shared" si="0"/>
        <v>0.01</v>
      </c>
      <c r="N17" s="9"/>
      <c r="O17" s="1"/>
      <c r="P17" s="14"/>
      <c r="Q17" s="9">
        <f>Q16-T17*Prices!B17</f>
        <v>1</v>
      </c>
      <c r="R17" s="1">
        <f t="shared" si="1"/>
        <v>0.01</v>
      </c>
      <c r="S17" s="9"/>
      <c r="T17" s="1"/>
      <c r="V17" s="1"/>
      <c r="W17" s="1"/>
      <c r="X17" s="1"/>
      <c r="Y17" s="1"/>
      <c r="Z17" s="1"/>
      <c r="AA17" s="1"/>
      <c r="AB17" s="1"/>
      <c r="AC17" s="1"/>
      <c r="AD17" s="1"/>
      <c r="AE17" s="16"/>
    </row>
    <row r="18" spans="1:31" x14ac:dyDescent="0.2">
      <c r="A18" s="4">
        <v>33532</v>
      </c>
      <c r="B18" s="9"/>
      <c r="C18" s="13"/>
      <c r="D18" s="9"/>
      <c r="E18" s="9"/>
      <c r="F18" s="9"/>
      <c r="G18" s="13"/>
      <c r="H18" s="9"/>
      <c r="I18" s="13"/>
      <c r="J18" s="1"/>
      <c r="K18" s="9"/>
      <c r="L18" s="9">
        <f>L17-O18*Prices!B18</f>
        <v>1</v>
      </c>
      <c r="M18" s="1">
        <f t="shared" si="0"/>
        <v>0.01</v>
      </c>
      <c r="N18" s="9"/>
      <c r="O18" s="1"/>
      <c r="P18" s="14"/>
      <c r="Q18" s="9">
        <f>Q17-T18*Prices!B18</f>
        <v>1</v>
      </c>
      <c r="R18" s="1">
        <f t="shared" ref="R18:R81" si="2">R17+T18</f>
        <v>0.01</v>
      </c>
      <c r="S18" s="9"/>
      <c r="T18" s="1"/>
      <c r="V18" s="1"/>
      <c r="W18" s="1"/>
      <c r="X18" s="1"/>
      <c r="Y18" s="1"/>
      <c r="Z18" s="1"/>
      <c r="AA18" s="1"/>
      <c r="AB18" s="1"/>
      <c r="AC18" s="1"/>
      <c r="AD18" s="1"/>
      <c r="AE18" s="16"/>
    </row>
    <row r="19" spans="1:31" x14ac:dyDescent="0.2">
      <c r="A19" s="4">
        <v>33533</v>
      </c>
      <c r="B19" s="9"/>
      <c r="C19" s="13"/>
      <c r="D19" s="9"/>
      <c r="E19" s="9"/>
      <c r="F19" s="9"/>
      <c r="G19" s="13"/>
      <c r="H19" s="9"/>
      <c r="I19" s="13"/>
      <c r="J19" s="1"/>
      <c r="K19" s="9"/>
      <c r="L19" s="9">
        <f>L18-O19*Prices!B19</f>
        <v>1</v>
      </c>
      <c r="M19" s="1">
        <f t="shared" si="0"/>
        <v>0.01</v>
      </c>
      <c r="N19" s="9"/>
      <c r="O19" s="1"/>
      <c r="P19" s="14"/>
      <c r="Q19" s="9">
        <f>Q18-T19*Prices!B19</f>
        <v>1</v>
      </c>
      <c r="R19" s="1">
        <f t="shared" si="2"/>
        <v>0.01</v>
      </c>
      <c r="S19" s="9"/>
      <c r="T19" s="1"/>
      <c r="V19" s="1"/>
      <c r="W19" s="1"/>
      <c r="X19" s="1"/>
      <c r="Y19" s="1"/>
      <c r="Z19" s="1"/>
      <c r="AA19" s="1"/>
      <c r="AB19" s="1"/>
      <c r="AC19" s="1"/>
      <c r="AD19" s="1"/>
      <c r="AE19" s="16"/>
    </row>
    <row r="20" spans="1:31" x14ac:dyDescent="0.2">
      <c r="A20" s="4">
        <v>33534</v>
      </c>
      <c r="B20" s="9"/>
      <c r="C20" s="13"/>
      <c r="D20" s="9"/>
      <c r="E20" s="9"/>
      <c r="F20" s="9"/>
      <c r="G20" s="13"/>
      <c r="H20" s="9"/>
      <c r="I20" s="13"/>
      <c r="J20" s="1"/>
      <c r="K20" s="9"/>
      <c r="L20" s="9">
        <f>L19-O20*Prices!B20</f>
        <v>1</v>
      </c>
      <c r="M20" s="1">
        <f t="shared" si="0"/>
        <v>0.01</v>
      </c>
      <c r="N20" s="9"/>
      <c r="O20" s="1"/>
      <c r="P20" s="14"/>
      <c r="Q20" s="9">
        <f>Q19-T20*Prices!B20</f>
        <v>1</v>
      </c>
      <c r="R20" s="1">
        <f t="shared" si="2"/>
        <v>0.01</v>
      </c>
      <c r="S20" s="9"/>
      <c r="T20" s="1"/>
      <c r="V20" s="1"/>
      <c r="W20" s="1"/>
      <c r="X20" s="1"/>
      <c r="Y20" s="1"/>
      <c r="Z20" s="1"/>
      <c r="AA20" s="1"/>
      <c r="AB20" s="1"/>
      <c r="AC20" s="1"/>
      <c r="AD20" s="1"/>
      <c r="AE20" s="16"/>
    </row>
    <row r="21" spans="1:31" x14ac:dyDescent="0.2">
      <c r="A21" s="4">
        <v>33535</v>
      </c>
      <c r="B21" s="9"/>
      <c r="C21" s="13"/>
      <c r="D21" s="9"/>
      <c r="E21" s="9"/>
      <c r="F21" s="9"/>
      <c r="G21" s="13"/>
      <c r="H21" s="9"/>
      <c r="I21" s="13"/>
      <c r="J21" s="1"/>
      <c r="K21" s="9"/>
      <c r="L21" s="9">
        <f>L20-O21*Prices!B21</f>
        <v>1</v>
      </c>
      <c r="M21" s="1">
        <f t="shared" si="0"/>
        <v>0.01</v>
      </c>
      <c r="N21" s="9"/>
      <c r="O21" s="1"/>
      <c r="P21" s="14"/>
      <c r="Q21" s="9">
        <f>Q20-T21*Prices!B21</f>
        <v>1</v>
      </c>
      <c r="R21" s="1">
        <f t="shared" si="2"/>
        <v>0.01</v>
      </c>
      <c r="S21" s="9"/>
      <c r="T21" s="1"/>
      <c r="V21" s="1"/>
      <c r="W21" s="1"/>
      <c r="X21" s="1"/>
      <c r="Y21" s="1"/>
      <c r="Z21" s="1"/>
      <c r="AA21" s="1"/>
      <c r="AB21" s="1"/>
      <c r="AC21" s="1"/>
      <c r="AD21" s="1"/>
      <c r="AE21" s="16"/>
    </row>
    <row r="22" spans="1:31" x14ac:dyDescent="0.2">
      <c r="A22" s="4">
        <v>33536</v>
      </c>
      <c r="B22" s="9"/>
      <c r="C22" s="13"/>
      <c r="D22" s="9"/>
      <c r="E22" s="9"/>
      <c r="F22" s="9"/>
      <c r="G22" s="13"/>
      <c r="H22" s="9"/>
      <c r="I22" s="13"/>
      <c r="J22" s="1"/>
      <c r="K22" s="9"/>
      <c r="L22" s="9">
        <f>L21-O22*Prices!B22</f>
        <v>1</v>
      </c>
      <c r="M22" s="1">
        <f t="shared" si="0"/>
        <v>0.01</v>
      </c>
      <c r="N22" s="9"/>
      <c r="O22" s="1"/>
      <c r="P22" s="14"/>
      <c r="Q22" s="9">
        <f>Q21-T22*Prices!B22</f>
        <v>1</v>
      </c>
      <c r="R22" s="1">
        <f t="shared" si="2"/>
        <v>0.01</v>
      </c>
      <c r="S22" s="9"/>
      <c r="T22" s="1"/>
      <c r="V22" s="1"/>
      <c r="W22" s="1"/>
      <c r="X22" s="1"/>
      <c r="Y22" s="1"/>
      <c r="Z22" s="1"/>
      <c r="AA22" s="1"/>
      <c r="AB22" s="1"/>
      <c r="AC22" s="1"/>
      <c r="AD22" s="1"/>
      <c r="AE22" s="16"/>
    </row>
    <row r="23" spans="1:31" x14ac:dyDescent="0.2">
      <c r="A23" s="4">
        <v>33539</v>
      </c>
      <c r="B23" s="9"/>
      <c r="C23" s="13"/>
      <c r="D23" s="9"/>
      <c r="E23" s="9"/>
      <c r="F23" s="9"/>
      <c r="G23" s="13"/>
      <c r="H23" s="9"/>
      <c r="I23" s="13"/>
      <c r="J23" s="1"/>
      <c r="K23" s="9"/>
      <c r="L23" s="9">
        <f>L22-O23*Prices!B23</f>
        <v>1</v>
      </c>
      <c r="M23" s="1">
        <f t="shared" si="0"/>
        <v>0.01</v>
      </c>
      <c r="N23" s="9"/>
      <c r="O23" s="1"/>
      <c r="P23" s="14"/>
      <c r="Q23" s="9">
        <f>Q22-T23*Prices!B23</f>
        <v>1</v>
      </c>
      <c r="R23" s="1">
        <f t="shared" si="2"/>
        <v>0.01</v>
      </c>
      <c r="S23" s="9"/>
      <c r="T23" s="1"/>
      <c r="V23" s="1"/>
      <c r="W23" s="1"/>
      <c r="X23" s="1"/>
      <c r="Y23" s="1"/>
      <c r="Z23" s="1"/>
      <c r="AA23" s="1"/>
      <c r="AB23" s="1"/>
      <c r="AC23" s="1"/>
      <c r="AD23" s="1"/>
      <c r="AE23" s="16"/>
    </row>
    <row r="24" spans="1:31" x14ac:dyDescent="0.2">
      <c r="A24" s="4">
        <v>33540</v>
      </c>
      <c r="B24" s="9"/>
      <c r="C24" s="13"/>
      <c r="D24" s="9"/>
      <c r="E24" s="9"/>
      <c r="F24" s="9"/>
      <c r="G24" s="13"/>
      <c r="H24" s="9"/>
      <c r="I24" s="13"/>
      <c r="J24" s="1"/>
      <c r="K24" s="9"/>
      <c r="L24" s="9">
        <f>L23-O24*Prices!B24</f>
        <v>1</v>
      </c>
      <c r="M24" s="1">
        <f t="shared" si="0"/>
        <v>0.01</v>
      </c>
      <c r="N24" s="9"/>
      <c r="O24" s="1"/>
      <c r="P24" s="14"/>
      <c r="Q24" s="9">
        <f>Q23-T24*Prices!B24</f>
        <v>1</v>
      </c>
      <c r="R24" s="1">
        <f t="shared" si="2"/>
        <v>0.01</v>
      </c>
      <c r="S24" s="9"/>
      <c r="T24" s="1"/>
      <c r="V24" s="1"/>
      <c r="W24" s="1"/>
      <c r="X24" s="1"/>
      <c r="Y24" s="1"/>
      <c r="Z24" s="1"/>
      <c r="AA24" s="1"/>
      <c r="AB24" s="1"/>
      <c r="AC24" s="1"/>
      <c r="AD24" s="1"/>
      <c r="AE24" s="16"/>
    </row>
    <row r="25" spans="1:31" x14ac:dyDescent="0.2">
      <c r="A25" s="4">
        <v>33541</v>
      </c>
      <c r="B25" s="9"/>
      <c r="C25" s="13"/>
      <c r="D25" s="9"/>
      <c r="E25" s="9"/>
      <c r="F25" s="9"/>
      <c r="G25" s="13"/>
      <c r="H25" s="9"/>
      <c r="I25" s="13"/>
      <c r="J25" s="1"/>
      <c r="K25" s="9"/>
      <c r="L25" s="9">
        <f>L24-O25*Prices!B25</f>
        <v>1</v>
      </c>
      <c r="M25" s="1">
        <f t="shared" si="0"/>
        <v>0.01</v>
      </c>
      <c r="N25" s="9"/>
      <c r="O25" s="1"/>
      <c r="P25" s="14"/>
      <c r="Q25" s="9">
        <f>Q24-T25*Prices!B25</f>
        <v>1</v>
      </c>
      <c r="R25" s="1">
        <f t="shared" si="2"/>
        <v>0.01</v>
      </c>
      <c r="S25" s="9"/>
      <c r="T25" s="1"/>
      <c r="V25" s="1"/>
      <c r="W25" s="1"/>
      <c r="X25" s="1"/>
      <c r="Y25" s="1"/>
      <c r="Z25" s="1"/>
      <c r="AA25" s="1"/>
      <c r="AB25" s="1"/>
      <c r="AC25" s="1"/>
      <c r="AD25" s="1"/>
      <c r="AE25" s="16"/>
    </row>
    <row r="26" spans="1:31" x14ac:dyDescent="0.2">
      <c r="A26" s="4">
        <v>33542</v>
      </c>
      <c r="B26" s="9"/>
      <c r="C26" s="13"/>
      <c r="D26" s="9"/>
      <c r="E26" s="9"/>
      <c r="F26" s="9"/>
      <c r="G26" s="13"/>
      <c r="H26" s="9"/>
      <c r="I26" s="13"/>
      <c r="J26" s="1"/>
      <c r="K26" s="9"/>
      <c r="L26" s="9">
        <f>L25-O26*Prices!B26</f>
        <v>1</v>
      </c>
      <c r="M26" s="1">
        <f t="shared" si="0"/>
        <v>0.01</v>
      </c>
      <c r="N26" s="9"/>
      <c r="O26" s="1"/>
      <c r="P26" s="14"/>
      <c r="Q26" s="9">
        <f>Q25-T26*Prices!B26</f>
        <v>1</v>
      </c>
      <c r="R26" s="1">
        <f t="shared" si="2"/>
        <v>0.01</v>
      </c>
      <c r="S26" s="9"/>
      <c r="T26" s="1"/>
      <c r="V26" s="1"/>
      <c r="W26" s="1"/>
      <c r="X26" s="1"/>
      <c r="Y26" s="1"/>
      <c r="Z26" s="1"/>
      <c r="AA26" s="1"/>
      <c r="AB26" s="1"/>
      <c r="AC26" s="1"/>
      <c r="AD26" s="1"/>
      <c r="AE26" s="16"/>
    </row>
    <row r="27" spans="1:31" x14ac:dyDescent="0.2">
      <c r="A27" s="4">
        <v>33543</v>
      </c>
      <c r="B27" s="9"/>
      <c r="C27" s="13"/>
      <c r="D27" s="9"/>
      <c r="E27" s="9"/>
      <c r="F27" s="9"/>
      <c r="G27" s="13"/>
      <c r="H27" s="9"/>
      <c r="I27" s="13"/>
      <c r="J27" s="1"/>
      <c r="K27" s="9"/>
      <c r="L27" s="9">
        <f>L26-O27*Prices!B27</f>
        <v>1</v>
      </c>
      <c r="M27" s="1">
        <f t="shared" si="0"/>
        <v>0.01</v>
      </c>
      <c r="N27" s="9"/>
      <c r="O27" s="1"/>
      <c r="P27" s="14"/>
      <c r="Q27" s="9">
        <f>Q26-T27*Prices!B27</f>
        <v>1</v>
      </c>
      <c r="R27" s="1">
        <f t="shared" si="2"/>
        <v>0.01</v>
      </c>
      <c r="S27" s="9"/>
      <c r="T27" s="1"/>
      <c r="V27" s="1"/>
      <c r="W27" s="1"/>
      <c r="X27" s="1"/>
      <c r="Y27" s="1"/>
      <c r="Z27" s="1"/>
      <c r="AA27" s="1"/>
      <c r="AB27" s="1"/>
      <c r="AC27" s="1"/>
      <c r="AD27" s="1"/>
      <c r="AE27" s="16"/>
    </row>
    <row r="28" spans="1:31" x14ac:dyDescent="0.2">
      <c r="A28" s="4">
        <v>33546</v>
      </c>
      <c r="B28" s="9"/>
      <c r="C28" s="13"/>
      <c r="D28" s="9"/>
      <c r="E28" s="9"/>
      <c r="F28" s="9"/>
      <c r="G28" s="13"/>
      <c r="H28" s="9"/>
      <c r="I28" s="13"/>
      <c r="J28" s="1"/>
      <c r="K28" s="9"/>
      <c r="L28" s="9">
        <f>L27-O28*Prices!B28</f>
        <v>1</v>
      </c>
      <c r="M28" s="1">
        <f t="shared" si="0"/>
        <v>0.01</v>
      </c>
      <c r="N28" s="9"/>
      <c r="O28" s="1"/>
      <c r="P28" s="14"/>
      <c r="Q28" s="9">
        <f>Q27-T28*Prices!B28</f>
        <v>1</v>
      </c>
      <c r="R28" s="1">
        <f t="shared" si="2"/>
        <v>0.01</v>
      </c>
      <c r="S28" s="9"/>
      <c r="T28" s="1"/>
      <c r="V28" s="1"/>
      <c r="W28" s="1"/>
      <c r="X28" s="1"/>
      <c r="Y28" s="1"/>
      <c r="Z28" s="1"/>
      <c r="AA28" s="1"/>
      <c r="AB28" s="1"/>
      <c r="AC28" s="1"/>
      <c r="AD28" s="1"/>
      <c r="AE28" s="16"/>
    </row>
    <row r="29" spans="1:31" x14ac:dyDescent="0.2">
      <c r="A29" s="4">
        <v>33547</v>
      </c>
      <c r="B29" s="9"/>
      <c r="C29" s="13"/>
      <c r="D29" s="9"/>
      <c r="E29" s="9"/>
      <c r="F29" s="9"/>
      <c r="G29" s="13"/>
      <c r="H29" s="9"/>
      <c r="I29" s="13"/>
      <c r="J29" s="1"/>
      <c r="K29" s="9"/>
      <c r="L29" s="9">
        <f>L28-O29*Prices!B29</f>
        <v>1</v>
      </c>
      <c r="M29" s="1">
        <f t="shared" si="0"/>
        <v>0.01</v>
      </c>
      <c r="N29" s="9"/>
      <c r="O29" s="1"/>
      <c r="P29" s="14"/>
      <c r="Q29" s="9">
        <f>Q28-T29*Prices!B29</f>
        <v>1</v>
      </c>
      <c r="R29" s="1">
        <f t="shared" si="2"/>
        <v>0.01</v>
      </c>
      <c r="S29" s="9"/>
      <c r="T29" s="1"/>
      <c r="V29" s="1"/>
      <c r="W29" s="1"/>
      <c r="X29" s="1"/>
      <c r="Y29" s="1"/>
      <c r="Z29" s="1"/>
      <c r="AA29" s="1"/>
      <c r="AB29" s="1"/>
      <c r="AC29" s="1"/>
      <c r="AD29" s="1"/>
      <c r="AE29" s="16"/>
    </row>
    <row r="30" spans="1:31" x14ac:dyDescent="0.2">
      <c r="A30" s="4">
        <v>33548</v>
      </c>
      <c r="B30" s="9"/>
      <c r="C30" s="13"/>
      <c r="D30" s="9"/>
      <c r="E30" s="9"/>
      <c r="F30" s="9"/>
      <c r="G30" s="13"/>
      <c r="H30" s="9"/>
      <c r="I30" s="13"/>
      <c r="J30" s="1"/>
      <c r="K30" s="9"/>
      <c r="L30" s="9">
        <f>L29-O30*Prices!B30</f>
        <v>1</v>
      </c>
      <c r="M30" s="1">
        <f t="shared" si="0"/>
        <v>0.01</v>
      </c>
      <c r="N30" s="9"/>
      <c r="O30" s="1"/>
      <c r="P30" s="14"/>
      <c r="Q30" s="9">
        <f>Q29-T30*Prices!B30</f>
        <v>1</v>
      </c>
      <c r="R30" s="1">
        <f t="shared" si="2"/>
        <v>0.01</v>
      </c>
      <c r="S30" s="9"/>
      <c r="T30" s="1"/>
      <c r="V30" s="1"/>
      <c r="W30" s="1"/>
      <c r="X30" s="1"/>
      <c r="Y30" s="1"/>
      <c r="Z30" s="1"/>
      <c r="AA30" s="1"/>
      <c r="AB30" s="1"/>
      <c r="AC30" s="1"/>
      <c r="AD30" s="1"/>
      <c r="AE30" s="16"/>
    </row>
    <row r="31" spans="1:31" x14ac:dyDescent="0.2">
      <c r="A31" s="4">
        <v>33549</v>
      </c>
      <c r="B31" s="9"/>
      <c r="C31" s="13"/>
      <c r="D31" s="9"/>
      <c r="E31" s="9"/>
      <c r="F31" s="9"/>
      <c r="G31" s="13"/>
      <c r="H31" s="9"/>
      <c r="I31" s="13"/>
      <c r="J31" s="1"/>
      <c r="K31" s="9"/>
      <c r="L31" s="9">
        <f>L30-O31*Prices!B31</f>
        <v>1</v>
      </c>
      <c r="M31" s="1">
        <f t="shared" si="0"/>
        <v>0.01</v>
      </c>
      <c r="N31" s="9"/>
      <c r="O31" s="1"/>
      <c r="P31" s="14"/>
      <c r="Q31" s="9">
        <f>Q30-T31*Prices!B31</f>
        <v>1</v>
      </c>
      <c r="R31" s="1">
        <f t="shared" si="2"/>
        <v>0.01</v>
      </c>
      <c r="S31" s="9"/>
      <c r="T31" s="1"/>
      <c r="V31" s="1"/>
      <c r="W31" s="1"/>
      <c r="X31" s="1"/>
      <c r="Y31" s="1"/>
      <c r="Z31" s="1"/>
      <c r="AA31" s="1"/>
      <c r="AB31" s="1"/>
      <c r="AC31" s="1"/>
      <c r="AD31" s="1"/>
      <c r="AE31" s="16"/>
    </row>
    <row r="32" spans="1:31" x14ac:dyDescent="0.2">
      <c r="A32" s="4">
        <v>33550</v>
      </c>
      <c r="B32" s="9"/>
      <c r="C32" s="13"/>
      <c r="D32" s="9"/>
      <c r="E32" s="9"/>
      <c r="F32" s="9"/>
      <c r="G32" s="13"/>
      <c r="H32" s="9"/>
      <c r="I32" s="13"/>
      <c r="J32" s="1"/>
      <c r="K32" s="9"/>
      <c r="L32" s="9">
        <f>L31-O32*Prices!B32</f>
        <v>1</v>
      </c>
      <c r="M32" s="1">
        <f t="shared" si="0"/>
        <v>0.01</v>
      </c>
      <c r="N32" s="9"/>
      <c r="O32" s="1"/>
      <c r="P32" s="14"/>
      <c r="Q32" s="9">
        <f>Q31-T32*Prices!B32</f>
        <v>1</v>
      </c>
      <c r="R32" s="1">
        <f t="shared" si="2"/>
        <v>0.01</v>
      </c>
      <c r="S32" s="9"/>
      <c r="T32" s="1"/>
      <c r="V32" s="1"/>
      <c r="W32" s="1"/>
      <c r="X32" s="1"/>
      <c r="Y32" s="1"/>
      <c r="Z32" s="1"/>
      <c r="AA32" s="1"/>
      <c r="AB32" s="1"/>
      <c r="AC32" s="1"/>
      <c r="AD32" s="1"/>
      <c r="AE32" s="16"/>
    </row>
    <row r="33" spans="1:31" x14ac:dyDescent="0.2">
      <c r="A33" s="4">
        <v>33553</v>
      </c>
      <c r="B33" s="9"/>
      <c r="C33" s="13"/>
      <c r="D33" s="9"/>
      <c r="E33" s="9"/>
      <c r="F33" s="9"/>
      <c r="G33" s="13"/>
      <c r="H33" s="9"/>
      <c r="I33" s="13"/>
      <c r="J33" s="1"/>
      <c r="K33" s="9"/>
      <c r="L33" s="9">
        <f>L32-O33*Prices!B33</f>
        <v>1</v>
      </c>
      <c r="M33" s="1">
        <f t="shared" si="0"/>
        <v>0.01</v>
      </c>
      <c r="N33" s="9"/>
      <c r="O33" s="1"/>
      <c r="P33" s="14"/>
      <c r="Q33" s="9">
        <f>Q32-T33*Prices!B33</f>
        <v>1</v>
      </c>
      <c r="R33" s="1">
        <f t="shared" si="2"/>
        <v>0.01</v>
      </c>
      <c r="S33" s="9"/>
      <c r="T33" s="1"/>
      <c r="V33" s="9"/>
      <c r="W33" s="1"/>
      <c r="X33" s="1"/>
      <c r="Y33" s="1"/>
      <c r="Z33" s="1"/>
      <c r="AA33" s="1"/>
      <c r="AB33" s="1"/>
      <c r="AC33" s="1"/>
      <c r="AD33" s="1"/>
      <c r="AE33" s="16"/>
    </row>
    <row r="34" spans="1:31" x14ac:dyDescent="0.2">
      <c r="A34" s="4">
        <v>33554</v>
      </c>
      <c r="B34" s="9"/>
      <c r="C34" s="13"/>
      <c r="D34" s="9"/>
      <c r="E34" s="9"/>
      <c r="F34" s="9"/>
      <c r="G34" s="13"/>
      <c r="H34" s="9"/>
      <c r="I34" s="13"/>
      <c r="J34" s="1"/>
      <c r="K34" s="9"/>
      <c r="L34" s="9">
        <f>L33-O34*Prices!B34</f>
        <v>1</v>
      </c>
      <c r="M34" s="1">
        <f t="shared" si="0"/>
        <v>0.01</v>
      </c>
      <c r="N34" s="9"/>
      <c r="O34" s="1"/>
      <c r="P34" s="14"/>
      <c r="Q34" s="9">
        <f>Q33-T34*Prices!B34</f>
        <v>1</v>
      </c>
      <c r="R34" s="1">
        <f t="shared" si="2"/>
        <v>0.01</v>
      </c>
      <c r="S34" s="9"/>
      <c r="T34" s="1"/>
      <c r="V34" s="9"/>
      <c r="W34" s="1"/>
      <c r="X34" s="1"/>
      <c r="Y34" s="1"/>
      <c r="Z34" s="1"/>
      <c r="AA34" s="1"/>
      <c r="AB34" s="1"/>
      <c r="AC34" s="1"/>
      <c r="AD34" s="1"/>
      <c r="AE34" s="16"/>
    </row>
    <row r="35" spans="1:31" x14ac:dyDescent="0.2">
      <c r="A35" s="4">
        <v>33555</v>
      </c>
      <c r="B35" s="9"/>
      <c r="C35" s="13"/>
      <c r="D35" s="9"/>
      <c r="E35" s="9"/>
      <c r="F35" s="9"/>
      <c r="G35" s="13"/>
      <c r="H35" s="9"/>
      <c r="I35" s="13"/>
      <c r="J35" s="1"/>
      <c r="K35" s="9"/>
      <c r="L35" s="9">
        <f>L34-O35*Prices!B35</f>
        <v>1</v>
      </c>
      <c r="M35" s="1">
        <f t="shared" si="0"/>
        <v>0.01</v>
      </c>
      <c r="N35" s="9"/>
      <c r="O35" s="1"/>
      <c r="P35" s="14"/>
      <c r="Q35" s="9">
        <f>Q34-T35*Prices!B35</f>
        <v>1</v>
      </c>
      <c r="R35" s="1">
        <f t="shared" si="2"/>
        <v>0.01</v>
      </c>
      <c r="S35" s="9"/>
      <c r="T35" s="1"/>
      <c r="V35" s="9"/>
      <c r="W35" s="1"/>
      <c r="X35" s="1"/>
      <c r="Y35" s="1"/>
      <c r="Z35" s="1"/>
      <c r="AA35" s="1"/>
      <c r="AB35" s="1"/>
      <c r="AC35" s="1"/>
      <c r="AD35" s="1"/>
      <c r="AE35" s="16"/>
    </row>
    <row r="36" spans="1:31" x14ac:dyDescent="0.2">
      <c r="A36" s="4">
        <v>33556</v>
      </c>
      <c r="B36" s="9"/>
      <c r="C36" s="13"/>
      <c r="D36" s="9"/>
      <c r="E36" s="9"/>
      <c r="F36" s="9"/>
      <c r="G36" s="13"/>
      <c r="H36" s="9"/>
      <c r="I36" s="13"/>
      <c r="J36" s="1"/>
      <c r="K36" s="9"/>
      <c r="L36" s="9">
        <f>L35-O36*Prices!B36</f>
        <v>1</v>
      </c>
      <c r="M36" s="1">
        <f t="shared" si="0"/>
        <v>0.01</v>
      </c>
      <c r="N36" s="9"/>
      <c r="O36" s="1"/>
      <c r="P36" s="14"/>
      <c r="Q36" s="9">
        <f>Q35-T36*Prices!B36</f>
        <v>1</v>
      </c>
      <c r="R36" s="1">
        <f t="shared" si="2"/>
        <v>0.01</v>
      </c>
      <c r="S36" s="9"/>
      <c r="T36" s="1"/>
      <c r="V36" s="9"/>
      <c r="W36" s="1"/>
      <c r="X36" s="1"/>
      <c r="Y36" s="1"/>
      <c r="Z36" s="1"/>
      <c r="AA36" s="1"/>
      <c r="AB36" s="1"/>
      <c r="AC36" s="1"/>
      <c r="AD36" s="1"/>
      <c r="AE36" s="16"/>
    </row>
    <row r="37" spans="1:31" x14ac:dyDescent="0.2">
      <c r="A37" s="4">
        <v>33557</v>
      </c>
      <c r="B37" s="9"/>
      <c r="C37" s="13"/>
      <c r="D37" s="9"/>
      <c r="E37" s="9"/>
      <c r="F37" s="9"/>
      <c r="G37" s="13"/>
      <c r="H37" s="9"/>
      <c r="I37" s="13"/>
      <c r="J37" s="1"/>
      <c r="K37" s="9"/>
      <c r="L37" s="9">
        <f>L36-O37*Prices!B37</f>
        <v>1</v>
      </c>
      <c r="M37" s="1">
        <f t="shared" si="0"/>
        <v>0.01</v>
      </c>
      <c r="N37" s="9"/>
      <c r="O37" s="1"/>
      <c r="P37" s="14"/>
      <c r="Q37" s="9">
        <f>Q36-T37*Prices!B37</f>
        <v>1</v>
      </c>
      <c r="R37" s="1">
        <f t="shared" si="2"/>
        <v>0.01</v>
      </c>
      <c r="S37" s="9"/>
      <c r="T37" s="1"/>
      <c r="V37" s="9"/>
      <c r="W37" s="1"/>
      <c r="X37" s="1"/>
      <c r="Y37" s="1"/>
      <c r="Z37" s="1"/>
      <c r="AA37" s="1"/>
      <c r="AB37" s="1"/>
      <c r="AC37" s="1"/>
      <c r="AD37" s="1"/>
      <c r="AE37" s="16"/>
    </row>
    <row r="38" spans="1:31" x14ac:dyDescent="0.2">
      <c r="A38" s="4">
        <v>33560</v>
      </c>
      <c r="B38" s="9"/>
      <c r="C38" s="13"/>
      <c r="D38" s="9"/>
      <c r="E38" s="9"/>
      <c r="F38" s="9"/>
      <c r="G38" s="13"/>
      <c r="H38" s="9"/>
      <c r="I38" s="13"/>
      <c r="J38" s="1"/>
      <c r="K38" s="9"/>
      <c r="L38" s="9">
        <f>L37-O38*Prices!B38</f>
        <v>1</v>
      </c>
      <c r="M38" s="1">
        <f t="shared" si="0"/>
        <v>0.01</v>
      </c>
      <c r="N38" s="9"/>
      <c r="O38" s="1"/>
      <c r="P38" s="14"/>
      <c r="Q38" s="9">
        <f>Q37-T38*Prices!B38</f>
        <v>1</v>
      </c>
      <c r="R38" s="1">
        <f t="shared" si="2"/>
        <v>0.01</v>
      </c>
      <c r="S38" s="9"/>
      <c r="T38" s="1"/>
      <c r="V38" s="9"/>
      <c r="W38" s="1"/>
      <c r="X38" s="1"/>
      <c r="Y38" s="1"/>
      <c r="Z38" s="1"/>
      <c r="AA38" s="1"/>
      <c r="AB38" s="1"/>
      <c r="AC38" s="1"/>
      <c r="AD38" s="1"/>
      <c r="AE38" s="16"/>
    </row>
    <row r="39" spans="1:31" x14ac:dyDescent="0.2">
      <c r="A39" s="4">
        <v>33561</v>
      </c>
      <c r="B39" s="9"/>
      <c r="C39" s="13"/>
      <c r="D39" s="9"/>
      <c r="E39" s="9"/>
      <c r="F39" s="9">
        <v>0</v>
      </c>
      <c r="G39" s="13"/>
      <c r="H39" s="9"/>
      <c r="I39" s="13"/>
      <c r="J39" s="1"/>
      <c r="K39" s="9"/>
      <c r="L39" s="9">
        <f>L38-O39*Prices!B39</f>
        <v>1</v>
      </c>
      <c r="M39" s="1">
        <f t="shared" si="0"/>
        <v>0.01</v>
      </c>
      <c r="N39" s="9"/>
      <c r="O39" s="1"/>
      <c r="P39" s="14"/>
      <c r="Q39" s="9">
        <f>Q38-T39*Prices!B39</f>
        <v>1</v>
      </c>
      <c r="R39" s="1">
        <f t="shared" si="2"/>
        <v>0.01</v>
      </c>
      <c r="S39" s="9"/>
      <c r="T39" s="1"/>
      <c r="V39" s="9"/>
      <c r="W39" s="1"/>
      <c r="X39" s="1"/>
      <c r="Y39" s="1"/>
      <c r="Z39" s="1"/>
      <c r="AA39" s="1"/>
      <c r="AB39" s="1"/>
      <c r="AC39" s="1"/>
      <c r="AD39" s="1"/>
      <c r="AE39" s="16"/>
    </row>
    <row r="40" spans="1:31" x14ac:dyDescent="0.2">
      <c r="A40" s="4">
        <v>33562</v>
      </c>
      <c r="B40" s="9">
        <f ca="1">Prices!B39*(1+J40/(50*(ABS(O40)+ABS(T40)+0.0001)))</f>
        <v>1.3261758551609331</v>
      </c>
      <c r="C40" s="13">
        <f t="shared" ref="C40:C103" ca="1" si="3">IF(J40&gt;0,1,IF(J40&lt;0,-1,0))</f>
        <v>1</v>
      </c>
      <c r="D40" s="9">
        <f ca="1">D39+C40*(Prices!B40-Prices!B39)/Prices!B39</f>
        <v>-2.5380710659899095E-3</v>
      </c>
      <c r="E40" s="9">
        <f t="shared" ref="E40:E103" ca="1" si="4">F40-D40</f>
        <v>2.5380710659899095E-3</v>
      </c>
      <c r="F40" s="9">
        <f t="shared" ref="F40:F103" ca="1" si="5">MAX(F39,D40)</f>
        <v>0</v>
      </c>
      <c r="G40" s="13">
        <f ca="1">IF((Prices!B40-Prices!B39)*B40&gt;0,1,0)</f>
        <v>0</v>
      </c>
      <c r="H40" s="9">
        <f>ABS(Prices!B40-Prices!B39)/Prices!B39</f>
        <v>2.5380710659899095E-3</v>
      </c>
      <c r="I40" s="13"/>
      <c r="J40" s="1">
        <f t="shared" ref="J40:J103" ca="1" si="6">O40+T40</f>
        <v>9.2293493308721733E-2</v>
      </c>
      <c r="K40" s="9"/>
      <c r="L40" s="9">
        <f ca="1">L39-O40*Prices!B40</f>
        <v>0.90025380710659897</v>
      </c>
      <c r="M40" s="1">
        <f t="shared" ref="M40:M81" ca="1" si="7">M39+O40</f>
        <v>8.6911244423934775E-2</v>
      </c>
      <c r="N40" s="9">
        <f ca="1">IF(Prices!D39&gt;OFFSET(Prices!D39,-$N$3,0),1,IF(Prices!D39&lt;OFFSET(Prices!D39,-$N$3,0),-1,0))</f>
        <v>1</v>
      </c>
      <c r="O40" s="1">
        <f ca="1">IF(N40=1,O$3*L39/Prices!B39,O$3*M39*N40)</f>
        <v>7.691124442393478E-2</v>
      </c>
      <c r="P40" s="14"/>
      <c r="Q40" s="9">
        <f ca="1">Q39-T40*Prices!B40</f>
        <v>0.98005076142131975</v>
      </c>
      <c r="R40" s="1">
        <f t="shared" ca="1" si="2"/>
        <v>2.5382248884786955E-2</v>
      </c>
      <c r="S40" s="9">
        <f ca="1">IF(Prices!C39&lt;OFFSET(Prices!C39,-S$3,0),1,IF(Prices!C39&gt;OFFSET(Prices!C39,-S$3,0),-1,0))</f>
        <v>1</v>
      </c>
      <c r="T40" s="1">
        <f ca="1">IF(S40=1,T$3*Q39/Prices!B39,T$3*R39*S40)</f>
        <v>1.5382248884786957E-2</v>
      </c>
      <c r="V40" s="9"/>
      <c r="W40" s="1"/>
      <c r="X40" s="1"/>
      <c r="Y40" s="1"/>
      <c r="Z40" s="1"/>
      <c r="AA40" s="1"/>
      <c r="AB40" s="1"/>
      <c r="AC40" s="1"/>
      <c r="AD40" s="1"/>
      <c r="AE40" s="16"/>
    </row>
    <row r="41" spans="1:31" x14ac:dyDescent="0.2">
      <c r="A41" s="4">
        <v>33563</v>
      </c>
      <c r="B41" s="9">
        <f ca="1">Prices!B40*(1+J41/(50*(ABS(O41)+ABS(T41)+0.0001)))</f>
        <v>1.3228073511371945</v>
      </c>
      <c r="C41" s="13">
        <f t="shared" ca="1" si="3"/>
        <v>1</v>
      </c>
      <c r="D41" s="9">
        <f ca="1">D40+C41*(Prices!B41-Prices!B40)/Prices!B40</f>
        <v>3.9199293277639895E-4</v>
      </c>
      <c r="E41" s="9">
        <f t="shared" ca="1" si="4"/>
        <v>0</v>
      </c>
      <c r="F41" s="9">
        <f t="shared" ca="1" si="5"/>
        <v>3.9199293277639895E-4</v>
      </c>
      <c r="G41" s="13">
        <f ca="1">IF((Prices!B41-Prices!B40)*B41&gt;0,1,0)</f>
        <v>1</v>
      </c>
      <c r="H41" s="9">
        <f>ABS(Prices!B41-Prices!B40)/Prices!B40</f>
        <v>2.9300639987663085E-3</v>
      </c>
      <c r="I41" s="13"/>
      <c r="J41" s="1">
        <f t="shared" ca="1" si="6"/>
        <v>8.4529567383056753E-2</v>
      </c>
      <c r="K41" s="9"/>
      <c r="L41" s="9">
        <f ca="1">L40-O41*Prices!B41</f>
        <v>0.80996464626894349</v>
      </c>
      <c r="M41" s="1">
        <f t="shared" ca="1" si="7"/>
        <v>0.15632706731749629</v>
      </c>
      <c r="N41" s="9">
        <f ca="1">IF(Prices!D40&gt;OFFSET(Prices!D40,-$N$3,0),1,IF(Prices!D40&lt;OFFSET(Prices!D40,-$N$3,0),-1,0))</f>
        <v>1</v>
      </c>
      <c r="O41" s="1">
        <f ca="1">IF(N41=1,O$3*L40/Prices!B40,O$3*M40*N41)</f>
        <v>6.9415822893561505E-2</v>
      </c>
      <c r="P41" s="14"/>
      <c r="Q41" s="9">
        <f ca="1">Q40-T41*Prices!B41</f>
        <v>0.96039231396383329</v>
      </c>
      <c r="R41" s="1">
        <f t="shared" ca="1" si="2"/>
        <v>4.049599337428221E-2</v>
      </c>
      <c r="S41" s="9">
        <f ca="1">IF(Prices!C40&lt;OFFSET(Prices!C40,-S$3,0),1,IF(Prices!C40&gt;OFFSET(Prices!C40,-S$3,0),-1,0))</f>
        <v>1</v>
      </c>
      <c r="T41" s="1">
        <f ca="1">IF(S41=1,T$3*Q40/Prices!B40,T$3*R40*S41)</f>
        <v>1.5113744489495255E-2</v>
      </c>
      <c r="V41" s="9"/>
      <c r="W41" s="1"/>
      <c r="X41" s="1"/>
      <c r="Y41" s="1"/>
      <c r="Z41" s="1"/>
      <c r="AA41" s="1"/>
      <c r="AB41" s="1"/>
      <c r="AC41" s="1"/>
      <c r="AD41" s="1"/>
      <c r="AE41" s="16"/>
    </row>
    <row r="42" spans="1:31" x14ac:dyDescent="0.2">
      <c r="A42" s="4">
        <v>33564</v>
      </c>
      <c r="B42" s="9">
        <f ca="1">Prices!B41*(1+J42/(50*(ABS(O42)+ABS(T42)+0.0001)))</f>
        <v>1.3266802763556278</v>
      </c>
      <c r="C42" s="13">
        <f t="shared" ca="1" si="3"/>
        <v>1</v>
      </c>
      <c r="D42" s="9">
        <f ca="1">D41+C42*(Prices!B42-Prices!B41)/Prices!B41</f>
        <v>6.1581188649668054E-3</v>
      </c>
      <c r="E42" s="9">
        <f t="shared" ca="1" si="4"/>
        <v>0</v>
      </c>
      <c r="F42" s="9">
        <f t="shared" ca="1" si="5"/>
        <v>6.1581188649668054E-3</v>
      </c>
      <c r="G42" s="13">
        <f ca="1">IF((Prices!B42-Prices!B41)*B42&gt;0,1,0)</f>
        <v>1</v>
      </c>
      <c r="H42" s="9">
        <f>ABS(Prices!B42-Prices!B41)/Prices!B41</f>
        <v>5.7661259321904069E-3</v>
      </c>
      <c r="I42" s="13"/>
      <c r="J42" s="1">
        <f t="shared" ca="1" si="6"/>
        <v>7.7038756751111728E-2</v>
      </c>
      <c r="K42" s="9"/>
      <c r="L42" s="9">
        <f ca="1">L41-O42*Prices!B42</f>
        <v>0.72850114582694825</v>
      </c>
      <c r="M42" s="1">
        <f t="shared" ca="1" si="7"/>
        <v>0.21859850933094627</v>
      </c>
      <c r="N42" s="9">
        <f ca="1">IF(Prices!D41&gt;OFFSET(Prices!D41,-$N$3,0),1,IF(Prices!D41&lt;OFFSET(Prices!D41,-$N$3,0),-1,0))</f>
        <v>1</v>
      </c>
      <c r="O42" s="1">
        <f ca="1">IF(N42=1,O$3*L41/Prices!B41,O$3*M41*N42)</f>
        <v>6.227144201344996E-2</v>
      </c>
      <c r="P42" s="14"/>
      <c r="Q42" s="9">
        <f ca="1">Q41-T42*Prices!B42</f>
        <v>0.94107371282402419</v>
      </c>
      <c r="R42" s="1">
        <f t="shared" ca="1" si="2"/>
        <v>5.5263308111943979E-2</v>
      </c>
      <c r="S42" s="9">
        <f ca="1">IF(Prices!C41&lt;OFFSET(Prices!C41,-S$3,0),1,IF(Prices!C41&gt;OFFSET(Prices!C41,-S$3,0),-1,0))</f>
        <v>1</v>
      </c>
      <c r="T42" s="1">
        <f ca="1">IF(S42=1,T$3*Q41/Prices!B41,T$3*R41*S42)</f>
        <v>1.476731473766177E-2</v>
      </c>
      <c r="V42" s="9"/>
      <c r="W42" s="1"/>
      <c r="X42" s="1"/>
      <c r="Y42" s="1"/>
      <c r="Z42" s="1"/>
      <c r="AA42" s="1"/>
      <c r="AB42" s="1"/>
      <c r="AC42" s="1"/>
      <c r="AD42" s="1"/>
      <c r="AE42" s="16"/>
    </row>
    <row r="43" spans="1:31" x14ac:dyDescent="0.2">
      <c r="A43" s="4">
        <v>33567</v>
      </c>
      <c r="B43" s="9">
        <f ca="1">Prices!B42*(1+J43/(50*(ABS(O43)+ABS(T43)+0.0001)))</f>
        <v>1.3333014222156692</v>
      </c>
      <c r="C43" s="13">
        <f t="shared" ca="1" si="3"/>
        <v>1</v>
      </c>
      <c r="D43" s="9">
        <f ca="1">D42+C43*(Prices!B43-Prices!B42)/Prices!B42</f>
        <v>7.7633779996556839E-3</v>
      </c>
      <c r="E43" s="9">
        <f t="shared" ca="1" si="4"/>
        <v>0</v>
      </c>
      <c r="F43" s="9">
        <f t="shared" ca="1" si="5"/>
        <v>7.7633779996556839E-3</v>
      </c>
      <c r="G43" s="13">
        <f ca="1">IF((Prices!B43-Prices!B42)*B43&gt;0,1,0)</f>
        <v>1</v>
      </c>
      <c r="H43" s="9">
        <f>ABS(Prices!B43-Prices!B42)/Prices!B42</f>
        <v>1.6052591346888785E-3</v>
      </c>
      <c r="I43" s="13"/>
      <c r="J43" s="1">
        <f t="shared" ca="1" si="6"/>
        <v>5.4582025217286285E-2</v>
      </c>
      <c r="K43" s="9"/>
      <c r="L43" s="9">
        <f ca="1">L42-O43*Prices!B43</f>
        <v>0.65553408793235646</v>
      </c>
      <c r="M43" s="1">
        <f t="shared" ca="1" si="7"/>
        <v>0.27428580071047143</v>
      </c>
      <c r="N43" s="9">
        <f ca="1">IF(Prices!D42&gt;OFFSET(Prices!D42,-$N$3,0),1,IF(Prices!D42&lt;OFFSET(Prices!D42,-$N$3,0),-1,0))</f>
        <v>1</v>
      </c>
      <c r="O43" s="1">
        <f ca="1">IF(N43=1,O$3*L42/Prices!B42,O$3*M42*N43)</f>
        <v>5.5687291379525168E-2</v>
      </c>
      <c r="P43" s="14"/>
      <c r="Q43" s="9">
        <f ca="1">Q42-T43*Prices!B43</f>
        <v>0.9425219430764058</v>
      </c>
      <c r="R43" s="1">
        <f t="shared" ca="1" si="2"/>
        <v>5.4158041949705096E-2</v>
      </c>
      <c r="S43" s="9">
        <f ca="1">IF(Prices!C42&lt;OFFSET(Prices!C42,-S$3,0),1,IF(Prices!C42&gt;OFFSET(Prices!C42,-S$3,0),-1,0))</f>
        <v>-1</v>
      </c>
      <c r="T43" s="1">
        <f ca="1">IF(S43=1,T$3*Q42/Prices!B42,T$3*R42*S43)</f>
        <v>-1.1052661622388796E-3</v>
      </c>
      <c r="V43" s="9"/>
      <c r="W43" s="1"/>
      <c r="X43" s="1"/>
      <c r="Y43" s="1"/>
      <c r="Z43" s="1"/>
      <c r="AA43" s="1"/>
      <c r="AB43" s="1"/>
      <c r="AC43" s="1"/>
      <c r="AD43" s="1"/>
      <c r="AE43" s="16"/>
    </row>
    <row r="44" spans="1:31" x14ac:dyDescent="0.2">
      <c r="A44" s="4">
        <v>33568</v>
      </c>
      <c r="B44" s="9">
        <f ca="1">Prices!B43*(1+J44/(50*(ABS(O44)+ABS(T44)+0.0001)))</f>
        <v>1.336465380408711</v>
      </c>
      <c r="C44" s="13">
        <f t="shared" ca="1" si="3"/>
        <v>1</v>
      </c>
      <c r="D44" s="9">
        <f ca="1">D43+C44*(Prices!B44-Prices!B43)/Prices!B43</f>
        <v>9.0607908058832915E-3</v>
      </c>
      <c r="E44" s="9">
        <f t="shared" ca="1" si="4"/>
        <v>0</v>
      </c>
      <c r="F44" s="9">
        <f t="shared" ca="1" si="5"/>
        <v>9.0607908058832915E-3</v>
      </c>
      <c r="G44" s="13">
        <f ca="1">IF((Prices!B44-Prices!B43)*B44&gt;0,1,0)</f>
        <v>1</v>
      </c>
      <c r="H44" s="9">
        <f>ABS(Prices!B44-Prices!B43)/Prices!B43</f>
        <v>1.2974128062276081E-3</v>
      </c>
      <c r="I44" s="13"/>
      <c r="J44" s="1">
        <f t="shared" ca="1" si="6"/>
        <v>6.4415666377748426E-2</v>
      </c>
      <c r="K44" s="9"/>
      <c r="L44" s="9">
        <f ca="1">L43-O44*Prices!B44</f>
        <v>0.58989562930706063</v>
      </c>
      <c r="M44" s="1">
        <f t="shared" ca="1" si="7"/>
        <v>0.32431511368706889</v>
      </c>
      <c r="N44" s="9">
        <f ca="1">IF(Prices!D43&gt;OFFSET(Prices!D43,-$N$3,0),1,IF(Prices!D43&lt;OFFSET(Prices!D43,-$N$3,0),-1,0))</f>
        <v>1</v>
      </c>
      <c r="O44" s="1">
        <f ca="1">IF(N44=1,O$3*L43/Prices!B43,O$3*M43*N44)</f>
        <v>5.0029312976597462E-2</v>
      </c>
      <c r="P44" s="14"/>
      <c r="Q44" s="9">
        <f ca="1">Q43-T44*Prices!B44</f>
        <v>0.92364704741409576</v>
      </c>
      <c r="R44" s="1">
        <f t="shared" ca="1" si="2"/>
        <v>6.8544395350856074E-2</v>
      </c>
      <c r="S44" s="9">
        <f ca="1">IF(Prices!C43&lt;OFFSET(Prices!C43,-S$3,0),1,IF(Prices!C43&gt;OFFSET(Prices!C43,-S$3,0),-1,0))</f>
        <v>1</v>
      </c>
      <c r="T44" s="1">
        <f ca="1">IF(S44=1,T$3*Q43/Prices!B43,T$3*R43*S44)</f>
        <v>1.4386353401150971E-2</v>
      </c>
      <c r="V44" s="9"/>
      <c r="W44" s="1"/>
      <c r="X44" s="1"/>
      <c r="Y44" s="1"/>
      <c r="Z44" s="1"/>
      <c r="AA44" s="1"/>
      <c r="AB44" s="1"/>
      <c r="AC44" s="1"/>
      <c r="AD44" s="1"/>
      <c r="AE44" s="16"/>
    </row>
    <row r="45" spans="1:31" x14ac:dyDescent="0.2">
      <c r="A45" s="4">
        <v>33569</v>
      </c>
      <c r="B45" s="9">
        <f ca="1">Prices!B44*(1+J45/(50*(ABS(O45)+ABS(T45)+0.0001)))</f>
        <v>1.3016689857241899</v>
      </c>
      <c r="C45" s="13">
        <f t="shared" ca="1" si="3"/>
        <v>-1</v>
      </c>
      <c r="D45" s="9">
        <f ca="1">D44+C45*(Prices!B45-Prices!B44)/Prices!B44</f>
        <v>2.8268107879054108E-2</v>
      </c>
      <c r="E45" s="9">
        <f t="shared" ca="1" si="4"/>
        <v>0</v>
      </c>
      <c r="F45" s="9">
        <f t="shared" ca="1" si="5"/>
        <v>2.8268107879054108E-2</v>
      </c>
      <c r="G45" s="13">
        <f ca="1">IF((Prices!B45-Prices!B44)*B45&gt;0,1,0)</f>
        <v>0</v>
      </c>
      <c r="H45" s="9">
        <f>ABS(Prices!B45-Prices!B44)/Prices!B44</f>
        <v>1.9207317073170815E-2</v>
      </c>
      <c r="I45" s="13"/>
      <c r="J45" s="1">
        <f t="shared" ca="1" si="6"/>
        <v>-1.8351525889833478E-2</v>
      </c>
      <c r="K45" s="9"/>
      <c r="L45" s="9">
        <f ca="1">L44-O45*Prices!B45</f>
        <v>0.63162849813631261</v>
      </c>
      <c r="M45" s="1">
        <f t="shared" ca="1" si="7"/>
        <v>0.29188360231836202</v>
      </c>
      <c r="N45" s="9">
        <f ca="1">IF(Prices!D44&gt;OFFSET(Prices!D44,-$N$3,0),1,IF(Prices!D44&lt;OFFSET(Prices!D44,-$N$3,0),-1,0))</f>
        <v>-1</v>
      </c>
      <c r="O45" s="1">
        <f ca="1">IF(N45=1,O$3*L44/Prices!B44,O$3*M44*N45)</f>
        <v>-3.2431511368706888E-2</v>
      </c>
      <c r="P45" s="14"/>
      <c r="Q45" s="9">
        <f ca="1">Q44-T45*Prices!B45</f>
        <v>0.90552892209988145</v>
      </c>
      <c r="R45" s="1">
        <f t="shared" ca="1" si="2"/>
        <v>8.2624380829729477E-2</v>
      </c>
      <c r="S45" s="9">
        <f ca="1">IF(Prices!C44&lt;OFFSET(Prices!C44,-S$3,0),1,IF(Prices!C44&gt;OFFSET(Prices!C44,-S$3,0),-1,0))</f>
        <v>1</v>
      </c>
      <c r="T45" s="1">
        <f ca="1">IF(S45=1,T$3*Q44/Prices!B44,T$3*R44*S45)</f>
        <v>1.4079985478873409E-2</v>
      </c>
      <c r="V45" s="9"/>
      <c r="W45" s="1"/>
      <c r="X45" s="1"/>
      <c r="Y45" s="1"/>
      <c r="Z45" s="1"/>
      <c r="AA45" s="1"/>
      <c r="AB45" s="1"/>
      <c r="AC45" s="1"/>
      <c r="AD45" s="1"/>
      <c r="AE45" s="16"/>
    </row>
    <row r="46" spans="1:31" x14ac:dyDescent="0.2">
      <c r="A46" s="4">
        <v>33570</v>
      </c>
      <c r="B46" s="9">
        <f ca="1">Prices!B45*(1+J46/(50*(ABS(O46)+ABS(T46)+0.0001)))</f>
        <v>1.261147178069735</v>
      </c>
      <c r="C46" s="13">
        <f t="shared" ca="1" si="3"/>
        <v>-1</v>
      </c>
      <c r="D46" s="9">
        <f ca="1">D45+C46*(Prices!B46-Prices!B45)/Prices!B45</f>
        <v>2.9278365883405877E-2</v>
      </c>
      <c r="E46" s="9">
        <f t="shared" ca="1" si="4"/>
        <v>0</v>
      </c>
      <c r="F46" s="9">
        <f t="shared" ca="1" si="5"/>
        <v>2.9278365883405877E-2</v>
      </c>
      <c r="G46" s="13">
        <f ca="1">IF((Prices!B46-Prices!B45)*B46&gt;0,1,0)</f>
        <v>0</v>
      </c>
      <c r="H46" s="9">
        <f>ABS(Prices!B46-Prices!B45)/Prices!B45</f>
        <v>1.0102580043517694E-3</v>
      </c>
      <c r="I46" s="13"/>
      <c r="J46" s="1">
        <f t="shared" ca="1" si="6"/>
        <v>-3.0840847848430792E-2</v>
      </c>
      <c r="K46" s="9"/>
      <c r="L46" s="9">
        <f ca="1">L45-O46*Prices!B46</f>
        <v>0.66915013521433808</v>
      </c>
      <c r="M46" s="1">
        <f t="shared" ca="1" si="7"/>
        <v>0.26269524208652584</v>
      </c>
      <c r="N46" s="9">
        <f ca="1">IF(Prices!D45&gt;OFFSET(Prices!D45,-$N$3,0),1,IF(Prices!D45&lt;OFFSET(Prices!D45,-$N$3,0),-1,0))</f>
        <v>-1</v>
      </c>
      <c r="O46" s="1">
        <f ca="1">IF(N46=1,O$3*L45/Prices!B45,O$3*M45*N46)</f>
        <v>-2.9188360231836203E-2</v>
      </c>
      <c r="P46" s="14"/>
      <c r="Q46" s="9">
        <f ca="1">Q45-T46*Prices!B46</f>
        <v>0.90765319493101382</v>
      </c>
      <c r="R46" s="1">
        <f t="shared" ca="1" si="2"/>
        <v>8.0971893213134888E-2</v>
      </c>
      <c r="S46" s="9">
        <f ca="1">IF(Prices!C45&lt;OFFSET(Prices!C45,-S$3,0),1,IF(Prices!C45&gt;OFFSET(Prices!C45,-S$3,0),-1,0))</f>
        <v>-1</v>
      </c>
      <c r="T46" s="1">
        <f ca="1">IF(S46=1,T$3*Q45/Prices!B45,T$3*R45*S46)</f>
        <v>-1.6524876165945896E-3</v>
      </c>
      <c r="V46" s="9"/>
      <c r="W46" s="1"/>
      <c r="X46" s="1"/>
      <c r="Y46" s="1"/>
      <c r="Z46" s="1"/>
      <c r="AA46" s="1"/>
      <c r="AB46" s="1"/>
      <c r="AC46" s="1"/>
      <c r="AD46" s="1"/>
      <c r="AE46" s="16"/>
    </row>
    <row r="47" spans="1:31" x14ac:dyDescent="0.2">
      <c r="A47" s="4">
        <v>33571</v>
      </c>
      <c r="B47" s="9">
        <f ca="1">Prices!B46*(1+J47/(50*(ABS(O47)+ABS(T47)+0.0001)))</f>
        <v>1.2612852561261076</v>
      </c>
      <c r="C47" s="13">
        <f t="shared" ca="1" si="3"/>
        <v>-1</v>
      </c>
      <c r="D47" s="9">
        <f ca="1">D46+C47*(Prices!B47-Prices!B46)/Prices!B46</f>
        <v>3.6123951258746317E-2</v>
      </c>
      <c r="E47" s="9">
        <f t="shared" ca="1" si="4"/>
        <v>0</v>
      </c>
      <c r="F47" s="9">
        <f t="shared" ca="1" si="5"/>
        <v>3.6123951258746317E-2</v>
      </c>
      <c r="G47" s="13">
        <f ca="1">IF((Prices!B47-Prices!B46)*B47&gt;0,1,0)</f>
        <v>0</v>
      </c>
      <c r="H47" s="9">
        <f>ABS(Prices!B47-Prices!B46)/Prices!B46</f>
        <v>6.845585375340444E-3</v>
      </c>
      <c r="I47" s="13"/>
      <c r="J47" s="1">
        <f t="shared" ca="1" si="6"/>
        <v>-1.6194378642626977E-3</v>
      </c>
      <c r="K47" s="9"/>
      <c r="L47" s="9">
        <f ca="1">L46-O47*Prices!B47</f>
        <v>0.66915013521433808</v>
      </c>
      <c r="M47" s="1">
        <f t="shared" ca="1" si="7"/>
        <v>0.26269524208652584</v>
      </c>
      <c r="N47" s="9">
        <f ca="1">IF(Prices!D46&gt;OFFSET(Prices!D46,-$N$3,0),1,IF(Prices!D46&lt;OFFSET(Prices!D46,-$N$3,0),-1,0))</f>
        <v>0</v>
      </c>
      <c r="O47" s="1">
        <f ca="1">IF(N47=1,O$3*L46/Prices!B46,O$3*M46*N47)</f>
        <v>0</v>
      </c>
      <c r="P47" s="14"/>
      <c r="Q47" s="9">
        <f ca="1">Q46-T47*Prices!B47</f>
        <v>0.909720731252318</v>
      </c>
      <c r="R47" s="1">
        <f t="shared" ca="1" si="2"/>
        <v>7.9352455348872183E-2</v>
      </c>
      <c r="S47" s="9">
        <f ca="1">IF(Prices!C46&lt;OFFSET(Prices!C46,-S$3,0),1,IF(Prices!C46&gt;OFFSET(Prices!C46,-S$3,0),-1,0))</f>
        <v>-1</v>
      </c>
      <c r="T47" s="1">
        <f ca="1">IF(S47=1,T$3*Q46/Prices!B46,T$3*R46*S47)</f>
        <v>-1.6194378642626977E-3</v>
      </c>
      <c r="V47" s="9"/>
      <c r="W47" s="1"/>
      <c r="X47" s="1"/>
      <c r="Y47" s="1"/>
      <c r="Z47" s="1"/>
      <c r="AA47" s="1"/>
      <c r="AB47" s="1"/>
      <c r="AC47" s="1"/>
      <c r="AD47" s="1"/>
      <c r="AE47" s="16"/>
    </row>
    <row r="48" spans="1:31" x14ac:dyDescent="0.2">
      <c r="A48" s="4">
        <v>33574</v>
      </c>
      <c r="B48" s="9">
        <f ca="1">Prices!B47*(1+J48/(50*(ABS(O48)+ABS(T48)+0.0001)))</f>
        <v>1.2512573345126805</v>
      </c>
      <c r="C48" s="13">
        <f t="shared" ca="1" si="3"/>
        <v>-1</v>
      </c>
      <c r="D48" s="9">
        <f ca="1">D47+C48*(Prices!B48-Prices!B47)/Prices!B47</f>
        <v>2.3904949143918983E-2</v>
      </c>
      <c r="E48" s="9">
        <f t="shared" ca="1" si="4"/>
        <v>1.2219002114827335E-2</v>
      </c>
      <c r="F48" s="9">
        <f t="shared" ca="1" si="5"/>
        <v>3.6123951258746317E-2</v>
      </c>
      <c r="G48" s="13">
        <f ca="1">IF((Prices!B48-Prices!B47)*B48&gt;0,1,0)</f>
        <v>1</v>
      </c>
      <c r="H48" s="9">
        <f>ABS(Prices!B48-Prices!B47)/Prices!B47</f>
        <v>1.2219002114827335E-2</v>
      </c>
      <c r="I48" s="13"/>
      <c r="J48" s="1">
        <f t="shared" ca="1" si="6"/>
        <v>-2.7856573315630028E-2</v>
      </c>
      <c r="K48" s="9"/>
      <c r="L48" s="9">
        <f ca="1">L47-O48*Prices!B48</f>
        <v>0.70309824134917986</v>
      </c>
      <c r="M48" s="1">
        <f t="shared" ca="1" si="7"/>
        <v>0.23642571787787325</v>
      </c>
      <c r="N48" s="9">
        <f ca="1">IF(Prices!D47&gt;OFFSET(Prices!D47,-$N$3,0),1,IF(Prices!D47&lt;OFFSET(Prices!D47,-$N$3,0),-1,0))</f>
        <v>-1</v>
      </c>
      <c r="O48" s="1">
        <f ca="1">IF(N48=1,O$3*L47/Prices!B47,O$3*M47*N48)</f>
        <v>-2.6269524208652584E-2</v>
      </c>
      <c r="P48" s="14"/>
      <c r="Q48" s="9">
        <f ca="1">Q47-T48*Prices!B48</f>
        <v>0.91177167481326493</v>
      </c>
      <c r="R48" s="1">
        <f t="shared" ca="1" si="2"/>
        <v>7.7765406241894736E-2</v>
      </c>
      <c r="S48" s="9">
        <f ca="1">IF(Prices!C47&lt;OFFSET(Prices!C47,-S$3,0),1,IF(Prices!C47&gt;OFFSET(Prices!C47,-S$3,0),-1,0))</f>
        <v>-1</v>
      </c>
      <c r="T48" s="1">
        <f ca="1">IF(S48=1,T$3*Q47/Prices!B47,T$3*R47*S48)</f>
        <v>-1.5870491069774437E-3</v>
      </c>
      <c r="V48" s="9"/>
      <c r="W48" s="1"/>
      <c r="X48" s="1"/>
      <c r="Y48" s="1"/>
      <c r="Z48" s="1"/>
      <c r="AA48" s="1"/>
      <c r="AB48" s="1"/>
      <c r="AC48" s="1"/>
      <c r="AD48" s="1"/>
      <c r="AE48" s="16"/>
    </row>
    <row r="49" spans="1:31" x14ac:dyDescent="0.2">
      <c r="A49" s="4">
        <v>33575</v>
      </c>
      <c r="B49" s="9">
        <f ca="1">Prices!B48*(1+J49/(50*(ABS(O49)+ABS(T49)+0.0001)))</f>
        <v>1.2665561666641207</v>
      </c>
      <c r="C49" s="13">
        <f t="shared" ca="1" si="3"/>
        <v>-1</v>
      </c>
      <c r="D49" s="9">
        <f ca="1">D48+C49*(Prices!B49-Prices!B48)/Prices!B48</f>
        <v>2.591686588151856E-2</v>
      </c>
      <c r="E49" s="9">
        <f t="shared" ca="1" si="4"/>
        <v>1.0207085377227757E-2</v>
      </c>
      <c r="F49" s="9">
        <f t="shared" ca="1" si="5"/>
        <v>3.6123951258746317E-2</v>
      </c>
      <c r="G49" s="13">
        <f ca="1">IF((Prices!B49-Prices!B48)*B49&gt;0,1,0)</f>
        <v>0</v>
      </c>
      <c r="H49" s="9">
        <f>ABS(Prices!B49-Prices!B48)/Prices!B48</f>
        <v>2.0119167375995789E-3</v>
      </c>
      <c r="I49" s="13"/>
      <c r="J49" s="1">
        <f t="shared" ca="1" si="6"/>
        <v>-2.5197879912625221E-2</v>
      </c>
      <c r="K49" s="9"/>
      <c r="L49" s="9">
        <f ca="1">L48-O49*Prices!B49</f>
        <v>0.73359006618388922</v>
      </c>
      <c r="M49" s="1">
        <f t="shared" ca="1" si="7"/>
        <v>0.21278314609008592</v>
      </c>
      <c r="N49" s="9">
        <f ca="1">IF(Prices!D48&gt;OFFSET(Prices!D48,-$N$3,0),1,IF(Prices!D48&lt;OFFSET(Prices!D48,-$N$3,0),-1,0))</f>
        <v>-1</v>
      </c>
      <c r="O49" s="1">
        <f ca="1">IF(N49=1,O$3*L48/Prices!B48,O$3*M48*N49)</f>
        <v>-2.3642571787787326E-2</v>
      </c>
      <c r="P49" s="14"/>
      <c r="Q49" s="9">
        <f ca="1">Q48-T49*Prices!B49</f>
        <v>0.91377755570186836</v>
      </c>
      <c r="R49" s="1">
        <f t="shared" ca="1" si="2"/>
        <v>7.621009811705684E-2</v>
      </c>
      <c r="S49" s="9">
        <f ca="1">IF(Prices!C48&lt;OFFSET(Prices!C48,-S$3,0),1,IF(Prices!C48&gt;OFFSET(Prices!C48,-S$3,0),-1,0))</f>
        <v>-1</v>
      </c>
      <c r="T49" s="1">
        <f ca="1">IF(S49=1,T$3*Q48/Prices!B48,T$3*R48*S49)</f>
        <v>-1.5553081248378948E-3</v>
      </c>
      <c r="V49" s="9"/>
      <c r="W49" s="1"/>
      <c r="X49" s="1"/>
      <c r="Y49" s="1"/>
      <c r="Z49" s="1"/>
      <c r="AA49" s="1"/>
      <c r="AB49" s="1"/>
      <c r="AC49" s="1"/>
      <c r="AD49" s="1"/>
      <c r="AE49" s="16"/>
    </row>
    <row r="50" spans="1:31" x14ac:dyDescent="0.2">
      <c r="A50" s="4">
        <v>33576</v>
      </c>
      <c r="B50" s="9">
        <f ca="1">Prices!B49*(1+J50/(50*(ABS(O50)+ABS(T50)+0.0001)))</f>
        <v>1.2845425173227685</v>
      </c>
      <c r="C50" s="13">
        <f t="shared" ca="1" si="3"/>
        <v>-1</v>
      </c>
      <c r="D50" s="9">
        <f ca="1">D49+C50*(Prices!B50-Prices!B49)/Prices!B49</f>
        <v>2.8165450823753286E-2</v>
      </c>
      <c r="E50" s="9">
        <f t="shared" ca="1" si="4"/>
        <v>7.9585004349930315E-3</v>
      </c>
      <c r="F50" s="9">
        <f t="shared" ca="1" si="5"/>
        <v>3.6123951258746317E-2</v>
      </c>
      <c r="G50" s="13">
        <f ca="1">IF((Prices!B50-Prices!B49)*B50&gt;0,1,0)</f>
        <v>0</v>
      </c>
      <c r="H50" s="9">
        <f>ABS(Prices!B50-Prices!B49)/Prices!B49</f>
        <v>2.2485849422347248E-3</v>
      </c>
      <c r="I50" s="13"/>
      <c r="J50" s="1">
        <f t="shared" ca="1" si="6"/>
        <v>-7.1079252827797295E-3</v>
      </c>
      <c r="K50" s="9"/>
      <c r="L50" s="9">
        <f ca="1">L49-O50*Prices!B50</f>
        <v>0.76097100142276153</v>
      </c>
      <c r="M50" s="1">
        <f t="shared" ca="1" si="7"/>
        <v>0.19150483148107733</v>
      </c>
      <c r="N50" s="9">
        <f ca="1">IF(Prices!D49&gt;OFFSET(Prices!D49,-$N$3,0),1,IF(Prices!D49&lt;OFFSET(Prices!D49,-$N$3,0),-1,0))</f>
        <v>-1</v>
      </c>
      <c r="O50" s="1">
        <f ca="1">IF(N50=1,O$3*L49/Prices!B49,O$3*M49*N50)</f>
        <v>-2.1278314609008593E-2</v>
      </c>
      <c r="P50" s="14"/>
      <c r="Q50" s="9">
        <f ca="1">Q49-T50*Prices!B50</f>
        <v>0.8955430987168771</v>
      </c>
      <c r="R50" s="1">
        <f t="shared" ca="1" si="2"/>
        <v>9.0380487443285709E-2</v>
      </c>
      <c r="S50" s="9">
        <f ca="1">IF(Prices!C49&lt;OFFSET(Prices!C49,-S$3,0),1,IF(Prices!C49&gt;OFFSET(Prices!C49,-S$3,0),-1,0))</f>
        <v>1</v>
      </c>
      <c r="T50" s="1">
        <f ca="1">IF(S50=1,T$3*Q49/Prices!B49,T$3*R49*S50)</f>
        <v>1.4170389326228864E-2</v>
      </c>
      <c r="V50" s="9"/>
      <c r="W50" s="1"/>
      <c r="X50" s="1"/>
      <c r="Y50" s="1"/>
      <c r="Z50" s="1"/>
      <c r="AA50" s="1"/>
      <c r="AB50" s="1"/>
      <c r="AC50" s="1"/>
      <c r="AD50" s="1"/>
      <c r="AE50" s="16"/>
    </row>
    <row r="51" spans="1:31" x14ac:dyDescent="0.2">
      <c r="A51" s="4">
        <v>33577</v>
      </c>
      <c r="B51" s="9">
        <f ca="1">Prices!B50*(1+J51/(50*(ABS(O51)+ABS(T51)+0.0001)))</f>
        <v>1.2827408492302963</v>
      </c>
      <c r="C51" s="13">
        <f t="shared" ca="1" si="3"/>
        <v>-1</v>
      </c>
      <c r="D51" s="9">
        <f ca="1">D50+C51*(Prices!B51-Prices!B50)/Prices!B50</f>
        <v>1.4721248150455109E-2</v>
      </c>
      <c r="E51" s="9">
        <f t="shared" ca="1" si="4"/>
        <v>2.1402703108291208E-2</v>
      </c>
      <c r="F51" s="9">
        <f t="shared" ca="1" si="5"/>
        <v>3.6123951258746317E-2</v>
      </c>
      <c r="G51" s="13">
        <f ca="1">IF((Prices!B51-Prices!B50)*B51&gt;0,1,0)</f>
        <v>1</v>
      </c>
      <c r="H51" s="9">
        <f>ABS(Prices!B51-Prices!B50)/Prices!B50</f>
        <v>1.3444202673298176E-2</v>
      </c>
      <c r="I51" s="13"/>
      <c r="J51" s="1">
        <f t="shared" ca="1" si="6"/>
        <v>-5.2315664754798638E-3</v>
      </c>
      <c r="K51" s="9"/>
      <c r="L51" s="9">
        <f ca="1">L50-O51*Prices!B51</f>
        <v>0.78594514649620884</v>
      </c>
      <c r="M51" s="1">
        <f t="shared" ca="1" si="7"/>
        <v>0.17235434833296959</v>
      </c>
      <c r="N51" s="9">
        <f ca="1">IF(Prices!D50&gt;OFFSET(Prices!D50,-$N$3,0),1,IF(Prices!D50&lt;OFFSET(Prices!D50,-$N$3,0),-1,0))</f>
        <v>-1</v>
      </c>
      <c r="O51" s="1">
        <f ca="1">IF(N51=1,O$3*L50/Prices!B50,O$3*M50*N51)</f>
        <v>-1.9150483148107734E-2</v>
      </c>
      <c r="P51" s="14"/>
      <c r="Q51" s="9">
        <f ca="1">Q50-T51*Prices!B51</f>
        <v>0.87739143948410314</v>
      </c>
      <c r="R51" s="1">
        <f t="shared" ca="1" si="2"/>
        <v>0.10429940411591358</v>
      </c>
      <c r="S51" s="9">
        <f ca="1">IF(Prices!C50&lt;OFFSET(Prices!C50,-S$3,0),1,IF(Prices!C50&gt;OFFSET(Prices!C50,-S$3,0),-1,0))</f>
        <v>1</v>
      </c>
      <c r="T51" s="1">
        <f ca="1">IF(S51=1,T$3*Q50/Prices!B50,T$3*R50*S51)</f>
        <v>1.391891667262787E-2</v>
      </c>
      <c r="V51" s="9"/>
      <c r="W51" s="1"/>
      <c r="X51" s="1"/>
      <c r="Y51" s="1"/>
      <c r="Z51" s="1"/>
      <c r="AA51" s="1"/>
      <c r="AB51" s="1"/>
      <c r="AC51" s="1"/>
      <c r="AD51" s="1"/>
      <c r="AE51" s="16"/>
    </row>
    <row r="52" spans="1:31" x14ac:dyDescent="0.2">
      <c r="A52" s="4">
        <v>33578</v>
      </c>
      <c r="B52" s="9">
        <f ca="1">Prices!B51*(1+J52/(50*(ABS(O52)+ABS(T52)+0.0001)))</f>
        <v>1.3008985129064958</v>
      </c>
      <c r="C52" s="13">
        <f t="shared" ca="1" si="3"/>
        <v>-1</v>
      </c>
      <c r="D52" s="9">
        <f ca="1">D51+C52*(Prices!B52-Prices!B51)/Prices!B51</f>
        <v>3.065700263023257E-3</v>
      </c>
      <c r="E52" s="9">
        <f t="shared" ca="1" si="4"/>
        <v>3.3058250995723057E-2</v>
      </c>
      <c r="F52" s="9">
        <f t="shared" ca="1" si="5"/>
        <v>3.6123951258746317E-2</v>
      </c>
      <c r="G52" s="13">
        <f ca="1">IF((Prices!B52-Prices!B51)*B52&gt;0,1,0)</f>
        <v>1</v>
      </c>
      <c r="H52" s="9">
        <f>ABS(Prices!B52-Prices!B51)/Prices!B51</f>
        <v>1.1655547887431852E-2</v>
      </c>
      <c r="I52" s="13"/>
      <c r="J52" s="1">
        <f t="shared" ca="1" si="6"/>
        <v>-3.7795428083893124E-3</v>
      </c>
      <c r="K52" s="9"/>
      <c r="L52" s="9">
        <f ca="1">L51-O52*Prices!B52</f>
        <v>0.80868385567177747</v>
      </c>
      <c r="M52" s="1">
        <f t="shared" ca="1" si="7"/>
        <v>0.15511891349967263</v>
      </c>
      <c r="N52" s="9">
        <f ca="1">IF(Prices!D51&gt;OFFSET(Prices!D51,-$N$3,0),1,IF(Prices!D51&lt;OFFSET(Prices!D51,-$N$3,0),-1,0))</f>
        <v>-1</v>
      </c>
      <c r="O52" s="1">
        <f ca="1">IF(N52=1,O$3*L51/Prices!B51,O$3*M51*N52)</f>
        <v>-1.723543483329696E-2</v>
      </c>
      <c r="P52" s="14"/>
      <c r="Q52" s="9">
        <f ca="1">Q51-T52*Prices!B52</f>
        <v>0.85963908113564247</v>
      </c>
      <c r="R52" s="1">
        <f t="shared" ca="1" si="2"/>
        <v>0.11775529614082123</v>
      </c>
      <c r="S52" s="9">
        <f ca="1">IF(Prices!C51&lt;OFFSET(Prices!C51,-S$3,0),1,IF(Prices!C51&gt;OFFSET(Prices!C51,-S$3,0),-1,0))</f>
        <v>1</v>
      </c>
      <c r="T52" s="1">
        <f ca="1">IF(S52=1,T$3*Q51/Prices!B51,T$3*R51*S52)</f>
        <v>1.3455892024907648E-2</v>
      </c>
      <c r="V52" s="9"/>
      <c r="W52" s="1"/>
      <c r="X52" s="1"/>
      <c r="Y52" s="1"/>
      <c r="Z52" s="1"/>
      <c r="AA52" s="1"/>
      <c r="AB52" s="1"/>
      <c r="AC52" s="1"/>
      <c r="AD52" s="1"/>
      <c r="AE52" s="16"/>
    </row>
    <row r="53" spans="1:31" x14ac:dyDescent="0.2">
      <c r="A53" s="4">
        <v>33581</v>
      </c>
      <c r="B53" s="9">
        <f ca="1">Prices!B52*(1+J53/(50*(ABS(O53)+ABS(T53)+0.0001)))</f>
        <v>1.3456505483737693</v>
      </c>
      <c r="C53" s="13">
        <f t="shared" ca="1" si="3"/>
        <v>1</v>
      </c>
      <c r="D53" s="9">
        <f ca="1">D52+C53*(Prices!B53-Prices!B52)/Prices!B52</f>
        <v>5.1880378662978238E-3</v>
      </c>
      <c r="E53" s="9">
        <f t="shared" ca="1" si="4"/>
        <v>3.0935913392448493E-2</v>
      </c>
      <c r="F53" s="9">
        <f t="shared" ca="1" si="5"/>
        <v>3.6123951258746317E-2</v>
      </c>
      <c r="G53" s="13">
        <f ca="1">IF((Prices!B53-Prices!B52)*B53&gt;0,1,0)</f>
        <v>1</v>
      </c>
      <c r="H53" s="9">
        <f>ABS(Prices!B53-Prices!B52)/Prices!B52</f>
        <v>2.1223376032745668E-3</v>
      </c>
      <c r="I53" s="13"/>
      <c r="J53" s="1">
        <f t="shared" ca="1" si="6"/>
        <v>7.4328179481460324E-2</v>
      </c>
      <c r="K53" s="9"/>
      <c r="L53" s="9">
        <f ca="1">L52-O53*Prices!B53</f>
        <v>0.72764384008899441</v>
      </c>
      <c r="M53" s="1">
        <f t="shared" ca="1" si="7"/>
        <v>0.21641534764442952</v>
      </c>
      <c r="N53" s="9">
        <f ca="1">IF(Prices!D52&gt;OFFSET(Prices!D52,-$N$3,0),1,IF(Prices!D52&lt;OFFSET(Prices!D52,-$N$3,0),-1,0))</f>
        <v>1</v>
      </c>
      <c r="O53" s="1">
        <f ca="1">IF(N53=1,O$3*L52/Prices!B52,O$3*M52*N53)</f>
        <v>6.1296434144756884E-2</v>
      </c>
      <c r="P53" s="14"/>
      <c r="Q53" s="9">
        <f ca="1">Q52-T53*Prices!B53</f>
        <v>0.84240981062598685</v>
      </c>
      <c r="R53" s="1">
        <f t="shared" ca="1" si="2"/>
        <v>0.13078704147752468</v>
      </c>
      <c r="S53" s="9">
        <f ca="1">IF(Prices!C52&lt;OFFSET(Prices!C52,-S$3,0),1,IF(Prices!C52&gt;OFFSET(Prices!C52,-S$3,0),-1,0))</f>
        <v>1</v>
      </c>
      <c r="T53" s="1">
        <f ca="1">IF(S53=1,T$3*Q52/Prices!B52,T$3*R52*S53)</f>
        <v>1.3031745336703442E-2</v>
      </c>
      <c r="V53" s="9"/>
      <c r="W53" s="1"/>
      <c r="X53" s="1"/>
      <c r="Y53" s="1"/>
      <c r="Z53" s="1"/>
      <c r="AA53" s="1"/>
      <c r="AB53" s="1"/>
      <c r="AC53" s="1"/>
      <c r="AD53" s="1"/>
      <c r="AE53" s="16"/>
    </row>
    <row r="54" spans="1:31" x14ac:dyDescent="0.2">
      <c r="A54" s="4">
        <v>33582</v>
      </c>
      <c r="B54" s="9">
        <f ca="1">Prices!B53*(1+J54/(50*(ABS(O54)+ABS(T54)+0.0001)))</f>
        <v>1.3485030462422234</v>
      </c>
      <c r="C54" s="13">
        <f t="shared" ca="1" si="3"/>
        <v>1</v>
      </c>
      <c r="D54" s="9">
        <f ca="1">D53+C54*(Prices!B54-Prices!B53)/Prices!B53</f>
        <v>3.59965574694226E-3</v>
      </c>
      <c r="E54" s="9">
        <f t="shared" ca="1" si="4"/>
        <v>3.2524295511804059E-2</v>
      </c>
      <c r="F54" s="9">
        <f t="shared" ca="1" si="5"/>
        <v>3.6123951258746317E-2</v>
      </c>
      <c r="G54" s="13">
        <f ca="1">IF((Prices!B54-Prices!B53)*B54&gt;0,1,0)</f>
        <v>0</v>
      </c>
      <c r="H54" s="9">
        <f>ABS(Prices!B54-Prices!B53)/Prices!B53</f>
        <v>1.5883821193555636E-3</v>
      </c>
      <c r="I54" s="13"/>
      <c r="J54" s="1">
        <f t="shared" ca="1" si="6"/>
        <v>6.7780485758580422E-2</v>
      </c>
      <c r="K54" s="9"/>
      <c r="L54" s="9">
        <f ca="1">L53-O54*Prices!B54</f>
        <v>0.65499503372658063</v>
      </c>
      <c r="M54" s="1">
        <f t="shared" ca="1" si="7"/>
        <v>0.27145232216140963</v>
      </c>
      <c r="N54" s="9">
        <f ca="1">IF(Prices!D53&gt;OFFSET(Prices!D53,-$N$3,0),1,IF(Prices!D53&lt;OFFSET(Prices!D53,-$N$3,0),-1,0))</f>
        <v>1</v>
      </c>
      <c r="O54" s="1">
        <f ca="1">IF(N54=1,O$3*L53/Prices!B53,O$3*M53*N54)</f>
        <v>5.5036974516980135E-2</v>
      </c>
      <c r="P54" s="14"/>
      <c r="Q54" s="9">
        <f ca="1">Q53-T54*Prices!B54</f>
        <v>0.82558837578707445</v>
      </c>
      <c r="R54" s="1">
        <f t="shared" ca="1" si="2"/>
        <v>0.14353055271912496</v>
      </c>
      <c r="S54" s="9">
        <f ca="1">IF(Prices!C53&lt;OFFSET(Prices!C53,-S$3,0),1,IF(Prices!C53&gt;OFFSET(Prices!C53,-S$3,0),-1,0))</f>
        <v>1</v>
      </c>
      <c r="T54" s="1">
        <f ca="1">IF(S54=1,T$3*Q53/Prices!B53,T$3*R53*S54)</f>
        <v>1.2743511241600284E-2</v>
      </c>
      <c r="V54" s="9"/>
      <c r="W54" s="1"/>
      <c r="X54" s="1"/>
      <c r="Y54" s="1"/>
      <c r="Z54" s="1"/>
      <c r="AA54" s="1"/>
      <c r="AB54" s="1"/>
      <c r="AC54" s="1"/>
      <c r="AD54" s="1"/>
      <c r="AE54" s="16"/>
    </row>
    <row r="55" spans="1:31" x14ac:dyDescent="0.2">
      <c r="A55" s="4">
        <v>33583</v>
      </c>
      <c r="B55" s="9">
        <f ca="1">Prices!B54*(1+J55/(50*(ABS(O55)+ABS(T55)+0.0001)))</f>
        <v>1.3102802899988377</v>
      </c>
      <c r="C55" s="13">
        <f t="shared" ca="1" si="3"/>
        <v>-1</v>
      </c>
      <c r="D55" s="9">
        <f ca="1">D54+C55*(Prices!B55-Prices!B54)/Prices!B54</f>
        <v>8.2208678681543763E-3</v>
      </c>
      <c r="E55" s="9">
        <f t="shared" ca="1" si="4"/>
        <v>2.7903083390591943E-2</v>
      </c>
      <c r="F55" s="9">
        <f t="shared" ca="1" si="5"/>
        <v>3.6123951258746317E-2</v>
      </c>
      <c r="G55" s="13">
        <f ca="1">IF((Prices!B55-Prices!B54)*B55&gt;0,1,0)</f>
        <v>0</v>
      </c>
      <c r="H55" s="9">
        <f>ABS(Prices!B55-Prices!B54)/Prices!B54</f>
        <v>4.6212121212121163E-3</v>
      </c>
      <c r="I55" s="13"/>
      <c r="J55" s="1">
        <f t="shared" ca="1" si="6"/>
        <v>-1.4636317431488324E-2</v>
      </c>
      <c r="K55" s="9"/>
      <c r="L55" s="9">
        <f ca="1">L54-O55*Prices!B55</f>
        <v>0.69066115433536823</v>
      </c>
      <c r="M55" s="1">
        <f t="shared" ca="1" si="7"/>
        <v>0.24430708994526867</v>
      </c>
      <c r="N55" s="9">
        <f ca="1">IF(Prices!D54&gt;OFFSET(Prices!D54,-$N$3,0),1,IF(Prices!D54&lt;OFFSET(Prices!D54,-$N$3,0),-1,0))</f>
        <v>-1</v>
      </c>
      <c r="O55" s="1">
        <f ca="1">IF(N55=1,O$3*L54/Prices!B54,O$3*M54*N55)</f>
        <v>-2.7145232216140965E-2</v>
      </c>
      <c r="P55" s="14"/>
      <c r="Q55" s="9">
        <f ca="1">Q54-T55*Prices!B55</f>
        <v>0.80915291265151934</v>
      </c>
      <c r="R55" s="1">
        <f t="shared" ca="1" si="2"/>
        <v>0.15603946750377759</v>
      </c>
      <c r="S55" s="9">
        <f ca="1">IF(Prices!C54&lt;OFFSET(Prices!C54,-S$3,0),1,IF(Prices!C54&gt;OFFSET(Prices!C54,-S$3,0),-1,0))</f>
        <v>1</v>
      </c>
      <c r="T55" s="1">
        <f ca="1">IF(S55=1,T$3*Q54/Prices!B54,T$3*R54*S55)</f>
        <v>1.2508914784652641E-2</v>
      </c>
      <c r="V55" s="9"/>
      <c r="W55" s="1"/>
      <c r="X55" s="1"/>
      <c r="Y55" s="1"/>
      <c r="Z55" s="1"/>
      <c r="AA55" s="1"/>
      <c r="AB55" s="1"/>
      <c r="AC55" s="1"/>
      <c r="AD55" s="1"/>
      <c r="AE55" s="16"/>
    </row>
    <row r="56" spans="1:31" x14ac:dyDescent="0.2">
      <c r="A56" s="4">
        <v>33584</v>
      </c>
      <c r="B56" s="9">
        <f ca="1">Prices!B55*(1+J56/(50*(ABS(O56)+ABS(T56)+0.0001)))</f>
        <v>1.2884378869501785</v>
      </c>
      <c r="C56" s="13">
        <f t="shared" ca="1" si="3"/>
        <v>-1</v>
      </c>
      <c r="D56" s="9">
        <f ca="1">D55+C56*(Prices!B56-Prices!B55)/Prices!B55</f>
        <v>9.8191630199924093E-3</v>
      </c>
      <c r="E56" s="9">
        <f t="shared" ca="1" si="4"/>
        <v>2.6304788238753908E-2</v>
      </c>
      <c r="F56" s="9">
        <f t="shared" ca="1" si="5"/>
        <v>3.6123951258746317E-2</v>
      </c>
      <c r="G56" s="13">
        <f ca="1">IF((Prices!B56-Prices!B55)*B56&gt;0,1,0)</f>
        <v>0</v>
      </c>
      <c r="H56" s="9">
        <f>ABS(Prices!B56-Prices!B55)/Prices!B55</f>
        <v>1.5982951518380324E-3</v>
      </c>
      <c r="I56" s="13"/>
      <c r="J56" s="1">
        <f t="shared" ca="1" si="6"/>
        <v>-3.120789350075552E-3</v>
      </c>
      <c r="K56" s="9"/>
      <c r="L56" s="9">
        <f ca="1">L55-O56*Prices!B56</f>
        <v>0.69066115433536823</v>
      </c>
      <c r="M56" s="1">
        <f t="shared" ca="1" si="7"/>
        <v>0.24430708994526867</v>
      </c>
      <c r="N56" s="9">
        <f ca="1">IF(Prices!D55&gt;OFFSET(Prices!D55,-$N$3,0),1,IF(Prices!D55&lt;OFFSET(Prices!D55,-$N$3,0),-1,0))</f>
        <v>0</v>
      </c>
      <c r="O56" s="1">
        <f ca="1">IF(N56=1,O$3*L55/Prices!B55,O$3*M55*N56)</f>
        <v>0</v>
      </c>
      <c r="P56" s="14"/>
      <c r="Q56" s="9">
        <f ca="1">Q55-T56*Prices!B56</f>
        <v>0.81324676412094843</v>
      </c>
      <c r="R56" s="1">
        <f t="shared" ca="1" si="2"/>
        <v>0.15291867815370203</v>
      </c>
      <c r="S56" s="9">
        <f ca="1">IF(Prices!C55&lt;OFFSET(Prices!C55,-S$3,0),1,IF(Prices!C55&gt;OFFSET(Prices!C55,-S$3,0),-1,0))</f>
        <v>-1</v>
      </c>
      <c r="T56" s="1">
        <f ca="1">IF(S56=1,T$3*Q55/Prices!B55,T$3*R55*S56)</f>
        <v>-3.120789350075552E-3</v>
      </c>
      <c r="V56" s="9"/>
      <c r="W56" s="1"/>
      <c r="X56" s="1"/>
      <c r="Y56" s="1"/>
      <c r="Z56" s="1"/>
      <c r="AA56" s="1"/>
      <c r="AB56" s="1"/>
      <c r="AC56" s="1"/>
      <c r="AD56" s="1"/>
      <c r="AE56" s="16"/>
    </row>
    <row r="57" spans="1:31" x14ac:dyDescent="0.2">
      <c r="A57" s="4">
        <v>33585</v>
      </c>
      <c r="B57" s="9">
        <f ca="1">Prices!B56*(1+J57/(50*(ABS(O57)+ABS(T57)+0.0001)))</f>
        <v>1.285659095586978</v>
      </c>
      <c r="C57" s="13">
        <f t="shared" ca="1" si="3"/>
        <v>-1</v>
      </c>
      <c r="D57" s="9">
        <f ca="1">D56+C57*(Prices!B57-Prices!B56)/Prices!B56</f>
        <v>9.8191630199924093E-3</v>
      </c>
      <c r="E57" s="9">
        <f t="shared" ca="1" si="4"/>
        <v>2.6304788238753908E-2</v>
      </c>
      <c r="F57" s="9">
        <f t="shared" ca="1" si="5"/>
        <v>3.6123951258746317E-2</v>
      </c>
      <c r="G57" s="13">
        <f ca="1">IF((Prices!B57-Prices!B56)*B57&gt;0,1,0)</f>
        <v>0</v>
      </c>
      <c r="H57" s="9">
        <f>ABS(Prices!B57-Prices!B56)/Prices!B56</f>
        <v>0</v>
      </c>
      <c r="I57" s="13"/>
      <c r="J57" s="1">
        <f t="shared" ca="1" si="6"/>
        <v>-2.7489082557600911E-2</v>
      </c>
      <c r="K57" s="9"/>
      <c r="L57" s="9">
        <f ca="1">L56-O57*Prices!B57</f>
        <v>0.72270935839438855</v>
      </c>
      <c r="M57" s="1">
        <f t="shared" ca="1" si="7"/>
        <v>0.2198763809507418</v>
      </c>
      <c r="N57" s="9">
        <f ca="1">IF(Prices!D56&gt;OFFSET(Prices!D56,-$N$3,0),1,IF(Prices!D56&lt;OFFSET(Prices!D56,-$N$3,0),-1,0))</f>
        <v>-1</v>
      </c>
      <c r="O57" s="1">
        <f ca="1">IF(N57=1,O$3*L56/Prices!B56,O$3*M56*N57)</f>
        <v>-2.4430708994526869E-2</v>
      </c>
      <c r="P57" s="14"/>
      <c r="Q57" s="9">
        <f ca="1">Q56-T57*Prices!B57</f>
        <v>0.81725873856098896</v>
      </c>
      <c r="R57" s="1">
        <f t="shared" ca="1" si="2"/>
        <v>0.14986030459062799</v>
      </c>
      <c r="S57" s="9">
        <f ca="1">IF(Prices!C56&lt;OFFSET(Prices!C56,-S$3,0),1,IF(Prices!C56&gt;OFFSET(Prices!C56,-S$3,0),-1,0))</f>
        <v>-1</v>
      </c>
      <c r="T57" s="1">
        <f ca="1">IF(S57=1,T$3*Q56/Prices!B56,T$3*R56*S57)</f>
        <v>-3.0583735630740406E-3</v>
      </c>
      <c r="V57" s="9"/>
      <c r="W57" s="1"/>
      <c r="X57" s="1"/>
      <c r="Y57" s="1"/>
      <c r="Z57" s="1"/>
      <c r="AA57" s="1"/>
      <c r="AB57" s="1"/>
      <c r="AC57" s="1"/>
      <c r="AD57" s="1"/>
      <c r="AE57" s="16"/>
    </row>
    <row r="58" spans="1:31" x14ac:dyDescent="0.2">
      <c r="A58" s="4">
        <v>33588</v>
      </c>
      <c r="B58" s="9">
        <f ca="1">Prices!B57*(1+J58/(50*(ABS(O58)+ABS(T58)+0.0001)))</f>
        <v>1.2864110860259947</v>
      </c>
      <c r="C58" s="13">
        <f t="shared" ca="1" si="3"/>
        <v>-1</v>
      </c>
      <c r="D58" s="9">
        <f ca="1">D57+C58*(Prices!B58-Prices!B57)/Prices!B57</f>
        <v>4.2542903259842821E-3</v>
      </c>
      <c r="E58" s="9">
        <f t="shared" ca="1" si="4"/>
        <v>3.1869660932762035E-2</v>
      </c>
      <c r="F58" s="9">
        <f t="shared" ca="1" si="5"/>
        <v>3.6123951258746317E-2</v>
      </c>
      <c r="G58" s="13">
        <f ca="1">IF((Prices!B58-Prices!B57)*B58&gt;0,1,0)</f>
        <v>1</v>
      </c>
      <c r="H58" s="9">
        <f>ABS(Prices!B58-Prices!B57)/Prices!B57</f>
        <v>5.5648726940081272E-3</v>
      </c>
      <c r="I58" s="13"/>
      <c r="J58" s="1">
        <f t="shared" ca="1" si="6"/>
        <v>-2.9972060918125598E-3</v>
      </c>
      <c r="K58" s="9"/>
      <c r="L58" s="9">
        <f ca="1">L57-O58*Prices!B58</f>
        <v>0.72270935839438855</v>
      </c>
      <c r="M58" s="1">
        <f t="shared" ca="1" si="7"/>
        <v>0.2198763809507418</v>
      </c>
      <c r="N58" s="9">
        <f ca="1">IF(Prices!D57&gt;OFFSET(Prices!D57,-$N$3,0),1,IF(Prices!D57&lt;OFFSET(Prices!D57,-$N$3,0),-1,0))</f>
        <v>0</v>
      </c>
      <c r="O58" s="1">
        <f ca="1">IF(N58=1,O$3*L57/Prices!B57,O$3*M57*N58)</f>
        <v>0</v>
      </c>
      <c r="P58" s="14"/>
      <c r="Q58" s="9">
        <f ca="1">Q57-T58*Prices!B58</f>
        <v>0.82121235311669893</v>
      </c>
      <c r="R58" s="1">
        <f t="shared" ca="1" si="2"/>
        <v>0.14686309849881543</v>
      </c>
      <c r="S58" s="9">
        <f ca="1">IF(Prices!C57&lt;OFFSET(Prices!C57,-S$3,0),1,IF(Prices!C57&gt;OFFSET(Prices!C57,-S$3,0),-1,0))</f>
        <v>-1</v>
      </c>
      <c r="T58" s="1">
        <f ca="1">IF(S58=1,T$3*Q57/Prices!B57,T$3*R57*S58)</f>
        <v>-2.9972060918125598E-3</v>
      </c>
      <c r="V58" s="9"/>
      <c r="W58" s="1"/>
      <c r="X58" s="1"/>
      <c r="Y58" s="1"/>
      <c r="Z58" s="1"/>
      <c r="AA58" s="1"/>
      <c r="AB58" s="1"/>
      <c r="AC58" s="1"/>
      <c r="AD58" s="1"/>
      <c r="AE58" s="16"/>
    </row>
    <row r="59" spans="1:31" x14ac:dyDescent="0.2">
      <c r="A59" s="4">
        <v>33589</v>
      </c>
      <c r="B59" s="9">
        <f ca="1">Prices!B58*(1+J59/(50*(ABS(O59)+ABS(T59)+0.0001)))</f>
        <v>1.3454428222051817</v>
      </c>
      <c r="C59" s="13">
        <f t="shared" ca="1" si="3"/>
        <v>1</v>
      </c>
      <c r="D59" s="9">
        <f ca="1">D58+C59*(Prices!B59-Prices!B58)/Prices!B58</f>
        <v>7.1350423538821105E-3</v>
      </c>
      <c r="E59" s="9">
        <f t="shared" ca="1" si="4"/>
        <v>2.8988908904864205E-2</v>
      </c>
      <c r="F59" s="9">
        <f t="shared" ca="1" si="5"/>
        <v>3.6123951258746317E-2</v>
      </c>
      <c r="G59" s="13">
        <f ca="1">IF((Prices!B59-Prices!B58)*B59&gt;0,1,0)</f>
        <v>1</v>
      </c>
      <c r="H59" s="9">
        <f>ABS(Prices!B59-Prices!B58)/Prices!B58</f>
        <v>2.8807520278978285E-3</v>
      </c>
      <c r="I59" s="13"/>
      <c r="J59" s="1">
        <f t="shared" ca="1" si="6"/>
        <v>6.7239165265539261E-2</v>
      </c>
      <c r="K59" s="9"/>
      <c r="L59" s="9">
        <f ca="1">L58-O59*Prices!B59</f>
        <v>0.65023022790997209</v>
      </c>
      <c r="M59" s="1">
        <f t="shared" ca="1" si="7"/>
        <v>0.27466444541851442</v>
      </c>
      <c r="N59" s="9">
        <f ca="1">IF(Prices!D58&gt;OFFSET(Prices!D58,-$N$3,0),1,IF(Prices!D58&lt;OFFSET(Prices!D58,-$N$3,0),-1,0))</f>
        <v>1</v>
      </c>
      <c r="O59" s="1">
        <f ca="1">IF(N59=1,O$3*L58/Prices!B58,O$3*M58*N59)</f>
        <v>5.4788064467772624E-2</v>
      </c>
      <c r="P59" s="14"/>
      <c r="Q59" s="9">
        <f ca="1">Q58-T59*Prices!B59</f>
        <v>0.80474079187133341</v>
      </c>
      <c r="R59" s="1">
        <f t="shared" ca="1" si="2"/>
        <v>0.15931419929658208</v>
      </c>
      <c r="S59" s="9">
        <f ca="1">IF(Prices!C58&lt;OFFSET(Prices!C58,-S$3,0),1,IF(Prices!C58&gt;OFFSET(Prices!C58,-S$3,0),-1,0))</f>
        <v>1</v>
      </c>
      <c r="T59" s="1">
        <f ca="1">IF(S59=1,T$3*Q58/Prices!B58,T$3*R58*S59)</f>
        <v>1.2451100797766642E-2</v>
      </c>
      <c r="V59" s="9"/>
      <c r="W59" s="1"/>
      <c r="X59" s="1"/>
      <c r="Y59" s="1"/>
      <c r="Z59" s="1"/>
      <c r="AA59" s="1"/>
      <c r="AB59" s="1"/>
      <c r="AC59" s="1"/>
      <c r="AD59" s="1"/>
      <c r="AE59" s="16"/>
    </row>
    <row r="60" spans="1:31" x14ac:dyDescent="0.2">
      <c r="A60" s="4">
        <v>33590</v>
      </c>
      <c r="B60" s="9">
        <f ca="1">Prices!B59*(1+J60/(50*(ABS(O60)+ABS(T60)+0.0001)))</f>
        <v>1.3127116593174808</v>
      </c>
      <c r="C60" s="13">
        <f t="shared" ca="1" si="3"/>
        <v>-1</v>
      </c>
      <c r="D60" s="9">
        <f ca="1">D59+C60*(Prices!B60-Prices!B59)/Prices!B59</f>
        <v>7.7397743820020832E-3</v>
      </c>
      <c r="E60" s="9">
        <f t="shared" ca="1" si="4"/>
        <v>2.8384176876744233E-2</v>
      </c>
      <c r="F60" s="9">
        <f t="shared" ca="1" si="5"/>
        <v>3.6123951258746317E-2</v>
      </c>
      <c r="G60" s="13">
        <f ca="1">IF((Prices!B60-Prices!B59)*B60&gt;0,1,0)</f>
        <v>0</v>
      </c>
      <c r="H60" s="9">
        <f>ABS(Prices!B60-Prices!B59)/Prices!B59</f>
        <v>6.0473202811997268E-4</v>
      </c>
      <c r="I60" s="13"/>
      <c r="J60" s="1">
        <f t="shared" ca="1" si="6"/>
        <v>-1.5300131262369497E-2</v>
      </c>
      <c r="K60" s="9"/>
      <c r="L60" s="9">
        <f ca="1">L59-O60*Prices!B60</f>
        <v>0.68654361423875387</v>
      </c>
      <c r="M60" s="1">
        <f t="shared" ca="1" si="7"/>
        <v>0.24719800087666299</v>
      </c>
      <c r="N60" s="9">
        <f ca="1">IF(Prices!D59&gt;OFFSET(Prices!D59,-$N$3,0),1,IF(Prices!D59&lt;OFFSET(Prices!D59,-$N$3,0),-1,0))</f>
        <v>-1</v>
      </c>
      <c r="O60" s="1">
        <f ca="1">IF(N60=1,O$3*L59/Prices!B59,O$3*M59*N60)</f>
        <v>-2.7466444541851445E-2</v>
      </c>
      <c r="P60" s="14"/>
      <c r="Q60" s="9">
        <f ca="1">Q59-T60*Prices!B60</f>
        <v>0.78865570908453031</v>
      </c>
      <c r="R60" s="1">
        <f t="shared" ca="1" si="2"/>
        <v>0.17148051257606403</v>
      </c>
      <c r="S60" s="9">
        <f ca="1">IF(Prices!C59&lt;OFFSET(Prices!C59,-S$3,0),1,IF(Prices!C59&gt;OFFSET(Prices!C59,-S$3,0),-1,0))</f>
        <v>1</v>
      </c>
      <c r="T60" s="1">
        <f ca="1">IF(S60=1,T$3*Q59/Prices!B59,T$3*R59*S60)</f>
        <v>1.2166313279481948E-2</v>
      </c>
      <c r="V60" s="9"/>
      <c r="W60" s="1"/>
      <c r="X60" s="1"/>
      <c r="Y60" s="1"/>
      <c r="Z60" s="1"/>
      <c r="AA60" s="1"/>
      <c r="AB60" s="1"/>
      <c r="AC60" s="1"/>
      <c r="AD60" s="1"/>
      <c r="AE60" s="16"/>
    </row>
    <row r="61" spans="1:31" x14ac:dyDescent="0.2">
      <c r="A61" s="4">
        <v>33591</v>
      </c>
      <c r="B61" s="9">
        <f ca="1">Prices!B60*(1+J61/(50*(ABS(O61)+ABS(T61)+0.0001)))</f>
        <v>1.3128978965993632</v>
      </c>
      <c r="C61" s="13">
        <f t="shared" ca="1" si="3"/>
        <v>-1</v>
      </c>
      <c r="D61" s="9">
        <f ca="1">D60+C61*(Prices!B61-Prices!B60)/Prices!B60</f>
        <v>1.7605000411840665E-4</v>
      </c>
      <c r="E61" s="9">
        <f t="shared" ca="1" si="4"/>
        <v>3.5947901254627913E-2</v>
      </c>
      <c r="F61" s="9">
        <f t="shared" ca="1" si="5"/>
        <v>3.6123951258746317E-2</v>
      </c>
      <c r="G61" s="13">
        <f ca="1">IF((Prices!B61-Prices!B60)*B61&gt;0,1,0)</f>
        <v>1</v>
      </c>
      <c r="H61" s="9">
        <f>ABS(Prices!B61-Prices!B60)/Prices!B60</f>
        <v>7.5637243778836766E-3</v>
      </c>
      <c r="I61" s="13"/>
      <c r="J61" s="1">
        <f t="shared" ca="1" si="6"/>
        <v>-1.2789451262546716E-2</v>
      </c>
      <c r="K61" s="9"/>
      <c r="L61" s="9">
        <f ca="1">L60-O61*Prices!B61</f>
        <v>0.71947285993553411</v>
      </c>
      <c r="M61" s="1">
        <f t="shared" ca="1" si="7"/>
        <v>0.22247820078899669</v>
      </c>
      <c r="N61" s="9">
        <f ca="1">IF(Prices!D60&gt;OFFSET(Prices!D60,-$N$3,0),1,IF(Prices!D60&lt;OFFSET(Prices!D60,-$N$3,0),-1,0))</f>
        <v>-1</v>
      </c>
      <c r="O61" s="1">
        <f ca="1">IF(N61=1,O$3*L60/Prices!B60,O$3*M60*N61)</f>
        <v>-2.4719800087666301E-2</v>
      </c>
      <c r="P61" s="14"/>
      <c r="Q61" s="9">
        <f ca="1">Q60-T61*Prices!B61</f>
        <v>0.77276329141458855</v>
      </c>
      <c r="R61" s="1">
        <f t="shared" ca="1" si="2"/>
        <v>0.18341086140118362</v>
      </c>
      <c r="S61" s="9">
        <f ca="1">IF(Prices!C60&lt;OFFSET(Prices!C60,-S$3,0),1,IF(Prices!C60&gt;OFFSET(Prices!C60,-S$3,0),-1,0))</f>
        <v>1</v>
      </c>
      <c r="T61" s="1">
        <f ca="1">IF(S61=1,T$3*Q60/Prices!B60,T$3*R60*S61)</f>
        <v>1.1930348825119586E-2</v>
      </c>
      <c r="V61" s="9"/>
      <c r="W61" s="1"/>
      <c r="X61" s="1"/>
      <c r="Y61" s="1"/>
      <c r="Z61" s="1"/>
      <c r="AA61" s="1"/>
      <c r="AB61" s="1"/>
      <c r="AC61" s="1"/>
      <c r="AD61" s="1"/>
      <c r="AE61" s="16"/>
    </row>
    <row r="62" spans="1:31" x14ac:dyDescent="0.2">
      <c r="A62" s="4">
        <v>33592</v>
      </c>
      <c r="B62" s="9">
        <f ca="1">Prices!B61*(1+J62/(50*(ABS(O62)+ABS(T62)+0.0001)))</f>
        <v>1.3237459177109507</v>
      </c>
      <c r="C62" s="13">
        <f t="shared" ca="1" si="3"/>
        <v>-1</v>
      </c>
      <c r="D62" s="9">
        <f ca="1">D61+C62*(Prices!B62-Prices!B61)/Prices!B61</f>
        <v>-1.4312351767520264E-2</v>
      </c>
      <c r="E62" s="9">
        <f t="shared" ca="1" si="4"/>
        <v>5.0436303026266581E-2</v>
      </c>
      <c r="F62" s="9">
        <f t="shared" ca="1" si="5"/>
        <v>3.6123951258746317E-2</v>
      </c>
      <c r="G62" s="13">
        <f ca="1">IF((Prices!B62-Prices!B61)*B62&gt;0,1,0)</f>
        <v>1</v>
      </c>
      <c r="H62" s="9">
        <f>ABS(Prices!B62-Prices!B61)/Prices!B61</f>
        <v>1.4488401771638669E-2</v>
      </c>
      <c r="I62" s="13"/>
      <c r="J62" s="1">
        <f t="shared" ca="1" si="6"/>
        <v>-1.0645638689896013E-2</v>
      </c>
      <c r="K62" s="9"/>
      <c r="L62" s="9">
        <f ca="1">L61-O62*Prices!B62</f>
        <v>0.74953856399015917</v>
      </c>
      <c r="M62" s="1">
        <f t="shared" ca="1" si="7"/>
        <v>0.20023038071009702</v>
      </c>
      <c r="N62" s="9">
        <f ca="1">IF(Prices!D61&gt;OFFSET(Prices!D61,-$N$3,0),1,IF(Prices!D61&lt;OFFSET(Prices!D61,-$N$3,0),-1,0))</f>
        <v>-1</v>
      </c>
      <c r="O62" s="1">
        <f ca="1">IF(N62=1,O$3*L61/Prices!B61,O$3*M61*N62)</f>
        <v>-2.224782007889967E-2</v>
      </c>
      <c r="P62" s="14"/>
      <c r="Q62" s="9">
        <f ca="1">Q61-T62*Prices!B62</f>
        <v>0.75708410348548905</v>
      </c>
      <c r="R62" s="1">
        <f t="shared" ca="1" si="2"/>
        <v>0.19501304279018727</v>
      </c>
      <c r="S62" s="9">
        <f ca="1">IF(Prices!C61&lt;OFFSET(Prices!C61,-S$3,0),1,IF(Prices!C61&gt;OFFSET(Prices!C61,-S$3,0),-1,0))</f>
        <v>1</v>
      </c>
      <c r="T62" s="1">
        <f ca="1">IF(S62=1,T$3*Q61/Prices!B61,T$3*R61*S62)</f>
        <v>1.1602181389003657E-2</v>
      </c>
      <c r="V62" s="9"/>
      <c r="W62" s="1"/>
      <c r="X62" s="1"/>
      <c r="Y62" s="1"/>
      <c r="Z62" s="1"/>
      <c r="AA62" s="1"/>
      <c r="AB62" s="1"/>
      <c r="AC62" s="1"/>
      <c r="AD62" s="1"/>
      <c r="AE62" s="16"/>
    </row>
    <row r="63" spans="1:31" x14ac:dyDescent="0.2">
      <c r="A63" s="4">
        <v>33595</v>
      </c>
      <c r="B63" s="9">
        <f ca="1">Prices!B62*(1+J63/(50*(ABS(O63)+ABS(T63)+0.0001)))</f>
        <v>1.3437916945815902</v>
      </c>
      <c r="C63" s="13">
        <f t="shared" ca="1" si="3"/>
        <v>-1</v>
      </c>
      <c r="D63" s="9">
        <f ca="1">D62+C63*(Prices!B63-Prices!B62)/Prices!B62</f>
        <v>-2.6003930870672577E-2</v>
      </c>
      <c r="E63" s="9">
        <f t="shared" ca="1" si="4"/>
        <v>6.2127882129418895E-2</v>
      </c>
      <c r="F63" s="9">
        <f t="shared" ca="1" si="5"/>
        <v>3.6123951258746317E-2</v>
      </c>
      <c r="G63" s="13">
        <f ca="1">IF((Prices!B63-Prices!B62)*B63&gt;0,1,0)</f>
        <v>1</v>
      </c>
      <c r="H63" s="9">
        <f>ABS(Prices!B63-Prices!B62)/Prices!B62</f>
        <v>1.1691579103152314E-2</v>
      </c>
      <c r="I63" s="13"/>
      <c r="J63" s="1">
        <f t="shared" ca="1" si="6"/>
        <v>-8.8185966993138479E-3</v>
      </c>
      <c r="K63" s="9"/>
      <c r="L63" s="9">
        <f ca="1">L62-O63*Prices!B63</f>
        <v>0.77691406164084365</v>
      </c>
      <c r="M63" s="1">
        <f t="shared" ca="1" si="7"/>
        <v>0.18020734263908733</v>
      </c>
      <c r="N63" s="9">
        <f ca="1">IF(Prices!D62&gt;OFFSET(Prices!D62,-$N$3,0),1,IF(Prices!D62&lt;OFFSET(Prices!D62,-$N$3,0),-1,0))</f>
        <v>-1</v>
      </c>
      <c r="O63" s="1">
        <f ca="1">IF(N63=1,O$3*L62/Prices!B62,O$3*M62*N63)</f>
        <v>-2.0023038071009705E-2</v>
      </c>
      <c r="P63" s="14"/>
      <c r="Q63" s="9">
        <f ca="1">Q62-T63*Prices!B63</f>
        <v>0.7417653912421065</v>
      </c>
      <c r="R63" s="1">
        <f t="shared" ca="1" si="2"/>
        <v>0.20621748416188312</v>
      </c>
      <c r="S63" s="9">
        <f ca="1">IF(Prices!C62&lt;OFFSET(Prices!C62,-S$3,0),1,IF(Prices!C62&gt;OFFSET(Prices!C62,-S$3,0),-1,0))</f>
        <v>1</v>
      </c>
      <c r="T63" s="1">
        <f ca="1">IF(S63=1,T$3*Q62/Prices!B62,T$3*R62*S63)</f>
        <v>1.1204441371695857E-2</v>
      </c>
      <c r="V63" s="9"/>
      <c r="W63" s="1"/>
      <c r="X63" s="1"/>
      <c r="Y63" s="1"/>
      <c r="Z63" s="1"/>
      <c r="AA63" s="1"/>
      <c r="AB63" s="1"/>
      <c r="AC63" s="1"/>
      <c r="AD63" s="1"/>
      <c r="AE63" s="16"/>
    </row>
    <row r="64" spans="1:31" x14ac:dyDescent="0.2">
      <c r="A64" s="4">
        <v>33596</v>
      </c>
      <c r="B64" s="9">
        <f ca="1">Prices!B63*(1+J64/(50*(ABS(O64)+ABS(T64)+0.0001)))</f>
        <v>1.360432932234517</v>
      </c>
      <c r="C64" s="13">
        <f t="shared" ca="1" si="3"/>
        <v>-1</v>
      </c>
      <c r="D64" s="9">
        <f ca="1">D63+C64*(Prices!B64-Prices!B63)/Prices!B63</f>
        <v>-2.5930788682258309E-2</v>
      </c>
      <c r="E64" s="9">
        <f t="shared" ca="1" si="4"/>
        <v>6.2054739941004626E-2</v>
      </c>
      <c r="F64" s="9">
        <f t="shared" ca="1" si="5"/>
        <v>3.6123951258746317E-2</v>
      </c>
      <c r="G64" s="13">
        <f ca="1">IF((Prices!B64-Prices!B63)*B64&gt;0,1,0)</f>
        <v>0</v>
      </c>
      <c r="H64" s="9">
        <f>ABS(Prices!B64-Prices!B63)/Prices!B63</f>
        <v>7.3142188414269306E-5</v>
      </c>
      <c r="I64" s="13"/>
      <c r="J64" s="1">
        <f t="shared" ca="1" si="6"/>
        <v>-7.1698654628246719E-3</v>
      </c>
      <c r="K64" s="9"/>
      <c r="L64" s="9">
        <f ca="1">L63-O64*Prices!B64</f>
        <v>0.80155020745303329</v>
      </c>
      <c r="M64" s="1">
        <f t="shared" ca="1" si="7"/>
        <v>0.16218660837517859</v>
      </c>
      <c r="N64" s="9">
        <f ca="1">IF(Prices!D63&gt;OFFSET(Prices!D63,-$N$3,0),1,IF(Prices!D63&lt;OFFSET(Prices!D63,-$N$3,0),-1,0))</f>
        <v>-1</v>
      </c>
      <c r="O64" s="1">
        <f ca="1">IF(N64=1,O$3*L63/Prices!B63,O$3*M63*N64)</f>
        <v>-1.8020734263908735E-2</v>
      </c>
      <c r="P64" s="14"/>
      <c r="Q64" s="9">
        <f ca="1">Q63-T64*Prices!B64</f>
        <v>0.72693116850414452</v>
      </c>
      <c r="R64" s="1">
        <f t="shared" ca="1" si="2"/>
        <v>0.2170683529629672</v>
      </c>
      <c r="S64" s="9">
        <f ca="1">IF(Prices!C63&lt;OFFSET(Prices!C63,-S$3,0),1,IF(Prices!C63&gt;OFFSET(Prices!C63,-S$3,0),-1,0))</f>
        <v>1</v>
      </c>
      <c r="T64" s="1">
        <f ca="1">IF(S64=1,T$3*Q63/Prices!B63,T$3*R63*S64)</f>
        <v>1.0850868801084063E-2</v>
      </c>
      <c r="V64" s="9"/>
      <c r="W64" s="1"/>
      <c r="X64" s="1"/>
      <c r="Y64" s="1"/>
      <c r="Z64" s="1"/>
      <c r="AA64" s="1"/>
      <c r="AB64" s="1"/>
      <c r="AC64" s="1"/>
      <c r="AD64" s="1"/>
      <c r="AE64" s="16"/>
    </row>
    <row r="65" spans="1:31" x14ac:dyDescent="0.2">
      <c r="A65" s="4">
        <v>33597</v>
      </c>
      <c r="B65" s="9">
        <f ca="1">Prices!B64*(1+J65/(50*(ABS(O65)+ABS(T65)+0.0001)))</f>
        <v>1.3614354571291378</v>
      </c>
      <c r="C65" s="13">
        <f t="shared" ca="1" si="3"/>
        <v>-1</v>
      </c>
      <c r="D65" s="9">
        <f ca="1">D64+C65*(Prices!B65-Prices!B64)/Prices!B64</f>
        <v>-2.5930788682258309E-2</v>
      </c>
      <c r="E65" s="9">
        <f t="shared" ca="1" si="4"/>
        <v>6.2054739941004626E-2</v>
      </c>
      <c r="F65" s="9">
        <f t="shared" ca="1" si="5"/>
        <v>3.6123951258746317E-2</v>
      </c>
      <c r="G65" s="13">
        <f ca="1">IF((Prices!B65-Prices!B64)*B65&gt;0,1,0)</f>
        <v>0</v>
      </c>
      <c r="H65" s="9">
        <f>ABS(Prices!B65-Prices!B64)/Prices!B64</f>
        <v>0</v>
      </c>
      <c r="I65" s="13"/>
      <c r="J65" s="1">
        <f t="shared" ca="1" si="6"/>
        <v>-5.5840156981111673E-3</v>
      </c>
      <c r="K65" s="9"/>
      <c r="L65" s="9">
        <f ca="1">L64-O65*Prices!B65</f>
        <v>0.82372273868400392</v>
      </c>
      <c r="M65" s="1">
        <f t="shared" ca="1" si="7"/>
        <v>0.14596794753766074</v>
      </c>
      <c r="N65" s="9">
        <f ca="1">IF(Prices!D64&gt;OFFSET(Prices!D64,-$N$3,0),1,IF(Prices!D64&lt;OFFSET(Prices!D64,-$N$3,0),-1,0))</f>
        <v>-1</v>
      </c>
      <c r="O65" s="1">
        <f ca="1">IF(N65=1,O$3*L64/Prices!B64,O$3*M64*N65)</f>
        <v>-1.621866083751786E-2</v>
      </c>
      <c r="P65" s="14"/>
      <c r="Q65" s="9">
        <f ca="1">Q64-T65*Prices!B65</f>
        <v>0.71239254513406158</v>
      </c>
      <c r="R65" s="1">
        <f t="shared" ca="1" si="2"/>
        <v>0.22770299810237388</v>
      </c>
      <c r="S65" s="9">
        <f ca="1">IF(Prices!C64&lt;OFFSET(Prices!C64,-S$3,0),1,IF(Prices!C64&gt;OFFSET(Prices!C64,-S$3,0),-1,0))</f>
        <v>1</v>
      </c>
      <c r="T65" s="1">
        <f ca="1">IF(S65=1,T$3*Q64/Prices!B64,T$3*R64*S65)</f>
        <v>1.0634645139406693E-2</v>
      </c>
      <c r="V65" s="9"/>
      <c r="W65" s="1"/>
      <c r="X65" s="1"/>
      <c r="Y65" s="1"/>
      <c r="Z65" s="1"/>
      <c r="AA65" s="1"/>
      <c r="AB65" s="1"/>
      <c r="AC65" s="1"/>
      <c r="AD65" s="1"/>
      <c r="AE65" s="16"/>
    </row>
    <row r="66" spans="1:31" x14ac:dyDescent="0.2">
      <c r="A66" s="4">
        <v>33598</v>
      </c>
      <c r="B66" s="9">
        <f ca="1">Prices!B65*(1+J66/(50*(ABS(O66)+ABS(T66)+0.0001)))</f>
        <v>1.3941821432796393</v>
      </c>
      <c r="C66" s="13">
        <f t="shared" ca="1" si="3"/>
        <v>1</v>
      </c>
      <c r="D66" s="9">
        <f ca="1">D65+C66*(Prices!B66-Prices!B65)/Prices!B65</f>
        <v>-2.5930788682258309E-2</v>
      </c>
      <c r="E66" s="9">
        <f t="shared" ca="1" si="4"/>
        <v>6.2054739941004626E-2</v>
      </c>
      <c r="F66" s="9">
        <f t="shared" ca="1" si="5"/>
        <v>3.6123951258746317E-2</v>
      </c>
      <c r="G66" s="13">
        <f ca="1">IF((Prices!B66-Prices!B65)*B66&gt;0,1,0)</f>
        <v>0</v>
      </c>
      <c r="H66" s="9">
        <f>ABS(Prices!B66-Prices!B65)/Prices!B65</f>
        <v>0</v>
      </c>
      <c r="I66" s="13"/>
      <c r="J66" s="1">
        <f t="shared" ca="1" si="6"/>
        <v>1.0421952236618558E-2</v>
      </c>
      <c r="K66" s="9"/>
      <c r="L66" s="9">
        <f ca="1">L65-O66*Prices!B66</f>
        <v>0.82372273868400392</v>
      </c>
      <c r="M66" s="1">
        <f t="shared" ca="1" si="7"/>
        <v>0.14596794753766074</v>
      </c>
      <c r="N66" s="9">
        <f ca="1">IF(Prices!D65&gt;OFFSET(Prices!D65,-$N$3,0),1,IF(Prices!D65&lt;OFFSET(Prices!D65,-$N$3,0),-1,0))</f>
        <v>0</v>
      </c>
      <c r="O66" s="1">
        <f ca="1">IF(N66=1,O$3*L65/Prices!B65,O$3*M65*N66)</f>
        <v>0</v>
      </c>
      <c r="P66" s="14"/>
      <c r="Q66" s="9">
        <f ca="1">Q65-T66*Prices!B66</f>
        <v>0.69814469423138037</v>
      </c>
      <c r="R66" s="1">
        <f t="shared" ca="1" si="2"/>
        <v>0.23812495033899245</v>
      </c>
      <c r="S66" s="9">
        <f ca="1">IF(Prices!C65&lt;OFFSET(Prices!C65,-S$3,0),1,IF(Prices!C65&gt;OFFSET(Prices!C65,-S$3,0),-1,0))</f>
        <v>1</v>
      </c>
      <c r="T66" s="1">
        <f ca="1">IF(S66=1,T$3*Q65/Prices!B65,T$3*R65*S66)</f>
        <v>1.0421952236618558E-2</v>
      </c>
      <c r="V66" s="9"/>
      <c r="W66" s="1"/>
      <c r="X66" s="1"/>
      <c r="Y66" s="1"/>
      <c r="Z66" s="1"/>
      <c r="AA66" s="1"/>
      <c r="AB66" s="1"/>
      <c r="AC66" s="1"/>
      <c r="AD66" s="1"/>
      <c r="AE66" s="16"/>
    </row>
    <row r="67" spans="1:31" x14ac:dyDescent="0.2">
      <c r="A67" s="4">
        <v>33599</v>
      </c>
      <c r="B67" s="9">
        <f ca="1">Prices!B66*(1+J67/(50*(ABS(O67)+ABS(T67)+0.0001)))</f>
        <v>1.3622888316785806</v>
      </c>
      <c r="C67" s="13">
        <f t="shared" ca="1" si="3"/>
        <v>-1</v>
      </c>
      <c r="D67" s="9">
        <f ca="1">D66+C67*(Prices!B67-Prices!B66)/Prices!B66</f>
        <v>-2.6735411606696975E-2</v>
      </c>
      <c r="E67" s="9">
        <f t="shared" ca="1" si="4"/>
        <v>6.2859362865443288E-2</v>
      </c>
      <c r="F67" s="9">
        <f t="shared" ca="1" si="5"/>
        <v>3.6123951258746317E-2</v>
      </c>
      <c r="G67" s="13">
        <f ca="1">IF((Prices!B67-Prices!B66)*B67&gt;0,1,0)</f>
        <v>1</v>
      </c>
      <c r="H67" s="9">
        <f>ABS(Prices!B67-Prices!B66)/Prices!B66</f>
        <v>8.0462292443866641E-4</v>
      </c>
      <c r="I67" s="13"/>
      <c r="J67" s="1">
        <f t="shared" ca="1" si="6"/>
        <v>-4.3832815618798857E-3</v>
      </c>
      <c r="K67" s="9"/>
      <c r="L67" s="9">
        <f ca="1">L66-O67*Prices!B67</f>
        <v>0.84369407326610668</v>
      </c>
      <c r="M67" s="1">
        <f t="shared" ca="1" si="7"/>
        <v>0.13137115278389466</v>
      </c>
      <c r="N67" s="9">
        <f ca="1">IF(Prices!D66&gt;OFFSET(Prices!D66,-$N$3,0),1,IF(Prices!D66&lt;OFFSET(Prices!D66,-$N$3,0),-1,0))</f>
        <v>-1</v>
      </c>
      <c r="O67" s="1">
        <f ca="1">IF(N67=1,O$3*L66/Prices!B66,O$3*M66*N67)</f>
        <v>-1.4596794753766074E-2</v>
      </c>
      <c r="P67" s="14"/>
      <c r="Q67" s="9">
        <f ca="1">Q66-T67*Prices!B67</f>
        <v>0.68417056548224164</v>
      </c>
      <c r="R67" s="1">
        <f t="shared" ca="1" si="2"/>
        <v>0.24833846353087863</v>
      </c>
      <c r="S67" s="9">
        <f ca="1">IF(Prices!C66&lt;OFFSET(Prices!C66,-S$3,0),1,IF(Prices!C66&gt;OFFSET(Prices!C66,-S$3,0),-1,0))</f>
        <v>1</v>
      </c>
      <c r="T67" s="1">
        <f ca="1">IF(S67=1,T$3*Q66/Prices!B66,T$3*R66*S67)</f>
        <v>1.0213513191886188E-2</v>
      </c>
      <c r="V67" s="9"/>
      <c r="W67" s="1"/>
      <c r="X67" s="1"/>
      <c r="Y67" s="1"/>
      <c r="Z67" s="1"/>
      <c r="AA67" s="1"/>
      <c r="AB67" s="1"/>
      <c r="AC67" s="1"/>
      <c r="AD67" s="1"/>
      <c r="AE67" s="16"/>
    </row>
    <row r="68" spans="1:31" x14ac:dyDescent="0.2">
      <c r="A68" s="4">
        <v>33602</v>
      </c>
      <c r="B68" s="9">
        <f ca="1">Prices!B67*(1+J68/(50*(ABS(O68)+ABS(T68)+0.0001)))</f>
        <v>1.3645071153189317</v>
      </c>
      <c r="C68" s="13">
        <f t="shared" ca="1" si="3"/>
        <v>-1</v>
      </c>
      <c r="D68" s="9">
        <f ca="1">D67+C68*(Prices!B68-Prices!B67)/Prices!B67</f>
        <v>-2.5785258120364508E-2</v>
      </c>
      <c r="E68" s="9">
        <f t="shared" ca="1" si="4"/>
        <v>6.1909209379110826E-2</v>
      </c>
      <c r="F68" s="9">
        <f t="shared" ca="1" si="5"/>
        <v>3.6123951258746317E-2</v>
      </c>
      <c r="G68" s="13">
        <f ca="1">IF((Prices!B68-Prices!B67)*B68&gt;0,1,0)</f>
        <v>0</v>
      </c>
      <c r="H68" s="9">
        <f>ABS(Prices!B68-Prices!B67)/Prices!B67</f>
        <v>9.501534863324651E-4</v>
      </c>
      <c r="I68" s="13"/>
      <c r="J68" s="1">
        <f t="shared" ca="1" si="6"/>
        <v>-3.1360837700976727E-3</v>
      </c>
      <c r="K68" s="9"/>
      <c r="L68" s="9">
        <f ca="1">L67-O68*Prices!B68</f>
        <v>0.86165119614013719</v>
      </c>
      <c r="M68" s="1">
        <f t="shared" ca="1" si="7"/>
        <v>0.11823403750550519</v>
      </c>
      <c r="N68" s="9">
        <f ca="1">IF(Prices!D67&gt;OFFSET(Prices!D67,-$N$3,0),1,IF(Prices!D67&lt;OFFSET(Prices!D67,-$N$3,0),-1,0))</f>
        <v>-1</v>
      </c>
      <c r="O68" s="1">
        <f ca="1">IF(N68=1,O$3*L67/Prices!B67,O$3*M67*N68)</f>
        <v>-1.3137115278389467E-2</v>
      </c>
      <c r="P68" s="14"/>
      <c r="Q68" s="9">
        <f ca="1">Q67-T68*Prices!B68</f>
        <v>0.67050015551355757</v>
      </c>
      <c r="R68" s="1">
        <f t="shared" ca="1" si="2"/>
        <v>0.25833949503917042</v>
      </c>
      <c r="S68" s="9">
        <f ca="1">IF(Prices!C67&lt;OFFSET(Prices!C67,-S$3,0),1,IF(Prices!C67&gt;OFFSET(Prices!C67,-S$3,0),-1,0))</f>
        <v>1</v>
      </c>
      <c r="T68" s="1">
        <f ca="1">IF(S68=1,T$3*Q67/Prices!B67,T$3*R67*S68)</f>
        <v>1.0001031508291795E-2</v>
      </c>
      <c r="V68" s="9"/>
      <c r="W68" s="1"/>
      <c r="X68" s="1"/>
      <c r="Y68" s="1"/>
      <c r="Z68" s="1"/>
      <c r="AA68" s="1"/>
      <c r="AB68" s="1"/>
      <c r="AC68" s="1"/>
      <c r="AD68" s="1"/>
      <c r="AE68" s="16"/>
    </row>
    <row r="69" spans="1:31" x14ac:dyDescent="0.2">
      <c r="A69" s="4">
        <v>33603</v>
      </c>
      <c r="B69" s="9">
        <f ca="1">Prices!B68*(1+J69/(50*(ABS(O69)+ABS(T69)+0.0001)))</f>
        <v>1.3643680989956124</v>
      </c>
      <c r="C69" s="13">
        <f t="shared" ca="1" si="3"/>
        <v>-1</v>
      </c>
      <c r="D69" s="9">
        <f ca="1">D68+C69*(Prices!B69-Prices!B68)/Prices!B68</f>
        <v>-2.4834200983778015E-2</v>
      </c>
      <c r="E69" s="9">
        <f t="shared" ca="1" si="4"/>
        <v>6.0958152242524336E-2</v>
      </c>
      <c r="F69" s="9">
        <f t="shared" ca="1" si="5"/>
        <v>3.6123951258746317E-2</v>
      </c>
      <c r="G69" s="13">
        <f ca="1">IF((Prices!B69-Prices!B68)*B69&gt;0,1,0)</f>
        <v>0</v>
      </c>
      <c r="H69" s="9">
        <f>ABS(Prices!B69-Prices!B68)/Prices!B68</f>
        <v>9.5105713658649412E-4</v>
      </c>
      <c r="I69" s="13"/>
      <c r="J69" s="1">
        <f t="shared" ca="1" si="6"/>
        <v>-2.012881320035376E-3</v>
      </c>
      <c r="K69" s="9"/>
      <c r="L69" s="9">
        <f ca="1">L68-O69*Prices!B69</f>
        <v>0.87779723630188899</v>
      </c>
      <c r="M69" s="1">
        <f t="shared" ca="1" si="7"/>
        <v>0.10641063375495467</v>
      </c>
      <c r="N69" s="9">
        <f ca="1">IF(Prices!D68&gt;OFFSET(Prices!D68,-$N$3,0),1,IF(Prices!D68&lt;OFFSET(Prices!D68,-$N$3,0),-1,0))</f>
        <v>-1</v>
      </c>
      <c r="O69" s="1">
        <f ca="1">IF(N69=1,O$3*L68/Prices!B68,O$3*M68*N69)</f>
        <v>-1.1823403750550521E-2</v>
      </c>
      <c r="P69" s="14"/>
      <c r="Q69" s="9">
        <f ca="1">Q68-T69*Prices!B69</f>
        <v>0.65710290608244604</v>
      </c>
      <c r="R69" s="1">
        <f t="shared" ca="1" si="2"/>
        <v>0.26815001746968559</v>
      </c>
      <c r="S69" s="9">
        <f ca="1">IF(Prices!C68&lt;OFFSET(Prices!C68,-S$3,0),1,IF(Prices!C68&gt;OFFSET(Prices!C68,-S$3,0),-1,0))</f>
        <v>1</v>
      </c>
      <c r="T69" s="1">
        <f ca="1">IF(S69=1,T$3*Q68/Prices!B68,T$3*R68*S69)</f>
        <v>9.8105224305151447E-3</v>
      </c>
      <c r="V69" s="9"/>
      <c r="W69" s="1"/>
      <c r="X69" s="1"/>
      <c r="Y69" s="1"/>
      <c r="Z69" s="1"/>
      <c r="AA69" s="1"/>
      <c r="AB69" s="1"/>
      <c r="AC69" s="1"/>
      <c r="AD69" s="1"/>
      <c r="AE69" s="16"/>
    </row>
    <row r="70" spans="1:31" x14ac:dyDescent="0.2">
      <c r="A70" s="4">
        <v>33604</v>
      </c>
      <c r="B70" s="9">
        <f ca="1">Prices!B69*(1+J70/(50*(ABS(O70)+ABS(T70)+0.0001)))</f>
        <v>1.3642355045472085</v>
      </c>
      <c r="C70" s="13">
        <f t="shared" ca="1" si="3"/>
        <v>-1</v>
      </c>
      <c r="D70" s="9">
        <f ca="1">D69+C70*(Prices!B70-Prices!B69)/Prices!B69</f>
        <v>-2.4834200983778015E-2</v>
      </c>
      <c r="E70" s="9">
        <f t="shared" ca="1" si="4"/>
        <v>6.0958152242524336E-2</v>
      </c>
      <c r="F70" s="9">
        <f t="shared" ca="1" si="5"/>
        <v>3.6123951258746317E-2</v>
      </c>
      <c r="G70" s="13">
        <f ca="1">IF((Prices!B70-Prices!B69)*B70&gt;0,1,0)</f>
        <v>0</v>
      </c>
      <c r="H70" s="9">
        <f>ABS(Prices!B70-Prices!B69)/Prices!B69</f>
        <v>0</v>
      </c>
      <c r="I70" s="13"/>
      <c r="J70" s="1">
        <f t="shared" ca="1" si="6"/>
        <v>-1.0174121440595253E-3</v>
      </c>
      <c r="K70" s="9"/>
      <c r="L70" s="9">
        <f ca="1">L69-O70*Prices!B70</f>
        <v>0.89232867244746561</v>
      </c>
      <c r="M70" s="1">
        <f t="shared" ca="1" si="7"/>
        <v>9.5769570379459212E-2</v>
      </c>
      <c r="N70" s="9">
        <f ca="1">IF(Prices!D69&gt;OFFSET(Prices!D69,-$N$3,0),1,IF(Prices!D69&lt;OFFSET(Prices!D69,-$N$3,0),-1,0))</f>
        <v>-1</v>
      </c>
      <c r="O70" s="1">
        <f ca="1">IF(N70=1,O$3*L69/Prices!B69,O$3*M69*N70)</f>
        <v>-1.0641063375495467E-2</v>
      </c>
      <c r="P70" s="14"/>
      <c r="Q70" s="9">
        <f ca="1">Q69-T70*Prices!B70</f>
        <v>0.64396084796079711</v>
      </c>
      <c r="R70" s="1">
        <f t="shared" ca="1" si="2"/>
        <v>0.27777366870112152</v>
      </c>
      <c r="S70" s="9">
        <f ca="1">IF(Prices!C69&lt;OFFSET(Prices!C69,-S$3,0),1,IF(Prices!C69&gt;OFFSET(Prices!C69,-S$3,0),-1,0))</f>
        <v>1</v>
      </c>
      <c r="T70" s="1">
        <f ca="1">IF(S70=1,T$3*Q69/Prices!B69,T$3*R69*S70)</f>
        <v>9.623651231435942E-3</v>
      </c>
      <c r="V70" s="9"/>
      <c r="W70" s="1"/>
      <c r="X70" s="1"/>
      <c r="Y70" s="1"/>
      <c r="Z70" s="1"/>
      <c r="AA70" s="1"/>
      <c r="AB70" s="1"/>
      <c r="AC70" s="1"/>
      <c r="AD70" s="1"/>
      <c r="AE70" s="16"/>
    </row>
    <row r="71" spans="1:31" x14ac:dyDescent="0.2">
      <c r="A71" s="4">
        <v>33605</v>
      </c>
      <c r="B71" s="9">
        <f ca="1">Prices!B70*(1+J71/(50*(ABS(O71)+ABS(T71)+0.0001)))</f>
        <v>1.3653916326535758</v>
      </c>
      <c r="C71" s="13">
        <f t="shared" ca="1" si="3"/>
        <v>-1</v>
      </c>
      <c r="D71" s="9">
        <f ca="1">D70+C71*(Prices!B71-Prices!B70)/Prices!B70</f>
        <v>-2.5200340409671517E-2</v>
      </c>
      <c r="E71" s="9">
        <f t="shared" ca="1" si="4"/>
        <v>6.1324291668417838E-2</v>
      </c>
      <c r="F71" s="9">
        <f t="shared" ca="1" si="5"/>
        <v>3.6123951258746317E-2</v>
      </c>
      <c r="G71" s="13">
        <f ca="1">IF((Prices!B71-Prices!B70)*B71&gt;0,1,0)</f>
        <v>1</v>
      </c>
      <c r="H71" s="9">
        <f>ABS(Prices!B71-Prices!B70)/Prices!B70</f>
        <v>3.6613942589350251E-4</v>
      </c>
      <c r="I71" s="13"/>
      <c r="J71" s="1">
        <f t="shared" ca="1" si="6"/>
        <v>-1.4577883113869872E-4</v>
      </c>
      <c r="K71" s="9"/>
      <c r="L71" s="9">
        <f ca="1">L70-O71*Prices!B71</f>
        <v>0.90541175345700353</v>
      </c>
      <c r="M71" s="1">
        <f t="shared" ca="1" si="7"/>
        <v>8.6192613341513291E-2</v>
      </c>
      <c r="N71" s="9">
        <f ca="1">IF(Prices!D70&gt;OFFSET(Prices!D70,-$N$3,0),1,IF(Prices!D70&lt;OFFSET(Prices!D70,-$N$3,0),-1,0))</f>
        <v>-1</v>
      </c>
      <c r="O71" s="1">
        <f ca="1">IF(N71=1,O$3*L70/Prices!B70,O$3*M70*N71)</f>
        <v>-9.5769570379459212E-3</v>
      </c>
      <c r="P71" s="14"/>
      <c r="Q71" s="9">
        <f ca="1">Q70-T71*Prices!B71</f>
        <v>0.63107691541247779</v>
      </c>
      <c r="R71" s="1">
        <f t="shared" ca="1" si="2"/>
        <v>0.28720484690792875</v>
      </c>
      <c r="S71" s="9">
        <f ca="1">IF(Prices!C70&lt;OFFSET(Prices!C70,-S$3,0),1,IF(Prices!C70&gt;OFFSET(Prices!C70,-S$3,0),-1,0))</f>
        <v>1</v>
      </c>
      <c r="T71" s="1">
        <f ca="1">IF(S71=1,T$3*Q70/Prices!B70,T$3*R70*S71)</f>
        <v>9.4311782068072225E-3</v>
      </c>
      <c r="V71" s="9"/>
      <c r="W71" s="1"/>
      <c r="X71" s="1"/>
      <c r="Y71" s="1"/>
      <c r="Z71" s="1"/>
      <c r="AA71" s="1"/>
      <c r="AB71" s="1"/>
      <c r="AC71" s="1"/>
      <c r="AD71" s="1"/>
      <c r="AE71" s="16"/>
    </row>
    <row r="72" spans="1:31" x14ac:dyDescent="0.2">
      <c r="A72" s="4">
        <v>33606</v>
      </c>
      <c r="B72" s="9">
        <f ca="1">Prices!B71*(1+J72/(50*(ABS(O72)+ABS(T72)+0.0001)))</f>
        <v>1.3933858675425166</v>
      </c>
      <c r="C72" s="13">
        <f t="shared" ca="1" si="3"/>
        <v>1</v>
      </c>
      <c r="D72" s="9">
        <f ca="1">D71+C72*(Prices!B72-Prices!B71)/Prices!B71</f>
        <v>-3.8376535417357638E-2</v>
      </c>
      <c r="E72" s="9">
        <f t="shared" ca="1" si="4"/>
        <v>7.4500486676103955E-2</v>
      </c>
      <c r="F72" s="9">
        <f t="shared" ca="1" si="5"/>
        <v>3.6123951258746317E-2</v>
      </c>
      <c r="G72" s="13">
        <f ca="1">IF((Prices!B72-Prices!B71)*B72&gt;0,1,0)</f>
        <v>0</v>
      </c>
      <c r="H72" s="9">
        <f>ABS(Prices!B72-Prices!B71)/Prices!B71</f>
        <v>1.3176195007686124E-2</v>
      </c>
      <c r="I72" s="13"/>
      <c r="J72" s="1">
        <f t="shared" ca="1" si="6"/>
        <v>7.5516224034807039E-2</v>
      </c>
      <c r="K72" s="9"/>
      <c r="L72" s="9">
        <f ca="1">L71-O72*Prices!B72</f>
        <v>0.81606356629388321</v>
      </c>
      <c r="M72" s="1">
        <f t="shared" ca="1" si="7"/>
        <v>0.15246973459596053</v>
      </c>
      <c r="N72" s="9">
        <f ca="1">IF(Prices!D71&gt;OFFSET(Prices!D71,-$N$3,0),1,IF(Prices!D71&lt;OFFSET(Prices!D71,-$N$3,0),-1,0))</f>
        <v>1</v>
      </c>
      <c r="O72" s="1">
        <f ca="1">IF(N72=1,O$3*L71/Prices!B71,O$3*M71*N72)</f>
        <v>6.6277121254447222E-2</v>
      </c>
      <c r="P72" s="14"/>
      <c r="Q72" s="9">
        <f ca="1">Q71-T72*Prices!B72</f>
        <v>0.61862168095427472</v>
      </c>
      <c r="R72" s="1">
        <f t="shared" ca="1" si="2"/>
        <v>0.29644394968828858</v>
      </c>
      <c r="S72" s="9">
        <f ca="1">IF(Prices!C71&lt;OFFSET(Prices!C71,-S$3,0),1,IF(Prices!C71&gt;OFFSET(Prices!C71,-S$3,0),-1,0))</f>
        <v>1</v>
      </c>
      <c r="T72" s="1">
        <f ca="1">IF(S72=1,T$3*Q71/Prices!B71,T$3*R71*S72)</f>
        <v>9.2391027803598244E-3</v>
      </c>
      <c r="V72" s="9"/>
      <c r="W72" s="1"/>
      <c r="X72" s="1"/>
      <c r="Y72" s="1"/>
      <c r="Z72" s="1"/>
      <c r="AA72" s="1"/>
      <c r="AB72" s="1"/>
      <c r="AC72" s="1"/>
      <c r="AD72" s="1"/>
      <c r="AE72" s="16"/>
    </row>
    <row r="73" spans="1:31" x14ac:dyDescent="0.2">
      <c r="A73" s="4">
        <v>33609</v>
      </c>
      <c r="B73" s="9">
        <f ca="1">Prices!B72*(1+J73/(50*(ABS(O73)+ABS(T73)+0.0001)))</f>
        <v>1.3750233791501929</v>
      </c>
      <c r="C73" s="13">
        <f t="shared" ca="1" si="3"/>
        <v>1</v>
      </c>
      <c r="D73" s="9">
        <f ca="1">D72+C73*(Prices!B73-Prices!B72)/Prices!B72</f>
        <v>-2.524694562431571E-2</v>
      </c>
      <c r="E73" s="9">
        <f t="shared" ca="1" si="4"/>
        <v>6.1370896883062027E-2</v>
      </c>
      <c r="F73" s="9">
        <f t="shared" ca="1" si="5"/>
        <v>3.6123951258746317E-2</v>
      </c>
      <c r="G73" s="13">
        <f ca="1">IF((Prices!B73-Prices!B72)*B73&gt;0,1,0)</f>
        <v>1</v>
      </c>
      <c r="H73" s="9">
        <f>ABS(Prices!B73-Prices!B72)/Prices!B72</f>
        <v>1.312958979304193E-2</v>
      </c>
      <c r="I73" s="13"/>
      <c r="J73" s="1">
        <f t="shared" ca="1" si="6"/>
        <v>6.9712031932700702E-2</v>
      </c>
      <c r="K73" s="9"/>
      <c r="L73" s="9">
        <f ca="1">L72-O73*Prices!B73</f>
        <v>0.73338575167744635</v>
      </c>
      <c r="M73" s="1">
        <f t="shared" ca="1" si="7"/>
        <v>0.21300408414672703</v>
      </c>
      <c r="N73" s="9">
        <f ca="1">IF(Prices!D72&gt;OFFSET(Prices!D72,-$N$3,0),1,IF(Prices!D72&lt;OFFSET(Prices!D72,-$N$3,0),-1,0))</f>
        <v>1</v>
      </c>
      <c r="O73" s="1">
        <f ca="1">IF(N73=1,O$3*L72/Prices!B72,O$3*M72*N73)</f>
        <v>6.0534349550766503E-2</v>
      </c>
      <c r="P73" s="14"/>
      <c r="Q73" s="9">
        <f ca="1">Q72-T73*Prices!B73</f>
        <v>0.60608680235702894</v>
      </c>
      <c r="R73" s="1">
        <f t="shared" ca="1" si="2"/>
        <v>0.30562163207022275</v>
      </c>
      <c r="S73" s="9">
        <f ca="1">IF(Prices!C72&lt;OFFSET(Prices!C72,-S$3,0),1,IF(Prices!C72&gt;OFFSET(Prices!C72,-S$3,0),-1,0))</f>
        <v>1</v>
      </c>
      <c r="T73" s="1">
        <f ca="1">IF(S73=1,T$3*Q72/Prices!B72,T$3*R72*S73)</f>
        <v>9.1776823819341991E-3</v>
      </c>
      <c r="V73" s="9"/>
      <c r="W73" s="1"/>
      <c r="X73" s="1"/>
      <c r="Y73" s="1"/>
      <c r="Z73" s="1"/>
      <c r="AA73" s="1"/>
      <c r="AB73" s="1"/>
      <c r="AC73" s="1"/>
      <c r="AD73" s="1"/>
      <c r="AE73" s="16"/>
    </row>
    <row r="74" spans="1:31" x14ac:dyDescent="0.2">
      <c r="A74" s="4">
        <v>33610</v>
      </c>
      <c r="B74" s="9">
        <f ca="1">Prices!B73*(1+J74/(50*(ABS(O74)+ABS(T74)+0.0001)))</f>
        <v>1.3930724140796813</v>
      </c>
      <c r="C74" s="13">
        <f t="shared" ca="1" si="3"/>
        <v>1</v>
      </c>
      <c r="D74" s="9">
        <f ca="1">D73+C74*(Prices!B74-Prices!B73)/Prices!B73</f>
        <v>-2.1439653194970203E-2</v>
      </c>
      <c r="E74" s="9">
        <f t="shared" ca="1" si="4"/>
        <v>5.756360445371652E-2</v>
      </c>
      <c r="F74" s="9">
        <f t="shared" ca="1" si="5"/>
        <v>3.6123951258746317E-2</v>
      </c>
      <c r="G74" s="13">
        <f ca="1">IF((Prices!B74-Prices!B73)*B74&gt;0,1,0)</f>
        <v>1</v>
      </c>
      <c r="H74" s="9">
        <f>ABS(Prices!B74-Prices!B73)/Prices!B73</f>
        <v>3.8072924293455074E-3</v>
      </c>
      <c r="I74" s="13"/>
      <c r="J74" s="1">
        <f t="shared" ca="1" si="6"/>
        <v>6.2571614595757233E-2</v>
      </c>
      <c r="K74" s="9"/>
      <c r="L74" s="9">
        <f ca="1">L73-O74*Prices!B74</f>
        <v>0.6597679551076866</v>
      </c>
      <c r="M74" s="1">
        <f t="shared" ca="1" si="7"/>
        <v>0.2667005076111762</v>
      </c>
      <c r="N74" s="9">
        <f ca="1">IF(Prices!D73&gt;OFFSET(Prices!D73,-$N$3,0),1,IF(Prices!D73&lt;OFFSET(Prices!D73,-$N$3,0),-1,0))</f>
        <v>1</v>
      </c>
      <c r="O74" s="1">
        <f ca="1">IF(N74=1,O$3*L73/Prices!B73,O$3*M73*N74)</f>
        <v>5.3696423464449146E-2</v>
      </c>
      <c r="P74" s="14"/>
      <c r="Q74" s="9">
        <f ca="1">Q73-T74*Prices!B74</f>
        <v>0.5939189153160056</v>
      </c>
      <c r="R74" s="1">
        <f t="shared" ca="1" si="2"/>
        <v>0.31449682320153083</v>
      </c>
      <c r="S74" s="9">
        <f ca="1">IF(Prices!C73&lt;OFFSET(Prices!C73,-S$3,0),1,IF(Prices!C73&gt;OFFSET(Prices!C73,-S$3,0),-1,0))</f>
        <v>1</v>
      </c>
      <c r="T74" s="1">
        <f ca="1">IF(S74=1,T$3*Q73/Prices!B73,T$3*R73*S74)</f>
        <v>8.8751911313080835E-3</v>
      </c>
      <c r="V74" s="9"/>
      <c r="W74" s="1"/>
      <c r="X74" s="1"/>
      <c r="Y74" s="1"/>
      <c r="Z74" s="1"/>
      <c r="AA74" s="1"/>
      <c r="AB74" s="1"/>
      <c r="AC74" s="1"/>
      <c r="AD74" s="1"/>
      <c r="AE74" s="16"/>
    </row>
    <row r="75" spans="1:31" x14ac:dyDescent="0.2">
      <c r="A75" s="4">
        <v>33611</v>
      </c>
      <c r="B75" s="9">
        <f ca="1">Prices!B74*(1+J75/(50*(ABS(O75)+ABS(T75)+0.0001)))</f>
        <v>1.3570663721341674</v>
      </c>
      <c r="C75" s="13">
        <f t="shared" ca="1" si="3"/>
        <v>-1</v>
      </c>
      <c r="D75" s="9">
        <f ca="1">D74+C75*(Prices!B75-Prices!B74)/Prices!B74</f>
        <v>-2.0856137512986313E-2</v>
      </c>
      <c r="E75" s="9">
        <f t="shared" ca="1" si="4"/>
        <v>5.6980088771732634E-2</v>
      </c>
      <c r="F75" s="9">
        <f t="shared" ca="1" si="5"/>
        <v>3.6123951258746317E-2</v>
      </c>
      <c r="G75" s="13">
        <f ca="1">IF((Prices!B75-Prices!B74)*B75&gt;0,1,0)</f>
        <v>0</v>
      </c>
      <c r="H75" s="9">
        <f>ABS(Prices!B75-Prices!B74)/Prices!B74</f>
        <v>5.8351568198388901E-4</v>
      </c>
      <c r="I75" s="13"/>
      <c r="J75" s="1">
        <f t="shared" ca="1" si="6"/>
        <v>-1.8006025738272903E-2</v>
      </c>
      <c r="K75" s="9"/>
      <c r="L75" s="9">
        <f ca="1">L74-O75*Prices!B75</f>
        <v>0.69631125866056998</v>
      </c>
      <c r="M75" s="1">
        <f t="shared" ca="1" si="7"/>
        <v>0.24003045685005858</v>
      </c>
      <c r="N75" s="9">
        <f ca="1">IF(Prices!D74&gt;OFFSET(Prices!D74,-$N$3,0),1,IF(Prices!D74&lt;OFFSET(Prices!D74,-$N$3,0),-1,0))</f>
        <v>-1</v>
      </c>
      <c r="O75" s="1">
        <f ca="1">IF(N75=1,O$3*L74/Prices!B74,O$3*M74*N75)</f>
        <v>-2.6670050761117621E-2</v>
      </c>
      <c r="P75" s="14"/>
      <c r="Q75" s="9">
        <f ca="1">Q74-T75*Prices!B75</f>
        <v>0.58204746822970377</v>
      </c>
      <c r="R75" s="1">
        <f t="shared" ca="1" si="2"/>
        <v>0.32316084822437557</v>
      </c>
      <c r="S75" s="9">
        <f ca="1">IF(Prices!C74&lt;OFFSET(Prices!C74,-S$3,0),1,IF(Prices!C74&gt;OFFSET(Prices!C74,-S$3,0),-1,0))</f>
        <v>1</v>
      </c>
      <c r="T75" s="1">
        <f ca="1">IF(S75=1,T$3*Q74/Prices!B74,T$3*R74*S75)</f>
        <v>8.6640250228447197E-3</v>
      </c>
      <c r="V75" s="9"/>
      <c r="W75" s="1"/>
      <c r="X75" s="1"/>
      <c r="Y75" s="1"/>
      <c r="Z75" s="1"/>
      <c r="AA75" s="1"/>
      <c r="AB75" s="1"/>
      <c r="AC75" s="1"/>
      <c r="AD75" s="1"/>
      <c r="AE75" s="16"/>
    </row>
    <row r="76" spans="1:31" x14ac:dyDescent="0.2">
      <c r="A76" s="4">
        <v>33612</v>
      </c>
      <c r="B76" s="9">
        <f ca="1">Prices!B75*(1+J76/(50*(ABS(O76)+ABS(T76)+0.0001)))</f>
        <v>1.3428856544020258</v>
      </c>
      <c r="C76" s="13">
        <f t="shared" ca="1" si="3"/>
        <v>-1</v>
      </c>
      <c r="D76" s="9">
        <f ca="1">D75+C76*(Prices!B76-Prices!B75)/Prices!B75</f>
        <v>-6.5516564153362909E-3</v>
      </c>
      <c r="E76" s="9">
        <f t="shared" ca="1" si="4"/>
        <v>4.2675607674082607E-2</v>
      </c>
      <c r="F76" s="9">
        <f t="shared" ca="1" si="5"/>
        <v>3.6123951258746317E-2</v>
      </c>
      <c r="G76" s="13">
        <f ca="1">IF((Prices!B76-Prices!B75)*B76&gt;0,1,0)</f>
        <v>0</v>
      </c>
      <c r="H76" s="9">
        <f>ABS(Prices!B76-Prices!B75)/Prices!B75</f>
        <v>1.4304481097650023E-2</v>
      </c>
      <c r="I76" s="13"/>
      <c r="J76" s="1">
        <f t="shared" ca="1" si="6"/>
        <v>-3.046626264949337E-2</v>
      </c>
      <c r="K76" s="9"/>
      <c r="L76" s="9">
        <f ca="1">L75-O76*Prices!B76</f>
        <v>0.72872977216273893</v>
      </c>
      <c r="M76" s="1">
        <f t="shared" ca="1" si="7"/>
        <v>0.21602741116505272</v>
      </c>
      <c r="N76" s="9">
        <f ca="1">IF(Prices!D75&gt;OFFSET(Prices!D75,-$N$3,0),1,IF(Prices!D75&lt;OFFSET(Prices!D75,-$N$3,0),-1,0))</f>
        <v>-1</v>
      </c>
      <c r="O76" s="1">
        <f ca="1">IF(N76=1,O$3*L75/Prices!B75,O$3*M75*N76)</f>
        <v>-2.4003045685005858E-2</v>
      </c>
      <c r="P76" s="14"/>
      <c r="Q76" s="9">
        <f ca="1">Q75-T76*Prices!B76</f>
        <v>0.59077668906194059</v>
      </c>
      <c r="R76" s="1">
        <f t="shared" ca="1" si="2"/>
        <v>0.31669763125988803</v>
      </c>
      <c r="S76" s="9">
        <f ca="1">IF(Prices!C75&lt;OFFSET(Prices!C75,-S$3,0),1,IF(Prices!C75&gt;OFFSET(Prices!C75,-S$3,0),-1,0))</f>
        <v>-1</v>
      </c>
      <c r="T76" s="1">
        <f ca="1">IF(S76=1,T$3*Q75/Prices!B75,T$3*R75*S76)</f>
        <v>-6.4632169644875115E-3</v>
      </c>
      <c r="V76" s="9"/>
      <c r="W76" s="1"/>
      <c r="X76" s="1"/>
      <c r="Y76" s="1"/>
      <c r="Z76" s="1"/>
      <c r="AA76" s="1"/>
      <c r="AB76" s="1"/>
      <c r="AC76" s="1"/>
      <c r="AD76" s="1"/>
      <c r="AE76" s="16"/>
    </row>
    <row r="77" spans="1:31" x14ac:dyDescent="0.2">
      <c r="A77" s="4">
        <v>33613</v>
      </c>
      <c r="B77" s="9">
        <f ca="1">Prices!B76*(1+J77/(50*(ABS(O77)+ABS(T77)+0.0001)))</f>
        <v>1.3719010062611441</v>
      </c>
      <c r="C77" s="13">
        <f t="shared" ca="1" si="3"/>
        <v>1</v>
      </c>
      <c r="D77" s="9">
        <f ca="1">D76+C77*(Prices!B77-Prices!B76)/Prices!B76</f>
        <v>-2.713510081041999E-2</v>
      </c>
      <c r="E77" s="9">
        <f t="shared" ca="1" si="4"/>
        <v>6.3259052069166308E-2</v>
      </c>
      <c r="F77" s="9">
        <f t="shared" ca="1" si="5"/>
        <v>3.6123951258746317E-2</v>
      </c>
      <c r="G77" s="13">
        <f ca="1">IF((Prices!B77-Prices!B76)*B77&gt;0,1,0)</f>
        <v>0</v>
      </c>
      <c r="H77" s="9">
        <f>ABS(Prices!B77-Prices!B76)/Prices!B76</f>
        <v>2.0583444395083701E-2</v>
      </c>
      <c r="I77" s="13"/>
      <c r="J77" s="1">
        <f t="shared" ca="1" si="6"/>
        <v>4.762205005233363E-2</v>
      </c>
      <c r="K77" s="9"/>
      <c r="L77" s="9">
        <f ca="1">L76-O77*Prices!B77</f>
        <v>0.65735677182090035</v>
      </c>
      <c r="M77" s="1">
        <f t="shared" ca="1" si="7"/>
        <v>0.26998341384258412</v>
      </c>
      <c r="N77" s="9">
        <f ca="1">IF(Prices!D76&gt;OFFSET(Prices!D76,-$N$3,0),1,IF(Prices!D76&lt;OFFSET(Prices!D76,-$N$3,0),-1,0))</f>
        <v>1</v>
      </c>
      <c r="O77" s="1">
        <f ca="1">IF(N77=1,O$3*L76/Prices!B76,O$3*M76*N77)</f>
        <v>5.3956002677531388E-2</v>
      </c>
      <c r="P77" s="14"/>
      <c r="Q77" s="9">
        <f ca="1">Q76-T77*Prices!B77</f>
        <v>0.59915524159455213</v>
      </c>
      <c r="R77" s="1">
        <f t="shared" ca="1" si="2"/>
        <v>0.31036367863469028</v>
      </c>
      <c r="S77" s="9">
        <f ca="1">IF(Prices!C76&lt;OFFSET(Prices!C76,-S$3,0),1,IF(Prices!C76&gt;OFFSET(Prices!C76,-S$3,0),-1,0))</f>
        <v>-1</v>
      </c>
      <c r="T77" s="1">
        <f ca="1">IF(S77=1,T$3*Q76/Prices!B76,T$3*R76*S77)</f>
        <v>-6.3339526251977611E-3</v>
      </c>
      <c r="V77" s="9"/>
      <c r="W77" s="1"/>
      <c r="X77" s="1"/>
      <c r="Y77" s="1"/>
      <c r="Z77" s="1"/>
      <c r="AA77" s="1"/>
      <c r="AB77" s="1"/>
      <c r="AC77" s="1"/>
      <c r="AD77" s="1"/>
      <c r="AE77" s="16"/>
    </row>
    <row r="78" spans="1:31" x14ac:dyDescent="0.2">
      <c r="A78" s="4">
        <v>33616</v>
      </c>
      <c r="B78" s="9">
        <f ca="1">Prices!B77*(1+J78/(50*(ABS(O78)+ABS(T78)+0.0001)))</f>
        <v>1.3433439410565045</v>
      </c>
      <c r="C78" s="13">
        <f t="shared" ca="1" si="3"/>
        <v>1</v>
      </c>
      <c r="D78" s="9">
        <f ca="1">D77+C78*(Prices!B78-Prices!B77)/Prices!B77</f>
        <v>-3.0612572839449275E-2</v>
      </c>
      <c r="E78" s="9">
        <f t="shared" ca="1" si="4"/>
        <v>6.6736524098195596E-2</v>
      </c>
      <c r="F78" s="9">
        <f t="shared" ca="1" si="5"/>
        <v>3.6123951258746317E-2</v>
      </c>
      <c r="G78" s="13">
        <f ca="1">IF((Prices!B78-Prices!B77)*B78&gt;0,1,0)</f>
        <v>0</v>
      </c>
      <c r="H78" s="9">
        <f>ABS(Prices!B78-Prices!B77)/Prices!B77</f>
        <v>3.4774720290292843E-3</v>
      </c>
      <c r="I78" s="13"/>
      <c r="J78" s="1">
        <f t="shared" ca="1" si="6"/>
        <v>4.3487069625136585E-2</v>
      </c>
      <c r="K78" s="9"/>
      <c r="L78" s="9">
        <f ca="1">L77-O78*Prices!B78</f>
        <v>0.5918496886175203</v>
      </c>
      <c r="M78" s="1">
        <f t="shared" ca="1" si="7"/>
        <v>0.31967775704041451</v>
      </c>
      <c r="N78" s="9">
        <f ca="1">IF(Prices!D77&gt;OFFSET(Prices!D77,-$N$3,0),1,IF(Prices!D77&lt;OFFSET(Prices!D77,-$N$3,0),-1,0))</f>
        <v>1</v>
      </c>
      <c r="O78" s="1">
        <f ca="1">IF(N78=1,O$3*L77/Prices!B77,O$3*M77*N78)</f>
        <v>4.9694343197830393E-2</v>
      </c>
      <c r="P78" s="14"/>
      <c r="Q78" s="9">
        <f ca="1">Q77-T78*Prices!B78</f>
        <v>0.60733766961807711</v>
      </c>
      <c r="R78" s="1">
        <f t="shared" ca="1" si="2"/>
        <v>0.30415640506199648</v>
      </c>
      <c r="S78" s="9">
        <f ca="1">IF(Prices!C77&lt;OFFSET(Prices!C77,-S$3,0),1,IF(Prices!C77&gt;OFFSET(Prices!C77,-S$3,0),-1,0))</f>
        <v>-1</v>
      </c>
      <c r="T78" s="1">
        <f ca="1">IF(S78=1,T$3*Q77/Prices!B77,T$3*R77*S78)</f>
        <v>-6.2072735726938057E-3</v>
      </c>
      <c r="V78" s="9"/>
      <c r="W78" s="1"/>
      <c r="X78" s="1"/>
      <c r="Y78" s="1"/>
      <c r="Z78" s="1"/>
      <c r="AA78" s="1"/>
      <c r="AB78" s="1"/>
      <c r="AC78" s="1"/>
      <c r="AD78" s="1"/>
      <c r="AE78" s="16"/>
    </row>
    <row r="79" spans="1:31" x14ac:dyDescent="0.2">
      <c r="A79" s="4">
        <v>33617</v>
      </c>
      <c r="B79" s="9">
        <f ca="1">Prices!B78*(1+J79/(50*(ABS(O79)+ABS(T79)+0.0001)))</f>
        <v>1.3382331778711714</v>
      </c>
      <c r="C79" s="13">
        <f t="shared" ca="1" si="3"/>
        <v>1</v>
      </c>
      <c r="D79" s="9">
        <f ca="1">D78+C79*(Prices!B79-Prices!B78)/Prices!B78</f>
        <v>-2.7047104776939848E-2</v>
      </c>
      <c r="E79" s="9">
        <f t="shared" ca="1" si="4"/>
        <v>6.3171056035686166E-2</v>
      </c>
      <c r="F79" s="9">
        <f t="shared" ca="1" si="5"/>
        <v>3.6123951258746317E-2</v>
      </c>
      <c r="G79" s="13">
        <f ca="1">IF((Prices!B79-Prices!B78)*B79&gt;0,1,0)</f>
        <v>1</v>
      </c>
      <c r="H79" s="9">
        <f>ABS(Prices!B79-Prices!B78)/Prices!B78</f>
        <v>3.5654680625094269E-3</v>
      </c>
      <c r="I79" s="13"/>
      <c r="J79" s="1">
        <f t="shared" ca="1" si="6"/>
        <v>3.8815194506673922E-2</v>
      </c>
      <c r="K79" s="9"/>
      <c r="L79" s="9">
        <f ca="1">L78-O79*Prices!B79</f>
        <v>0.53245369763951111</v>
      </c>
      <c r="M79" s="1">
        <f t="shared" ca="1" si="7"/>
        <v>0.36457607964832839</v>
      </c>
      <c r="N79" s="9">
        <f ca="1">IF(Prices!D78&gt;OFFSET(Prices!D78,-$N$3,0),1,IF(Prices!D78&lt;OFFSET(Prices!D78,-$N$3,0),-1,0))</f>
        <v>1</v>
      </c>
      <c r="O79" s="1">
        <f ca="1">IF(N79=1,O$3*L78/Prices!B78,O$3*M78*N79)</f>
        <v>4.4898322607913849E-2</v>
      </c>
      <c r="P79" s="14"/>
      <c r="Q79" s="9">
        <f ca="1">Q78-T79*Prices!B79</f>
        <v>0.61538503978320747</v>
      </c>
      <c r="R79" s="1">
        <f t="shared" ca="1" si="2"/>
        <v>0.29807327696075653</v>
      </c>
      <c r="S79" s="9">
        <f ca="1">IF(Prices!C78&lt;OFFSET(Prices!C78,-S$3,0),1,IF(Prices!C78&gt;OFFSET(Prices!C78,-S$3,0),-1,0))</f>
        <v>-1</v>
      </c>
      <c r="T79" s="1">
        <f ca="1">IF(S79=1,T$3*Q78/Prices!B78,T$3*R78*S79)</f>
        <v>-6.0831281012399298E-3</v>
      </c>
      <c r="V79" s="9"/>
      <c r="W79" s="1"/>
      <c r="X79" s="1"/>
      <c r="Y79" s="1"/>
      <c r="Z79" s="1"/>
      <c r="AA79" s="1"/>
      <c r="AB79" s="1"/>
      <c r="AC79" s="1"/>
      <c r="AD79" s="1"/>
      <c r="AE79" s="16"/>
    </row>
    <row r="80" spans="1:31" x14ac:dyDescent="0.2">
      <c r="A80" s="4">
        <v>33618</v>
      </c>
      <c r="B80" s="9">
        <f ca="1">Prices!B79*(1+J80/(50*(ABS(O80)+ABS(T80)+0.0001)))</f>
        <v>1.3424890800988849</v>
      </c>
      <c r="C80" s="13">
        <f t="shared" ca="1" si="3"/>
        <v>1</v>
      </c>
      <c r="D80" s="9">
        <f ca="1">D79+C80*(Prices!B80-Prices!B79)/Prices!B79</f>
        <v>-5.9249085274331918E-2</v>
      </c>
      <c r="E80" s="9">
        <f t="shared" ca="1" si="4"/>
        <v>9.5373036533078243E-2</v>
      </c>
      <c r="F80" s="9">
        <f t="shared" ca="1" si="5"/>
        <v>3.6123951258746317E-2</v>
      </c>
      <c r="G80" s="13">
        <f ca="1">IF((Prices!B80-Prices!B79)*B80&gt;0,1,0)</f>
        <v>0</v>
      </c>
      <c r="H80" s="9">
        <f>ABS(Prices!B80-Prices!B79)/Prices!B79</f>
        <v>3.220198049739207E-2</v>
      </c>
      <c r="I80" s="13"/>
      <c r="J80" s="1">
        <f t="shared" ca="1" si="6"/>
        <v>3.4287510017479338E-2</v>
      </c>
      <c r="K80" s="9"/>
      <c r="L80" s="9">
        <f ca="1">L79-O80*Prices!B80</f>
        <v>0.48092293423427518</v>
      </c>
      <c r="M80" s="1">
        <f t="shared" ca="1" si="7"/>
        <v>0.40482505520502288</v>
      </c>
      <c r="N80" s="9">
        <f ca="1">IF(Prices!D79&gt;OFFSET(Prices!D79,-$N$3,0),1,IF(Prices!D79&lt;OFFSET(Prices!D79,-$N$3,0),-1,0))</f>
        <v>1</v>
      </c>
      <c r="O80" s="1">
        <f ca="1">IF(N80=1,O$3*L79/Prices!B79,O$3*M79*N80)</f>
        <v>4.0248975556694468E-2</v>
      </c>
      <c r="P80" s="14"/>
      <c r="Q80" s="9">
        <f ca="1">Q79-T80*Prices!B80</f>
        <v>0.62301750411306456</v>
      </c>
      <c r="R80" s="1">
        <f t="shared" ca="1" si="2"/>
        <v>0.29211181142154141</v>
      </c>
      <c r="S80" s="9">
        <f ca="1">IF(Prices!C79&lt;OFFSET(Prices!C79,-S$3,0),1,IF(Prices!C79&gt;OFFSET(Prices!C79,-S$3,0),-1,0))</f>
        <v>-1</v>
      </c>
      <c r="T80" s="1">
        <f ca="1">IF(S80=1,T$3*Q79/Prices!B79,T$3*R79*S80)</f>
        <v>-5.9614655392151309E-3</v>
      </c>
      <c r="V80" s="9"/>
      <c r="W80" s="1"/>
      <c r="X80" s="1"/>
      <c r="Y80" s="1"/>
      <c r="Z80" s="1"/>
      <c r="AA80" s="1"/>
      <c r="AB80" s="1"/>
      <c r="AC80" s="1"/>
      <c r="AD80" s="1"/>
      <c r="AE80" s="16"/>
    </row>
    <row r="81" spans="1:31" x14ac:dyDescent="0.2">
      <c r="A81" s="4">
        <v>33619</v>
      </c>
      <c r="B81" s="9">
        <f ca="1">Prices!B80*(1+J81/(50*(ABS(O81)+ABS(T81)+0.0001)))</f>
        <v>1.2989700275803537</v>
      </c>
      <c r="C81" s="13">
        <f t="shared" ca="1" si="3"/>
        <v>1</v>
      </c>
      <c r="D81" s="9">
        <f ca="1">D80+C81*(Prices!B81-Prices!B80)/Prices!B80</f>
        <v>-5.7530738011971547E-2</v>
      </c>
      <c r="E81" s="9">
        <f t="shared" ca="1" si="4"/>
        <v>9.3654689270717864E-2</v>
      </c>
      <c r="F81" s="9">
        <f t="shared" ca="1" si="5"/>
        <v>3.6123951258746317E-2</v>
      </c>
      <c r="G81" s="13">
        <f ca="1">IF((Prices!B81-Prices!B80)*B81&gt;0,1,0)</f>
        <v>1</v>
      </c>
      <c r="H81" s="9">
        <f>ABS(Prices!B81-Prices!B80)/Prices!B80</f>
        <v>1.7183472623603685E-3</v>
      </c>
      <c r="I81" s="13"/>
      <c r="J81" s="1">
        <f t="shared" ca="1" si="6"/>
        <v>3.1721064110105078E-2</v>
      </c>
      <c r="K81" s="9"/>
      <c r="L81" s="9">
        <f ca="1">L80-O81*Prices!B81</f>
        <v>0.4327480015501029</v>
      </c>
      <c r="M81" s="1">
        <f t="shared" ca="1" si="7"/>
        <v>0.44238835554355876</v>
      </c>
      <c r="N81" s="9">
        <f ca="1">IF(Prices!D80&gt;OFFSET(Prices!D80,-$N$3,0),1,IF(Prices!D80&lt;OFFSET(Prices!D80,-$N$3,0),-1,0))</f>
        <v>1</v>
      </c>
      <c r="O81" s="1">
        <f ca="1">IF(N81=1,O$3*L80/Prices!B80,O$3*M80*N81)</f>
        <v>3.7563300338535908E-2</v>
      </c>
      <c r="P81" s="14"/>
      <c r="Q81" s="9">
        <f ca="1">Q80-T81*Prices!B81</f>
        <v>0.63051017207602711</v>
      </c>
      <c r="R81" s="1">
        <f t="shared" ca="1" si="2"/>
        <v>0.28626957519311058</v>
      </c>
      <c r="S81" s="9">
        <f ca="1">IF(Prices!C80&lt;OFFSET(Prices!C80,-S$3,0),1,IF(Prices!C80&gt;OFFSET(Prices!C80,-S$3,0),-1,0))</f>
        <v>-1</v>
      </c>
      <c r="T81" s="1">
        <f ca="1">IF(S81=1,T$3*Q80/Prices!B80,T$3*R80*S81)</f>
        <v>-5.8422362284308287E-3</v>
      </c>
      <c r="V81" s="9"/>
      <c r="W81" s="1"/>
      <c r="X81" s="1"/>
      <c r="Y81" s="1"/>
      <c r="Z81" s="1"/>
      <c r="AA81" s="1"/>
      <c r="AB81" s="1"/>
      <c r="AC81" s="1"/>
      <c r="AD81" s="1"/>
      <c r="AE81" s="16"/>
    </row>
    <row r="82" spans="1:31" x14ac:dyDescent="0.2">
      <c r="A82" s="4">
        <v>33620</v>
      </c>
      <c r="B82" s="9">
        <f ca="1">Prices!B81*(1+J82/(50*(ABS(O82)+ABS(T82)+0.0001)))</f>
        <v>1.3006621780173282</v>
      </c>
      <c r="C82" s="13">
        <f t="shared" ca="1" si="3"/>
        <v>1</v>
      </c>
      <c r="D82" s="9">
        <f ca="1">D81+C82*(Prices!B82-Prices!B81)/Prices!B81</f>
        <v>-4.3339704873569994E-2</v>
      </c>
      <c r="E82" s="9">
        <f t="shared" ca="1" si="4"/>
        <v>7.9463656132316318E-2</v>
      </c>
      <c r="F82" s="9">
        <f t="shared" ca="1" si="5"/>
        <v>3.6123951258746317E-2</v>
      </c>
      <c r="G82" s="13">
        <f ca="1">IF((Prices!B82-Prices!B81)*B82&gt;0,1,0)</f>
        <v>1</v>
      </c>
      <c r="H82" s="9">
        <f>ABS(Prices!B82-Prices!B81)/Prices!B81</f>
        <v>1.4191033138401555E-2</v>
      </c>
      <c r="I82" s="13"/>
      <c r="J82" s="1">
        <f t="shared" ca="1" si="6"/>
        <v>2.8017142730063942E-2</v>
      </c>
      <c r="K82" s="9"/>
      <c r="L82" s="9">
        <f ca="1">L81-O82*Prices!B82</f>
        <v>0.38885908727203516</v>
      </c>
      <c r="M82" s="1">
        <f t="shared" ref="M82:M145" ca="1" si="8">M81+O82</f>
        <v>0.47613088977748491</v>
      </c>
      <c r="N82" s="9">
        <f ca="1">IF(Prices!D81&gt;OFFSET(Prices!D81,-$N$3,0),1,IF(Prices!D81&lt;OFFSET(Prices!D81,-$N$3,0),-1,0))</f>
        <v>1</v>
      </c>
      <c r="O82" s="1">
        <f ca="1">IF(N82=1,O$3*L81/Prices!B81,O$3*M81*N82)</f>
        <v>3.3742534233926154E-2</v>
      </c>
      <c r="P82" s="14"/>
      <c r="Q82" s="9">
        <f ca="1">Q81-T82*Prices!B82</f>
        <v>0.63795718880510066</v>
      </c>
      <c r="R82" s="1">
        <f t="shared" ref="R82:R145" ca="1" si="9">R81+T82</f>
        <v>0.28054418368924838</v>
      </c>
      <c r="S82" s="9">
        <f ca="1">IF(Prices!C81&lt;OFFSET(Prices!C81,-S$3,0),1,IF(Prices!C81&gt;OFFSET(Prices!C81,-S$3,0),-1,0))</f>
        <v>-1</v>
      </c>
      <c r="T82" s="1">
        <f ca="1">IF(S82=1,T$3*Q81/Prices!B81,T$3*R81*S82)</f>
        <v>-5.7253915038622113E-3</v>
      </c>
      <c r="V82" s="9"/>
      <c r="W82" s="1"/>
      <c r="X82" s="1"/>
      <c r="Y82" s="1"/>
      <c r="Z82" s="1"/>
      <c r="AA82" s="1"/>
      <c r="AB82" s="1"/>
      <c r="AC82" s="1"/>
      <c r="AD82" s="1"/>
      <c r="AE82" s="16"/>
    </row>
    <row r="83" spans="1:31" x14ac:dyDescent="0.2">
      <c r="A83" s="4">
        <v>33623</v>
      </c>
      <c r="B83" s="9">
        <f ca="1">Prices!B82*(1+J83/(50*(ABS(O83)+ABS(T83)+0.0001)))</f>
        <v>1.3184424729521951</v>
      </c>
      <c r="C83" s="13">
        <f t="shared" ca="1" si="3"/>
        <v>1</v>
      </c>
      <c r="D83" s="9">
        <f ca="1">D82+C83*(Prices!B83-Prices!B82)/Prices!B82</f>
        <v>-4.0033792672447541E-2</v>
      </c>
      <c r="E83" s="9">
        <f t="shared" ca="1" si="4"/>
        <v>7.6157743931193858E-2</v>
      </c>
      <c r="F83" s="9">
        <f t="shared" ca="1" si="5"/>
        <v>3.6123951258746317E-2</v>
      </c>
      <c r="G83" s="13">
        <f ca="1">IF((Prices!B83-Prices!B82)*B83&gt;0,1,0)</f>
        <v>1</v>
      </c>
      <c r="H83" s="9">
        <f>ABS(Prices!B83-Prices!B82)/Prices!B82</f>
        <v>3.3059122011224501E-3</v>
      </c>
      <c r="I83" s="13"/>
      <c r="J83" s="1">
        <f t="shared" ca="1" si="6"/>
        <v>2.4285255887377115E-2</v>
      </c>
      <c r="K83" s="9"/>
      <c r="L83" s="9">
        <f ca="1">L82-O83*Prices!B83</f>
        <v>0.34984462514471865</v>
      </c>
      <c r="M83" s="1">
        <f t="shared" ca="1" si="8"/>
        <v>0.50602702933864696</v>
      </c>
      <c r="N83" s="9">
        <f ca="1">IF(Prices!D82&gt;OFFSET(Prices!D82,-$N$3,0),1,IF(Prices!D82&lt;OFFSET(Prices!D82,-$N$3,0),-1,0))</f>
        <v>1</v>
      </c>
      <c r="O83" s="1">
        <f ca="1">IF(N83=1,O$3*L82/Prices!B82,O$3*M82*N83)</f>
        <v>2.9896139561162081E-2</v>
      </c>
      <c r="P83" s="14"/>
      <c r="Q83" s="9">
        <f ca="1">Q82-T83*Prices!B83</f>
        <v>0.64527939199939</v>
      </c>
      <c r="R83" s="1">
        <f t="shared" ca="1" si="9"/>
        <v>0.2749333000154634</v>
      </c>
      <c r="S83" s="9">
        <f ca="1">IF(Prices!C82&lt;OFFSET(Prices!C82,-S$3,0),1,IF(Prices!C82&gt;OFFSET(Prices!C82,-S$3,0),-1,0))</f>
        <v>-1</v>
      </c>
      <c r="T83" s="1">
        <f ca="1">IF(S83=1,T$3*Q82/Prices!B82,T$3*R82*S83)</f>
        <v>-5.6108836737849676E-3</v>
      </c>
      <c r="V83" s="9"/>
      <c r="W83" s="1"/>
      <c r="X83" s="1"/>
      <c r="Y83" s="1"/>
      <c r="Z83" s="1"/>
      <c r="AA83" s="1"/>
      <c r="AB83" s="1"/>
      <c r="AC83" s="1"/>
      <c r="AD83" s="1"/>
      <c r="AE83" s="16"/>
    </row>
    <row r="84" spans="1:31" x14ac:dyDescent="0.2">
      <c r="A84" s="4">
        <v>33624</v>
      </c>
      <c r="B84" s="9">
        <f ca="1">Prices!B83*(1+J84/(50*(ABS(O84)+ABS(T84)+0.0001)))</f>
        <v>1.28746273355577</v>
      </c>
      <c r="C84" s="13">
        <f t="shared" ca="1" si="3"/>
        <v>-1</v>
      </c>
      <c r="D84" s="9">
        <f ca="1">D83+C84*(Prices!B84-Prices!B83)/Prices!B83</f>
        <v>-4.7926512978960931E-2</v>
      </c>
      <c r="E84" s="9">
        <f t="shared" ca="1" si="4"/>
        <v>8.4050464237707248E-2</v>
      </c>
      <c r="F84" s="9">
        <f t="shared" ca="1" si="5"/>
        <v>3.6123951258746317E-2</v>
      </c>
      <c r="G84" s="13">
        <f ca="1">IF((Prices!B84-Prices!B83)*B84&gt;0,1,0)</f>
        <v>1</v>
      </c>
      <c r="H84" s="9">
        <f>ABS(Prices!B84-Prices!B83)/Prices!B83</f>
        <v>7.8927203065133917E-3</v>
      </c>
      <c r="I84" s="13"/>
      <c r="J84" s="1">
        <f t="shared" ca="1" si="6"/>
        <v>-4.0713363592877881E-2</v>
      </c>
      <c r="K84" s="9"/>
      <c r="L84" s="9">
        <f ca="1">L83-O84*Prices!B84</f>
        <v>0.41640236031363087</v>
      </c>
      <c r="M84" s="1">
        <f t="shared" ca="1" si="8"/>
        <v>0.45542432640478225</v>
      </c>
      <c r="N84" s="9">
        <f ca="1">IF(Prices!D83&gt;OFFSET(Prices!D83,-$N$3,0),1,IF(Prices!D83&lt;OFFSET(Prices!D83,-$N$3,0),-1,0))</f>
        <v>-1</v>
      </c>
      <c r="O84" s="1">
        <f ca="1">IF(N84=1,O$3*L83/Prices!B83,O$3*M83*N84)</f>
        <v>-5.06027029338647E-2</v>
      </c>
      <c r="P84" s="14"/>
      <c r="Q84" s="9">
        <f ca="1">Q83-T84*Prices!B84</f>
        <v>0.63227194396419006</v>
      </c>
      <c r="R84" s="1">
        <f t="shared" ca="1" si="9"/>
        <v>0.28482263935645025</v>
      </c>
      <c r="S84" s="9">
        <f ca="1">IF(Prices!C83&lt;OFFSET(Prices!C83,-S$3,0),1,IF(Prices!C83&gt;OFFSET(Prices!C83,-S$3,0),-1,0))</f>
        <v>1</v>
      </c>
      <c r="T84" s="1">
        <f ca="1">IF(S84=1,T$3*Q83/Prices!B83,T$3*R83*S84)</f>
        <v>9.8893393409868191E-3</v>
      </c>
      <c r="V84" s="9"/>
      <c r="W84" s="1"/>
      <c r="X84" s="1"/>
      <c r="Y84" s="1"/>
      <c r="Z84" s="1"/>
      <c r="AA84" s="1"/>
      <c r="AB84" s="1"/>
      <c r="AC84" s="1"/>
      <c r="AD84" s="1"/>
      <c r="AE84" s="16"/>
    </row>
    <row r="85" spans="1:31" x14ac:dyDescent="0.2">
      <c r="A85" s="4">
        <v>33625</v>
      </c>
      <c r="B85" s="9">
        <f ca="1">Prices!B84*(1+J85/(50*(ABS(O85)+ABS(T85)+0.0001)))</f>
        <v>1.2981955919002663</v>
      </c>
      <c r="C85" s="13">
        <f t="shared" ca="1" si="3"/>
        <v>-1</v>
      </c>
      <c r="D85" s="9">
        <f ca="1">D84+C85*(Prices!B85-Prices!B84)/Prices!B84</f>
        <v>-4.7774456413918753E-2</v>
      </c>
      <c r="E85" s="9">
        <f t="shared" ca="1" si="4"/>
        <v>8.3898407672665071E-2</v>
      </c>
      <c r="F85" s="9">
        <f t="shared" ca="1" si="5"/>
        <v>3.6123951258746317E-2</v>
      </c>
      <c r="G85" s="13">
        <f ca="1">IF((Prices!B85-Prices!B84)*B85&gt;0,1,0)</f>
        <v>0</v>
      </c>
      <c r="H85" s="9">
        <f>ABS(Prices!B85-Prices!B84)/Prices!B84</f>
        <v>1.5205656504217895E-4</v>
      </c>
      <c r="I85" s="13"/>
      <c r="J85" s="1">
        <f t="shared" ca="1" si="6"/>
        <v>-3.592832264330359E-2</v>
      </c>
      <c r="K85" s="9"/>
      <c r="L85" s="9">
        <f ca="1">L84-O85*Prices!B85</f>
        <v>0.47629521347912379</v>
      </c>
      <c r="M85" s="1">
        <f t="shared" ca="1" si="8"/>
        <v>0.40988189376430401</v>
      </c>
      <c r="N85" s="9">
        <f ca="1">IF(Prices!D84&gt;OFFSET(Prices!D84,-$N$3,0),1,IF(Prices!D84&lt;OFFSET(Prices!D84,-$N$3,0),-1,0))</f>
        <v>-1</v>
      </c>
      <c r="O85" s="1">
        <f ca="1">IF(N85=1,O$3*L84/Prices!B84,O$3*M84*N85)</f>
        <v>-4.5542432640478227E-2</v>
      </c>
      <c r="P85" s="14"/>
      <c r="Q85" s="9">
        <f ca="1">Q84-T85*Prices!B85</f>
        <v>0.61962842790690564</v>
      </c>
      <c r="R85" s="1">
        <f t="shared" ca="1" si="9"/>
        <v>0.2944367493536249</v>
      </c>
      <c r="S85" s="9">
        <f ca="1">IF(Prices!C84&lt;OFFSET(Prices!C84,-S$3,0),1,IF(Prices!C84&gt;OFFSET(Prices!C84,-S$3,0),-1,0))</f>
        <v>1</v>
      </c>
      <c r="T85" s="1">
        <f ca="1">IF(S85=1,T$3*Q84/Prices!B84,T$3*R84*S85)</f>
        <v>9.6141099971746389E-3</v>
      </c>
      <c r="V85" s="9"/>
      <c r="W85" s="1"/>
      <c r="X85" s="1"/>
      <c r="Y85" s="1"/>
      <c r="Z85" s="1"/>
      <c r="AA85" s="1"/>
      <c r="AB85" s="1"/>
      <c r="AC85" s="1"/>
      <c r="AD85" s="1"/>
      <c r="AE85" s="16"/>
    </row>
    <row r="86" spans="1:31" x14ac:dyDescent="0.2">
      <c r="A86" s="4">
        <v>33626</v>
      </c>
      <c r="B86" s="9">
        <f ca="1">Prices!B85*(1+J86/(50*(ABS(O86)+ABS(T86)+0.0001)))</f>
        <v>1.3411258139313849</v>
      </c>
      <c r="C86" s="13">
        <f t="shared" ca="1" si="3"/>
        <v>1</v>
      </c>
      <c r="D86" s="9">
        <f ca="1">D85+C86*(Prices!B86-Prices!B85)/Prices!B85</f>
        <v>-5.4542002608124446E-2</v>
      </c>
      <c r="E86" s="9">
        <f t="shared" ca="1" si="4"/>
        <v>9.0665953866870763E-2</v>
      </c>
      <c r="F86" s="9">
        <f t="shared" ca="1" si="5"/>
        <v>3.6123951258746317E-2</v>
      </c>
      <c r="G86" s="13">
        <f ca="1">IF((Prices!B86-Prices!B85)*B86&gt;0,1,0)</f>
        <v>0</v>
      </c>
      <c r="H86" s="9">
        <f>ABS(Prices!B86-Prices!B85)/Prices!B85</f>
        <v>6.7675461942056942E-3</v>
      </c>
      <c r="I86" s="13"/>
      <c r="J86" s="1">
        <f t="shared" ca="1" si="6"/>
        <v>9.4232899080968092E-3</v>
      </c>
      <c r="K86" s="9"/>
      <c r="L86" s="9">
        <f ca="1">L85-O86*Prices!B86</f>
        <v>0.47629521347912379</v>
      </c>
      <c r="M86" s="1">
        <f t="shared" ca="1" si="8"/>
        <v>0.40988189376430401</v>
      </c>
      <c r="N86" s="9">
        <f ca="1">IF(Prices!D85&gt;OFFSET(Prices!D85,-$N$3,0),1,IF(Prices!D85&lt;OFFSET(Prices!D85,-$N$3,0),-1,0))</f>
        <v>0</v>
      </c>
      <c r="O86" s="1">
        <f ca="1">IF(N86=1,O$3*L85/Prices!B85,O$3*M85*N86)</f>
        <v>0</v>
      </c>
      <c r="P86" s="14"/>
      <c r="Q86" s="9">
        <f ca="1">Q85-T86*Prices!B86</f>
        <v>0.60731972662894962</v>
      </c>
      <c r="R86" s="1">
        <f t="shared" ca="1" si="9"/>
        <v>0.30386003926172173</v>
      </c>
      <c r="S86" s="9">
        <f ca="1">IF(Prices!C85&lt;OFFSET(Prices!C85,-S$3,0),1,IF(Prices!C85&gt;OFFSET(Prices!C85,-S$3,0),-1,0))</f>
        <v>1</v>
      </c>
      <c r="T86" s="1">
        <f ca="1">IF(S86=1,T$3*Q85/Prices!B85,T$3*R85*S86)</f>
        <v>9.4232899080968092E-3</v>
      </c>
      <c r="V86" s="9"/>
      <c r="W86" s="1"/>
      <c r="X86" s="1"/>
      <c r="Y86" s="1"/>
      <c r="Z86" s="1"/>
      <c r="AA86" s="1"/>
      <c r="AB86" s="1"/>
      <c r="AC86" s="1"/>
      <c r="AD86" s="1"/>
      <c r="AE86" s="16"/>
    </row>
    <row r="87" spans="1:31" x14ac:dyDescent="0.2">
      <c r="A87" s="4">
        <v>33627</v>
      </c>
      <c r="B87" s="9">
        <f ca="1">Prices!B86*(1+J87/(50*(ABS(O87)+ABS(T87)+0.0001)))</f>
        <v>1.3322670393223404</v>
      </c>
      <c r="C87" s="13">
        <f t="shared" ca="1" si="3"/>
        <v>1</v>
      </c>
      <c r="D87" s="9">
        <f ca="1">D86+C87*(Prices!B87-Prices!B86)/Prices!B86</f>
        <v>-5.2245263976980753E-2</v>
      </c>
      <c r="E87" s="9">
        <f t="shared" ca="1" si="4"/>
        <v>8.8369215235727078E-2</v>
      </c>
      <c r="F87" s="9">
        <f t="shared" ca="1" si="5"/>
        <v>3.6123951258746317E-2</v>
      </c>
      <c r="G87" s="13">
        <f ca="1">IF((Prices!B87-Prices!B86)*B87&gt;0,1,0)</f>
        <v>1</v>
      </c>
      <c r="H87" s="9">
        <f>ABS(Prices!B87-Prices!B86)/Prices!B86</f>
        <v>2.2967386311436929E-3</v>
      </c>
      <c r="I87" s="13"/>
      <c r="J87" s="1">
        <f t="shared" ca="1" si="6"/>
        <v>4.5763218404908421E-2</v>
      </c>
      <c r="K87" s="9"/>
      <c r="L87" s="9">
        <f ca="1">L86-O87*Prices!B87</f>
        <v>0.42855629956954877</v>
      </c>
      <c r="M87" s="1">
        <f t="shared" ca="1" si="8"/>
        <v>0.44634608098518319</v>
      </c>
      <c r="N87" s="9">
        <f ca="1">IF(Prices!D86&gt;OFFSET(Prices!D86,-$N$3,0),1,IF(Prices!D86&lt;OFFSET(Prices!D86,-$N$3,0),-1,0))</f>
        <v>1</v>
      </c>
      <c r="O87" s="1">
        <f ca="1">IF(N87=1,O$3*L86/Prices!B86,O$3*M86*N87)</f>
        <v>3.6464187220879178E-2</v>
      </c>
      <c r="P87" s="14"/>
      <c r="Q87" s="9">
        <f ca="1">Q86-T87*Prices!B87</f>
        <v>0.59514543500281858</v>
      </c>
      <c r="R87" s="1">
        <f t="shared" ca="1" si="9"/>
        <v>0.31315907044575098</v>
      </c>
      <c r="S87" s="9">
        <f ca="1">IF(Prices!C86&lt;OFFSET(Prices!C86,-S$3,0),1,IF(Prices!C86&gt;OFFSET(Prices!C86,-S$3,0),-1,0))</f>
        <v>1</v>
      </c>
      <c r="T87" s="1">
        <f ca="1">IF(S87=1,T$3*Q86/Prices!B86,T$3*R86*S87)</f>
        <v>9.299031184029239E-3</v>
      </c>
      <c r="V87" s="9"/>
      <c r="W87" s="1"/>
      <c r="X87" s="1"/>
      <c r="Y87" s="1"/>
      <c r="Z87" s="1"/>
      <c r="AA87" s="1"/>
      <c r="AB87" s="1"/>
      <c r="AC87" s="1"/>
      <c r="AD87" s="1"/>
      <c r="AE87" s="16"/>
    </row>
    <row r="88" spans="1:31" x14ac:dyDescent="0.2">
      <c r="A88" s="4">
        <v>33630</v>
      </c>
      <c r="B88" s="9">
        <f ca="1">Prices!B87*(1+J88/(50*(ABS(O88)+ABS(T88)+0.0001)))</f>
        <v>1.3353215470379218</v>
      </c>
      <c r="C88" s="13">
        <f t="shared" ca="1" si="3"/>
        <v>1</v>
      </c>
      <c r="D88" s="9">
        <f ca="1">D87+C88*(Prices!B88-Prices!B87)/Prices!B87</f>
        <v>-6.5994118239125585E-2</v>
      </c>
      <c r="E88" s="9">
        <f t="shared" ca="1" si="4"/>
        <v>0.1021180694978719</v>
      </c>
      <c r="F88" s="9">
        <f t="shared" ca="1" si="5"/>
        <v>3.6123951258746317E-2</v>
      </c>
      <c r="G88" s="13">
        <f ca="1">IF((Prices!B88-Prices!B87)*B88&gt;0,1,0)</f>
        <v>0</v>
      </c>
      <c r="H88" s="9">
        <f>ABS(Prices!B88-Prices!B87)/Prices!B87</f>
        <v>1.3748854262144835E-2</v>
      </c>
      <c r="I88" s="13"/>
      <c r="J88" s="1">
        <f t="shared" ca="1" si="6"/>
        <v>4.1825953755737291E-2</v>
      </c>
      <c r="K88" s="9"/>
      <c r="L88" s="9">
        <f ca="1">L87-O88*Prices!B88</f>
        <v>0.38628988542318449</v>
      </c>
      <c r="M88" s="1">
        <f t="shared" ca="1" si="8"/>
        <v>0.4790802926846599</v>
      </c>
      <c r="N88" s="9">
        <f ca="1">IF(Prices!D87&gt;OFFSET(Prices!D87,-$N$3,0),1,IF(Prices!D87&lt;OFFSET(Prices!D87,-$N$3,0),-1,0))</f>
        <v>1</v>
      </c>
      <c r="O88" s="1">
        <f ca="1">IF(N88=1,O$3*L87/Prices!B87,O$3*M87*N88)</f>
        <v>3.2734211699476691E-2</v>
      </c>
      <c r="P88" s="14"/>
      <c r="Q88" s="9">
        <f ca="1">Q87-T88*Prices!B88</f>
        <v>0.58340617765977487</v>
      </c>
      <c r="R88" s="1">
        <f t="shared" ca="1" si="9"/>
        <v>0.3222508125020116</v>
      </c>
      <c r="S88" s="9">
        <f ca="1">IF(Prices!C87&lt;OFFSET(Prices!C87,-S$3,0),1,IF(Prices!C87&gt;OFFSET(Prices!C87,-S$3,0),-1,0))</f>
        <v>1</v>
      </c>
      <c r="T88" s="1">
        <f ca="1">IF(S88=1,T$3*Q87/Prices!B87,T$3*R87*S88)</f>
        <v>9.0917420562605968E-3</v>
      </c>
      <c r="V88" s="9"/>
      <c r="W88" s="1"/>
      <c r="X88" s="1"/>
      <c r="Y88" s="1"/>
      <c r="Z88" s="1"/>
      <c r="AA88" s="1"/>
      <c r="AB88" s="1"/>
      <c r="AC88" s="1"/>
      <c r="AD88" s="1"/>
      <c r="AE88" s="16"/>
    </row>
    <row r="89" spans="1:31" x14ac:dyDescent="0.2">
      <c r="A89" s="4">
        <v>33631</v>
      </c>
      <c r="B89" s="9">
        <f ca="1">Prices!B88*(1+J89/(50*(ABS(O89)+ABS(T89)+0.0001)))</f>
        <v>1.3078239198348396</v>
      </c>
      <c r="C89" s="13">
        <f t="shared" ca="1" si="3"/>
        <v>1</v>
      </c>
      <c r="D89" s="9">
        <f ca="1">D88+C89*(Prices!B89-Prices!B88)/Prices!B88</f>
        <v>-5.6003411919422874E-2</v>
      </c>
      <c r="E89" s="9">
        <f t="shared" ca="1" si="4"/>
        <v>9.2127363178169192E-2</v>
      </c>
      <c r="F89" s="9">
        <f t="shared" ca="1" si="5"/>
        <v>3.6123951258746317E-2</v>
      </c>
      <c r="G89" s="13">
        <f ca="1">IF((Prices!B89-Prices!B88)*B89&gt;0,1,0)</f>
        <v>1</v>
      </c>
      <c r="H89" s="9">
        <f>ABS(Prices!B89-Prices!B88)/Prices!B88</f>
        <v>9.9907063197027073E-3</v>
      </c>
      <c r="I89" s="13"/>
      <c r="J89" s="1">
        <f t="shared" ca="1" si="6"/>
        <v>2.3472106226972201E-2</v>
      </c>
      <c r="K89" s="9"/>
      <c r="L89" s="9">
        <f ca="1">L88-O89*Prices!B89</f>
        <v>0.34727496600091257</v>
      </c>
      <c r="M89" s="1">
        <f t="shared" ca="1" si="8"/>
        <v>0.5089974151616723</v>
      </c>
      <c r="N89" s="9">
        <f ca="1">IF(Prices!D88&gt;OFFSET(Prices!D88,-$N$3,0),1,IF(Prices!D88&lt;OFFSET(Prices!D88,-$N$3,0),-1,0))</f>
        <v>1</v>
      </c>
      <c r="O89" s="1">
        <f ca="1">IF(N89=1,O$3*L88/Prices!B88,O$3*M88*N89)</f>
        <v>2.9917122477012434E-2</v>
      </c>
      <c r="P89" s="14"/>
      <c r="Q89" s="9">
        <f ca="1">Q88-T89*Prices!B89</f>
        <v>0.59181112335145236</v>
      </c>
      <c r="R89" s="1">
        <f t="shared" ca="1" si="9"/>
        <v>0.31580579625197136</v>
      </c>
      <c r="S89" s="9">
        <f ca="1">IF(Prices!C88&lt;OFFSET(Prices!C88,-S$3,0),1,IF(Prices!C88&gt;OFFSET(Prices!C88,-S$3,0),-1,0))</f>
        <v>-1</v>
      </c>
      <c r="T89" s="1">
        <f ca="1">IF(S89=1,T$3*Q88/Prices!B88,T$3*R88*S89)</f>
        <v>-6.445016250040232E-3</v>
      </c>
      <c r="V89" s="9"/>
      <c r="W89" s="1"/>
      <c r="X89" s="1"/>
      <c r="Y89" s="1"/>
      <c r="Z89" s="1"/>
      <c r="AA89" s="1"/>
      <c r="AB89" s="1"/>
      <c r="AC89" s="1"/>
      <c r="AD89" s="1"/>
      <c r="AE89" s="16"/>
    </row>
    <row r="90" spans="1:31" x14ac:dyDescent="0.2">
      <c r="A90" s="4">
        <v>33632</v>
      </c>
      <c r="B90" s="9">
        <f ca="1">Prices!B89*(1+J90/(50*(ABS(O90)+ABS(T90)+0.0001)))</f>
        <v>1.2780635057311613</v>
      </c>
      <c r="C90" s="13">
        <f t="shared" ca="1" si="3"/>
        <v>-1</v>
      </c>
      <c r="D90" s="9">
        <f ca="1">D89+C90*(Prices!B90-Prices!B89)/Prices!B89</f>
        <v>-6.0834329793818989E-2</v>
      </c>
      <c r="E90" s="9">
        <f t="shared" ca="1" si="4"/>
        <v>9.6958281052565307E-2</v>
      </c>
      <c r="F90" s="9">
        <f t="shared" ca="1" si="5"/>
        <v>3.6123951258746317E-2</v>
      </c>
      <c r="G90" s="13">
        <f ca="1">IF((Prices!B90-Prices!B89)*B90&gt;0,1,0)</f>
        <v>1</v>
      </c>
      <c r="H90" s="9">
        <f>ABS(Prices!B90-Prices!B89)/Prices!B89</f>
        <v>4.8309178743961142E-3</v>
      </c>
      <c r="I90" s="13"/>
      <c r="J90" s="1">
        <f t="shared" ca="1" si="6"/>
        <v>-5.7215857441206663E-2</v>
      </c>
      <c r="K90" s="9"/>
      <c r="L90" s="9">
        <f ca="1">L89-O90*Prices!B90</f>
        <v>0.41397398728369811</v>
      </c>
      <c r="M90" s="1">
        <f t="shared" ca="1" si="8"/>
        <v>0.45809767364550508</v>
      </c>
      <c r="N90" s="9">
        <f ca="1">IF(Prices!D89&gt;OFFSET(Prices!D89,-$N$3,0),1,IF(Prices!D89&lt;OFFSET(Prices!D89,-$N$3,0),-1,0))</f>
        <v>-1</v>
      </c>
      <c r="O90" s="1">
        <f ca="1">IF(N90=1,O$3*L89/Prices!B89,O$3*M89*N90)</f>
        <v>-5.0899741516167232E-2</v>
      </c>
      <c r="P90" s="14"/>
      <c r="Q90" s="9">
        <f ca="1">Q89-T90*Prices!B90</f>
        <v>0.60008776165962407</v>
      </c>
      <c r="R90" s="1">
        <f t="shared" ca="1" si="9"/>
        <v>0.30948968032693192</v>
      </c>
      <c r="S90" s="9">
        <f ca="1">IF(Prices!C89&lt;OFFSET(Prices!C89,-S$3,0),1,IF(Prices!C89&gt;OFFSET(Prices!C89,-S$3,0),-1,0))</f>
        <v>-1</v>
      </c>
      <c r="T90" s="1">
        <f ca="1">IF(S90=1,T$3*Q89/Prices!B89,T$3*R89*S90)</f>
        <v>-6.3161159250394276E-3</v>
      </c>
      <c r="V90" s="9"/>
      <c r="W90" s="1"/>
      <c r="X90" s="1"/>
      <c r="Y90" s="1"/>
      <c r="Z90" s="1"/>
      <c r="AA90" s="1"/>
      <c r="AB90" s="1"/>
      <c r="AC90" s="1"/>
      <c r="AD90" s="1"/>
      <c r="AE90" s="16"/>
    </row>
    <row r="91" spans="1:31" x14ac:dyDescent="0.2">
      <c r="A91" s="4">
        <v>33633</v>
      </c>
      <c r="B91" s="9">
        <f ca="1">Prices!B90*(1+J91/(50*(ABS(O91)+ABS(T91)+0.0001)))</f>
        <v>1.3279740366808475</v>
      </c>
      <c r="C91" s="13">
        <f t="shared" ca="1" si="3"/>
        <v>1</v>
      </c>
      <c r="D91" s="9">
        <f ca="1">D90+C91*(Prices!B91-Prices!B90)/Prices!B90</f>
        <v>-7.5410031869521152E-2</v>
      </c>
      <c r="E91" s="9">
        <f t="shared" ca="1" si="4"/>
        <v>0.11153398312826747</v>
      </c>
      <c r="F91" s="9">
        <f t="shared" ca="1" si="5"/>
        <v>3.6123951258746317E-2</v>
      </c>
      <c r="G91" s="13">
        <f ca="1">IF((Prices!B91-Prices!B90)*B91&gt;0,1,0)</f>
        <v>0</v>
      </c>
      <c r="H91" s="9">
        <f>ABS(Prices!B91-Prices!B90)/Prices!B90</f>
        <v>1.4575702075702164E-2</v>
      </c>
      <c r="I91" s="13"/>
      <c r="J91" s="1">
        <f t="shared" ca="1" si="6"/>
        <v>2.540162788947007E-2</v>
      </c>
      <c r="K91" s="9"/>
      <c r="L91" s="9">
        <f ca="1">L90-O91*Prices!B91</f>
        <v>0.37317998470590208</v>
      </c>
      <c r="M91" s="1">
        <f t="shared" ca="1" si="8"/>
        <v>0.48968909514151376</v>
      </c>
      <c r="N91" s="9">
        <f ca="1">IF(Prices!D90&gt;OFFSET(Prices!D90,-$N$3,0),1,IF(Prices!D90&lt;OFFSET(Prices!D90,-$N$3,0),-1,0))</f>
        <v>1</v>
      </c>
      <c r="O91" s="1">
        <f ca="1">IF(N91=1,O$3*L90/Prices!B90,O$3*M90*N91)</f>
        <v>3.1591421496008708E-2</v>
      </c>
      <c r="P91" s="14"/>
      <c r="Q91" s="9">
        <f ca="1">Q90-T91*Prices!B91</f>
        <v>0.60808064214374746</v>
      </c>
      <c r="R91" s="1">
        <f t="shared" ca="1" si="9"/>
        <v>0.30329988672039326</v>
      </c>
      <c r="S91" s="9">
        <f ca="1">IF(Prices!C90&lt;OFFSET(Prices!C90,-S$3,0),1,IF(Prices!C90&gt;OFFSET(Prices!C90,-S$3,0),-1,0))</f>
        <v>-1</v>
      </c>
      <c r="T91" s="1">
        <f ca="1">IF(S91=1,T$3*Q90/Prices!B90,T$3*R90*S91)</f>
        <v>-6.1897936065386386E-3</v>
      </c>
      <c r="V91" s="9"/>
      <c r="W91" s="1"/>
      <c r="X91" s="1"/>
      <c r="Y91" s="1"/>
      <c r="Z91" s="1"/>
      <c r="AA91" s="1"/>
      <c r="AB91" s="1"/>
      <c r="AC91" s="1"/>
      <c r="AD91" s="1"/>
      <c r="AE91" s="16"/>
    </row>
    <row r="92" spans="1:31" x14ac:dyDescent="0.2">
      <c r="A92" s="4">
        <v>33634</v>
      </c>
      <c r="B92" s="9">
        <f ca="1">Prices!B91*(1+J92/(50*(ABS(O92)+ABS(T92)+0.0001)))</f>
        <v>1.3081170590673106</v>
      </c>
      <c r="C92" s="13">
        <f t="shared" ca="1" si="3"/>
        <v>1</v>
      </c>
      <c r="D92" s="9">
        <f ca="1">D91+C92*(Prices!B92-Prices!B91)/Prices!B91</f>
        <v>-7.0686110240155225E-2</v>
      </c>
      <c r="E92" s="9">
        <f t="shared" ca="1" si="4"/>
        <v>0.10681006149890154</v>
      </c>
      <c r="F92" s="9">
        <f t="shared" ca="1" si="5"/>
        <v>3.6123951258746317E-2</v>
      </c>
      <c r="G92" s="13">
        <f ca="1">IF((Prices!B92-Prices!B91)*B92&gt;0,1,0)</f>
        <v>1</v>
      </c>
      <c r="H92" s="9">
        <f>ABS(Prices!B92-Prices!B91)/Prices!B91</f>
        <v>4.7239216293659238E-3</v>
      </c>
      <c r="I92" s="13"/>
      <c r="J92" s="1">
        <f t="shared" ca="1" si="6"/>
        <v>2.2833559665569068E-2</v>
      </c>
      <c r="K92" s="9"/>
      <c r="L92" s="9">
        <f ca="1">L91-O92*Prices!B92</f>
        <v>0.33568569893517197</v>
      </c>
      <c r="M92" s="1">
        <f t="shared" ca="1" si="8"/>
        <v>0.51858865254149067</v>
      </c>
      <c r="N92" s="9">
        <f ca="1">IF(Prices!D91&gt;OFFSET(Prices!D91,-$N$3,0),1,IF(Prices!D91&lt;OFFSET(Prices!D91,-$N$3,0),-1,0))</f>
        <v>1</v>
      </c>
      <c r="O92" s="1">
        <f ca="1">IF(N92=1,O$3*L91/Prices!B91,O$3*M91*N92)</f>
        <v>2.8899557399976933E-2</v>
      </c>
      <c r="P92" s="14"/>
      <c r="Q92" s="9">
        <f ca="1">Q91-T92*Prices!B92</f>
        <v>0.61595066760436823</v>
      </c>
      <c r="R92" s="1">
        <f t="shared" ca="1" si="9"/>
        <v>0.29723388898598541</v>
      </c>
      <c r="S92" s="9">
        <f ca="1">IF(Prices!C91&lt;OFFSET(Prices!C91,-S$3,0),1,IF(Prices!C91&gt;OFFSET(Prices!C91,-S$3,0),-1,0))</f>
        <v>-1</v>
      </c>
      <c r="T92" s="1">
        <f ca="1">IF(S92=1,T$3*Q91/Prices!B91,T$3*R91*S92)</f>
        <v>-6.0659977344078653E-3</v>
      </c>
      <c r="V92" s="9"/>
      <c r="W92" s="1"/>
      <c r="X92" s="1"/>
      <c r="Y92" s="1"/>
      <c r="Z92" s="1"/>
      <c r="AA92" s="1"/>
      <c r="AB92" s="1"/>
      <c r="AC92" s="1"/>
      <c r="AD92" s="1"/>
      <c r="AE92" s="16"/>
    </row>
    <row r="93" spans="1:31" x14ac:dyDescent="0.2">
      <c r="A93" s="4">
        <v>33637</v>
      </c>
      <c r="B93" s="9">
        <f ca="1">Prices!B92*(1+J93/(50*(ABS(O93)+ABS(T93)+0.0001)))</f>
        <v>1.313601277799457</v>
      </c>
      <c r="C93" s="13">
        <f t="shared" ca="1" si="3"/>
        <v>1</v>
      </c>
      <c r="D93" s="9">
        <f ca="1">D92+C93*(Prices!B93-Prices!B92)/Prices!B92</f>
        <v>-6.6909325902248712E-2</v>
      </c>
      <c r="E93" s="9">
        <f t="shared" ca="1" si="4"/>
        <v>0.10303327716099503</v>
      </c>
      <c r="F93" s="9">
        <f t="shared" ca="1" si="5"/>
        <v>3.6123951258746317E-2</v>
      </c>
      <c r="G93" s="13">
        <f ca="1">IF((Prices!B93-Prices!B92)*B93&gt;0,1,0)</f>
        <v>1</v>
      </c>
      <c r="H93" s="9">
        <f>ABS(Prices!B93-Prices!B92)/Prices!B92</f>
        <v>3.7767843379065084E-3</v>
      </c>
      <c r="I93" s="13"/>
      <c r="J93" s="1">
        <f t="shared" ca="1" si="6"/>
        <v>1.9929046510026856E-2</v>
      </c>
      <c r="K93" s="9"/>
      <c r="L93" s="9">
        <f ca="1">L92-O93*Prices!B93</f>
        <v>0.30199034779263501</v>
      </c>
      <c r="M93" s="1">
        <f t="shared" ca="1" si="8"/>
        <v>0.54446237683123722</v>
      </c>
      <c r="N93" s="9">
        <f ca="1">IF(Prices!D92&gt;OFFSET(Prices!D92,-$N$3,0),1,IF(Prices!D92&lt;OFFSET(Prices!D92,-$N$3,0),-1,0))</f>
        <v>1</v>
      </c>
      <c r="O93" s="1">
        <f ca="1">IF(N93=1,O$3*L92/Prices!B92,O$3*M92*N93)</f>
        <v>2.5873724289746564E-2</v>
      </c>
      <c r="P93" s="14"/>
      <c r="Q93" s="9">
        <f ca="1">Q92-T93*Prices!B93</f>
        <v>0.62369242147689719</v>
      </c>
      <c r="R93" s="1">
        <f t="shared" ca="1" si="9"/>
        <v>0.29128921120626572</v>
      </c>
      <c r="S93" s="9">
        <f ca="1">IF(Prices!C92&lt;OFFSET(Prices!C92,-S$3,0),1,IF(Prices!C92&gt;OFFSET(Prices!C92,-S$3,0),-1,0))</f>
        <v>-1</v>
      </c>
      <c r="T93" s="1">
        <f ca="1">IF(S93=1,T$3*Q92/Prices!B92,T$3*R92*S93)</f>
        <v>-5.9446777797197078E-3</v>
      </c>
      <c r="V93" s="9"/>
      <c r="W93" s="1"/>
      <c r="X93" s="1"/>
      <c r="Y93" s="1"/>
      <c r="Z93" s="1"/>
      <c r="AA93" s="1"/>
      <c r="AB93" s="1"/>
      <c r="AC93" s="1"/>
      <c r="AD93" s="1"/>
      <c r="AE93" s="16"/>
    </row>
    <row r="94" spans="1:31" x14ac:dyDescent="0.2">
      <c r="A94" s="4">
        <v>33638</v>
      </c>
      <c r="B94" s="9">
        <f ca="1">Prices!B93*(1+J94/(50*(ABS(O94)+ABS(T94)+0.0001)))</f>
        <v>1.3178330815868988</v>
      </c>
      <c r="C94" s="13">
        <f t="shared" ca="1" si="3"/>
        <v>1</v>
      </c>
      <c r="D94" s="9">
        <f ca="1">D93+C94*(Prices!B94-Prices!B93)/Prices!B93</f>
        <v>-6.2993177549334728E-2</v>
      </c>
      <c r="E94" s="9">
        <f t="shared" ca="1" si="4"/>
        <v>9.9117128808081045E-2</v>
      </c>
      <c r="F94" s="9">
        <f t="shared" ca="1" si="5"/>
        <v>3.6123951258746317E-2</v>
      </c>
      <c r="G94" s="13">
        <f ca="1">IF((Prices!B94-Prices!B93)*B94&gt;0,1,0)</f>
        <v>1</v>
      </c>
      <c r="H94" s="9">
        <f>ABS(Prices!B94-Prices!B93)/Prices!B93</f>
        <v>3.9161483529139849E-3</v>
      </c>
      <c r="I94" s="13"/>
      <c r="J94" s="1">
        <f t="shared" ca="1" si="6"/>
        <v>1.7363215836738929E-2</v>
      </c>
      <c r="K94" s="9"/>
      <c r="L94" s="9">
        <f ca="1">L93-O94*Prices!B94</f>
        <v>0.27167304911306112</v>
      </c>
      <c r="M94" s="1">
        <f t="shared" ca="1" si="8"/>
        <v>0.56765137689210143</v>
      </c>
      <c r="N94" s="9">
        <f ca="1">IF(Prices!D93&gt;OFFSET(Prices!D93,-$N$3,0),1,IF(Prices!D93&lt;OFFSET(Prices!D93,-$N$3,0),-1,0))</f>
        <v>1</v>
      </c>
      <c r="O94" s="1">
        <f ca="1">IF(N94=1,O$3*L93/Prices!B93,O$3*M93*N94)</f>
        <v>2.3189000060864242E-2</v>
      </c>
      <c r="P94" s="14"/>
      <c r="Q94" s="9">
        <f ca="1">Q93-T94*Prices!B94</f>
        <v>0.63130905177151864</v>
      </c>
      <c r="R94" s="1">
        <f t="shared" ca="1" si="9"/>
        <v>0.28546342698214039</v>
      </c>
      <c r="S94" s="9">
        <f ca="1">IF(Prices!C93&lt;OFFSET(Prices!C93,-S$3,0),1,IF(Prices!C93&gt;OFFSET(Prices!C93,-S$3,0),-1,0))</f>
        <v>-1</v>
      </c>
      <c r="T94" s="1">
        <f ca="1">IF(S94=1,T$3*Q93/Prices!B93,T$3*R93*S94)</f>
        <v>-5.8257842241253143E-3</v>
      </c>
      <c r="V94" s="9"/>
      <c r="W94" s="1"/>
      <c r="X94" s="1"/>
      <c r="Y94" s="1"/>
      <c r="Z94" s="1"/>
      <c r="AA94" s="1"/>
      <c r="AB94" s="1"/>
      <c r="AC94" s="1"/>
      <c r="AD94" s="1"/>
      <c r="AE94" s="16"/>
    </row>
    <row r="95" spans="1:31" x14ac:dyDescent="0.2">
      <c r="A95" s="4">
        <v>33639</v>
      </c>
      <c r="B95" s="9">
        <f ca="1">Prices!B94*(1+J95/(50*(ABS(O95)+ABS(T95)+0.0001)))</f>
        <v>1.2812937870525281</v>
      </c>
      <c r="C95" s="13">
        <f t="shared" ca="1" si="3"/>
        <v>-1</v>
      </c>
      <c r="D95" s="9">
        <f ca="1">D94+C95*(Prices!B95-Prices!B94)/Prices!B94</f>
        <v>-6.7200000250879827E-2</v>
      </c>
      <c r="E95" s="9">
        <f t="shared" ca="1" si="4"/>
        <v>0.10332395150962614</v>
      </c>
      <c r="F95" s="9">
        <f t="shared" ca="1" si="5"/>
        <v>3.6123951258746317E-2</v>
      </c>
      <c r="G95" s="13">
        <f ca="1">IF((Prices!B95-Prices!B94)*B95&gt;0,1,0)</f>
        <v>1</v>
      </c>
      <c r="H95" s="9">
        <f>ABS(Prices!B95-Prices!B94)/Prices!B94</f>
        <v>4.2068227015450979E-3</v>
      </c>
      <c r="I95" s="13"/>
      <c r="J95" s="1">
        <f t="shared" ca="1" si="6"/>
        <v>-6.2474406228852954E-2</v>
      </c>
      <c r="K95" s="9"/>
      <c r="L95" s="9">
        <f ca="1">L94-O95*Prices!B95</f>
        <v>0.34619999838522508</v>
      </c>
      <c r="M95" s="1">
        <f t="shared" ca="1" si="8"/>
        <v>0.51088623920289133</v>
      </c>
      <c r="N95" s="9">
        <f ca="1">IF(Prices!D94&gt;OFFSET(Prices!D94,-$N$3,0),1,IF(Prices!D94&lt;OFFSET(Prices!D94,-$N$3,0),-1,0))</f>
        <v>-1</v>
      </c>
      <c r="O95" s="1">
        <f ca="1">IF(N95=1,O$3*L94/Prices!B94,O$3*M94*N95)</f>
        <v>-5.6765137689210148E-2</v>
      </c>
      <c r="P95" s="14"/>
      <c r="Q95" s="9">
        <f ca="1">Q94-T95*Prices!B95</f>
        <v>0.63880475043721563</v>
      </c>
      <c r="R95" s="1">
        <f t="shared" ca="1" si="9"/>
        <v>0.27975415844249757</v>
      </c>
      <c r="S95" s="9">
        <f ca="1">IF(Prices!C94&lt;OFFSET(Prices!C94,-S$3,0),1,IF(Prices!C94&gt;OFFSET(Prices!C94,-S$3,0),-1,0))</f>
        <v>-1</v>
      </c>
      <c r="T95" s="1">
        <f ca="1">IF(S95=1,T$3*Q94/Prices!B94,T$3*R94*S95)</f>
        <v>-5.7092685396428079E-3</v>
      </c>
      <c r="V95" s="9"/>
      <c r="W95" s="1"/>
      <c r="X95" s="1"/>
      <c r="Y95" s="1"/>
      <c r="Z95" s="1"/>
      <c r="AA95" s="1"/>
      <c r="AB95" s="1"/>
      <c r="AC95" s="1"/>
      <c r="AD95" s="1"/>
      <c r="AE95" s="16"/>
    </row>
    <row r="96" spans="1:31" x14ac:dyDescent="0.2">
      <c r="A96" s="4">
        <v>33640</v>
      </c>
      <c r="B96" s="9">
        <f ca="1">Prices!B95*(1+J96/(50*(ABS(O96)+ABS(T96)+0.0001)))</f>
        <v>1.2950738954168584</v>
      </c>
      <c r="C96" s="13">
        <f t="shared" ca="1" si="3"/>
        <v>-1</v>
      </c>
      <c r="D96" s="9">
        <f ca="1">D95+C96*(Prices!B96-Prices!B95)/Prices!B95</f>
        <v>-7.1541534259562917E-2</v>
      </c>
      <c r="E96" s="9">
        <f t="shared" ca="1" si="4"/>
        <v>0.10766548551830923</v>
      </c>
      <c r="F96" s="9">
        <f t="shared" ca="1" si="5"/>
        <v>3.6123951258746317E-2</v>
      </c>
      <c r="G96" s="13">
        <f ca="1">IF((Prices!B96-Prices!B95)*B96&gt;0,1,0)</f>
        <v>1</v>
      </c>
      <c r="H96" s="9">
        <f>ABS(Prices!B96-Prices!B95)/Prices!B95</f>
        <v>4.341534008683097E-3</v>
      </c>
      <c r="I96" s="13"/>
      <c r="J96" s="1">
        <f t="shared" ca="1" si="6"/>
        <v>-4.13574219942138E-2</v>
      </c>
      <c r="K96" s="9"/>
      <c r="L96" s="9">
        <f ca="1">L95-O96*Prices!B96</f>
        <v>0.41356545788651833</v>
      </c>
      <c r="M96" s="1">
        <f t="shared" ca="1" si="8"/>
        <v>0.45979761528260221</v>
      </c>
      <c r="N96" s="9">
        <f ca="1">IF(Prices!D95&gt;OFFSET(Prices!D95,-$N$3,0),1,IF(Prices!D95&lt;OFFSET(Prices!D95,-$N$3,0),-1,0))</f>
        <v>-1</v>
      </c>
      <c r="O96" s="1">
        <f ca="1">IF(N96=1,O$3*L95/Prices!B95,O$3*M95*N96)</f>
        <v>-5.1088623920289136E-2</v>
      </c>
      <c r="P96" s="14"/>
      <c r="Q96" s="9">
        <f ca="1">Q95-T96*Prices!B96</f>
        <v>0.62597318757749265</v>
      </c>
      <c r="R96" s="1">
        <f t="shared" ca="1" si="9"/>
        <v>0.28948536036857292</v>
      </c>
      <c r="S96" s="9">
        <f ca="1">IF(Prices!C95&lt;OFFSET(Prices!C95,-S$3,0),1,IF(Prices!C95&gt;OFFSET(Prices!C95,-S$3,0),-1,0))</f>
        <v>1</v>
      </c>
      <c r="T96" s="1">
        <f ca="1">IF(S96=1,T$3*Q95/Prices!B95,T$3*R95*S96)</f>
        <v>9.7312019260753398E-3</v>
      </c>
      <c r="V96" s="9"/>
      <c r="W96" s="1"/>
      <c r="X96" s="1"/>
      <c r="Y96" s="1"/>
      <c r="Z96" s="1"/>
      <c r="AA96" s="1"/>
      <c r="AB96" s="1"/>
      <c r="AC96" s="1"/>
      <c r="AD96" s="1"/>
      <c r="AE96" s="16"/>
    </row>
    <row r="97" spans="1:31" x14ac:dyDescent="0.2">
      <c r="A97" s="4">
        <v>33641</v>
      </c>
      <c r="B97" s="9">
        <f ca="1">Prices!B96*(1+J97/(50*(ABS(O97)+ABS(T97)+0.0001)))</f>
        <v>1.2922788430115881</v>
      </c>
      <c r="C97" s="13">
        <f t="shared" ca="1" si="3"/>
        <v>-1</v>
      </c>
      <c r="D97" s="9">
        <f ca="1">D96+C97*(Prices!B97-Prices!B96)/Prices!B96</f>
        <v>-8.1400475560943097E-2</v>
      </c>
      <c r="E97" s="9">
        <f t="shared" ca="1" si="4"/>
        <v>0.11752442681968941</v>
      </c>
      <c r="F97" s="9">
        <f t="shared" ca="1" si="5"/>
        <v>3.6123951258746317E-2</v>
      </c>
      <c r="G97" s="13">
        <f ca="1">IF((Prices!B97-Prices!B96)*B97&gt;0,1,0)</f>
        <v>1</v>
      </c>
      <c r="H97" s="9">
        <f>ABS(Prices!B97-Prices!B96)/Prices!B96</f>
        <v>9.8589413013801756E-3</v>
      </c>
      <c r="I97" s="13"/>
      <c r="J97" s="1">
        <f t="shared" ca="1" si="6"/>
        <v>-5.176946873563168E-2</v>
      </c>
      <c r="K97" s="9"/>
      <c r="L97" s="9">
        <f ca="1">L96-O97*Prices!B97</f>
        <v>0.47479210833754965</v>
      </c>
      <c r="M97" s="1">
        <f t="shared" ca="1" si="8"/>
        <v>0.41381785375434199</v>
      </c>
      <c r="N97" s="9">
        <f ca="1">IF(Prices!D96&gt;OFFSET(Prices!D96,-$N$3,0),1,IF(Prices!D96&lt;OFFSET(Prices!D96,-$N$3,0),-1,0))</f>
        <v>-1</v>
      </c>
      <c r="O97" s="1">
        <f ca="1">IF(N97=1,O$3*L96/Prices!B96,O$3*M96*N97)</f>
        <v>-4.5979761528260221E-2</v>
      </c>
      <c r="P97" s="14"/>
      <c r="Q97" s="9">
        <f ca="1">Q96-T97*Prices!B97</f>
        <v>0.63368276169482851</v>
      </c>
      <c r="R97" s="1">
        <f t="shared" ca="1" si="9"/>
        <v>0.28369565316120149</v>
      </c>
      <c r="S97" s="9">
        <f ca="1">IF(Prices!C96&lt;OFFSET(Prices!C96,-S$3,0),1,IF(Prices!C96&gt;OFFSET(Prices!C96,-S$3,0),-1,0))</f>
        <v>-1</v>
      </c>
      <c r="T97" s="1">
        <f ca="1">IF(S97=1,T$3*Q96/Prices!B96,T$3*R96*S97)</f>
        <v>-5.7897072073714584E-3</v>
      </c>
      <c r="V97" s="9"/>
      <c r="W97" s="1"/>
      <c r="X97" s="1"/>
      <c r="Y97" s="1"/>
      <c r="Z97" s="1"/>
      <c r="AA97" s="1"/>
      <c r="AB97" s="1"/>
      <c r="AC97" s="1"/>
      <c r="AD97" s="1"/>
      <c r="AE97" s="16"/>
    </row>
    <row r="98" spans="1:31" x14ac:dyDescent="0.2">
      <c r="A98" s="4">
        <v>33644</v>
      </c>
      <c r="B98" s="9">
        <f ca="1">Prices!B97*(1+J98/(50*(ABS(O98)+ABS(T98)+0.0001)))</f>
        <v>1.3149604589771411</v>
      </c>
      <c r="C98" s="13">
        <f t="shared" ca="1" si="3"/>
        <v>-1</v>
      </c>
      <c r="D98" s="9">
        <f ca="1">D97+C98*(Prices!B98-Prices!B97)/Prices!B97</f>
        <v>-7.7420301334448757E-2</v>
      </c>
      <c r="E98" s="9">
        <f t="shared" ca="1" si="4"/>
        <v>0.11354425259319507</v>
      </c>
      <c r="F98" s="9">
        <f t="shared" ca="1" si="5"/>
        <v>3.6123951258746317E-2</v>
      </c>
      <c r="G98" s="13">
        <f ca="1">IF((Prices!B98-Prices!B97)*B98&gt;0,1,0)</f>
        <v>0</v>
      </c>
      <c r="H98" s="9">
        <f>ABS(Prices!B98-Prices!B97)/Prices!B97</f>
        <v>3.9801742264943384E-3</v>
      </c>
      <c r="I98" s="13"/>
      <c r="J98" s="1">
        <f t="shared" ca="1" si="6"/>
        <v>-3.1864171051390514E-2</v>
      </c>
      <c r="K98" s="9"/>
      <c r="L98" s="9">
        <f ca="1">L97-O98*Prices!B98</f>
        <v>0.52967677028098803</v>
      </c>
      <c r="M98" s="1">
        <f t="shared" ca="1" si="8"/>
        <v>0.3724360683789078</v>
      </c>
      <c r="N98" s="9">
        <f ca="1">IF(Prices!D97&gt;OFFSET(Prices!D97,-$N$3,0),1,IF(Prices!D97&lt;OFFSET(Prices!D97,-$N$3,0),-1,0))</f>
        <v>-1</v>
      </c>
      <c r="O98" s="1">
        <f ca="1">IF(N98=1,O$3*L97/Prices!B97,O$3*M97*N98)</f>
        <v>-4.1381785375434202E-2</v>
      </c>
      <c r="P98" s="14"/>
      <c r="Q98" s="9">
        <f ca="1">Q97-T98*Prices!B98</f>
        <v>0.62105954981684941</v>
      </c>
      <c r="R98" s="1">
        <f t="shared" ca="1" si="9"/>
        <v>0.29321326748524518</v>
      </c>
      <c r="S98" s="9">
        <f ca="1">IF(Prices!C97&lt;OFFSET(Prices!C97,-S$3,0),1,IF(Prices!C97&gt;OFFSET(Prices!C97,-S$3,0),-1,0))</f>
        <v>1</v>
      </c>
      <c r="T98" s="1">
        <f ca="1">IF(S98=1,T$3*Q97/Prices!B97,T$3*R97*S98)</f>
        <v>9.5176143240436866E-3</v>
      </c>
      <c r="V98" s="9"/>
      <c r="W98" s="1"/>
      <c r="X98" s="1"/>
      <c r="Y98" s="1"/>
      <c r="Z98" s="1"/>
      <c r="AA98" s="1"/>
      <c r="AB98" s="1"/>
      <c r="AC98" s="1"/>
      <c r="AD98" s="1"/>
      <c r="AE98" s="16"/>
    </row>
    <row r="99" spans="1:31" x14ac:dyDescent="0.2">
      <c r="A99" s="4">
        <v>33645</v>
      </c>
      <c r="B99" s="9">
        <f ca="1">Prices!B98*(1+J99/(50*(ABS(O99)+ABS(T99)+0.0001)))</f>
        <v>1.3459902940286919</v>
      </c>
      <c r="C99" s="13">
        <f t="shared" ca="1" si="3"/>
        <v>1</v>
      </c>
      <c r="D99" s="9">
        <f ca="1">D98+C99*(Prices!B99-Prices!B98)/Prices!B98</f>
        <v>-8.8579164336786032E-2</v>
      </c>
      <c r="E99" s="9">
        <f t="shared" ca="1" si="4"/>
        <v>0.12470311559553235</v>
      </c>
      <c r="F99" s="9">
        <f t="shared" ca="1" si="5"/>
        <v>3.6123951258746317E-2</v>
      </c>
      <c r="G99" s="13">
        <f ca="1">IF((Prices!B99-Prices!B98)*B99&gt;0,1,0)</f>
        <v>0</v>
      </c>
      <c r="H99" s="9">
        <f>ABS(Prices!B99-Prices!B98)/Prices!B98</f>
        <v>1.1158863002337273E-2</v>
      </c>
      <c r="I99" s="13"/>
      <c r="J99" s="1">
        <f t="shared" ca="1" si="6"/>
        <v>3.407215704952514E-2</v>
      </c>
      <c r="K99" s="9"/>
      <c r="L99" s="9">
        <f ca="1">L98-O99*Prices!B99</f>
        <v>0.47730015230439782</v>
      </c>
      <c r="M99" s="1">
        <f t="shared" ca="1" si="8"/>
        <v>0.41237249077813787</v>
      </c>
      <c r="N99" s="9">
        <f ca="1">IF(Prices!D98&gt;OFFSET(Prices!D98,-$N$3,0),1,IF(Prices!D98&lt;OFFSET(Prices!D98,-$N$3,0),-1,0))</f>
        <v>1</v>
      </c>
      <c r="O99" s="1">
        <f ca="1">IF(N99=1,O$3*L98/Prices!B98,O$3*M98*N99)</f>
        <v>3.9936422399230044E-2</v>
      </c>
      <c r="P99" s="14"/>
      <c r="Q99" s="9">
        <f ca="1">Q98-T99*Prices!B99</f>
        <v>0.6287505338229874</v>
      </c>
      <c r="R99" s="1">
        <f t="shared" ca="1" si="9"/>
        <v>0.28734900213554027</v>
      </c>
      <c r="S99" s="9">
        <f ca="1">IF(Prices!C98&lt;OFFSET(Prices!C98,-S$3,0),1,IF(Prices!C98&gt;OFFSET(Prices!C98,-S$3,0),-1,0))</f>
        <v>-1</v>
      </c>
      <c r="T99" s="1">
        <f ca="1">IF(S99=1,T$3*Q98/Prices!B98,T$3*R98*S99)</f>
        <v>-5.8642653497049035E-3</v>
      </c>
      <c r="V99" s="9"/>
      <c r="W99" s="1"/>
      <c r="X99" s="1"/>
      <c r="Y99" s="1"/>
      <c r="Z99" s="1"/>
      <c r="AA99" s="1"/>
      <c r="AB99" s="1"/>
      <c r="AC99" s="1"/>
      <c r="AD99" s="1"/>
      <c r="AE99" s="16"/>
    </row>
    <row r="100" spans="1:31" x14ac:dyDescent="0.2">
      <c r="A100" s="4">
        <v>33646</v>
      </c>
      <c r="B100" s="9">
        <f ca="1">Prices!B99*(1+J100/(50*(ABS(O100)+ABS(T100)+0.0001)))</f>
        <v>1.3305305102638283</v>
      </c>
      <c r="C100" s="13">
        <f t="shared" ca="1" si="3"/>
        <v>1</v>
      </c>
      <c r="D100" s="9">
        <f ca="1">D99+C100*(Prices!B100-Prices!B99)/Prices!B99</f>
        <v>-0.10055018988005712</v>
      </c>
      <c r="E100" s="9">
        <f t="shared" ca="1" si="4"/>
        <v>0.13667414113880344</v>
      </c>
      <c r="F100" s="9">
        <f t="shared" ca="1" si="5"/>
        <v>3.6123951258746317E-2</v>
      </c>
      <c r="G100" s="13">
        <f ca="1">IF((Prices!B100-Prices!B99)*B100&gt;0,1,0)</f>
        <v>0</v>
      </c>
      <c r="H100" s="9">
        <f>ABS(Prices!B100-Prices!B99)/Prices!B99</f>
        <v>1.1971025543271098E-2</v>
      </c>
      <c r="I100" s="13"/>
      <c r="J100" s="1">
        <f t="shared" ca="1" si="6"/>
        <v>3.0646474193232603E-2</v>
      </c>
      <c r="K100" s="9"/>
      <c r="L100" s="9">
        <f ca="1">L99-O100*Prices!B100</f>
        <v>0.43014151430546232</v>
      </c>
      <c r="M100" s="1">
        <f t="shared" ca="1" si="8"/>
        <v>0.44876594501408129</v>
      </c>
      <c r="N100" s="9">
        <f ca="1">IF(Prices!D99&gt;OFFSET(Prices!D99,-$N$3,0),1,IF(Prices!D99&lt;OFFSET(Prices!D99,-$N$3,0),-1,0))</f>
        <v>1</v>
      </c>
      <c r="O100" s="1">
        <f ca="1">IF(N100=1,O$3*L99/Prices!B99,O$3*M99*N100)</f>
        <v>3.6393454235943409E-2</v>
      </c>
      <c r="P100" s="14"/>
      <c r="Q100" s="9">
        <f ca="1">Q99-T100*Prices!B100</f>
        <v>0.63619747056233211</v>
      </c>
      <c r="R100" s="1">
        <f t="shared" ca="1" si="9"/>
        <v>0.28160202209282947</v>
      </c>
      <c r="S100" s="9">
        <f ca="1">IF(Prices!C99&lt;OFFSET(Prices!C99,-S$3,0),1,IF(Prices!C99&gt;OFFSET(Prices!C99,-S$3,0),-1,0))</f>
        <v>-1</v>
      </c>
      <c r="T100" s="1">
        <f ca="1">IF(S100=1,T$3*Q99/Prices!B99,T$3*R99*S100)</f>
        <v>-5.746980042710805E-3</v>
      </c>
      <c r="V100" s="9"/>
      <c r="W100" s="1"/>
      <c r="X100" s="1"/>
      <c r="Y100" s="1"/>
      <c r="Z100" s="1"/>
      <c r="AA100" s="1"/>
      <c r="AB100" s="1"/>
      <c r="AC100" s="1"/>
      <c r="AD100" s="1"/>
      <c r="AE100" s="16"/>
    </row>
    <row r="101" spans="1:31" x14ac:dyDescent="0.2">
      <c r="A101" s="4">
        <v>33647</v>
      </c>
      <c r="B101" s="9">
        <f ca="1">Prices!B100*(1+J101/(50*(ABS(O101)+ABS(T101)+0.0001)))</f>
        <v>1.3141502794720545</v>
      </c>
      <c r="C101" s="13">
        <f t="shared" ca="1" si="3"/>
        <v>1</v>
      </c>
      <c r="D101" s="9">
        <f ca="1">D100+C101*(Prices!B101-Prices!B100)/Prices!B100</f>
        <v>-0.10965653345159597</v>
      </c>
      <c r="E101" s="9">
        <f t="shared" ca="1" si="4"/>
        <v>0.14578048471034227</v>
      </c>
      <c r="F101" s="9">
        <f t="shared" ca="1" si="5"/>
        <v>3.6123951258746317E-2</v>
      </c>
      <c r="G101" s="13">
        <f ca="1">IF((Prices!B101-Prices!B100)*B101&gt;0,1,0)</f>
        <v>0</v>
      </c>
      <c r="H101" s="9">
        <f>ABS(Prices!B101-Prices!B100)/Prices!B100</f>
        <v>9.1063435715388417E-3</v>
      </c>
      <c r="I101" s="13"/>
      <c r="J101" s="1">
        <f t="shared" ca="1" si="6"/>
        <v>2.7563013911088487E-2</v>
      </c>
      <c r="K101" s="9"/>
      <c r="L101" s="9">
        <f ca="1">L100-O101*Prices!B101</f>
        <v>0.38751906451628082</v>
      </c>
      <c r="M101" s="1">
        <f t="shared" ca="1" si="8"/>
        <v>0.48196099936702635</v>
      </c>
      <c r="N101" s="9">
        <f ca="1">IF(Prices!D100&gt;OFFSET(Prices!D100,-$N$3,0),1,IF(Prices!D100&lt;OFFSET(Prices!D100,-$N$3,0),-1,0))</f>
        <v>1</v>
      </c>
      <c r="O101" s="1">
        <f ca="1">IF(N101=1,O$3*L100/Prices!B100,O$3*M100*N101)</f>
        <v>3.3195054352945078E-2</v>
      </c>
      <c r="P101" s="14"/>
      <c r="Q101" s="9">
        <f ca="1">Q100-T101*Prices!B101</f>
        <v>0.64342901048967593</v>
      </c>
      <c r="R101" s="1">
        <f t="shared" ca="1" si="9"/>
        <v>0.27596998165097286</v>
      </c>
      <c r="S101" s="9">
        <f ca="1">IF(Prices!C100&lt;OFFSET(Prices!C100,-S$3,0),1,IF(Prices!C100&gt;OFFSET(Prices!C100,-S$3,0),-1,0))</f>
        <v>-1</v>
      </c>
      <c r="T101" s="1">
        <f ca="1">IF(S101=1,T$3*Q100/Prices!B100,T$3*R100*S101)</f>
        <v>-5.63204044185659E-3</v>
      </c>
      <c r="V101" s="9"/>
      <c r="W101" s="1"/>
      <c r="X101" s="1"/>
      <c r="Y101" s="1"/>
      <c r="Z101" s="1"/>
      <c r="AA101" s="1"/>
      <c r="AB101" s="1"/>
      <c r="AC101" s="1"/>
      <c r="AD101" s="1"/>
      <c r="AE101" s="16"/>
    </row>
    <row r="102" spans="1:31" x14ac:dyDescent="0.2">
      <c r="A102" s="4">
        <v>33648</v>
      </c>
      <c r="B102" s="9">
        <f ca="1">Prices!B101*(1+J102/(50*(ABS(O102)+ABS(T102)+0.0001)))</f>
        <v>1.3016899366425096</v>
      </c>
      <c r="C102" s="13">
        <f t="shared" ca="1" si="3"/>
        <v>1</v>
      </c>
      <c r="D102" s="9">
        <f ca="1">D101+C102*(Prices!B102-Prices!B101)/Prices!B101</f>
        <v>-0.11284967986904144</v>
      </c>
      <c r="E102" s="9">
        <f t="shared" ca="1" si="4"/>
        <v>0.14897363112778778</v>
      </c>
      <c r="F102" s="9">
        <f t="shared" ca="1" si="5"/>
        <v>3.6123951258746317E-2</v>
      </c>
      <c r="G102" s="13">
        <f ca="1">IF((Prices!B102-Prices!B101)*B102&gt;0,1,0)</f>
        <v>0</v>
      </c>
      <c r="H102" s="9">
        <f>ABS(Prices!B102-Prices!B101)/Prices!B101</f>
        <v>3.1931464174454771E-3</v>
      </c>
      <c r="I102" s="13"/>
      <c r="J102" s="1">
        <f t="shared" ca="1" si="6"/>
        <v>2.466121286824852E-2</v>
      </c>
      <c r="K102" s="9"/>
      <c r="L102" s="9">
        <f ca="1">L101-O102*Prices!B102</f>
        <v>0.34889089857590794</v>
      </c>
      <c r="M102" s="1">
        <f t="shared" ca="1" si="8"/>
        <v>0.51214161186829432</v>
      </c>
      <c r="N102" s="9">
        <f ca="1">IF(Prices!D101&gt;OFFSET(Prices!D101,-$N$3,0),1,IF(Prices!D101&lt;OFFSET(Prices!D101,-$N$3,0),-1,0))</f>
        <v>1</v>
      </c>
      <c r="O102" s="1">
        <f ca="1">IF(N102=1,O$3*L101/Prices!B101,O$3*M101*N102)</f>
        <v>3.0180612501267978E-2</v>
      </c>
      <c r="P102" s="14"/>
      <c r="Q102" s="9">
        <f ca="1">Q101-T102*Prices!B102</f>
        <v>0.65049329007997758</v>
      </c>
      <c r="R102" s="1">
        <f t="shared" ca="1" si="9"/>
        <v>0.27045058201795341</v>
      </c>
      <c r="S102" s="9">
        <f ca="1">IF(Prices!C101&lt;OFFSET(Prices!C101,-S$3,0),1,IF(Prices!C101&gt;OFFSET(Prices!C101,-S$3,0),-1,0))</f>
        <v>-1</v>
      </c>
      <c r="T102" s="1">
        <f ca="1">IF(S102=1,T$3*Q101/Prices!B101,T$3*R101*S102)</f>
        <v>-5.5193996330194575E-3</v>
      </c>
      <c r="V102" s="9"/>
      <c r="W102" s="1"/>
      <c r="X102" s="1"/>
      <c r="Y102" s="1"/>
      <c r="Z102" s="1"/>
      <c r="AA102" s="1"/>
      <c r="AB102" s="1"/>
      <c r="AC102" s="1"/>
      <c r="AD102" s="1"/>
      <c r="AE102" s="16"/>
    </row>
    <row r="103" spans="1:31" x14ac:dyDescent="0.2">
      <c r="A103" s="4">
        <v>33651</v>
      </c>
      <c r="B103" s="9">
        <f ca="1">Prices!B102*(1+J103/(50*(ABS(O103)+ABS(T103)+0.0001)))</f>
        <v>1.2969690238710019</v>
      </c>
      <c r="C103" s="13">
        <f t="shared" ca="1" si="3"/>
        <v>1</v>
      </c>
      <c r="D103" s="9">
        <f ca="1">D102+C103*(Prices!B103-Prices!B102)/Prices!B102</f>
        <v>-0.109490042397364</v>
      </c>
      <c r="E103" s="9">
        <f t="shared" ca="1" si="4"/>
        <v>0.14561399365611033</v>
      </c>
      <c r="F103" s="9">
        <f t="shared" ca="1" si="5"/>
        <v>3.6123951258746317E-2</v>
      </c>
      <c r="G103" s="13">
        <f ca="1">IF((Prices!B103-Prices!B102)*B103&gt;0,1,0)</f>
        <v>1</v>
      </c>
      <c r="H103" s="9">
        <f>ABS(Prices!B103-Prices!B102)/Prices!B102</f>
        <v>3.3596374716774518E-3</v>
      </c>
      <c r="I103" s="13"/>
      <c r="J103" s="1">
        <f t="shared" ca="1" si="6"/>
        <v>2.1850219438311759E-2</v>
      </c>
      <c r="K103" s="9"/>
      <c r="L103" s="9">
        <f ca="1">L102-O103*Prices!B103</f>
        <v>0.31388459402467883</v>
      </c>
      <c r="M103" s="1">
        <f t="shared" ca="1" si="8"/>
        <v>0.53940084294696511</v>
      </c>
      <c r="N103" s="9">
        <f ca="1">IF(Prices!D102&gt;OFFSET(Prices!D102,-$N$3,0),1,IF(Prices!D102&lt;OFFSET(Prices!D102,-$N$3,0),-1,0))</f>
        <v>1</v>
      </c>
      <c r="O103" s="1">
        <f ca="1">IF(N103=1,O$3*L102/Prices!B102,O$3*M102*N103)</f>
        <v>2.7259231078670829E-2</v>
      </c>
      <c r="P103" s="14"/>
      <c r="Q103" s="9">
        <f ca="1">Q102-T103*Prices!B103</f>
        <v>0.65743954282852668</v>
      </c>
      <c r="R103" s="1">
        <f t="shared" ca="1" si="9"/>
        <v>0.26504157037759435</v>
      </c>
      <c r="S103" s="9">
        <f ca="1">IF(Prices!C102&lt;OFFSET(Prices!C102,-S$3,0),1,IF(Prices!C102&gt;OFFSET(Prices!C102,-S$3,0),-1,0))</f>
        <v>-1</v>
      </c>
      <c r="T103" s="1">
        <f ca="1">IF(S103=1,T$3*Q102/Prices!B102,T$3*R102*S103)</f>
        <v>-5.4090116403590687E-3</v>
      </c>
      <c r="V103" s="9"/>
      <c r="W103" s="1"/>
      <c r="X103" s="1"/>
      <c r="Y103" s="1"/>
      <c r="Z103" s="1"/>
      <c r="AA103" s="1"/>
      <c r="AB103" s="1"/>
      <c r="AC103" s="1"/>
      <c r="AD103" s="1"/>
      <c r="AE103" s="16"/>
    </row>
    <row r="104" spans="1:31" x14ac:dyDescent="0.2">
      <c r="A104" s="4">
        <v>33652</v>
      </c>
      <c r="B104" s="9">
        <f ca="1">Prices!B103*(1+J104/(50*(ABS(O104)+ABS(T104)+0.0001)))</f>
        <v>1.3006737077333104</v>
      </c>
      <c r="C104" s="13">
        <f t="shared" ref="C104:C167" ca="1" si="10">IF(J104&gt;0,1,IF(J104&lt;0,-1,0))</f>
        <v>1</v>
      </c>
      <c r="D104" s="9">
        <f ca="1">D103+C104*(Prices!B104-Prices!B103)/Prices!B103</f>
        <v>-0.12483033207186957</v>
      </c>
      <c r="E104" s="9">
        <f t="shared" ref="E104:E167" ca="1" si="11">F104-D104</f>
        <v>0.1609542833306159</v>
      </c>
      <c r="F104" s="9">
        <f t="shared" ref="F104:F167" ca="1" si="12">MAX(F103,D104)</f>
        <v>3.6123951258746317E-2</v>
      </c>
      <c r="G104" s="13">
        <f ca="1">IF((Prices!B104-Prices!B103)*B104&gt;0,1,0)</f>
        <v>0</v>
      </c>
      <c r="H104" s="9">
        <f>ABS(Prices!B104-Prices!B103)/Prices!B103</f>
        <v>1.5340289674505568E-2</v>
      </c>
      <c r="I104" s="13"/>
      <c r="J104" s="1">
        <f t="shared" ref="J104:J167" ca="1" si="13">O104+T104</f>
        <v>1.914120207825086E-2</v>
      </c>
      <c r="K104" s="9"/>
      <c r="L104" s="9">
        <f ca="1">L103-O104*Prices!B104</f>
        <v>0.28297764268188125</v>
      </c>
      <c r="M104" s="1">
        <f t="shared" ca="1" si="8"/>
        <v>0.56384287643276787</v>
      </c>
      <c r="N104" s="9">
        <f ca="1">IF(Prices!D103&gt;OFFSET(Prices!D103,-$N$3,0),1,IF(Prices!D103&lt;OFFSET(Prices!D103,-$N$3,0),-1,0))</f>
        <v>1</v>
      </c>
      <c r="O104" s="1">
        <f ca="1">IF(N104=1,O$3*L103/Prices!B103,O$3*M103*N104)</f>
        <v>2.4442033485802747E-2</v>
      </c>
      <c r="P104" s="14"/>
      <c r="Q104" s="9">
        <f ca="1">Q103-T104*Prices!B104</f>
        <v>0.66414244414337609</v>
      </c>
      <c r="R104" s="1">
        <f t="shared" ca="1" si="9"/>
        <v>0.25974073897004246</v>
      </c>
      <c r="S104" s="9">
        <f ca="1">IF(Prices!C103&lt;OFFSET(Prices!C103,-S$3,0),1,IF(Prices!C103&gt;OFFSET(Prices!C103,-S$3,0),-1,0))</f>
        <v>-1</v>
      </c>
      <c r="T104" s="1">
        <f ca="1">IF(S104=1,T$3*Q103/Prices!B103,T$3*R103*S104)</f>
        <v>-5.300831407551887E-3</v>
      </c>
      <c r="V104" s="9"/>
      <c r="W104" s="1"/>
      <c r="X104" s="1"/>
      <c r="Y104" s="1"/>
      <c r="Z104" s="1"/>
      <c r="AA104" s="1"/>
      <c r="AB104" s="1"/>
      <c r="AC104" s="1"/>
      <c r="AD104" s="1"/>
      <c r="AE104" s="16"/>
    </row>
    <row r="105" spans="1:31" x14ac:dyDescent="0.2">
      <c r="A105" s="4">
        <v>33653</v>
      </c>
      <c r="B105" s="9">
        <f ca="1">Prices!B104*(1+J105/(50*(ABS(O105)+ABS(T105)+0.0001)))</f>
        <v>1.2802038124114745</v>
      </c>
      <c r="C105" s="13">
        <f t="shared" ca="1" si="10"/>
        <v>1</v>
      </c>
      <c r="D105" s="9">
        <f ca="1">D104+C105*(Prices!B105-Prices!B104)/Prices!B104</f>
        <v>-0.12150886113474028</v>
      </c>
      <c r="E105" s="9">
        <f t="shared" ca="1" si="11"/>
        <v>0.15763281239348659</v>
      </c>
      <c r="F105" s="9">
        <f t="shared" ca="1" si="12"/>
        <v>3.6123951258746317E-2</v>
      </c>
      <c r="G105" s="13">
        <f ca="1">IF((Prices!B105-Prices!B104)*B105&gt;0,1,0)</f>
        <v>1</v>
      </c>
      <c r="H105" s="9">
        <f>ABS(Prices!B105-Prices!B104)/Prices!B104</f>
        <v>3.3214709371292856E-3</v>
      </c>
      <c r="I105" s="13"/>
      <c r="J105" s="1">
        <f t="shared" ca="1" si="13"/>
        <v>1.7183804649771258E-2</v>
      </c>
      <c r="K105" s="9"/>
      <c r="L105" s="9">
        <f ca="1">L104-O105*Prices!B105</f>
        <v>0.25458588821209061</v>
      </c>
      <c r="M105" s="1">
        <f t="shared" ca="1" si="8"/>
        <v>0.58622149586193995</v>
      </c>
      <c r="N105" s="9">
        <f ca="1">IF(Prices!D104&gt;OFFSET(Prices!D104,-$N$3,0),1,IF(Prices!D104&lt;OFFSET(Prices!D104,-$N$3,0),-1,0))</f>
        <v>1</v>
      </c>
      <c r="O105" s="1">
        <f ca="1">IF(N105=1,O$3*L104/Prices!B104,O$3*M104*N105)</f>
        <v>2.2378619429172106E-2</v>
      </c>
      <c r="P105" s="14"/>
      <c r="Q105" s="9">
        <f ca="1">Q104-T105*Prices!B105</f>
        <v>0.6707331056540019</v>
      </c>
      <c r="R105" s="1">
        <f t="shared" ca="1" si="9"/>
        <v>0.25454592419064159</v>
      </c>
      <c r="S105" s="9">
        <f ca="1">IF(Prices!C104&lt;OFFSET(Prices!C104,-S$3,0),1,IF(Prices!C104&gt;OFFSET(Prices!C104,-S$3,0),-1,0))</f>
        <v>-1</v>
      </c>
      <c r="T105" s="1">
        <f ca="1">IF(S105=1,T$3*Q104/Prices!B104,T$3*R104*S105)</f>
        <v>-5.1948147794008493E-3</v>
      </c>
      <c r="V105" s="9"/>
      <c r="W105" s="1"/>
      <c r="X105" s="1"/>
      <c r="Y105" s="1"/>
      <c r="Z105" s="1"/>
      <c r="AA105" s="1"/>
      <c r="AB105" s="1"/>
      <c r="AC105" s="1"/>
      <c r="AD105" s="1"/>
      <c r="AE105" s="16"/>
    </row>
    <row r="106" spans="1:31" x14ac:dyDescent="0.2">
      <c r="A106" s="4">
        <v>33654</v>
      </c>
      <c r="B106" s="9">
        <f ca="1">Prices!B105*(1+J106/(50*(ABS(O106)+ABS(T106)+0.0001)))</f>
        <v>1.2837447758147262</v>
      </c>
      <c r="C106" s="13">
        <f t="shared" ca="1" si="10"/>
        <v>1</v>
      </c>
      <c r="D106" s="9">
        <f ca="1">D105+C106*(Prices!B106-Prices!B105)/Prices!B105</f>
        <v>-0.12639575322901</v>
      </c>
      <c r="E106" s="9">
        <f t="shared" ca="1" si="11"/>
        <v>0.16251970448775632</v>
      </c>
      <c r="F106" s="9">
        <f t="shared" ca="1" si="12"/>
        <v>3.6123951258746317E-2</v>
      </c>
      <c r="G106" s="13">
        <f ca="1">IF((Prices!B106-Prices!B105)*B106&gt;0,1,0)</f>
        <v>0</v>
      </c>
      <c r="H106" s="9">
        <f>ABS(Prices!B106-Prices!B105)/Prices!B105</f>
        <v>4.8868920942697121E-3</v>
      </c>
      <c r="I106" s="13"/>
      <c r="J106" s="1">
        <f t="shared" ca="1" si="13"/>
        <v>1.4975755135804939E-2</v>
      </c>
      <c r="K106" s="9"/>
      <c r="L106" s="9">
        <f ca="1">L105-O106*Prices!B106</f>
        <v>0.22925171276732317</v>
      </c>
      <c r="M106" s="1">
        <f t="shared" ca="1" si="8"/>
        <v>0.60628816948155773</v>
      </c>
      <c r="N106" s="9">
        <f ca="1">IF(Prices!D105&gt;OFFSET(Prices!D105,-$N$3,0),1,IF(Prices!D105&lt;OFFSET(Prices!D105,-$N$3,0),-1,0))</f>
        <v>1</v>
      </c>
      <c r="O106" s="1">
        <f ca="1">IF(N106=1,O$3*L105/Prices!B105,O$3*M105*N106)</f>
        <v>2.006667361961777E-2</v>
      </c>
      <c r="P106" s="14"/>
      <c r="Q106" s="9">
        <f ca="1">Q105-T106*Prices!B106</f>
        <v>0.67716039023981556</v>
      </c>
      <c r="R106" s="1">
        <f t="shared" ca="1" si="9"/>
        <v>0.24945500570682877</v>
      </c>
      <c r="S106" s="9">
        <f ca="1">IF(Prices!C105&lt;OFFSET(Prices!C105,-S$3,0),1,IF(Prices!C105&gt;OFFSET(Prices!C105,-S$3,0),-1,0))</f>
        <v>-1</v>
      </c>
      <c r="T106" s="1">
        <f ca="1">IF(S106=1,T$3*Q105/Prices!B105,T$3*R105*S106)</f>
        <v>-5.0909184838128316E-3</v>
      </c>
      <c r="V106" s="9"/>
      <c r="W106" s="1"/>
      <c r="X106" s="1"/>
      <c r="Y106" s="1"/>
      <c r="Z106" s="1"/>
      <c r="AA106" s="1"/>
      <c r="AB106" s="1"/>
      <c r="AC106" s="1"/>
      <c r="AD106" s="1"/>
      <c r="AE106" s="16"/>
    </row>
    <row r="107" spans="1:31" x14ac:dyDescent="0.2">
      <c r="A107" s="4">
        <v>33655</v>
      </c>
      <c r="B107" s="9">
        <f ca="1">Prices!B106*(1+J107/(50*(ABS(O107)+ABS(T107)+0.0001)))</f>
        <v>1.2372884217898692</v>
      </c>
      <c r="C107" s="13">
        <f t="shared" ca="1" si="10"/>
        <v>-1</v>
      </c>
      <c r="D107" s="9">
        <f ca="1">D106+C107*(Prices!B107-Prices!B106)/Prices!B106</f>
        <v>-0.12750466412009917</v>
      </c>
      <c r="E107" s="9">
        <f t="shared" ca="1" si="11"/>
        <v>0.16362861537884549</v>
      </c>
      <c r="F107" s="9">
        <f t="shared" ca="1" si="12"/>
        <v>3.6123951258746317E-2</v>
      </c>
      <c r="G107" s="13">
        <f ca="1">IF((Prices!B107-Prices!B106)*B107&gt;0,1,0)</f>
        <v>1</v>
      </c>
      <c r="H107" s="9">
        <f>ABS(Prices!B107-Prices!B106)/Prices!B106</f>
        <v>1.1089108910891628E-3</v>
      </c>
      <c r="I107" s="13"/>
      <c r="J107" s="1">
        <f t="shared" ca="1" si="13"/>
        <v>-6.561791706229235E-2</v>
      </c>
      <c r="K107" s="9"/>
      <c r="L107" s="9">
        <f ca="1">L106-O107*Prices!B107</f>
        <v>0.30588047450809724</v>
      </c>
      <c r="M107" s="1">
        <f t="shared" ca="1" si="8"/>
        <v>0.54565935253340192</v>
      </c>
      <c r="N107" s="9">
        <f ca="1">IF(Prices!D106&gt;OFFSET(Prices!D106,-$N$3,0),1,IF(Prices!D106&lt;OFFSET(Prices!D106,-$N$3,0),-1,0))</f>
        <v>-1</v>
      </c>
      <c r="O107" s="1">
        <f ca="1">IF(N107=1,O$3*L106/Prices!B106,O$3*M106*N107)</f>
        <v>-6.0628816948155778E-2</v>
      </c>
      <c r="P107" s="14"/>
      <c r="Q107" s="9">
        <f ca="1">Q106-T107*Prices!B107</f>
        <v>0.68346611387407274</v>
      </c>
      <c r="R107" s="1">
        <f t="shared" ca="1" si="9"/>
        <v>0.24446590559269218</v>
      </c>
      <c r="S107" s="9">
        <f ca="1">IF(Prices!C106&lt;OFFSET(Prices!C106,-S$3,0),1,IF(Prices!C106&gt;OFFSET(Prices!C106,-S$3,0),-1,0))</f>
        <v>-1</v>
      </c>
      <c r="T107" s="1">
        <f ca="1">IF(S107=1,T$3*Q106/Prices!B106,T$3*R106*S107)</f>
        <v>-4.9891001141365758E-3</v>
      </c>
      <c r="V107" s="9"/>
      <c r="W107" s="1"/>
      <c r="X107" s="1"/>
      <c r="Y107" s="1"/>
      <c r="Z107" s="1"/>
      <c r="AA107" s="1"/>
      <c r="AB107" s="1"/>
      <c r="AC107" s="1"/>
      <c r="AD107" s="1"/>
      <c r="AE107" s="16"/>
    </row>
    <row r="108" spans="1:31" x14ac:dyDescent="0.2">
      <c r="A108" s="4">
        <v>33658</v>
      </c>
      <c r="B108" s="9">
        <f ca="1">Prices!B107*(1+J108/(50*(ABS(O108)+ABS(T108)+0.0001)))</f>
        <v>1.2806234705793504</v>
      </c>
      <c r="C108" s="13">
        <f t="shared" ca="1" si="10"/>
        <v>1</v>
      </c>
      <c r="D108" s="9">
        <f ca="1">D107+C108*(Prices!B108-Prices!B107)/Prices!B107</f>
        <v>-0.12877058705704042</v>
      </c>
      <c r="E108" s="9">
        <f t="shared" ca="1" si="11"/>
        <v>0.16489453831578674</v>
      </c>
      <c r="F108" s="9">
        <f t="shared" ca="1" si="12"/>
        <v>3.6123951258746317E-2</v>
      </c>
      <c r="G108" s="13">
        <f ca="1">IF((Prices!B108-Prices!B107)*B108&gt;0,1,0)</f>
        <v>0</v>
      </c>
      <c r="H108" s="9">
        <f>ABS(Prices!B108-Prices!B107)/Prices!B107</f>
        <v>1.2659229369412499E-3</v>
      </c>
      <c r="I108" s="13"/>
      <c r="J108" s="1">
        <f t="shared" ca="1" si="13"/>
        <v>1.9312001178287568E-2</v>
      </c>
      <c r="K108" s="9"/>
      <c r="L108" s="9">
        <f ca="1">L107-O108*Prices!B108</f>
        <v>0.27533114916815177</v>
      </c>
      <c r="M108" s="1">
        <f t="shared" ca="1" si="8"/>
        <v>0.56986067182354327</v>
      </c>
      <c r="N108" s="9">
        <f ca="1">IF(Prices!D107&gt;OFFSET(Prices!D107,-$N$3,0),1,IF(Prices!D107&lt;OFFSET(Prices!D107,-$N$3,0),-1,0))</f>
        <v>1</v>
      </c>
      <c r="O108" s="1">
        <f ca="1">IF(N108=1,O$3*L107/Prices!B107,O$3*M107*N108)</f>
        <v>2.420131929014141E-2</v>
      </c>
      <c r="P108" s="14"/>
      <c r="Q108" s="9">
        <f ca="1">Q107-T108*Prices!B108</f>
        <v>0.68963790012666581</v>
      </c>
      <c r="R108" s="1">
        <f t="shared" ca="1" si="9"/>
        <v>0.23957658748083835</v>
      </c>
      <c r="S108" s="9">
        <f ca="1">IF(Prices!C107&lt;OFFSET(Prices!C107,-S$3,0),1,IF(Prices!C107&gt;OFFSET(Prices!C107,-S$3,0),-1,0))</f>
        <v>-1</v>
      </c>
      <c r="T108" s="1">
        <f ca="1">IF(S108=1,T$3*Q107/Prices!B107,T$3*R107*S108)</f>
        <v>-4.889318111853844E-3</v>
      </c>
      <c r="V108" s="9"/>
      <c r="W108" s="1"/>
      <c r="X108" s="1"/>
      <c r="Y108" s="1"/>
      <c r="Z108" s="1"/>
      <c r="AA108" s="1"/>
      <c r="AB108" s="1"/>
      <c r="AC108" s="1"/>
      <c r="AD108" s="1"/>
      <c r="AE108" s="16"/>
    </row>
    <row r="109" spans="1:31" x14ac:dyDescent="0.2">
      <c r="A109" s="4">
        <v>33659</v>
      </c>
      <c r="B109" s="9">
        <f ca="1">Prices!B108*(1+J109/(50*(ABS(O109)+ABS(T109)+0.0001)))</f>
        <v>1.2783914104219019</v>
      </c>
      <c r="C109" s="13">
        <f t="shared" ca="1" si="10"/>
        <v>1</v>
      </c>
      <c r="D109" s="9">
        <f ca="1">D108+C109*(Prices!B109-Prices!B108)/Prices!B108</f>
        <v>-0.11855114635356272</v>
      </c>
      <c r="E109" s="9">
        <f t="shared" ca="1" si="11"/>
        <v>0.15467509761230902</v>
      </c>
      <c r="F109" s="9">
        <f t="shared" ca="1" si="12"/>
        <v>3.6123951258746317E-2</v>
      </c>
      <c r="G109" s="13">
        <f ca="1">IF((Prices!B109-Prices!B108)*B109&gt;0,1,0)</f>
        <v>1</v>
      </c>
      <c r="H109" s="9">
        <f>ABS(Prices!B109-Prices!B108)/Prices!B108</f>
        <v>1.0219440703477708E-2</v>
      </c>
      <c r="I109" s="13"/>
      <c r="J109" s="1">
        <f t="shared" ca="1" si="13"/>
        <v>1.7020331449951624E-2</v>
      </c>
      <c r="K109" s="9"/>
      <c r="L109" s="9">
        <f ca="1">L108-O109*Prices!B109</f>
        <v>0.24751666121606217</v>
      </c>
      <c r="M109" s="1">
        <f t="shared" ca="1" si="8"/>
        <v>0.59167253502311168</v>
      </c>
      <c r="N109" s="9">
        <f ca="1">IF(Prices!D108&gt;OFFSET(Prices!D108,-$N$3,0),1,IF(Prices!D108&lt;OFFSET(Prices!D108,-$N$3,0),-1,0))</f>
        <v>1</v>
      </c>
      <c r="O109" s="1">
        <f ca="1">IF(N109=1,O$3*L108/Prices!B108,O$3*M108*N109)</f>
        <v>2.181186319956839E-2</v>
      </c>
      <c r="P109" s="14"/>
      <c r="Q109" s="9">
        <f ca="1">Q108-T109*Prices!B109</f>
        <v>0.6957480614137771</v>
      </c>
      <c r="R109" s="1">
        <f t="shared" ca="1" si="9"/>
        <v>0.23478505573122158</v>
      </c>
      <c r="S109" s="9">
        <f ca="1">IF(Prices!C108&lt;OFFSET(Prices!C108,-S$3,0),1,IF(Prices!C108&gt;OFFSET(Prices!C108,-S$3,0),-1,0))</f>
        <v>-1</v>
      </c>
      <c r="T109" s="1">
        <f ca="1">IF(S109=1,T$3*Q108/Prices!B108,T$3*R108*S109)</f>
        <v>-4.791531749616767E-3</v>
      </c>
      <c r="V109" s="9"/>
      <c r="W109" s="1"/>
      <c r="X109" s="1"/>
      <c r="Y109" s="1"/>
      <c r="Z109" s="1"/>
      <c r="AA109" s="1"/>
      <c r="AB109" s="1"/>
      <c r="AC109" s="1"/>
      <c r="AD109" s="1"/>
      <c r="AE109" s="16"/>
    </row>
    <row r="110" spans="1:31" x14ac:dyDescent="0.2">
      <c r="A110" s="4">
        <v>33660</v>
      </c>
      <c r="B110" s="9">
        <f ca="1">Prices!B109*(1+J110/(50*(ABS(O110)+ABS(T110)+0.0001)))</f>
        <v>1.2497358730798986</v>
      </c>
      <c r="C110" s="13">
        <f t="shared" ca="1" si="10"/>
        <v>-1</v>
      </c>
      <c r="D110" s="9">
        <f ca="1">D109+C110*(Prices!B110-Prices!B109)/Prices!B109</f>
        <v>-0.10772931448405219</v>
      </c>
      <c r="E110" s="9">
        <f t="shared" ca="1" si="11"/>
        <v>0.1438532657427985</v>
      </c>
      <c r="F110" s="9">
        <f t="shared" ca="1" si="12"/>
        <v>3.6123951258746317E-2</v>
      </c>
      <c r="G110" s="13">
        <f ca="1">IF((Prices!B110-Prices!B109)*B110&gt;0,1,0)</f>
        <v>0</v>
      </c>
      <c r="H110" s="9">
        <f>ABS(Prices!B110-Prices!B109)/Prices!B109</f>
        <v>1.082183186951052E-2</v>
      </c>
      <c r="I110" s="13"/>
      <c r="J110" s="1">
        <f t="shared" ca="1" si="13"/>
        <v>-6.3862954616935599E-2</v>
      </c>
      <c r="K110" s="9"/>
      <c r="L110" s="9">
        <f ca="1">L109-O110*Prices!B110</f>
        <v>0.3221502347838775</v>
      </c>
      <c r="M110" s="1">
        <f t="shared" ca="1" si="8"/>
        <v>0.53250528152080046</v>
      </c>
      <c r="N110" s="9">
        <f ca="1">IF(Prices!D109&gt;OFFSET(Prices!D109,-$N$3,0),1,IF(Prices!D109&lt;OFFSET(Prices!D109,-$N$3,0),-1,0))</f>
        <v>-1</v>
      </c>
      <c r="O110" s="1">
        <f ca="1">IF(N110=1,O$3*L109/Prices!B109,O$3*M109*N110)</f>
        <v>-5.9167253502311168E-2</v>
      </c>
      <c r="P110" s="14"/>
      <c r="Q110" s="9">
        <f ca="1">Q109-T110*Prices!B110</f>
        <v>0.70167121879976435</v>
      </c>
      <c r="R110" s="1">
        <f t="shared" ca="1" si="9"/>
        <v>0.23008935461659713</v>
      </c>
      <c r="S110" s="9">
        <f ca="1">IF(Prices!C109&lt;OFFSET(Prices!C109,-S$3,0),1,IF(Prices!C109&gt;OFFSET(Prices!C109,-S$3,0),-1,0))</f>
        <v>-1</v>
      </c>
      <c r="T110" s="1">
        <f ca="1">IF(S110=1,T$3*Q109/Prices!B109,T$3*R109*S110)</f>
        <v>-4.6957011146244315E-3</v>
      </c>
      <c r="V110" s="9"/>
      <c r="W110" s="1"/>
      <c r="X110" s="1"/>
      <c r="Y110" s="1"/>
      <c r="Z110" s="1"/>
      <c r="AA110" s="1"/>
      <c r="AB110" s="1"/>
      <c r="AC110" s="1"/>
      <c r="AD110" s="1"/>
      <c r="AE110" s="16"/>
    </row>
    <row r="111" spans="1:31" x14ac:dyDescent="0.2">
      <c r="A111" s="4">
        <v>33661</v>
      </c>
      <c r="B111" s="9">
        <f ca="1">Prices!B110*(1+J111/(50*(ABS(O111)+ABS(T111)+0.0001)))</f>
        <v>1.2362155323418809</v>
      </c>
      <c r="C111" s="13">
        <f t="shared" ca="1" si="10"/>
        <v>-1</v>
      </c>
      <c r="D111" s="9">
        <f ca="1">D110+C111*(Prices!B111-Prices!B110)/Prices!B110</f>
        <v>-0.11407147398936376</v>
      </c>
      <c r="E111" s="9">
        <f t="shared" ca="1" si="11"/>
        <v>0.15019542524811008</v>
      </c>
      <c r="F111" s="9">
        <f t="shared" ca="1" si="12"/>
        <v>3.6123951258746317E-2</v>
      </c>
      <c r="G111" s="13">
        <f ca="1">IF((Prices!B111-Prices!B110)*B111&gt;0,1,0)</f>
        <v>1</v>
      </c>
      <c r="H111" s="9">
        <f>ABS(Prices!B111-Prices!B110)/Prices!B110</f>
        <v>6.3421595053115634E-3</v>
      </c>
      <c r="I111" s="13"/>
      <c r="J111" s="1">
        <f t="shared" ca="1" si="13"/>
        <v>-5.7852315244411992E-2</v>
      </c>
      <c r="K111" s="9"/>
      <c r="L111" s="9">
        <f ca="1">L110-O111*Prices!B111</f>
        <v>0.38974645522012791</v>
      </c>
      <c r="M111" s="1">
        <f t="shared" ca="1" si="8"/>
        <v>0.47925475336872042</v>
      </c>
      <c r="N111" s="9">
        <f ca="1">IF(Prices!D110&gt;OFFSET(Prices!D110,-$N$3,0),1,IF(Prices!D110&lt;OFFSET(Prices!D110,-$N$3,0),-1,0))</f>
        <v>-1</v>
      </c>
      <c r="O111" s="1">
        <f ca="1">IF(N111=1,O$3*L110/Prices!B110,O$3*M110*N111)</f>
        <v>-5.3250528152080048E-2</v>
      </c>
      <c r="P111" s="14"/>
      <c r="Q111" s="9">
        <f ca="1">Q110-T111*Prices!B111</f>
        <v>0.70751272733477055</v>
      </c>
      <c r="R111" s="1">
        <f t="shared" ca="1" si="9"/>
        <v>0.22548756752426519</v>
      </c>
      <c r="S111" s="9">
        <f ca="1">IF(Prices!C110&lt;OFFSET(Prices!C110,-S$3,0),1,IF(Prices!C110&gt;OFFSET(Prices!C110,-S$3,0),-1,0))</f>
        <v>-1</v>
      </c>
      <c r="T111" s="1">
        <f ca="1">IF(S111=1,T$3*Q110/Prices!B110,T$3*R110*S111)</f>
        <v>-4.6017870923319429E-3</v>
      </c>
      <c r="V111" s="9"/>
      <c r="W111" s="1"/>
      <c r="X111" s="1"/>
      <c r="Y111" s="1"/>
      <c r="Z111" s="1"/>
      <c r="AA111" s="1"/>
      <c r="AB111" s="1"/>
      <c r="AC111" s="1"/>
      <c r="AD111" s="1"/>
      <c r="AE111" s="16"/>
    </row>
    <row r="112" spans="1:31" x14ac:dyDescent="0.2">
      <c r="A112" s="4">
        <v>33662</v>
      </c>
      <c r="B112" s="9">
        <f ca="1">Prices!B111*(1+J112/(50*(ABS(O112)+ABS(T112)+0.0001)))</f>
        <v>1.244060325669462</v>
      </c>
      <c r="C112" s="13">
        <f t="shared" ca="1" si="10"/>
        <v>-1</v>
      </c>
      <c r="D112" s="9">
        <f ca="1">D111+C112*(Prices!B112-Prices!B111)/Prices!B111</f>
        <v>-0.11706501424460249</v>
      </c>
      <c r="E112" s="9">
        <f t="shared" ca="1" si="11"/>
        <v>0.15318896550334882</v>
      </c>
      <c r="F112" s="9">
        <f t="shared" ca="1" si="12"/>
        <v>3.6123951258746317E-2</v>
      </c>
      <c r="G112" s="13">
        <f ca="1">IF((Prices!B112-Prices!B111)*B112&gt;0,1,0)</f>
        <v>1</v>
      </c>
      <c r="H112" s="9">
        <f>ABS(Prices!B112-Prices!B111)/Prices!B111</f>
        <v>2.9935402552387154E-3</v>
      </c>
      <c r="I112" s="13"/>
      <c r="J112" s="1">
        <f t="shared" ca="1" si="13"/>
        <v>-5.2435226687357353E-2</v>
      </c>
      <c r="K112" s="9"/>
      <c r="L112" s="9">
        <f ca="1">L111-O112*Prices!B112</f>
        <v>0.45076517041903341</v>
      </c>
      <c r="M112" s="1">
        <f t="shared" ca="1" si="8"/>
        <v>0.4313292780318484</v>
      </c>
      <c r="N112" s="9">
        <f ca="1">IF(Prices!D111&gt;OFFSET(Prices!D111,-$N$3,0),1,IF(Prices!D111&lt;OFFSET(Prices!D111,-$N$3,0),-1,0))</f>
        <v>-1</v>
      </c>
      <c r="O112" s="1">
        <f ca="1">IF(N112=1,O$3*L111/Prices!B111,O$3*M111*N112)</f>
        <v>-4.7925475336872046E-2</v>
      </c>
      <c r="P112" s="14"/>
      <c r="Q112" s="9">
        <f ca="1">Q111-T112*Prices!B112</f>
        <v>0.71325454275420841</v>
      </c>
      <c r="R112" s="1">
        <f t="shared" ca="1" si="9"/>
        <v>0.22097781617377987</v>
      </c>
      <c r="S112" s="9">
        <f ca="1">IF(Prices!C111&lt;OFFSET(Prices!C111,-S$3,0),1,IF(Prices!C111&gt;OFFSET(Prices!C111,-S$3,0),-1,0))</f>
        <v>-1</v>
      </c>
      <c r="T112" s="1">
        <f ca="1">IF(S112=1,T$3*Q111/Prices!B111,T$3*R111*S112)</f>
        <v>-4.5097513504853042E-3</v>
      </c>
      <c r="V112" s="9"/>
      <c r="W112" s="1"/>
      <c r="X112" s="1"/>
      <c r="Y112" s="1"/>
      <c r="Z112" s="1"/>
      <c r="AA112" s="1"/>
      <c r="AB112" s="1"/>
      <c r="AC112" s="1"/>
      <c r="AD112" s="1"/>
      <c r="AE112" s="16"/>
    </row>
    <row r="113" spans="1:31" x14ac:dyDescent="0.2">
      <c r="A113" s="4">
        <v>33665</v>
      </c>
      <c r="B113" s="9">
        <f ca="1">Prices!B112*(1+J113/(50*(ABS(O113)+ABS(T113)+0.0001)))</f>
        <v>1.2477894368784057</v>
      </c>
      <c r="C113" s="13">
        <f t="shared" ca="1" si="10"/>
        <v>-1</v>
      </c>
      <c r="D113" s="9">
        <f ca="1">D112+C113*(Prices!B113-Prices!B112)/Prices!B112</f>
        <v>-0.11227393664485365</v>
      </c>
      <c r="E113" s="9">
        <f t="shared" ca="1" si="11"/>
        <v>0.14839788790359998</v>
      </c>
      <c r="F113" s="9">
        <f t="shared" ca="1" si="12"/>
        <v>3.6123951258746317E-2</v>
      </c>
      <c r="G113" s="13">
        <f ca="1">IF((Prices!B113-Prices!B112)*B113&gt;0,1,0)</f>
        <v>0</v>
      </c>
      <c r="H113" s="9">
        <f>ABS(Prices!B113-Prices!B112)/Prices!B112</f>
        <v>4.7910775997488343E-3</v>
      </c>
      <c r="I113" s="13"/>
      <c r="J113" s="1">
        <f t="shared" ca="1" si="13"/>
        <v>-4.7552484126660438E-2</v>
      </c>
      <c r="K113" s="9"/>
      <c r="L113" s="9">
        <f ca="1">L112-O113*Prices!B113</f>
        <v>0.50541890323844896</v>
      </c>
      <c r="M113" s="1">
        <f t="shared" ca="1" si="8"/>
        <v>0.38819635022866356</v>
      </c>
      <c r="N113" s="9">
        <f ca="1">IF(Prices!D112&gt;OFFSET(Prices!D112,-$N$3,0),1,IF(Prices!D112&lt;OFFSET(Prices!D112,-$N$3,0),-1,0))</f>
        <v>-1</v>
      </c>
      <c r="O113" s="1">
        <f ca="1">IF(N113=1,O$3*L112/Prices!B112,O$3*M112*N113)</f>
        <v>-4.313292780318484E-2</v>
      </c>
      <c r="P113" s="14"/>
      <c r="Q113" s="9">
        <f ca="1">Q112-T113*Prices!B113</f>
        <v>0.71885456257168434</v>
      </c>
      <c r="R113" s="1">
        <f t="shared" ca="1" si="9"/>
        <v>0.21655825985030427</v>
      </c>
      <c r="S113" s="9">
        <f ca="1">IF(Prices!C112&lt;OFFSET(Prices!C112,-S$3,0),1,IF(Prices!C112&gt;OFFSET(Prices!C112,-S$3,0),-1,0))</f>
        <v>-1</v>
      </c>
      <c r="T113" s="1">
        <f ca="1">IF(S113=1,T$3*Q112/Prices!B112,T$3*R112*S113)</f>
        <v>-4.4195563234755977E-3</v>
      </c>
      <c r="V113" s="9"/>
      <c r="W113" s="1"/>
      <c r="X113" s="1"/>
      <c r="Y113" s="1"/>
      <c r="Z113" s="1"/>
      <c r="AA113" s="1"/>
      <c r="AB113" s="1"/>
      <c r="AC113" s="1"/>
      <c r="AD113" s="1"/>
      <c r="AE113" s="16"/>
    </row>
    <row r="114" spans="1:31" x14ac:dyDescent="0.2">
      <c r="A114" s="4">
        <v>33666</v>
      </c>
      <c r="B114" s="9">
        <f ca="1">Prices!B113*(1+J114/(50*(ABS(O114)+ABS(T114)+0.0001)))</f>
        <v>1.2874316225513898</v>
      </c>
      <c r="C114" s="13">
        <f t="shared" ca="1" si="10"/>
        <v>1</v>
      </c>
      <c r="D114" s="9">
        <f ca="1">D113+C114*(Prices!B114-Prices!B113)/Prices!B113</f>
        <v>-0.11858756619263976</v>
      </c>
      <c r="E114" s="9">
        <f t="shared" ca="1" si="11"/>
        <v>0.15471151745138606</v>
      </c>
      <c r="F114" s="9">
        <f t="shared" ca="1" si="12"/>
        <v>3.6123951258746317E-2</v>
      </c>
      <c r="G114" s="13">
        <f ca="1">IF((Prices!B114-Prices!B113)*B114&gt;0,1,0)</f>
        <v>0</v>
      </c>
      <c r="H114" s="9">
        <f>ABS(Prices!B114-Prices!B113)/Prices!B113</f>
        <v>6.3136295477861145E-3</v>
      </c>
      <c r="I114" s="13"/>
      <c r="J114" s="1">
        <f t="shared" ca="1" si="13"/>
        <v>3.5556681321694025E-2</v>
      </c>
      <c r="K114" s="9"/>
      <c r="L114" s="9">
        <f ca="1">L113-O114*Prices!B114</f>
        <v>0.45519611568675367</v>
      </c>
      <c r="M114" s="1">
        <f t="shared" ca="1" si="8"/>
        <v>0.42808419674736364</v>
      </c>
      <c r="N114" s="9">
        <f ca="1">IF(Prices!D113&gt;OFFSET(Prices!D113,-$N$3,0),1,IF(Prices!D113&lt;OFFSET(Prices!D113,-$N$3,0),-1,0))</f>
        <v>1</v>
      </c>
      <c r="O114" s="1">
        <f ca="1">IF(N114=1,O$3*L113/Prices!B113,O$3*M113*N114)</f>
        <v>3.9887846518700108E-2</v>
      </c>
      <c r="P114" s="14"/>
      <c r="Q114" s="9">
        <f ca="1">Q113-T114*Prices!B114</f>
        <v>0.72430793267123472</v>
      </c>
      <c r="R114" s="1">
        <f t="shared" ca="1" si="9"/>
        <v>0.2122270946532982</v>
      </c>
      <c r="S114" s="9">
        <f ca="1">IF(Prices!C113&lt;OFFSET(Prices!C113,-S$3,0),1,IF(Prices!C113&gt;OFFSET(Prices!C113,-S$3,0),-1,0))</f>
        <v>-1</v>
      </c>
      <c r="T114" s="1">
        <f ca="1">IF(S114=1,T$3*Q113/Prices!B113,T$3*R113*S114)</f>
        <v>-4.3311651970060856E-3</v>
      </c>
      <c r="V114" s="9"/>
      <c r="W114" s="1"/>
      <c r="X114" s="1"/>
      <c r="Y114" s="1"/>
      <c r="Z114" s="1"/>
      <c r="AA114" s="1"/>
      <c r="AB114" s="1"/>
      <c r="AC114" s="1"/>
      <c r="AD114" s="1"/>
      <c r="AE114" s="16"/>
    </row>
    <row r="115" spans="1:31" x14ac:dyDescent="0.2">
      <c r="A115" s="4">
        <v>33667</v>
      </c>
      <c r="B115" s="9">
        <f ca="1">Prices!B114*(1+J115/(50*(ABS(O115)+ABS(T115)+0.0001)))</f>
        <v>1.278941108349581</v>
      </c>
      <c r="C115" s="13">
        <f t="shared" ca="1" si="10"/>
        <v>1</v>
      </c>
      <c r="D115" s="9">
        <f ca="1">D114+C115*(Prices!B115-Prices!B114)/Prices!B114</f>
        <v>-0.12557668540477551</v>
      </c>
      <c r="E115" s="9">
        <f t="shared" ca="1" si="11"/>
        <v>0.16170063666352183</v>
      </c>
      <c r="F115" s="9">
        <f t="shared" ca="1" si="12"/>
        <v>3.6123951258746317E-2</v>
      </c>
      <c r="G115" s="13">
        <f ca="1">IF((Prices!B115-Prices!B114)*B115&gt;0,1,0)</f>
        <v>0</v>
      </c>
      <c r="H115" s="9">
        <f>ABS(Prices!B115-Prices!B114)/Prices!B114</f>
        <v>6.9891192121357641E-3</v>
      </c>
      <c r="I115" s="13"/>
      <c r="J115" s="1">
        <f t="shared" ca="1" si="13"/>
        <v>3.1907957168704641E-2</v>
      </c>
      <c r="K115" s="9"/>
      <c r="L115" s="9">
        <f ca="1">L114-O115*Prices!B115</f>
        <v>0.40999464610982189</v>
      </c>
      <c r="M115" s="1">
        <f t="shared" ca="1" si="8"/>
        <v>0.46423669580913424</v>
      </c>
      <c r="N115" s="9">
        <f ca="1">IF(Prices!D114&gt;OFFSET(Prices!D114,-$N$3,0),1,IF(Prices!D114&lt;OFFSET(Prices!D114,-$N$3,0),-1,0))</f>
        <v>1</v>
      </c>
      <c r="O115" s="1">
        <f ca="1">IF(N115=1,O$3*L114/Prices!B114,O$3*M114*N115)</f>
        <v>3.6152499061770607E-2</v>
      </c>
      <c r="P115" s="14"/>
      <c r="Q115" s="9">
        <f ca="1">Q114-T115*Prices!B115</f>
        <v>0.72961488340013514</v>
      </c>
      <c r="R115" s="1">
        <f t="shared" ca="1" si="9"/>
        <v>0.20798255276023223</v>
      </c>
      <c r="S115" s="9">
        <f ca="1">IF(Prices!C114&lt;OFFSET(Prices!C114,-S$3,0),1,IF(Prices!C114&gt;OFFSET(Prices!C114,-S$3,0),-1,0))</f>
        <v>-1</v>
      </c>
      <c r="T115" s="1">
        <f ca="1">IF(S115=1,T$3*Q114/Prices!B114,T$3*R114*S115)</f>
        <v>-4.2445418930659642E-3</v>
      </c>
      <c r="V115" s="9"/>
      <c r="W115" s="1"/>
      <c r="X115" s="1"/>
      <c r="Y115" s="1"/>
      <c r="Z115" s="1"/>
      <c r="AA115" s="1"/>
      <c r="AB115" s="1"/>
      <c r="AC115" s="1"/>
      <c r="AD115" s="1"/>
      <c r="AE115" s="16"/>
    </row>
    <row r="116" spans="1:31" x14ac:dyDescent="0.2">
      <c r="A116" s="4">
        <v>33668</v>
      </c>
      <c r="B116" s="9">
        <f ca="1">Prices!B115*(1+J116/(50*(ABS(O116)+ABS(T116)+0.0001)))</f>
        <v>1.2696238034530793</v>
      </c>
      <c r="C116" s="13">
        <f t="shared" ca="1" si="10"/>
        <v>1</v>
      </c>
      <c r="D116" s="9">
        <f ca="1">D115+C116*(Prices!B116-Prices!B115)/Prices!B115</f>
        <v>-0.1278161479337685</v>
      </c>
      <c r="E116" s="9">
        <f t="shared" ca="1" si="11"/>
        <v>0.16394009919251482</v>
      </c>
      <c r="F116" s="9">
        <f t="shared" ca="1" si="12"/>
        <v>3.6123951258746317E-2</v>
      </c>
      <c r="G116" s="13">
        <f ca="1">IF((Prices!B116-Prices!B115)*B116&gt;0,1,0)</f>
        <v>0</v>
      </c>
      <c r="H116" s="9">
        <f>ABS(Prices!B116-Prices!B115)/Prices!B115</f>
        <v>2.2394625289929725E-3</v>
      </c>
      <c r="I116" s="13"/>
      <c r="J116" s="1">
        <f t="shared" ca="1" si="13"/>
        <v>2.8632050625177818E-2</v>
      </c>
      <c r="K116" s="9"/>
      <c r="L116" s="9">
        <f ca="1">L115-O116*Prices!B116</f>
        <v>0.36908699826354474</v>
      </c>
      <c r="M116" s="1">
        <f t="shared" ca="1" si="8"/>
        <v>0.49702839748951672</v>
      </c>
      <c r="N116" s="9">
        <f ca="1">IF(Prices!D115&gt;OFFSET(Prices!D115,-$N$3,0),1,IF(Prices!D115&lt;OFFSET(Prices!D115,-$N$3,0),-1,0))</f>
        <v>1</v>
      </c>
      <c r="O116" s="1">
        <f ca="1">IF(N116=1,O$3*L115/Prices!B115,O$3*M115*N116)</f>
        <v>3.2791701680382465E-2</v>
      </c>
      <c r="P116" s="14"/>
      <c r="Q116" s="9">
        <f ca="1">Q115-T116*Prices!B116</f>
        <v>0.7348040480915029</v>
      </c>
      <c r="R116" s="1">
        <f t="shared" ca="1" si="9"/>
        <v>0.20382290170502759</v>
      </c>
      <c r="S116" s="9">
        <f ca="1">IF(Prices!C115&lt;OFFSET(Prices!C115,-S$3,0),1,IF(Prices!C115&gt;OFFSET(Prices!C115,-S$3,0),-1,0))</f>
        <v>-1</v>
      </c>
      <c r="T116" s="1">
        <f ca="1">IF(S116=1,T$3*Q115/Prices!B115,T$3*R115*S116)</f>
        <v>-4.159651055204645E-3</v>
      </c>
      <c r="V116" s="9"/>
      <c r="W116" s="1"/>
      <c r="X116" s="1"/>
      <c r="Y116" s="1"/>
      <c r="Z116" s="1"/>
      <c r="AA116" s="1"/>
      <c r="AB116" s="1"/>
      <c r="AC116" s="1"/>
      <c r="AD116" s="1"/>
      <c r="AE116" s="16"/>
    </row>
    <row r="117" spans="1:31" x14ac:dyDescent="0.2">
      <c r="A117" s="4">
        <v>33669</v>
      </c>
      <c r="B117" s="9">
        <f ca="1">Prices!B116*(1+J117/(50*(ABS(O117)+ABS(T117)+0.0001)))</f>
        <v>1.2663512304764162</v>
      </c>
      <c r="C117" s="13">
        <f t="shared" ca="1" si="10"/>
        <v>1</v>
      </c>
      <c r="D117" s="9">
        <f ca="1">D116+C117*(Prices!B117-Prices!B116)/Prices!B116</f>
        <v>-0.12829710985761633</v>
      </c>
      <c r="E117" s="9">
        <f t="shared" ca="1" si="11"/>
        <v>0.16442106111636265</v>
      </c>
      <c r="F117" s="9">
        <f t="shared" ca="1" si="12"/>
        <v>3.6123951258746317E-2</v>
      </c>
      <c r="G117" s="13">
        <f ca="1">IF((Prices!B117-Prices!B116)*B117&gt;0,1,0)</f>
        <v>0</v>
      </c>
      <c r="H117" s="9">
        <f>ABS(Prices!B117-Prices!B116)/Prices!B116</f>
        <v>4.8096192384782037E-4</v>
      </c>
      <c r="I117" s="13"/>
      <c r="J117" s="1">
        <f t="shared" ca="1" si="13"/>
        <v>2.5509674091233697E-2</v>
      </c>
      <c r="K117" s="9"/>
      <c r="L117" s="9">
        <f ca="1">L116-O117*Prices!B117</f>
        <v>0.33219605011646547</v>
      </c>
      <c r="M117" s="1">
        <f t="shared" ca="1" si="8"/>
        <v>0.526614529614851</v>
      </c>
      <c r="N117" s="9">
        <f ca="1">IF(Prices!D116&gt;OFFSET(Prices!D116,-$N$3,0),1,IF(Prices!D116&lt;OFFSET(Prices!D116,-$N$3,0),-1,0))</f>
        <v>1</v>
      </c>
      <c r="O117" s="1">
        <f ca="1">IF(N117=1,O$3*L116/Prices!B116,O$3*M116*N117)</f>
        <v>2.9586132125334248E-2</v>
      </c>
      <c r="P117" s="14"/>
      <c r="Q117" s="9">
        <f ca="1">Q116-T117*Prices!B117</f>
        <v>0.73988698361422289</v>
      </c>
      <c r="R117" s="1">
        <f t="shared" ca="1" si="9"/>
        <v>0.19974644367092703</v>
      </c>
      <c r="S117" s="9">
        <f ca="1">IF(Prices!C116&lt;OFFSET(Prices!C116,-S$3,0),1,IF(Prices!C116&gt;OFFSET(Prices!C116,-S$3,0),-1,0))</f>
        <v>-1</v>
      </c>
      <c r="T117" s="1">
        <f ca="1">IF(S117=1,T$3*Q116/Prices!B116,T$3*R116*S117)</f>
        <v>-4.0764580341005521E-3</v>
      </c>
      <c r="V117" s="9"/>
      <c r="W117" s="1"/>
      <c r="X117" s="1"/>
      <c r="Y117" s="1"/>
      <c r="Z117" s="1"/>
      <c r="AA117" s="1"/>
      <c r="AB117" s="1"/>
      <c r="AC117" s="1"/>
      <c r="AD117" s="1"/>
      <c r="AE117" s="16"/>
    </row>
    <row r="118" spans="1:31" x14ac:dyDescent="0.2">
      <c r="A118" s="4">
        <v>33672</v>
      </c>
      <c r="B118" s="9">
        <f ca="1">Prices!B117*(1+J118/(50*(ABS(O118)+ABS(T118)+0.0001)))</f>
        <v>1.2652743489039553</v>
      </c>
      <c r="C118" s="13">
        <f t="shared" ca="1" si="10"/>
        <v>1</v>
      </c>
      <c r="D118" s="9">
        <f ca="1">D117+C118*(Prices!B118-Prices!B117)/Prices!B117</f>
        <v>-0.12316438068927871</v>
      </c>
      <c r="E118" s="9">
        <f t="shared" ca="1" si="11"/>
        <v>0.15928833194802502</v>
      </c>
      <c r="F118" s="9">
        <f t="shared" ca="1" si="12"/>
        <v>3.6123951258746317E-2</v>
      </c>
      <c r="G118" s="13">
        <f ca="1">IF((Prices!B118-Prices!B117)*B118&gt;0,1,0)</f>
        <v>1</v>
      </c>
      <c r="H118" s="9">
        <f>ABS(Prices!B118-Prices!B117)/Prices!B117</f>
        <v>5.1327291683376242E-3</v>
      </c>
      <c r="I118" s="13"/>
      <c r="J118" s="1">
        <f t="shared" ca="1" si="13"/>
        <v>2.2646826689695223E-2</v>
      </c>
      <c r="K118" s="9"/>
      <c r="L118" s="9">
        <f ca="1">L117-O118*Prices!B118</f>
        <v>0.298805937869215</v>
      </c>
      <c r="M118" s="1">
        <f t="shared" ca="1" si="8"/>
        <v>0.55325628517796477</v>
      </c>
      <c r="N118" s="9">
        <f ca="1">IF(Prices!D117&gt;OFFSET(Prices!D117,-$N$3,0),1,IF(Prices!D117&lt;OFFSET(Prices!D117,-$N$3,0),-1,0))</f>
        <v>1</v>
      </c>
      <c r="O118" s="1">
        <f ca="1">IF(N118=1,O$3*L117/Prices!B117,O$3*M117*N118)</f>
        <v>2.6641755563113764E-2</v>
      </c>
      <c r="P118" s="14"/>
      <c r="Q118" s="9">
        <f ca="1">Q117-T118*Prices!B118</f>
        <v>0.74489382797127834</v>
      </c>
      <c r="R118" s="1">
        <f t="shared" ca="1" si="9"/>
        <v>0.19575151479750849</v>
      </c>
      <c r="S118" s="9">
        <f ca="1">IF(Prices!C117&lt;OFFSET(Prices!C117,-S$3,0),1,IF(Prices!C117&gt;OFFSET(Prices!C117,-S$3,0),-1,0))</f>
        <v>-1</v>
      </c>
      <c r="T118" s="1">
        <f ca="1">IF(S118=1,T$3*Q117/Prices!B117,T$3*R117*S118)</f>
        <v>-3.9949288734185406E-3</v>
      </c>
      <c r="V118" s="9"/>
      <c r="W118" s="1"/>
      <c r="X118" s="1"/>
      <c r="Y118" s="1"/>
      <c r="Z118" s="1"/>
      <c r="AA118" s="1"/>
      <c r="AB118" s="1"/>
      <c r="AC118" s="1"/>
      <c r="AD118" s="1"/>
      <c r="AE118" s="16"/>
    </row>
    <row r="119" spans="1:31" x14ac:dyDescent="0.2">
      <c r="A119" s="4">
        <v>33673</v>
      </c>
      <c r="B119" s="9">
        <f ca="1">Prices!B118*(1+J119/(50*(ABS(O119)+ABS(T119)+0.0001)))</f>
        <v>1.228276240852227</v>
      </c>
      <c r="C119" s="13">
        <f t="shared" ca="1" si="10"/>
        <v>-1</v>
      </c>
      <c r="D119" s="9">
        <f ca="1">D118+C119*(Prices!B119-Prices!B118)/Prices!B118</f>
        <v>-0.11981322773308307</v>
      </c>
      <c r="E119" s="9">
        <f t="shared" ca="1" si="11"/>
        <v>0.15593717899182941</v>
      </c>
      <c r="F119" s="9">
        <f t="shared" ca="1" si="12"/>
        <v>3.6123951258746317E-2</v>
      </c>
      <c r="G119" s="13">
        <f ca="1">IF((Prices!B119-Prices!B118)*B119&gt;0,1,0)</f>
        <v>0</v>
      </c>
      <c r="H119" s="9">
        <f>ABS(Prices!B119-Prices!B118)/Prices!B118</f>
        <v>3.3511529561956284E-3</v>
      </c>
      <c r="I119" s="13"/>
      <c r="J119" s="1">
        <f t="shared" ca="1" si="13"/>
        <v>-5.9240658813746648E-2</v>
      </c>
      <c r="K119" s="9"/>
      <c r="L119" s="9">
        <f ca="1">L118-O119*Prices!B119</f>
        <v>0.36791318045079457</v>
      </c>
      <c r="M119" s="1">
        <f t="shared" ca="1" si="8"/>
        <v>0.49793065666016828</v>
      </c>
      <c r="N119" s="9">
        <f ca="1">IF(Prices!D118&gt;OFFSET(Prices!D118,-$N$3,0),1,IF(Prices!D118&lt;OFFSET(Prices!D118,-$N$3,0),-1,0))</f>
        <v>-1</v>
      </c>
      <c r="O119" s="1">
        <f ca="1">IF(N119=1,O$3*L118/Prices!B118,O$3*M118*N119)</f>
        <v>-5.5325628517796481E-2</v>
      </c>
      <c r="P119" s="14"/>
      <c r="Q119" s="9">
        <f ca="1">Q118-T119*Prices!B119</f>
        <v>0.74978409231394971</v>
      </c>
      <c r="R119" s="1">
        <f t="shared" ca="1" si="9"/>
        <v>0.19183648450155832</v>
      </c>
      <c r="S119" s="9">
        <f ca="1">IF(Prices!C118&lt;OFFSET(Prices!C118,-S$3,0),1,IF(Prices!C118&gt;OFFSET(Prices!C118,-S$3,0),-1,0))</f>
        <v>-1</v>
      </c>
      <c r="T119" s="1">
        <f ca="1">IF(S119=1,T$3*Q118/Prices!B118,T$3*R118*S119)</f>
        <v>-3.9150302959501697E-3</v>
      </c>
      <c r="V119" s="9"/>
      <c r="W119" s="1"/>
      <c r="X119" s="1"/>
      <c r="Y119" s="1"/>
      <c r="Z119" s="1"/>
      <c r="AA119" s="1"/>
      <c r="AB119" s="1"/>
      <c r="AC119" s="1"/>
      <c r="AD119" s="1"/>
      <c r="AE119" s="16"/>
    </row>
    <row r="120" spans="1:31" x14ac:dyDescent="0.2">
      <c r="A120" s="4">
        <v>33674</v>
      </c>
      <c r="B120" s="9">
        <f ca="1">Prices!B119*(1+J120/(50*(ABS(O120)+ABS(T120)+0.0001)))</f>
        <v>1.2241644956172539</v>
      </c>
      <c r="C120" s="13">
        <f t="shared" ca="1" si="10"/>
        <v>-1</v>
      </c>
      <c r="D120" s="9">
        <f ca="1">D119+C120*(Prices!B120-Prices!B119)/Prices!B119</f>
        <v>-0.12277536046865253</v>
      </c>
      <c r="E120" s="9">
        <f t="shared" ca="1" si="11"/>
        <v>0.15889931172739885</v>
      </c>
      <c r="F120" s="9">
        <f t="shared" ca="1" si="12"/>
        <v>3.6123951258746317E-2</v>
      </c>
      <c r="G120" s="13">
        <f ca="1">IF((Prices!B120-Prices!B119)*B120&gt;0,1,0)</f>
        <v>1</v>
      </c>
      <c r="H120" s="9">
        <f>ABS(Prices!B120-Prices!B119)/Prices!B119</f>
        <v>2.9621327355694614E-3</v>
      </c>
      <c r="I120" s="13"/>
      <c r="J120" s="1">
        <f t="shared" ca="1" si="13"/>
        <v>-5.3629795356047998E-2</v>
      </c>
      <c r="K120" s="9"/>
      <c r="L120" s="9">
        <f ca="1">L119-O120*Prices!B120</f>
        <v>0.43029393311718045</v>
      </c>
      <c r="M120" s="1">
        <f t="shared" ca="1" si="8"/>
        <v>0.44813759099415146</v>
      </c>
      <c r="N120" s="9">
        <f ca="1">IF(Prices!D119&gt;OFFSET(Prices!D119,-$N$3,0),1,IF(Prices!D119&lt;OFFSET(Prices!D119,-$N$3,0),-1,0))</f>
        <v>-1</v>
      </c>
      <c r="O120" s="1">
        <f ca="1">IF(N120=1,O$3*L119/Prices!B119,O$3*M119*N120)</f>
        <v>-4.9793065666016829E-2</v>
      </c>
      <c r="P120" s="14"/>
      <c r="Q120" s="9">
        <f ca="1">Q119-T120*Prices!B120</f>
        <v>0.75459074726962072</v>
      </c>
      <c r="R120" s="1">
        <f t="shared" ca="1" si="9"/>
        <v>0.18799975481152717</v>
      </c>
      <c r="S120" s="9">
        <f ca="1">IF(Prices!C119&lt;OFFSET(Prices!C119,-S$3,0),1,IF(Prices!C119&gt;OFFSET(Prices!C119,-S$3,0),-1,0))</f>
        <v>-1</v>
      </c>
      <c r="T120" s="1">
        <f ca="1">IF(S120=1,T$3*Q119/Prices!B119,T$3*R119*S120)</f>
        <v>-3.8367296900311664E-3</v>
      </c>
      <c r="V120" s="9"/>
      <c r="W120" s="1"/>
      <c r="X120" s="1"/>
      <c r="Y120" s="1"/>
      <c r="Z120" s="1"/>
      <c r="AA120" s="1"/>
      <c r="AB120" s="1"/>
      <c r="AC120" s="1"/>
      <c r="AD120" s="1"/>
      <c r="AE120" s="16"/>
    </row>
    <row r="121" spans="1:31" x14ac:dyDescent="0.2">
      <c r="A121" s="4">
        <v>33675</v>
      </c>
      <c r="B121" s="9">
        <f ca="1">Prices!B120*(1+J121/(50*(ABS(O121)+ABS(T121)+0.0001)))</f>
        <v>1.2728587846723509</v>
      </c>
      <c r="C121" s="13">
        <f t="shared" ca="1" si="10"/>
        <v>1</v>
      </c>
      <c r="D121" s="9">
        <f ca="1">D120+C121*(Prices!B121-Prices!B120)/Prices!B120</f>
        <v>-0.12987944731411863</v>
      </c>
      <c r="E121" s="9">
        <f t="shared" ca="1" si="11"/>
        <v>0.16600339857286495</v>
      </c>
      <c r="F121" s="9">
        <f t="shared" ca="1" si="12"/>
        <v>3.6123951258746317E-2</v>
      </c>
      <c r="G121" s="13">
        <f ca="1">IF((Prices!B121-Prices!B120)*B121&gt;0,1,0)</f>
        <v>0</v>
      </c>
      <c r="H121" s="9">
        <f>ABS(Prices!B121-Prices!B120)/Prices!B120</f>
        <v>7.1040868454660825E-3</v>
      </c>
      <c r="I121" s="13"/>
      <c r="J121" s="1">
        <f t="shared" ca="1" si="13"/>
        <v>3.0586583217720644E-2</v>
      </c>
      <c r="K121" s="9"/>
      <c r="L121" s="9">
        <f ca="1">L120-O121*Prices!B121</f>
        <v>0.38757022435245658</v>
      </c>
      <c r="M121" s="1">
        <f t="shared" ca="1" si="8"/>
        <v>0.48248416930810267</v>
      </c>
      <c r="N121" s="9">
        <f ca="1">IF(Prices!D120&gt;OFFSET(Prices!D120,-$N$3,0),1,IF(Prices!D120&lt;OFFSET(Prices!D120,-$N$3,0),-1,0))</f>
        <v>1</v>
      </c>
      <c r="O121" s="1">
        <f ca="1">IF(N121=1,O$3*L120/Prices!B120,O$3*M120*N121)</f>
        <v>3.4346578313951187E-2</v>
      </c>
      <c r="P121" s="14"/>
      <c r="Q121" s="9">
        <f ca="1">Q120-T121*Prices!B121</f>
        <v>0.75926780516982184</v>
      </c>
      <c r="R121" s="1">
        <f t="shared" ca="1" si="9"/>
        <v>0.18423975971529663</v>
      </c>
      <c r="S121" s="9">
        <f ca="1">IF(Prices!C120&lt;OFFSET(Prices!C120,-S$3,0),1,IF(Prices!C120&gt;OFFSET(Prices!C120,-S$3,0),-1,0))</f>
        <v>-1</v>
      </c>
      <c r="T121" s="1">
        <f ca="1">IF(S121=1,T$3*Q120/Prices!B120,T$3*R120*S121)</f>
        <v>-3.7599950962305434E-3</v>
      </c>
      <c r="V121" s="9"/>
      <c r="W121" s="1"/>
      <c r="X121" s="1"/>
      <c r="Y121" s="1"/>
      <c r="Z121" s="1"/>
      <c r="AA121" s="1"/>
      <c r="AB121" s="1"/>
      <c r="AC121" s="1"/>
      <c r="AD121" s="1"/>
      <c r="AE121" s="16"/>
    </row>
    <row r="122" spans="1:31" x14ac:dyDescent="0.2">
      <c r="A122" s="4">
        <v>33676</v>
      </c>
      <c r="B122" s="9">
        <f ca="1">Prices!B121*(1+J122/(50*(ABS(O122)+ABS(T122)+0.0001)))</f>
        <v>1.2634598725390971</v>
      </c>
      <c r="C122" s="13">
        <f t="shared" ca="1" si="10"/>
        <v>1</v>
      </c>
      <c r="D122" s="9">
        <f ca="1">D121+C122*(Prices!B122-Prices!B121)/Prices!B121</f>
        <v>-0.12537747770241348</v>
      </c>
      <c r="E122" s="9">
        <f t="shared" ca="1" si="11"/>
        <v>0.16150142896115979</v>
      </c>
      <c r="F122" s="9">
        <f t="shared" ca="1" si="12"/>
        <v>3.6123951258746317E-2</v>
      </c>
      <c r="G122" s="13">
        <f ca="1">IF((Prices!B122-Prices!B121)*B122&gt;0,1,0)</f>
        <v>1</v>
      </c>
      <c r="H122" s="9">
        <f>ABS(Prices!B122-Prices!B121)/Prices!B121</f>
        <v>4.5019696117051602E-3</v>
      </c>
      <c r="I122" s="13"/>
      <c r="J122" s="1">
        <f t="shared" ca="1" si="13"/>
        <v>2.747287217063149E-2</v>
      </c>
      <c r="K122" s="9"/>
      <c r="L122" s="9">
        <f ca="1">L121-O122*Prices!B122</f>
        <v>0.34863871897996729</v>
      </c>
      <c r="M122" s="1">
        <f t="shared" ca="1" si="8"/>
        <v>0.51364183667304009</v>
      </c>
      <c r="N122" s="9">
        <f ca="1">IF(Prices!D121&gt;OFFSET(Prices!D121,-$N$3,0),1,IF(Prices!D121&lt;OFFSET(Prices!D121,-$N$3,0),-1,0))</f>
        <v>1</v>
      </c>
      <c r="O122" s="1">
        <f ca="1">IF(N122=1,O$3*L121/Prices!B121,O$3*M121*N122)</f>
        <v>3.1157667364937424E-2</v>
      </c>
      <c r="P122" s="14"/>
      <c r="Q122" s="9">
        <f ca="1">Q121-T122*Prices!B122</f>
        <v>0.76387195676510711</v>
      </c>
      <c r="R122" s="1">
        <f t="shared" ca="1" si="9"/>
        <v>0.18055496452099071</v>
      </c>
      <c r="S122" s="9">
        <f ca="1">IF(Prices!C121&lt;OFFSET(Prices!C121,-S$3,0),1,IF(Prices!C121&gt;OFFSET(Prices!C121,-S$3,0),-1,0))</f>
        <v>-1</v>
      </c>
      <c r="T122" s="1">
        <f ca="1">IF(S122=1,T$3*Q121/Prices!B121,T$3*R121*S122)</f>
        <v>-3.6847951943059327E-3</v>
      </c>
      <c r="V122" s="9"/>
      <c r="W122" s="1"/>
      <c r="X122" s="1"/>
      <c r="Y122" s="1"/>
      <c r="Z122" s="1"/>
      <c r="AA122" s="1"/>
      <c r="AB122" s="1"/>
      <c r="AC122" s="1"/>
      <c r="AD122" s="1"/>
      <c r="AE122" s="16"/>
    </row>
    <row r="123" spans="1:31" x14ac:dyDescent="0.2">
      <c r="A123" s="4">
        <v>33679</v>
      </c>
      <c r="B123" s="9">
        <f ca="1">Prices!B122*(1+J123/(50*(ABS(O123)+ABS(T123)+0.0001)))</f>
        <v>1.2687018852353147</v>
      </c>
      <c r="C123" s="13">
        <f t="shared" ca="1" si="10"/>
        <v>1</v>
      </c>
      <c r="D123" s="9">
        <f ca="1">D122+C123*(Prices!B123-Prices!B122)/Prices!B122</f>
        <v>-0.12369680543350592</v>
      </c>
      <c r="E123" s="9">
        <f t="shared" ca="1" si="11"/>
        <v>0.15982075669225224</v>
      </c>
      <c r="F123" s="9">
        <f t="shared" ca="1" si="12"/>
        <v>3.6123951258746317E-2</v>
      </c>
      <c r="G123" s="13">
        <f ca="1">IF((Prices!B123-Prices!B122)*B123&gt;0,1,0)</f>
        <v>1</v>
      </c>
      <c r="H123" s="9">
        <f>ABS(Prices!B123-Prices!B122)/Prices!B122</f>
        <v>1.6806722689075555E-3</v>
      </c>
      <c r="I123" s="13"/>
      <c r="J123" s="1">
        <f t="shared" ca="1" si="13"/>
        <v>2.4291159131346277E-2</v>
      </c>
      <c r="K123" s="9"/>
      <c r="L123" s="9">
        <f ca="1">L122-O123*Prices!B123</f>
        <v>0.31371625233928485</v>
      </c>
      <c r="M123" s="1">
        <f t="shared" ca="1" si="8"/>
        <v>0.54154409509480617</v>
      </c>
      <c r="N123" s="9">
        <f ca="1">IF(Prices!D122&gt;OFFSET(Prices!D122,-$N$3,0),1,IF(Prices!D122&lt;OFFSET(Prices!D122,-$N$3,0),-1,0))</f>
        <v>1</v>
      </c>
      <c r="O123" s="1">
        <f ca="1">IF(N123=1,O$3*L122/Prices!B122,O$3*M122*N123)</f>
        <v>2.790225842176609E-2</v>
      </c>
      <c r="P123" s="14"/>
      <c r="Q123" s="9">
        <f ca="1">Q122-T123*Prices!B123</f>
        <v>0.76839160863699651</v>
      </c>
      <c r="R123" s="1">
        <f t="shared" ca="1" si="9"/>
        <v>0.1769438652305709</v>
      </c>
      <c r="S123" s="9">
        <f ca="1">IF(Prices!C122&lt;OFFSET(Prices!C122,-S$3,0),1,IF(Prices!C122&gt;OFFSET(Prices!C122,-S$3,0),-1,0))</f>
        <v>-1</v>
      </c>
      <c r="T123" s="1">
        <f ca="1">IF(S123=1,T$3*Q122/Prices!B122,T$3*R122*S123)</f>
        <v>-3.6110992904198141E-3</v>
      </c>
      <c r="V123" s="9"/>
      <c r="W123" s="1"/>
      <c r="X123" s="1"/>
      <c r="Y123" s="1"/>
      <c r="Z123" s="1"/>
      <c r="AA123" s="1"/>
      <c r="AB123" s="1"/>
      <c r="AC123" s="1"/>
      <c r="AD123" s="1"/>
      <c r="AE123" s="16"/>
    </row>
    <row r="124" spans="1:31" x14ac:dyDescent="0.2">
      <c r="A124" s="4">
        <v>33680</v>
      </c>
      <c r="B124" s="9">
        <f ca="1">Prices!B123*(1+J124/(50*(ABS(O124)+ABS(T124)+0.0001)))</f>
        <v>1.2703724903534617</v>
      </c>
      <c r="C124" s="13">
        <f t="shared" ca="1" si="10"/>
        <v>1</v>
      </c>
      <c r="D124" s="9">
        <f ca="1">D123+C124*(Prices!B124-Prices!B123)/Prices!B123</f>
        <v>-0.11522764595763507</v>
      </c>
      <c r="E124" s="9">
        <f t="shared" ca="1" si="11"/>
        <v>0.15135159721638139</v>
      </c>
      <c r="F124" s="9">
        <f t="shared" ca="1" si="12"/>
        <v>3.6123951258746317E-2</v>
      </c>
      <c r="G124" s="13">
        <f ca="1">IF((Prices!B124-Prices!B123)*B124&gt;0,1,0)</f>
        <v>1</v>
      </c>
      <c r="H124" s="9">
        <f>ABS(Prices!B124-Prices!B123)/Prices!B123</f>
        <v>8.4691594758708397E-3</v>
      </c>
      <c r="I124" s="13"/>
      <c r="J124" s="1">
        <f t="shared" ca="1" si="13"/>
        <v>2.1526339405142886E-2</v>
      </c>
      <c r="K124" s="9"/>
      <c r="L124" s="9">
        <f ca="1">L123-O124*Prices!B124</f>
        <v>0.28207893580823296</v>
      </c>
      <c r="M124" s="1">
        <f t="shared" ca="1" si="8"/>
        <v>0.56660931180456042</v>
      </c>
      <c r="N124" s="9">
        <f ca="1">IF(Prices!D123&gt;OFFSET(Prices!D123,-$N$3,0),1,IF(Prices!D123&lt;OFFSET(Prices!D123,-$N$3,0),-1,0))</f>
        <v>1</v>
      </c>
      <c r="O124" s="1">
        <f ca="1">IF(N124=1,O$3*L123/Prices!B123,O$3*M123*N124)</f>
        <v>2.5065216709754305E-2</v>
      </c>
      <c r="P124" s="14"/>
      <c r="Q124" s="9">
        <f ca="1">Q123-T124*Prices!B124</f>
        <v>0.772858379570877</v>
      </c>
      <c r="R124" s="1">
        <f t="shared" ca="1" si="9"/>
        <v>0.17340498792595949</v>
      </c>
      <c r="S124" s="9">
        <f ca="1">IF(Prices!C123&lt;OFFSET(Prices!C123,-S$3,0),1,IF(Prices!C123&gt;OFFSET(Prices!C123,-S$3,0),-1,0))</f>
        <v>-1</v>
      </c>
      <c r="T124" s="1">
        <f ca="1">IF(S124=1,T$3*Q123/Prices!B123,T$3*R123*S124)</f>
        <v>-3.5388773046114183E-3</v>
      </c>
      <c r="V124" s="9"/>
      <c r="W124" s="1"/>
      <c r="X124" s="1"/>
      <c r="Y124" s="1"/>
      <c r="Z124" s="1"/>
      <c r="AA124" s="1"/>
      <c r="AB124" s="1"/>
      <c r="AC124" s="1"/>
      <c r="AD124" s="1"/>
      <c r="AE124" s="16"/>
    </row>
    <row r="125" spans="1:31" x14ac:dyDescent="0.2">
      <c r="A125" s="4">
        <v>33681</v>
      </c>
      <c r="B125" s="9">
        <f ca="1">Prices!B124*(1+J125/(50*(ABS(O125)+ABS(T125)+0.0001)))</f>
        <v>1.2370004742527563</v>
      </c>
      <c r="C125" s="13">
        <f t="shared" ca="1" si="10"/>
        <v>-1</v>
      </c>
      <c r="D125" s="9">
        <f ca="1">D124+C125*(Prices!B125-Prices!B124)/Prices!B124</f>
        <v>-0.11506919246373555</v>
      </c>
      <c r="E125" s="9">
        <f t="shared" ca="1" si="11"/>
        <v>0.15119314372248188</v>
      </c>
      <c r="F125" s="9">
        <f t="shared" ca="1" si="12"/>
        <v>3.6123951258746317E-2</v>
      </c>
      <c r="G125" s="13">
        <f ca="1">IF((Prices!B125-Prices!B124)*B125&gt;0,1,0)</f>
        <v>0</v>
      </c>
      <c r="H125" s="9">
        <f>ABS(Prices!B125-Prices!B124)/Prices!B124</f>
        <v>1.5845349389952303E-4</v>
      </c>
      <c r="I125" s="13"/>
      <c r="J125" s="1">
        <f t="shared" ca="1" si="13"/>
        <v>-5.6660931180456044E-2</v>
      </c>
      <c r="K125" s="9"/>
      <c r="L125" s="9">
        <f ca="1">L124-O125*Prices!B125</f>
        <v>0.35358503095796845</v>
      </c>
      <c r="M125" s="1">
        <f t="shared" ca="1" si="8"/>
        <v>0.50994838062410441</v>
      </c>
      <c r="N125" s="9">
        <f ca="1">IF(Prices!D124&gt;OFFSET(Prices!D124,-$N$3,0),1,IF(Prices!D124&lt;OFFSET(Prices!D124,-$N$3,0),-1,0))</f>
        <v>-1</v>
      </c>
      <c r="O125" s="1">
        <f ca="1">IF(N125=1,O$3*L124/Prices!B124,O$3*M124*N125)</f>
        <v>-5.6660931180456044E-2</v>
      </c>
      <c r="P125" s="14"/>
      <c r="Q125" s="9">
        <f ca="1">Q124-T125*Prices!B125</f>
        <v>0.772858379570877</v>
      </c>
      <c r="R125" s="1">
        <f t="shared" ca="1" si="9"/>
        <v>0.17340498792595949</v>
      </c>
      <c r="S125" s="9">
        <f ca="1">IF(Prices!C124&lt;OFFSET(Prices!C124,-S$3,0),1,IF(Prices!C124&gt;OFFSET(Prices!C124,-S$3,0),-1,0))</f>
        <v>0</v>
      </c>
      <c r="T125" s="1">
        <f ca="1">IF(S125=1,T$3*Q124/Prices!B124,T$3*R124*S125)</f>
        <v>0</v>
      </c>
      <c r="V125" s="9"/>
      <c r="W125" s="1"/>
      <c r="X125" s="1"/>
      <c r="Y125" s="1"/>
      <c r="Z125" s="1"/>
      <c r="AA125" s="1"/>
      <c r="AB125" s="1"/>
      <c r="AC125" s="1"/>
      <c r="AD125" s="1"/>
      <c r="AE125" s="16"/>
    </row>
    <row r="126" spans="1:31" x14ac:dyDescent="0.2">
      <c r="A126" s="4">
        <v>33682</v>
      </c>
      <c r="B126" s="9">
        <f ca="1">Prices!B125*(1+J126/(50*(ABS(O126)+ABS(T126)+0.0001)))</f>
        <v>1.246560779926102</v>
      </c>
      <c r="C126" s="13">
        <f t="shared" ca="1" si="10"/>
        <v>-1</v>
      </c>
      <c r="D126" s="9">
        <f ca="1">D125+C126*(Prices!B126-Prices!B125)/Prices!B125</f>
        <v>-0.10421340799463884</v>
      </c>
      <c r="E126" s="9">
        <f t="shared" ca="1" si="11"/>
        <v>0.14033735925338514</v>
      </c>
      <c r="F126" s="9">
        <f t="shared" ca="1" si="12"/>
        <v>3.6123951258746317E-2</v>
      </c>
      <c r="G126" s="13">
        <f ca="1">IF((Prices!B126-Prices!B125)*B126&gt;0,1,0)</f>
        <v>0</v>
      </c>
      <c r="H126" s="9">
        <f>ABS(Prices!B126-Prices!B125)/Prices!B125</f>
        <v>1.0855784469096708E-2</v>
      </c>
      <c r="I126" s="13"/>
      <c r="J126" s="1">
        <f t="shared" ca="1" si="13"/>
        <v>-3.8746686246707164E-2</v>
      </c>
      <c r="K126" s="9"/>
      <c r="L126" s="9">
        <f ca="1">L125-O126*Prices!B126</f>
        <v>0.41724188731127543</v>
      </c>
      <c r="M126" s="1">
        <f t="shared" ca="1" si="8"/>
        <v>0.45895354256169396</v>
      </c>
      <c r="N126" s="9">
        <f ca="1">IF(Prices!D125&gt;OFFSET(Prices!D125,-$N$3,0),1,IF(Prices!D125&lt;OFFSET(Prices!D125,-$N$3,0),-1,0))</f>
        <v>-1</v>
      </c>
      <c r="O126" s="1">
        <f ca="1">IF(N126=1,O$3*L125/Prices!B125,O$3*M125*N126)</f>
        <v>-5.0994838062410446E-2</v>
      </c>
      <c r="P126" s="14"/>
      <c r="Q126" s="9">
        <f ca="1">Q125-T126*Prices!B126</f>
        <v>0.75756901165933455</v>
      </c>
      <c r="R126" s="1">
        <f t="shared" ca="1" si="9"/>
        <v>0.18565313974166275</v>
      </c>
      <c r="S126" s="9">
        <f ca="1">IF(Prices!C125&lt;OFFSET(Prices!C125,-S$3,0),1,IF(Prices!C125&gt;OFFSET(Prices!C125,-S$3,0),-1,0))</f>
        <v>1</v>
      </c>
      <c r="T126" s="1">
        <f ca="1">IF(S126=1,T$3*Q125/Prices!B125,T$3*R125*S126)</f>
        <v>1.2248151815703281E-2</v>
      </c>
      <c r="V126" s="9"/>
      <c r="W126" s="1"/>
      <c r="X126" s="1"/>
      <c r="Y126" s="1"/>
      <c r="Z126" s="1"/>
      <c r="AA126" s="1"/>
      <c r="AB126" s="1"/>
      <c r="AC126" s="1"/>
      <c r="AD126" s="1"/>
      <c r="AE126" s="16"/>
    </row>
    <row r="127" spans="1:31" x14ac:dyDescent="0.2">
      <c r="A127" s="4">
        <v>33683</v>
      </c>
      <c r="B127" s="9">
        <f ca="1">Prices!B126*(1+J127/(50*(ABS(O127)+ABS(T127)+0.0001)))</f>
        <v>1.2338022739493482</v>
      </c>
      <c r="C127" s="13">
        <f t="shared" ca="1" si="10"/>
        <v>-1</v>
      </c>
      <c r="D127" s="9">
        <f ca="1">D126+C127*(Prices!B127-Prices!B126)/Prices!B126</f>
        <v>-9.6282622125857281E-2</v>
      </c>
      <c r="E127" s="9">
        <f t="shared" ca="1" si="11"/>
        <v>0.1324065733846036</v>
      </c>
      <c r="F127" s="9">
        <f t="shared" ca="1" si="12"/>
        <v>3.6123951258746317E-2</v>
      </c>
      <c r="G127" s="13">
        <f ca="1">IF((Prices!B127-Prices!B126)*B127&gt;0,1,0)</f>
        <v>0</v>
      </c>
      <c r="H127" s="9">
        <f>ABS(Prices!B127-Prices!B126)/Prices!B126</f>
        <v>7.9307858687815598E-3</v>
      </c>
      <c r="I127" s="13"/>
      <c r="J127" s="1">
        <f t="shared" ca="1" si="13"/>
        <v>-3.3757742918200405E-2</v>
      </c>
      <c r="K127" s="9"/>
      <c r="L127" s="9">
        <f ca="1">L126-O127*Prices!B127</f>
        <v>0.47407869402211561</v>
      </c>
      <c r="M127" s="1">
        <f t="shared" ca="1" si="8"/>
        <v>0.41305818830552454</v>
      </c>
      <c r="N127" s="9">
        <f ca="1">IF(Prices!D126&gt;OFFSET(Prices!D126,-$N$3,0),1,IF(Prices!D126&lt;OFFSET(Prices!D126,-$N$3,0),-1,0))</f>
        <v>-1</v>
      </c>
      <c r="O127" s="1">
        <f ca="1">IF(N127=1,O$3*L126/Prices!B126,O$3*M126*N127)</f>
        <v>-4.5895354256169398E-2</v>
      </c>
      <c r="P127" s="14"/>
      <c r="Q127" s="9">
        <f ca="1">Q126-T127*Prices!B127</f>
        <v>0.7425377937783938</v>
      </c>
      <c r="R127" s="1">
        <f t="shared" ca="1" si="9"/>
        <v>0.19779075107963173</v>
      </c>
      <c r="S127" s="9">
        <f ca="1">IF(Prices!C126&lt;OFFSET(Prices!C126,-S$3,0),1,IF(Prices!C126&gt;OFFSET(Prices!C126,-S$3,0),-1,0))</f>
        <v>1</v>
      </c>
      <c r="T127" s="1">
        <f ca="1">IF(S127=1,T$3*Q126/Prices!B126,T$3*R126*S127)</f>
        <v>1.2137611337968991E-2</v>
      </c>
      <c r="V127" s="9"/>
      <c r="W127" s="1"/>
      <c r="X127" s="1"/>
      <c r="Y127" s="1"/>
      <c r="Z127" s="1"/>
      <c r="AA127" s="1"/>
      <c r="AB127" s="1"/>
      <c r="AC127" s="1"/>
      <c r="AD127" s="1"/>
      <c r="AE127" s="16"/>
    </row>
    <row r="128" spans="1:31" x14ac:dyDescent="0.2">
      <c r="A128" s="4">
        <v>33686</v>
      </c>
      <c r="B128" s="9">
        <f ca="1">Prices!B127*(1+J128/(50*(ABS(O128)+ABS(T128)+0.0001)))</f>
        <v>1.2584810748495205</v>
      </c>
      <c r="C128" s="13">
        <f t="shared" ca="1" si="10"/>
        <v>1</v>
      </c>
      <c r="D128" s="9">
        <f ca="1">D127+C128*(Prices!B128-Prices!B127)/Prices!B127</f>
        <v>-8.5300709981154396E-2</v>
      </c>
      <c r="E128" s="9">
        <f t="shared" ca="1" si="11"/>
        <v>0.12142466123990071</v>
      </c>
      <c r="F128" s="9">
        <f t="shared" ca="1" si="12"/>
        <v>3.6123951258746317E-2</v>
      </c>
      <c r="G128" s="13">
        <f ca="1">IF((Prices!B128-Prices!B127)*B128&gt;0,1,0)</f>
        <v>1</v>
      </c>
      <c r="H128" s="9">
        <f>ABS(Prices!B128-Prices!B127)/Prices!B127</f>
        <v>1.0981912144702888E-2</v>
      </c>
      <c r="I128" s="13"/>
      <c r="J128" s="1">
        <f t="shared" ca="1" si="13"/>
        <v>3.4325733268306888E-2</v>
      </c>
      <c r="K128" s="9"/>
      <c r="L128" s="9">
        <f ca="1">L127-O128*Prices!B128</f>
        <v>0.42615019556316142</v>
      </c>
      <c r="M128" s="1">
        <f t="shared" ca="1" si="8"/>
        <v>0.45133973659542403</v>
      </c>
      <c r="N128" s="9">
        <f ca="1">IF(Prices!D127&gt;OFFSET(Prices!D127,-$N$3,0),1,IF(Prices!D127&lt;OFFSET(Prices!D127,-$N$3,0),-1,0))</f>
        <v>1</v>
      </c>
      <c r="O128" s="1">
        <f ca="1">IF(N128=1,O$3*L127/Prices!B127,O$3*M127*N128)</f>
        <v>3.828154828989952E-2</v>
      </c>
      <c r="P128" s="14"/>
      <c r="Q128" s="9">
        <f ca="1">Q127-T128*Prices!B128</f>
        <v>0.7474904741854278</v>
      </c>
      <c r="R128" s="1">
        <f t="shared" ca="1" si="9"/>
        <v>0.19383493605803909</v>
      </c>
      <c r="S128" s="9">
        <f ca="1">IF(Prices!C127&lt;OFFSET(Prices!C127,-S$3,0),1,IF(Prices!C127&gt;OFFSET(Prices!C127,-S$3,0),-1,0))</f>
        <v>-1</v>
      </c>
      <c r="T128" s="1">
        <f ca="1">IF(S128=1,T$3*Q127/Prices!B127,T$3*R127*S128)</f>
        <v>-3.9558150215926345E-3</v>
      </c>
      <c r="V128" s="9"/>
      <c r="W128" s="1"/>
      <c r="X128" s="1"/>
      <c r="Y128" s="1"/>
      <c r="Z128" s="1"/>
      <c r="AA128" s="1"/>
      <c r="AB128" s="1"/>
      <c r="AC128" s="1"/>
      <c r="AD128" s="1"/>
      <c r="AE128" s="16"/>
    </row>
    <row r="129" spans="1:31" x14ac:dyDescent="0.2">
      <c r="A129" s="4">
        <v>33687</v>
      </c>
      <c r="B129" s="9">
        <f ca="1">Prices!B128*(1+J129/(50*(ABS(O129)+ABS(T129)+0.0001)))</f>
        <v>1.2718669648926655</v>
      </c>
      <c r="C129" s="13">
        <f t="shared" ca="1" si="10"/>
        <v>1</v>
      </c>
      <c r="D129" s="9">
        <f ca="1">D128+C129*(Prices!B129-Prices!B128)/Prices!B128</f>
        <v>-8.5620198799045741E-2</v>
      </c>
      <c r="E129" s="9">
        <f t="shared" ca="1" si="11"/>
        <v>0.12174415005779206</v>
      </c>
      <c r="F129" s="9">
        <f t="shared" ca="1" si="12"/>
        <v>3.6123951258746317E-2</v>
      </c>
      <c r="G129" s="13">
        <f ca="1">IF((Prices!B129-Prices!B128)*B129&gt;0,1,0)</f>
        <v>0</v>
      </c>
      <c r="H129" s="9">
        <f>ABS(Prices!B129-Prices!B128)/Prices!B128</f>
        <v>3.1948881789133863E-4</v>
      </c>
      <c r="I129" s="13"/>
      <c r="J129" s="1">
        <f t="shared" ca="1" si="13"/>
        <v>3.0160856835002268E-2</v>
      </c>
      <c r="K129" s="9"/>
      <c r="L129" s="9">
        <f ca="1">L128-O129*Prices!B129</f>
        <v>0.38354879102906775</v>
      </c>
      <c r="M129" s="1">
        <f t="shared" ca="1" si="8"/>
        <v>0.48537729215158709</v>
      </c>
      <c r="N129" s="9">
        <f ca="1">IF(Prices!D128&gt;OFFSET(Prices!D128,-$N$3,0),1,IF(Prices!D128&lt;OFFSET(Prices!D128,-$N$3,0),-1,0))</f>
        <v>1</v>
      </c>
      <c r="O129" s="1">
        <f ca="1">IF(N129=1,O$3*L128/Prices!B128,O$3*M128*N129)</f>
        <v>3.403755555616305E-2</v>
      </c>
      <c r="P129" s="14"/>
      <c r="Q129" s="9">
        <f ca="1">Q128-T129*Prices!B129</f>
        <v>0.75234255030483266</v>
      </c>
      <c r="R129" s="1">
        <f t="shared" ca="1" si="9"/>
        <v>0.18995823733687831</v>
      </c>
      <c r="S129" s="9">
        <f ca="1">IF(Prices!C128&lt;OFFSET(Prices!C128,-S$3,0),1,IF(Prices!C128&gt;OFFSET(Prices!C128,-S$3,0),-1,0))</f>
        <v>-1</v>
      </c>
      <c r="T129" s="1">
        <f ca="1">IF(S129=1,T$3*Q128/Prices!B128,T$3*R128*S129)</f>
        <v>-3.8766987211607817E-3</v>
      </c>
      <c r="V129" s="9"/>
      <c r="W129" s="1"/>
      <c r="X129" s="1"/>
      <c r="Y129" s="1"/>
      <c r="Z129" s="1"/>
      <c r="AA129" s="1"/>
      <c r="AB129" s="1"/>
      <c r="AC129" s="1"/>
      <c r="AD129" s="1"/>
      <c r="AE129" s="16"/>
    </row>
    <row r="130" spans="1:31" x14ac:dyDescent="0.2">
      <c r="A130" s="4">
        <v>33688</v>
      </c>
      <c r="B130" s="9">
        <f ca="1">Prices!B129*(1+J130/(50*(ABS(O130)+ABS(T130)+0.0001)))</f>
        <v>1.2266157373812763</v>
      </c>
      <c r="C130" s="13">
        <f t="shared" ca="1" si="10"/>
        <v>-1</v>
      </c>
      <c r="D130" s="9">
        <f ca="1">D129+C130*(Prices!B130-Prices!B129)/Prices!B129</f>
        <v>-9.1932119540496696E-2</v>
      </c>
      <c r="E130" s="9">
        <f t="shared" ca="1" si="11"/>
        <v>0.12805607079924303</v>
      </c>
      <c r="F130" s="9">
        <f t="shared" ca="1" si="12"/>
        <v>3.6123951258746317E-2</v>
      </c>
      <c r="G130" s="13">
        <f ca="1">IF((Prices!B130-Prices!B129)*B130&gt;0,1,0)</f>
        <v>1</v>
      </c>
      <c r="H130" s="9">
        <f>ABS(Prices!B130-Prices!B129)/Prices!B129</f>
        <v>6.3119207414509574E-3</v>
      </c>
      <c r="I130" s="13"/>
      <c r="J130" s="1">
        <f t="shared" ca="1" si="13"/>
        <v>-5.233689396189628E-2</v>
      </c>
      <c r="K130" s="9"/>
      <c r="L130" s="9">
        <f ca="1">L129-O130*Prices!B130</f>
        <v>0.44468206097556018</v>
      </c>
      <c r="M130" s="1">
        <f t="shared" ca="1" si="8"/>
        <v>0.43683956293642839</v>
      </c>
      <c r="N130" s="9">
        <f ca="1">IF(Prices!D129&gt;OFFSET(Prices!D129,-$N$3,0),1,IF(Prices!D129&lt;OFFSET(Prices!D129,-$N$3,0),-1,0))</f>
        <v>-1</v>
      </c>
      <c r="O130" s="1">
        <f ca="1">IF(N130=1,O$3*L129/Prices!B129,O$3*M129*N130)</f>
        <v>-4.8537729215158712E-2</v>
      </c>
      <c r="P130" s="14"/>
      <c r="Q130" s="9">
        <f ca="1">Q129-T130*Prices!B130</f>
        <v>0.75712759830334864</v>
      </c>
      <c r="R130" s="1">
        <f t="shared" ca="1" si="9"/>
        <v>0.18615907259014075</v>
      </c>
      <c r="S130" s="9">
        <f ca="1">IF(Prices!C129&lt;OFFSET(Prices!C129,-S$3,0),1,IF(Prices!C129&gt;OFFSET(Prices!C129,-S$3,0),-1,0))</f>
        <v>-1</v>
      </c>
      <c r="T130" s="1">
        <f ca="1">IF(S130=1,T$3*Q129/Prices!B129,T$3*R129*S130)</f>
        <v>-3.7991647467375662E-3</v>
      </c>
      <c r="V130" s="9"/>
      <c r="W130" s="1"/>
      <c r="X130" s="1"/>
      <c r="Y130" s="1"/>
      <c r="Z130" s="1"/>
      <c r="AA130" s="1"/>
      <c r="AB130" s="1"/>
      <c r="AC130" s="1"/>
      <c r="AD130" s="1"/>
      <c r="AE130" s="16"/>
    </row>
    <row r="131" spans="1:31" x14ac:dyDescent="0.2">
      <c r="A131" s="4">
        <v>33689</v>
      </c>
      <c r="B131" s="9">
        <f ca="1">Prices!B130*(1+J131/(50*(ABS(O131)+ABS(T131)+0.0001)))</f>
        <v>1.2343630236111782</v>
      </c>
      <c r="C131" s="13">
        <f t="shared" ca="1" si="10"/>
        <v>-1</v>
      </c>
      <c r="D131" s="9">
        <f ca="1">D130+C131*(Prices!B131-Prices!B130)/Prices!B130</f>
        <v>-9.0344187821560604E-2</v>
      </c>
      <c r="E131" s="9">
        <f t="shared" ca="1" si="11"/>
        <v>0.12646813908030691</v>
      </c>
      <c r="F131" s="9">
        <f t="shared" ca="1" si="12"/>
        <v>3.6123951258746317E-2</v>
      </c>
      <c r="G131" s="13">
        <f ca="1">IF((Prices!B131-Prices!B130)*B131&gt;0,1,0)</f>
        <v>0</v>
      </c>
      <c r="H131" s="9">
        <f>ABS(Prices!B131-Prices!B130)/Prices!B130</f>
        <v>1.587931718936087E-3</v>
      </c>
      <c r="I131" s="13"/>
      <c r="J131" s="1">
        <f t="shared" ca="1" si="13"/>
        <v>-4.7407137745445659E-2</v>
      </c>
      <c r="K131" s="9"/>
      <c r="L131" s="9">
        <f ca="1">L130-O131*Prices!B131</f>
        <v>0.49961463601481604</v>
      </c>
      <c r="M131" s="1">
        <f t="shared" ca="1" si="8"/>
        <v>0.39315560664278554</v>
      </c>
      <c r="N131" s="9">
        <f ca="1">IF(Prices!D130&gt;OFFSET(Prices!D130,-$N$3,0),1,IF(Prices!D130&lt;OFFSET(Prices!D130,-$N$3,0),-1,0))</f>
        <v>-1</v>
      </c>
      <c r="O131" s="1">
        <f ca="1">IF(N131=1,O$3*L130/Prices!B130,O$3*M130*N131)</f>
        <v>-4.3683956293642842E-2</v>
      </c>
      <c r="P131" s="14"/>
      <c r="Q131" s="9">
        <f ca="1">Q130-T131*Prices!B131</f>
        <v>0.76180949897899064</v>
      </c>
      <c r="R131" s="1">
        <f t="shared" ca="1" si="9"/>
        <v>0.18243589113833794</v>
      </c>
      <c r="S131" s="9">
        <f ca="1">IF(Prices!C130&lt;OFFSET(Prices!C130,-S$3,0),1,IF(Prices!C130&gt;OFFSET(Prices!C130,-S$3,0),-1,0))</f>
        <v>-1</v>
      </c>
      <c r="T131" s="1">
        <f ca="1">IF(S131=1,T$3*Q130/Prices!B130,T$3*R130*S131)</f>
        <v>-3.7231814518028151E-3</v>
      </c>
      <c r="V131" s="9"/>
      <c r="W131" s="1"/>
      <c r="X131" s="1"/>
      <c r="Y131" s="1"/>
      <c r="Z131" s="1"/>
      <c r="AA131" s="1"/>
      <c r="AB131" s="1"/>
      <c r="AC131" s="1"/>
      <c r="AD131" s="1"/>
      <c r="AE131" s="16"/>
    </row>
    <row r="132" spans="1:31" x14ac:dyDescent="0.2">
      <c r="A132" s="4">
        <v>33690</v>
      </c>
      <c r="B132" s="9">
        <f ca="1">Prices!B131*(1+J132/(50*(ABS(O132)+ABS(T132)+0.0001)))</f>
        <v>1.2826015853074608</v>
      </c>
      <c r="C132" s="13">
        <f t="shared" ca="1" si="10"/>
        <v>1</v>
      </c>
      <c r="D132" s="9">
        <f ca="1">D131+C132*(Prices!B132-Prices!B131)/Prices!B131</f>
        <v>-8.2709992990546821E-2</v>
      </c>
      <c r="E132" s="9">
        <f t="shared" ca="1" si="11"/>
        <v>0.11883394424929314</v>
      </c>
      <c r="F132" s="9">
        <f t="shared" ca="1" si="12"/>
        <v>3.6123951258746317E-2</v>
      </c>
      <c r="G132" s="13">
        <f ca="1">IF((Prices!B132-Prices!B131)*B132&gt;0,1,0)</f>
        <v>1</v>
      </c>
      <c r="H132" s="9">
        <f>ABS(Prices!B132-Prices!B131)/Prices!B131</f>
        <v>7.6341948310137816E-3</v>
      </c>
      <c r="I132" s="13"/>
      <c r="J132" s="1">
        <f t="shared" ca="1" si="13"/>
        <v>5.1847040621122401E-2</v>
      </c>
      <c r="K132" s="9"/>
      <c r="L132" s="9">
        <f ca="1">L131-O132*Prices!B132</f>
        <v>0.44927175686615811</v>
      </c>
      <c r="M132" s="1">
        <f t="shared" ca="1" si="8"/>
        <v>0.4328863928069856</v>
      </c>
      <c r="N132" s="9">
        <f ca="1">IF(Prices!D131&gt;OFFSET(Prices!D131,-$N$3,0),1,IF(Prices!D131&lt;OFFSET(Prices!D131,-$N$3,0),-1,0))</f>
        <v>1</v>
      </c>
      <c r="O132" s="1">
        <f ca="1">IF(N132=1,O$3*L131/Prices!B131,O$3*M131*N132)</f>
        <v>3.9730786164200081E-2</v>
      </c>
      <c r="P132" s="14"/>
      <c r="Q132" s="9">
        <f ca="1">Q131-T132*Prices!B132</f>
        <v>0.74645699295662438</v>
      </c>
      <c r="R132" s="1">
        <f t="shared" ca="1" si="9"/>
        <v>0.19455214559526027</v>
      </c>
      <c r="S132" s="9">
        <f ca="1">IF(Prices!C131&lt;OFFSET(Prices!C131,-S$3,0),1,IF(Prices!C131&gt;OFFSET(Prices!C131,-S$3,0),-1,0))</f>
        <v>1</v>
      </c>
      <c r="T132" s="1">
        <f ca="1">IF(S132=1,T$3*Q131/Prices!B131,T$3*R131*S132)</f>
        <v>1.2116254456922316E-2</v>
      </c>
      <c r="V132" s="9"/>
      <c r="W132" s="1"/>
      <c r="X132" s="1"/>
      <c r="Y132" s="1"/>
      <c r="Z132" s="1"/>
      <c r="AA132" s="1"/>
      <c r="AB132" s="1"/>
      <c r="AC132" s="1"/>
      <c r="AD132" s="1"/>
      <c r="AE132" s="16"/>
    </row>
    <row r="133" spans="1:31" x14ac:dyDescent="0.2">
      <c r="A133" s="4">
        <v>33693</v>
      </c>
      <c r="B133" s="9">
        <f ca="1">Prices!B132*(1+J133/(50*(ABS(O133)+ABS(T133)+0.0001)))</f>
        <v>1.2923884667747119</v>
      </c>
      <c r="C133" s="13">
        <f t="shared" ca="1" si="10"/>
        <v>1</v>
      </c>
      <c r="D133" s="9">
        <f ca="1">D132+C133*(Prices!B133-Prices!B132)/Prices!B132</f>
        <v>-8.6577091088565844E-2</v>
      </c>
      <c r="E133" s="9">
        <f t="shared" ca="1" si="11"/>
        <v>0.12270104234731216</v>
      </c>
      <c r="F133" s="9">
        <f t="shared" ca="1" si="12"/>
        <v>3.6123951258746317E-2</v>
      </c>
      <c r="G133" s="13">
        <f ca="1">IF((Prices!B133-Prices!B132)*B133&gt;0,1,0)</f>
        <v>0</v>
      </c>
      <c r="H133" s="9">
        <f>ABS(Prices!B133-Prices!B132)/Prices!B132</f>
        <v>3.8670980980190237E-3</v>
      </c>
      <c r="I133" s="13"/>
      <c r="J133" s="1">
        <f t="shared" ca="1" si="13"/>
        <v>4.7238825306406995E-2</v>
      </c>
      <c r="K133" s="9"/>
      <c r="L133" s="9">
        <f ca="1">L132-O133*Prices!B133</f>
        <v>0.40451831897518936</v>
      </c>
      <c r="M133" s="1">
        <f t="shared" ca="1" si="8"/>
        <v>0.468343085796186</v>
      </c>
      <c r="N133" s="9">
        <f ca="1">IF(Prices!D132&gt;OFFSET(Prices!D132,-$N$3,0),1,IF(Prices!D132&lt;OFFSET(Prices!D132,-$N$3,0),-1,0))</f>
        <v>1</v>
      </c>
      <c r="O133" s="1">
        <f ca="1">IF(N133=1,O$3*L132/Prices!B132,O$3*M132*N133)</f>
        <v>3.5456692989200393E-2</v>
      </c>
      <c r="P133" s="14"/>
      <c r="Q133" s="9">
        <f ca="1">Q132-T133*Prices!B133</f>
        <v>0.73158558554584618</v>
      </c>
      <c r="R133" s="1">
        <f t="shared" ca="1" si="9"/>
        <v>0.20633427791246686</v>
      </c>
      <c r="S133" s="9">
        <f ca="1">IF(Prices!C132&lt;OFFSET(Prices!C132,-S$3,0),1,IF(Prices!C132&gt;OFFSET(Prices!C132,-S$3,0),-1,0))</f>
        <v>1</v>
      </c>
      <c r="T133" s="1">
        <f ca="1">IF(S133=1,T$3*Q132/Prices!B132,T$3*R132*S133)</f>
        <v>1.1782132317206605E-2</v>
      </c>
      <c r="V133" s="9"/>
      <c r="W133" s="1"/>
      <c r="X133" s="1"/>
      <c r="Y133" s="1"/>
      <c r="Z133" s="1"/>
      <c r="AA133" s="1"/>
      <c r="AB133" s="1"/>
      <c r="AC133" s="1"/>
      <c r="AD133" s="1"/>
      <c r="AE133" s="16"/>
    </row>
    <row r="134" spans="1:31" x14ac:dyDescent="0.2">
      <c r="A134" s="4">
        <v>33694</v>
      </c>
      <c r="B134" s="9">
        <f ca="1">Prices!B133*(1+J134/(50*(ABS(O134)+ABS(T134)+0.0001)))</f>
        <v>1.2469991853757219</v>
      </c>
      <c r="C134" s="13">
        <f t="shared" ca="1" si="10"/>
        <v>-1</v>
      </c>
      <c r="D134" s="9">
        <f ca="1">D133+C134*(Prices!B134-Prices!B133)/Prices!B133</f>
        <v>-8.8557759762310062E-2</v>
      </c>
      <c r="E134" s="9">
        <f t="shared" ca="1" si="11"/>
        <v>0.12468171102105638</v>
      </c>
      <c r="F134" s="9">
        <f t="shared" ca="1" si="12"/>
        <v>3.6123951258746317E-2</v>
      </c>
      <c r="G134" s="13">
        <f ca="1">IF((Prices!B134-Prices!B133)*B134&gt;0,1,0)</f>
        <v>1</v>
      </c>
      <c r="H134" s="9">
        <f>ABS(Prices!B134-Prices!B133)/Prices!B133</f>
        <v>1.9806686737442137E-3</v>
      </c>
      <c r="I134" s="13"/>
      <c r="J134" s="1">
        <f t="shared" ca="1" si="13"/>
        <v>-3.524207936799055E-2</v>
      </c>
      <c r="K134" s="9"/>
      <c r="L134" s="9">
        <f ca="1">L133-O134*Prices!B134</f>
        <v>0.46374966903583303</v>
      </c>
      <c r="M134" s="1">
        <f t="shared" ca="1" si="8"/>
        <v>0.42150877721656738</v>
      </c>
      <c r="N134" s="9">
        <f ca="1">IF(Prices!D133&gt;OFFSET(Prices!D133,-$N$3,0),1,IF(Prices!D133&lt;OFFSET(Prices!D133,-$N$3,0),-1,0))</f>
        <v>-1</v>
      </c>
      <c r="O134" s="1">
        <f ca="1">IF(N134=1,O$3*L133/Prices!B133,O$3*M133*N134)</f>
        <v>-4.6834308579618601E-2</v>
      </c>
      <c r="P134" s="14"/>
      <c r="Q134" s="9">
        <f ca="1">Q133-T134*Prices!B134</f>
        <v>0.71692489326190023</v>
      </c>
      <c r="R134" s="1">
        <f t="shared" ca="1" si="9"/>
        <v>0.21792650712409492</v>
      </c>
      <c r="S134" s="9">
        <f ca="1">IF(Prices!C133&lt;OFFSET(Prices!C133,-S$3,0),1,IF(Prices!C133&gt;OFFSET(Prices!C133,-S$3,0),-1,0))</f>
        <v>1</v>
      </c>
      <c r="T134" s="1">
        <f ca="1">IF(S134=1,T$3*Q133/Prices!B133,T$3*R133*S134)</f>
        <v>1.1592229211628051E-2</v>
      </c>
      <c r="V134" s="9"/>
      <c r="W134" s="1"/>
      <c r="X134" s="1"/>
      <c r="Y134" s="1"/>
      <c r="Z134" s="1"/>
      <c r="AA134" s="1"/>
      <c r="AB134" s="1"/>
      <c r="AC134" s="1"/>
      <c r="AD134" s="1"/>
      <c r="AE134" s="16"/>
    </row>
    <row r="135" spans="1:31" x14ac:dyDescent="0.2">
      <c r="A135" s="4">
        <v>33695</v>
      </c>
      <c r="B135" s="9">
        <f ca="1">Prices!B134*(1+J135/(50*(ABS(O135)+ABS(T135)+0.0001)))</f>
        <v>1.289772849686373</v>
      </c>
      <c r="C135" s="13">
        <f t="shared" ca="1" si="10"/>
        <v>1</v>
      </c>
      <c r="D135" s="9">
        <f ca="1">D134+C135*(Prices!B135-Prices!B134)/Prices!B134</f>
        <v>-9.2669406793226383E-2</v>
      </c>
      <c r="E135" s="9">
        <f t="shared" ca="1" si="11"/>
        <v>0.1287933580519727</v>
      </c>
      <c r="F135" s="9">
        <f t="shared" ca="1" si="12"/>
        <v>3.6123951258746317E-2</v>
      </c>
      <c r="G135" s="13">
        <f ca="1">IF((Prices!B135-Prices!B134)*B135&gt;0,1,0)</f>
        <v>0</v>
      </c>
      <c r="H135" s="9">
        <f>ABS(Prices!B135-Prices!B134)/Prices!B134</f>
        <v>4.1116470309163211E-3</v>
      </c>
      <c r="I135" s="13"/>
      <c r="J135" s="1">
        <f t="shared" ca="1" si="13"/>
        <v>1.1337469649116791E-2</v>
      </c>
      <c r="K135" s="9"/>
      <c r="L135" s="9">
        <f ca="1">L134-O135*Prices!B135</f>
        <v>0.46374966903583303</v>
      </c>
      <c r="M135" s="1">
        <f t="shared" ca="1" si="8"/>
        <v>0.42150877721656738</v>
      </c>
      <c r="N135" s="9">
        <f ca="1">IF(Prices!D134&gt;OFFSET(Prices!D134,-$N$3,0),1,IF(Prices!D134&lt;OFFSET(Prices!D134,-$N$3,0),-1,0))</f>
        <v>0</v>
      </c>
      <c r="O135" s="1">
        <f ca="1">IF(N135=1,O$3*L134/Prices!B134,O$3*M134*N135)</f>
        <v>0</v>
      </c>
      <c r="P135" s="14"/>
      <c r="Q135" s="9">
        <f ca="1">Q134-T135*Prices!B135</f>
        <v>0.70264535023883767</v>
      </c>
      <c r="R135" s="1">
        <f t="shared" ca="1" si="9"/>
        <v>0.2292639767732117</v>
      </c>
      <c r="S135" s="9">
        <f ca="1">IF(Prices!C134&lt;OFFSET(Prices!C134,-S$3,0),1,IF(Prices!C134&gt;OFFSET(Prices!C134,-S$3,0),-1,0))</f>
        <v>1</v>
      </c>
      <c r="T135" s="1">
        <f ca="1">IF(S135=1,T$3*Q134/Prices!B134,T$3*R134*S135)</f>
        <v>1.1337469649116791E-2</v>
      </c>
      <c r="V135" s="9"/>
      <c r="W135" s="1"/>
      <c r="X135" s="1"/>
      <c r="Y135" s="1"/>
      <c r="Z135" s="1"/>
      <c r="AA135" s="1"/>
      <c r="AB135" s="1"/>
      <c r="AC135" s="1"/>
      <c r="AD135" s="1"/>
      <c r="AE135" s="16"/>
    </row>
    <row r="136" spans="1:31" x14ac:dyDescent="0.2">
      <c r="A136" s="4">
        <v>33696</v>
      </c>
      <c r="B136" s="9">
        <f ca="1">Prices!B135*(1+J136/(50*(ABS(O136)+ABS(T136)+0.0001)))</f>
        <v>1.2343637832338843</v>
      </c>
      <c r="C136" s="13">
        <f t="shared" ca="1" si="10"/>
        <v>-1</v>
      </c>
      <c r="D136" s="9">
        <f ca="1">D135+C136*(Prices!B136-Prices!B135)/Prices!B135</f>
        <v>-9.7274408778141058E-2</v>
      </c>
      <c r="E136" s="9">
        <f t="shared" ca="1" si="11"/>
        <v>0.13339836003688738</v>
      </c>
      <c r="F136" s="9">
        <f t="shared" ca="1" si="12"/>
        <v>3.6123951258746317E-2</v>
      </c>
      <c r="G136" s="13">
        <f ca="1">IF((Prices!B136-Prices!B135)*B136&gt;0,1,0)</f>
        <v>1</v>
      </c>
      <c r="H136" s="9">
        <f>ABS(Prices!B136-Prices!B135)/Prices!B135</f>
        <v>4.6050019849146698E-3</v>
      </c>
      <c r="I136" s="13"/>
      <c r="J136" s="1">
        <f t="shared" ca="1" si="13"/>
        <v>-4.6736157257120971E-2</v>
      </c>
      <c r="K136" s="9"/>
      <c r="L136" s="9">
        <f ca="1">L135-O136*Prices!B136</f>
        <v>0.51708317461704534</v>
      </c>
      <c r="M136" s="1">
        <f t="shared" ca="1" si="8"/>
        <v>0.37935789949491061</v>
      </c>
      <c r="N136" s="9">
        <f ca="1">IF(Prices!D135&gt;OFFSET(Prices!D135,-$N$3,0),1,IF(Prices!D135&lt;OFFSET(Prices!D135,-$N$3,0),-1,0))</f>
        <v>-1</v>
      </c>
      <c r="O136" s="1">
        <f ca="1">IF(N136=1,O$3*L135/Prices!B135,O$3*M135*N136)</f>
        <v>-4.2150877721656738E-2</v>
      </c>
      <c r="P136" s="14"/>
      <c r="Q136" s="9">
        <f ca="1">Q135-T136*Prices!B136</f>
        <v>0.70844710443506054</v>
      </c>
      <c r="R136" s="1">
        <f t="shared" ca="1" si="9"/>
        <v>0.22467869723774747</v>
      </c>
      <c r="S136" s="9">
        <f ca="1">IF(Prices!C135&lt;OFFSET(Prices!C135,-S$3,0),1,IF(Prices!C135&gt;OFFSET(Prices!C135,-S$3,0),-1,0))</f>
        <v>-1</v>
      </c>
      <c r="T136" s="1">
        <f ca="1">IF(S136=1,T$3*Q135/Prices!B135,T$3*R135*S136)</f>
        <v>-4.585279535464234E-3</v>
      </c>
      <c r="V136" s="9"/>
      <c r="W136" s="1"/>
      <c r="X136" s="1"/>
      <c r="Y136" s="1"/>
      <c r="Z136" s="1"/>
      <c r="AA136" s="1"/>
      <c r="AB136" s="1"/>
      <c r="AC136" s="1"/>
      <c r="AD136" s="1"/>
      <c r="AE136" s="16"/>
    </row>
    <row r="137" spans="1:31" x14ac:dyDescent="0.2">
      <c r="A137" s="4">
        <v>33697</v>
      </c>
      <c r="B137" s="9">
        <f ca="1">Prices!B136*(1+J137/(50*(ABS(O137)+ABS(T137)+0.0001)))</f>
        <v>1.240053502418289</v>
      </c>
      <c r="C137" s="13">
        <f t="shared" ca="1" si="10"/>
        <v>-1</v>
      </c>
      <c r="D137" s="9">
        <f ca="1">D136+C137*(Prices!B137-Prices!B136)/Prices!B136</f>
        <v>-0.10636316243340055</v>
      </c>
      <c r="E137" s="9">
        <f t="shared" ca="1" si="11"/>
        <v>0.14248711369214687</v>
      </c>
      <c r="F137" s="9">
        <f t="shared" ca="1" si="12"/>
        <v>3.6123951258746317E-2</v>
      </c>
      <c r="G137" s="13">
        <f ca="1">IF((Prices!B137-Prices!B136)*B137&gt;0,1,0)</f>
        <v>1</v>
      </c>
      <c r="H137" s="9">
        <f>ABS(Prices!B137-Prices!B136)/Prices!B136</f>
        <v>9.0887536552594975E-3</v>
      </c>
      <c r="I137" s="13"/>
      <c r="J137" s="1">
        <f t="shared" ca="1" si="13"/>
        <v>-4.2429363894246015E-2</v>
      </c>
      <c r="K137" s="9"/>
      <c r="L137" s="9">
        <f ca="1">L136-O137*Prices!B137</f>
        <v>0.56551959122455553</v>
      </c>
      <c r="M137" s="1">
        <f t="shared" ca="1" si="8"/>
        <v>0.34142210954541952</v>
      </c>
      <c r="N137" s="9">
        <f ca="1">IF(Prices!D136&gt;OFFSET(Prices!D136,-$N$3,0),1,IF(Prices!D136&lt;OFFSET(Prices!D136,-$N$3,0),-1,0))</f>
        <v>-1</v>
      </c>
      <c r="O137" s="1">
        <f ca="1">IF(N137=1,O$3*L136/Prices!B136,O$3*M136*N137)</f>
        <v>-3.7935789949491067E-2</v>
      </c>
      <c r="P137" s="14"/>
      <c r="Q137" s="9">
        <f ca="1">Q136-T137*Prices!B137</f>
        <v>0.71418449964772368</v>
      </c>
      <c r="R137" s="1">
        <f t="shared" ca="1" si="9"/>
        <v>0.22018512329299253</v>
      </c>
      <c r="S137" s="9">
        <f ca="1">IF(Prices!C136&lt;OFFSET(Prices!C136,-S$3,0),1,IF(Prices!C136&gt;OFFSET(Prices!C136,-S$3,0),-1,0))</f>
        <v>-1</v>
      </c>
      <c r="T137" s="1">
        <f ca="1">IF(S137=1,T$3*Q136/Prices!B136,T$3*R136*S137)</f>
        <v>-4.4935739447549495E-3</v>
      </c>
      <c r="V137" s="9"/>
      <c r="W137" s="1"/>
      <c r="X137" s="1"/>
      <c r="Y137" s="1"/>
      <c r="Z137" s="1"/>
      <c r="AA137" s="1"/>
      <c r="AB137" s="1"/>
      <c r="AC137" s="1"/>
      <c r="AD137" s="1"/>
      <c r="AE137" s="16"/>
    </row>
    <row r="138" spans="1:31" x14ac:dyDescent="0.2">
      <c r="A138" s="4">
        <v>33700</v>
      </c>
      <c r="B138" s="9">
        <f ca="1">Prices!B137*(1+J138/(50*(ABS(O138)+ABS(T138)+0.0001)))</f>
        <v>1.2513300768441988</v>
      </c>
      <c r="C138" s="13">
        <f t="shared" ca="1" si="10"/>
        <v>-1</v>
      </c>
      <c r="D138" s="9">
        <f ca="1">D137+C138*(Prices!B138-Prices!B137)/Prices!B137</f>
        <v>-0.11309875140583175</v>
      </c>
      <c r="E138" s="9">
        <f t="shared" ca="1" si="11"/>
        <v>0.14922270266457807</v>
      </c>
      <c r="F138" s="9">
        <f t="shared" ca="1" si="12"/>
        <v>3.6123951258746317E-2</v>
      </c>
      <c r="G138" s="13">
        <f ca="1">IF((Prices!B138-Prices!B137)*B138&gt;0,1,0)</f>
        <v>1</v>
      </c>
      <c r="H138" s="9">
        <f>ABS(Prices!B138-Prices!B137)/Prices!B137</f>
        <v>6.7355889724312057E-3</v>
      </c>
      <c r="I138" s="13"/>
      <c r="J138" s="1">
        <f t="shared" ca="1" si="13"/>
        <v>-3.8545913420401805E-2</v>
      </c>
      <c r="K138" s="9"/>
      <c r="L138" s="9">
        <f ca="1">L137-O138*Prices!B138</f>
        <v>0.6094059891855238</v>
      </c>
      <c r="M138" s="1">
        <f t="shared" ca="1" si="8"/>
        <v>0.30727989859087756</v>
      </c>
      <c r="N138" s="9">
        <f ca="1">IF(Prices!D137&gt;OFFSET(Prices!D137,-$N$3,0),1,IF(Prices!D137&lt;OFFSET(Prices!D137,-$N$3,0),-1,0))</f>
        <v>-1</v>
      </c>
      <c r="O138" s="1">
        <f ca="1">IF(N138=1,O$3*L137/Prices!B137,O$3*M137*N138)</f>
        <v>-3.4142210954541952E-2</v>
      </c>
      <c r="P138" s="14"/>
      <c r="Q138" s="9">
        <f ca="1">Q137-T138*Prices!B138</f>
        <v>0.71984501879733997</v>
      </c>
      <c r="R138" s="1">
        <f t="shared" ca="1" si="9"/>
        <v>0.21578142082713267</v>
      </c>
      <c r="S138" s="9">
        <f ca="1">IF(Prices!C137&lt;OFFSET(Prices!C137,-S$3,0),1,IF(Prices!C137&gt;OFFSET(Prices!C137,-S$3,0),-1,0))</f>
        <v>-1</v>
      </c>
      <c r="T138" s="1">
        <f ca="1">IF(S138=1,T$3*Q137/Prices!B137,T$3*R137*S138)</f>
        <v>-4.4037024658598505E-3</v>
      </c>
      <c r="V138" s="9"/>
      <c r="W138" s="1"/>
      <c r="X138" s="1"/>
      <c r="Y138" s="1"/>
      <c r="Z138" s="1"/>
      <c r="AA138" s="1"/>
      <c r="AB138" s="1"/>
      <c r="AC138" s="1"/>
      <c r="AD138" s="1"/>
      <c r="AE138" s="16"/>
    </row>
    <row r="139" spans="1:31" x14ac:dyDescent="0.2">
      <c r="A139" s="4">
        <v>33701</v>
      </c>
      <c r="B139" s="9">
        <f ca="1">Prices!B138*(1+J139/(50*(ABS(O139)+ABS(T139)+0.0001)))</f>
        <v>1.2734552638594676</v>
      </c>
      <c r="C139" s="13">
        <f t="shared" ca="1" si="10"/>
        <v>-1</v>
      </c>
      <c r="D139" s="9">
        <f ca="1">D138+C139*(Prices!B139-Prices!B138)/Prices!B138</f>
        <v>-0.10843094371950843</v>
      </c>
      <c r="E139" s="9">
        <f t="shared" ca="1" si="11"/>
        <v>0.14455489497825474</v>
      </c>
      <c r="F139" s="9">
        <f t="shared" ca="1" si="12"/>
        <v>3.6123951258746317E-2</v>
      </c>
      <c r="G139" s="13">
        <f ca="1">IF((Prices!B139-Prices!B138)*B139&gt;0,1,0)</f>
        <v>0</v>
      </c>
      <c r="H139" s="9">
        <f>ABS(Prices!B139-Prices!B138)/Prices!B138</f>
        <v>4.6678076863233275E-3</v>
      </c>
      <c r="I139" s="13"/>
      <c r="J139" s="1">
        <f t="shared" ca="1" si="13"/>
        <v>-1.9527662820075155E-2</v>
      </c>
      <c r="K139" s="9"/>
      <c r="L139" s="9">
        <f ca="1">L138-O139*Prices!B139</f>
        <v>0.64871937941124069</v>
      </c>
      <c r="M139" s="1">
        <f t="shared" ca="1" si="8"/>
        <v>0.27655190873178981</v>
      </c>
      <c r="N139" s="9">
        <f ca="1">IF(Prices!D138&gt;OFFSET(Prices!D138,-$N$3,0),1,IF(Prices!D138&lt;OFFSET(Prices!D138,-$N$3,0),-1,0))</f>
        <v>-1</v>
      </c>
      <c r="O139" s="1">
        <f ca="1">IF(N139=1,O$3*L138/Prices!B138,O$3*M138*N139)</f>
        <v>-3.0727989859087756E-2</v>
      </c>
      <c r="P139" s="14"/>
      <c r="Q139" s="9">
        <f ca="1">Q138-T139*Prices!B139</f>
        <v>0.7055153203836273</v>
      </c>
      <c r="R139" s="1">
        <f t="shared" ca="1" si="9"/>
        <v>0.22698174786614528</v>
      </c>
      <c r="S139" s="9">
        <f ca="1">IF(Prices!C138&lt;OFFSET(Prices!C138,-S$3,0),1,IF(Prices!C138&gt;OFFSET(Prices!C138,-S$3,0),-1,0))</f>
        <v>1</v>
      </c>
      <c r="T139" s="1">
        <f ca="1">IF(S139=1,T$3*Q138/Prices!B138,T$3*R138*S139)</f>
        <v>1.1200327039012602E-2</v>
      </c>
      <c r="V139" s="9"/>
      <c r="W139" s="1"/>
      <c r="X139" s="1"/>
      <c r="Y139" s="1"/>
      <c r="Z139" s="1"/>
      <c r="AA139" s="1"/>
      <c r="AB139" s="1"/>
      <c r="AC139" s="1"/>
      <c r="AD139" s="1"/>
      <c r="AE139" s="16"/>
    </row>
    <row r="140" spans="1:31" x14ac:dyDescent="0.2">
      <c r="A140" s="4">
        <v>33702</v>
      </c>
      <c r="B140" s="9">
        <f ca="1">Prices!B139*(1+J140/(50*(ABS(O140)+ABS(T140)+0.0001)))</f>
        <v>1.2684306702693398</v>
      </c>
      <c r="C140" s="13">
        <f t="shared" ca="1" si="10"/>
        <v>-1</v>
      </c>
      <c r="D140" s="9">
        <f ca="1">D139+C140*(Prices!B140-Prices!B139)/Prices!B139</f>
        <v>-0.11061946959101063</v>
      </c>
      <c r="E140" s="9">
        <f t="shared" ca="1" si="11"/>
        <v>0.14674342084975694</v>
      </c>
      <c r="F140" s="9">
        <f t="shared" ca="1" si="12"/>
        <v>3.6123951258746317E-2</v>
      </c>
      <c r="G140" s="13">
        <f ca="1">IF((Prices!B140-Prices!B139)*B140&gt;0,1,0)</f>
        <v>1</v>
      </c>
      <c r="H140" s="9">
        <f>ABS(Prices!B140-Prices!B139)/Prices!B139</f>
        <v>2.1885258715021992E-3</v>
      </c>
      <c r="I140" s="13"/>
      <c r="J140" s="1">
        <f t="shared" ca="1" si="13"/>
        <v>-1.662634422031628E-2</v>
      </c>
      <c r="K140" s="9"/>
      <c r="L140" s="9">
        <f ca="1">L139-O140*Prices!B140</f>
        <v>0.68417886514883075</v>
      </c>
      <c r="M140" s="1">
        <f t="shared" ca="1" si="8"/>
        <v>0.24889671785861084</v>
      </c>
      <c r="N140" s="9">
        <f ca="1">IF(Prices!D139&gt;OFFSET(Prices!D139,-$N$3,0),1,IF(Prices!D139&lt;OFFSET(Prices!D139,-$N$3,0),-1,0))</f>
        <v>-1</v>
      </c>
      <c r="O140" s="1">
        <f ca="1">IF(N140=1,O$3*L139/Prices!B139,O$3*M139*N140)</f>
        <v>-2.7655190873178984E-2</v>
      </c>
      <c r="P140" s="14"/>
      <c r="Q140" s="9">
        <f ca="1">Q139-T140*Prices!B140</f>
        <v>0.6913741332053267</v>
      </c>
      <c r="R140" s="1">
        <f t="shared" ca="1" si="9"/>
        <v>0.238010594519008</v>
      </c>
      <c r="S140" s="9">
        <f ca="1">IF(Prices!C139&lt;OFFSET(Prices!C139,-S$3,0),1,IF(Prices!C139&gt;OFFSET(Prices!C139,-S$3,0),-1,0))</f>
        <v>1</v>
      </c>
      <c r="T140" s="1">
        <f ca="1">IF(S140=1,T$3*Q139/Prices!B139,T$3*R139*S140)</f>
        <v>1.1028846652862705E-2</v>
      </c>
      <c r="V140" s="9"/>
      <c r="W140" s="1"/>
      <c r="X140" s="1"/>
      <c r="Y140" s="1"/>
      <c r="Z140" s="1"/>
      <c r="AA140" s="1"/>
      <c r="AB140" s="1"/>
      <c r="AC140" s="1"/>
      <c r="AD140" s="1"/>
      <c r="AE140" s="16"/>
    </row>
    <row r="141" spans="1:31" x14ac:dyDescent="0.2">
      <c r="A141" s="4">
        <v>33703</v>
      </c>
      <c r="B141" s="9">
        <f ca="1">Prices!B140*(1+J141/(50*(ABS(O141)+ABS(T141)+0.0001)))</f>
        <v>1.307804083399148</v>
      </c>
      <c r="C141" s="13">
        <f t="shared" ca="1" si="10"/>
        <v>1</v>
      </c>
      <c r="D141" s="9">
        <f ca="1">D140+C141*(Prices!B141-Prices!B140)/Prices!B140</f>
        <v>-0.11662477297581803</v>
      </c>
      <c r="E141" s="9">
        <f t="shared" ca="1" si="11"/>
        <v>0.15274872423456434</v>
      </c>
      <c r="F141" s="9">
        <f t="shared" ca="1" si="12"/>
        <v>3.6123951258746317E-2</v>
      </c>
      <c r="G141" s="13">
        <f ca="1">IF((Prices!B141-Prices!B140)*B141&gt;0,1,0)</f>
        <v>0</v>
      </c>
      <c r="H141" s="9">
        <f>ABS(Prices!B141-Prices!B140)/Prices!B140</f>
        <v>6.0053033848073934E-3</v>
      </c>
      <c r="I141" s="13"/>
      <c r="J141" s="1">
        <f t="shared" ca="1" si="13"/>
        <v>6.4143947261729534E-2</v>
      </c>
      <c r="K141" s="9"/>
      <c r="L141" s="9">
        <f ca="1">L140-O141*Prices!B141</f>
        <v>0.61617184879941689</v>
      </c>
      <c r="M141" s="1">
        <f t="shared" ca="1" si="8"/>
        <v>0.30225647960785673</v>
      </c>
      <c r="N141" s="9">
        <f ca="1">IF(Prices!D140&gt;OFFSET(Prices!D140,-$N$3,0),1,IF(Prices!D140&lt;OFFSET(Prices!D140,-$N$3,0),-1,0))</f>
        <v>1</v>
      </c>
      <c r="O141" s="1">
        <f ca="1">IF(N141=1,O$3*L140/Prices!B140,O$3*M140*N141)</f>
        <v>5.3359761749245886E-2</v>
      </c>
      <c r="P141" s="14"/>
      <c r="Q141" s="9">
        <f ca="1">Q140-T141*Prices!B141</f>
        <v>0.67762968876966634</v>
      </c>
      <c r="R141" s="1">
        <f t="shared" ca="1" si="9"/>
        <v>0.24879478003149164</v>
      </c>
      <c r="S141" s="9">
        <f ca="1">IF(Prices!C140&lt;OFFSET(Prices!C140,-S$3,0),1,IF(Prices!C140&gt;OFFSET(Prices!C140,-S$3,0),-1,0))</f>
        <v>1</v>
      </c>
      <c r="T141" s="1">
        <f ca="1">IF(S141=1,T$3*Q140/Prices!B140,T$3*R140*S141)</f>
        <v>1.0784185512483647E-2</v>
      </c>
      <c r="V141" s="9"/>
      <c r="W141" s="1"/>
      <c r="X141" s="1"/>
      <c r="Y141" s="1"/>
      <c r="Z141" s="1"/>
      <c r="AA141" s="1"/>
      <c r="AB141" s="1"/>
      <c r="AC141" s="1"/>
      <c r="AD141" s="1"/>
      <c r="AE141" s="16"/>
    </row>
    <row r="142" spans="1:31" x14ac:dyDescent="0.2">
      <c r="A142" s="4">
        <v>33704</v>
      </c>
      <c r="B142" s="9">
        <f ca="1">Prices!B141*(1+J142/(50*(ABS(O142)+ABS(T142)+0.0001)))</f>
        <v>1.2623074124718654</v>
      </c>
      <c r="C142" s="13">
        <f t="shared" ca="1" si="10"/>
        <v>-1</v>
      </c>
      <c r="D142" s="9">
        <f ca="1">D141+C142*(Prices!B142-Prices!B141)/Prices!B141</f>
        <v>-0.12360790361528458</v>
      </c>
      <c r="E142" s="9">
        <f t="shared" ca="1" si="11"/>
        <v>0.15973185487403091</v>
      </c>
      <c r="F142" s="9">
        <f t="shared" ca="1" si="12"/>
        <v>3.6123951258746317E-2</v>
      </c>
      <c r="G142" s="13">
        <f ca="1">IF((Prices!B142-Prices!B141)*B142&gt;0,1,0)</f>
        <v>1</v>
      </c>
      <c r="H142" s="9">
        <f>ABS(Prices!B142-Prices!B141)/Prices!B141</f>
        <v>6.9831306394665593E-3</v>
      </c>
      <c r="I142" s="13"/>
      <c r="J142" s="1">
        <f t="shared" ca="1" si="13"/>
        <v>-1.9591992585820332E-2</v>
      </c>
      <c r="K142" s="9"/>
      <c r="L142" s="9">
        <f ca="1">L141-O142*Prices!B142</f>
        <v>0.65496344539228923</v>
      </c>
      <c r="M142" s="1">
        <f t="shared" ca="1" si="8"/>
        <v>0.27203083164707104</v>
      </c>
      <c r="N142" s="9">
        <f ca="1">IF(Prices!D141&gt;OFFSET(Prices!D141,-$N$3,0),1,IF(Prices!D141&lt;OFFSET(Prices!D141,-$N$3,0),-1,0))</f>
        <v>-1</v>
      </c>
      <c r="O142" s="1">
        <f ca="1">IF(N142=1,O$3*L141/Prices!B141,O$3*M141*N142)</f>
        <v>-3.0225647960785675E-2</v>
      </c>
      <c r="P142" s="14"/>
      <c r="Q142" s="9">
        <f ca="1">Q141-T142*Prices!B142</f>
        <v>0.66398245546143586</v>
      </c>
      <c r="R142" s="1">
        <f t="shared" ca="1" si="9"/>
        <v>0.25942843540645699</v>
      </c>
      <c r="S142" s="9">
        <f ca="1">IF(Prices!C141&lt;OFFSET(Prices!C141,-S$3,0),1,IF(Prices!C141&gt;OFFSET(Prices!C141,-S$3,0),-1,0))</f>
        <v>1</v>
      </c>
      <c r="T142" s="1">
        <f ca="1">IF(S142=1,T$3*Q141/Prices!B141,T$3*R141*S142)</f>
        <v>1.0633655374965342E-2</v>
      </c>
      <c r="V142" s="9"/>
      <c r="W142" s="1"/>
      <c r="X142" s="1"/>
      <c r="Y142" s="1"/>
      <c r="Z142" s="1"/>
      <c r="AA142" s="1"/>
      <c r="AB142" s="1"/>
      <c r="AC142" s="1"/>
      <c r="AD142" s="1"/>
      <c r="AE142" s="16"/>
    </row>
    <row r="143" spans="1:31" x14ac:dyDescent="0.2">
      <c r="A143" s="4">
        <v>33707</v>
      </c>
      <c r="B143" s="9">
        <f ca="1">Prices!B142*(1+J143/(50*(ABS(O143)+ABS(T143)+0.0001)))</f>
        <v>1.257810998753589</v>
      </c>
      <c r="C143" s="13">
        <f t="shared" ca="1" si="10"/>
        <v>-1</v>
      </c>
      <c r="D143" s="9">
        <f ca="1">D142+C143*(Prices!B143-Prices!B142)/Prices!B142</f>
        <v>-0.1081801336293098</v>
      </c>
      <c r="E143" s="9">
        <f t="shared" ca="1" si="11"/>
        <v>0.14430408488805613</v>
      </c>
      <c r="F143" s="9">
        <f t="shared" ca="1" si="12"/>
        <v>3.6123951258746317E-2</v>
      </c>
      <c r="G143" s="13">
        <f ca="1">IF((Prices!B143-Prices!B142)*B143&gt;0,1,0)</f>
        <v>0</v>
      </c>
      <c r="H143" s="9">
        <f>ABS(Prices!B143-Prices!B142)/Prices!B142</f>
        <v>1.5427769985974784E-2</v>
      </c>
      <c r="I143" s="13"/>
      <c r="J143" s="1">
        <f t="shared" ca="1" si="13"/>
        <v>-3.2391651872836241E-2</v>
      </c>
      <c r="K143" s="9"/>
      <c r="L143" s="9">
        <f ca="1">L142-O143*Prices!B143</f>
        <v>0.68933726127921313</v>
      </c>
      <c r="M143" s="1">
        <f t="shared" ca="1" si="8"/>
        <v>0.24482774848236394</v>
      </c>
      <c r="N143" s="9">
        <f ca="1">IF(Prices!D142&gt;OFFSET(Prices!D142,-$N$3,0),1,IF(Prices!D142&lt;OFFSET(Prices!D142,-$N$3,0),-1,0))</f>
        <v>-1</v>
      </c>
      <c r="O143" s="1">
        <f ca="1">IF(N143=1,O$3*L142/Prices!B142,O$3*M142*N143)</f>
        <v>-2.7203083164707105E-2</v>
      </c>
      <c r="P143" s="14"/>
      <c r="Q143" s="9">
        <f ca="1">Q142-T143*Prices!B143</f>
        <v>0.67053873088102789</v>
      </c>
      <c r="R143" s="1">
        <f t="shared" ca="1" si="9"/>
        <v>0.25423986669832788</v>
      </c>
      <c r="S143" s="9">
        <f ca="1">IF(Prices!C142&lt;OFFSET(Prices!C142,-S$3,0),1,IF(Prices!C142&gt;OFFSET(Prices!C142,-S$3,0),-1,0))</f>
        <v>-1</v>
      </c>
      <c r="T143" s="1">
        <f ca="1">IF(S143=1,T$3*Q142/Prices!B142,T$3*R142*S143)</f>
        <v>-5.1885687081291397E-3</v>
      </c>
      <c r="V143" s="9"/>
      <c r="W143" s="1"/>
      <c r="X143" s="1"/>
      <c r="Y143" s="1"/>
      <c r="Z143" s="1"/>
      <c r="AA143" s="1"/>
      <c r="AB143" s="1"/>
      <c r="AC143" s="1"/>
      <c r="AD143" s="1"/>
      <c r="AE143" s="16"/>
    </row>
    <row r="144" spans="1:31" x14ac:dyDescent="0.2">
      <c r="A144" s="4">
        <v>33708</v>
      </c>
      <c r="B144" s="9">
        <f ca="1">Prices!B143*(1+J144/(50*(ABS(O144)+ABS(T144)+0.0001)))</f>
        <v>1.2384308036914304</v>
      </c>
      <c r="C144" s="13">
        <f t="shared" ca="1" si="10"/>
        <v>-1</v>
      </c>
      <c r="D144" s="9">
        <f ca="1">D143+C144*(Prices!B144-Prices!B143)/Prices!B143</f>
        <v>-0.11150397028647978</v>
      </c>
      <c r="E144" s="9">
        <f t="shared" ca="1" si="11"/>
        <v>0.14762792154522608</v>
      </c>
      <c r="F144" s="9">
        <f t="shared" ca="1" si="12"/>
        <v>3.6123951258746317E-2</v>
      </c>
      <c r="G144" s="13">
        <f ca="1">IF((Prices!B144-Prices!B143)*B144&gt;0,1,0)</f>
        <v>1</v>
      </c>
      <c r="H144" s="9">
        <f>ABS(Prices!B144-Prices!B143)/Prices!B143</f>
        <v>3.3238366571699757E-3</v>
      </c>
      <c r="I144" s="13"/>
      <c r="J144" s="1">
        <f t="shared" ca="1" si="13"/>
        <v>-2.4482774848236397E-2</v>
      </c>
      <c r="K144" s="9"/>
      <c r="L144" s="9">
        <f ca="1">L143-O144*Prices!B144</f>
        <v>0.72037652323180723</v>
      </c>
      <c r="M144" s="1">
        <f t="shared" ca="1" si="8"/>
        <v>0.22034497363412753</v>
      </c>
      <c r="N144" s="9">
        <f ca="1">IF(Prices!D143&gt;OFFSET(Prices!D143,-$N$3,0),1,IF(Prices!D143&lt;OFFSET(Prices!D143,-$N$3,0),-1,0))</f>
        <v>-1</v>
      </c>
      <c r="O144" s="1">
        <f ca="1">IF(N144=1,O$3*L143/Prices!B143,O$3*M143*N144)</f>
        <v>-2.4482774848236397E-2</v>
      </c>
      <c r="P144" s="14"/>
      <c r="Q144" s="9">
        <f ca="1">Q143-T144*Prices!B144</f>
        <v>0.67053873088102789</v>
      </c>
      <c r="R144" s="1">
        <f t="shared" ca="1" si="9"/>
        <v>0.25423986669832788</v>
      </c>
      <c r="S144" s="9">
        <f ca="1">IF(Prices!C143&lt;OFFSET(Prices!C143,-S$3,0),1,IF(Prices!C143&gt;OFFSET(Prices!C143,-S$3,0),-1,0))</f>
        <v>0</v>
      </c>
      <c r="T144" s="1">
        <f ca="1">IF(S144=1,T$3*Q143/Prices!B143,T$3*R143*S144)</f>
        <v>0</v>
      </c>
      <c r="V144" s="9"/>
      <c r="W144" s="1"/>
      <c r="X144" s="1"/>
      <c r="Y144" s="1"/>
      <c r="Z144" s="1"/>
      <c r="AA144" s="1"/>
      <c r="AB144" s="1"/>
      <c r="AC144" s="1"/>
      <c r="AD144" s="1"/>
      <c r="AE144" s="16"/>
    </row>
    <row r="145" spans="1:31" x14ac:dyDescent="0.2">
      <c r="A145" s="4">
        <v>33709</v>
      </c>
      <c r="B145" s="9">
        <f ca="1">Prices!B144*(1+J145/(50*(ABS(O145)+ABS(T145)+0.0001)))</f>
        <v>1.2425371545077928</v>
      </c>
      <c r="C145" s="13">
        <f t="shared" ca="1" si="10"/>
        <v>-1</v>
      </c>
      <c r="D145" s="9">
        <f ca="1">D144+C145*(Prices!B145-Prices!B144)/Prices!B144</f>
        <v>-0.10503607314181974</v>
      </c>
      <c r="E145" s="9">
        <f t="shared" ca="1" si="11"/>
        <v>0.14116002440056608</v>
      </c>
      <c r="F145" s="9">
        <f t="shared" ca="1" si="12"/>
        <v>3.6123951258746317E-2</v>
      </c>
      <c r="G145" s="13">
        <f ca="1">IF((Prices!B145-Prices!B144)*B145&gt;0,1,0)</f>
        <v>0</v>
      </c>
      <c r="H145" s="9">
        <f>ABS(Prices!B145-Prices!B144)/Prices!B144</f>
        <v>6.467897144660029E-3</v>
      </c>
      <c r="I145" s="13"/>
      <c r="J145" s="1">
        <f t="shared" ca="1" si="13"/>
        <v>-2.7119294697379313E-2</v>
      </c>
      <c r="K145" s="9"/>
      <c r="L145" s="9">
        <f ca="1">L144-O145*Prices!B145</f>
        <v>0.74813117611076196</v>
      </c>
      <c r="M145" s="1">
        <f t="shared" ca="1" si="8"/>
        <v>0.19831047627071477</v>
      </c>
      <c r="N145" s="9">
        <f ca="1">IF(Prices!D144&gt;OFFSET(Prices!D144,-$N$3,0),1,IF(Prices!D144&lt;OFFSET(Prices!D144,-$N$3,0),-1,0))</f>
        <v>-1</v>
      </c>
      <c r="O145" s="1">
        <f ca="1">IF(N145=1,O$3*L144/Prices!B144,O$3*M144*N145)</f>
        <v>-2.2034497363412755E-2</v>
      </c>
      <c r="P145" s="14"/>
      <c r="Q145" s="9">
        <f ca="1">Q144-T145*Prices!B145</f>
        <v>0.67694354160289216</v>
      </c>
      <c r="R145" s="1">
        <f t="shared" ca="1" si="9"/>
        <v>0.24915506936436133</v>
      </c>
      <c r="S145" s="9">
        <f ca="1">IF(Prices!C144&lt;OFFSET(Prices!C144,-S$3,0),1,IF(Prices!C144&gt;OFFSET(Prices!C144,-S$3,0),-1,0))</f>
        <v>-1</v>
      </c>
      <c r="T145" s="1">
        <f ca="1">IF(S145=1,T$3*Q144/Prices!B144,T$3*R144*S145)</f>
        <v>-5.0847973339665578E-3</v>
      </c>
      <c r="V145" s="9"/>
      <c r="W145" s="1"/>
      <c r="X145" s="1"/>
      <c r="Y145" s="1"/>
      <c r="Z145" s="1"/>
      <c r="AA145" s="1"/>
      <c r="AB145" s="1"/>
      <c r="AC145" s="1"/>
      <c r="AD145" s="1"/>
      <c r="AE145" s="16"/>
    </row>
    <row r="146" spans="1:31" x14ac:dyDescent="0.2">
      <c r="A146" s="4">
        <v>33710</v>
      </c>
      <c r="B146" s="9">
        <f ca="1">Prices!B145*(1+J146/(50*(ABS(O146)+ABS(T146)+0.0001)))</f>
        <v>1.2808590313035162</v>
      </c>
      <c r="C146" s="13">
        <f t="shared" ca="1" si="10"/>
        <v>1</v>
      </c>
      <c r="D146" s="9">
        <f ca="1">D145+C146*(Prices!B146-Prices!B145)/Prices!B145</f>
        <v>-0.11154607631743103</v>
      </c>
      <c r="E146" s="9">
        <f t="shared" ca="1" si="11"/>
        <v>0.14767002757617737</v>
      </c>
      <c r="F146" s="9">
        <f t="shared" ca="1" si="12"/>
        <v>3.6123951258746317E-2</v>
      </c>
      <c r="G146" s="13">
        <f ca="1">IF((Prices!B146-Prices!B145)*B146&gt;0,1,0)</f>
        <v>0</v>
      </c>
      <c r="H146" s="9">
        <f>ABS(Prices!B146-Prices!B145)/Prices!B145</f>
        <v>6.5100031756112932E-3</v>
      </c>
      <c r="I146" s="13"/>
      <c r="J146" s="1">
        <f t="shared" ca="1" si="13"/>
        <v>5.4411244128016199E-2</v>
      </c>
      <c r="K146" s="9"/>
      <c r="L146" s="9">
        <f ca="1">L145-O146*Prices!B146</f>
        <v>0.67380509213291129</v>
      </c>
      <c r="M146" s="1">
        <f t="shared" ref="M146:M209" ca="1" si="14">M145+O146</f>
        <v>0.25770482178601817</v>
      </c>
      <c r="N146" s="9">
        <f ca="1">IF(Prices!D145&gt;OFFSET(Prices!D145,-$N$3,0),1,IF(Prices!D145&lt;OFFSET(Prices!D145,-$N$3,0),-1,0))</f>
        <v>1</v>
      </c>
      <c r="O146" s="1">
        <f ca="1">IF(N146=1,O$3*L145/Prices!B145,O$3*M145*N146)</f>
        <v>5.9394345515303426E-2</v>
      </c>
      <c r="P146" s="14"/>
      <c r="Q146" s="9">
        <f ca="1">Q145-T146*Prices!B146</f>
        <v>0.6831793946789434</v>
      </c>
      <c r="R146" s="1">
        <f t="shared" ref="R146:R209" ca="1" si="15">R145+T146</f>
        <v>0.24417196797707411</v>
      </c>
      <c r="S146" s="9">
        <f ca="1">IF(Prices!C145&lt;OFFSET(Prices!C145,-S$3,0),1,IF(Prices!C145&gt;OFFSET(Prices!C145,-S$3,0),-1,0))</f>
        <v>-1</v>
      </c>
      <c r="T146" s="1">
        <f ca="1">IF(S146=1,T$3*Q145/Prices!B145,T$3*R145*S146)</f>
        <v>-4.9831013872872268E-3</v>
      </c>
      <c r="V146" s="9"/>
      <c r="W146" s="1"/>
      <c r="X146" s="1"/>
      <c r="Y146" s="1"/>
      <c r="Z146" s="1"/>
      <c r="AA146" s="1"/>
      <c r="AB146" s="1"/>
      <c r="AC146" s="1"/>
      <c r="AD146" s="1"/>
      <c r="AE146" s="16"/>
    </row>
    <row r="147" spans="1:31" x14ac:dyDescent="0.2">
      <c r="A147" s="4">
        <v>33711</v>
      </c>
      <c r="B147" s="9">
        <f ca="1">Prices!B146*(1+J147/(50*(ABS(O147)+ABS(T147)+0.0001)))</f>
        <v>1.2722301662137656</v>
      </c>
      <c r="C147" s="13">
        <f t="shared" ca="1" si="10"/>
        <v>1</v>
      </c>
      <c r="D147" s="9">
        <f ca="1">D146+C147*(Prices!B147-Prices!B146)/Prices!B146</f>
        <v>-0.11154607631743103</v>
      </c>
      <c r="E147" s="9">
        <f t="shared" ca="1" si="11"/>
        <v>0.14767002757617737</v>
      </c>
      <c r="F147" s="9">
        <f t="shared" ca="1" si="12"/>
        <v>3.6123951258746317E-2</v>
      </c>
      <c r="G147" s="13">
        <f ca="1">IF((Prices!B147-Prices!B146)*B147&gt;0,1,0)</f>
        <v>0</v>
      </c>
      <c r="H147" s="9">
        <f>ABS(Prices!B147-Prices!B146)/Prices!B146</f>
        <v>0</v>
      </c>
      <c r="I147" s="13"/>
      <c r="J147" s="1">
        <f t="shared" ca="1" si="13"/>
        <v>4.8960662616877822E-2</v>
      </c>
      <c r="K147" s="9"/>
      <c r="L147" s="9">
        <f ca="1">L146-O147*Prices!B147</f>
        <v>0.6064245829196202</v>
      </c>
      <c r="M147" s="1">
        <f t="shared" ca="1" si="14"/>
        <v>0.31154892376243748</v>
      </c>
      <c r="N147" s="9">
        <f ca="1">IF(Prices!D146&gt;OFFSET(Prices!D146,-$N$3,0),1,IF(Prices!D146&lt;OFFSET(Prices!D146,-$N$3,0),-1,0))</f>
        <v>1</v>
      </c>
      <c r="O147" s="1">
        <f ca="1">IF(N147=1,O$3*L146/Prices!B146,O$3*M146*N147)</f>
        <v>5.3844101976419305E-2</v>
      </c>
      <c r="P147" s="14"/>
      <c r="Q147" s="9">
        <f ca="1">Q146-T147*Prices!B147</f>
        <v>0.68929053069347357</v>
      </c>
      <c r="R147" s="1">
        <f t="shared" ca="1" si="15"/>
        <v>0.23928852861753264</v>
      </c>
      <c r="S147" s="9">
        <f ca="1">IF(Prices!C146&lt;OFFSET(Prices!C146,-S$3,0),1,IF(Prices!C146&gt;OFFSET(Prices!C146,-S$3,0),-1,0))</f>
        <v>-1</v>
      </c>
      <c r="T147" s="1">
        <f ca="1">IF(S147=1,T$3*Q146/Prices!B146,T$3*R146*S147)</f>
        <v>-4.8834393595414824E-3</v>
      </c>
      <c r="V147" s="9"/>
      <c r="W147" s="1"/>
      <c r="X147" s="1"/>
      <c r="Y147" s="1"/>
      <c r="Z147" s="1"/>
      <c r="AA147" s="1"/>
      <c r="AB147" s="1"/>
      <c r="AC147" s="1"/>
      <c r="AD147" s="1"/>
      <c r="AE147" s="16"/>
    </row>
    <row r="148" spans="1:31" x14ac:dyDescent="0.2">
      <c r="A148" s="4">
        <v>33714</v>
      </c>
      <c r="B148" s="9">
        <f ca="1">Prices!B147*(1+J148/(50*(ABS(O148)+ABS(T148)+0.0001)))</f>
        <v>1.2718904194617284</v>
      </c>
      <c r="C148" s="13">
        <f t="shared" ca="1" si="10"/>
        <v>1</v>
      </c>
      <c r="D148" s="9">
        <f ca="1">D147+C148*(Prices!B148-Prices!B147)/Prices!B147</f>
        <v>-0.11154607631743103</v>
      </c>
      <c r="E148" s="9">
        <f t="shared" ca="1" si="11"/>
        <v>0.14767002757617737</v>
      </c>
      <c r="F148" s="9">
        <f t="shared" ca="1" si="12"/>
        <v>3.6123951258746317E-2</v>
      </c>
      <c r="G148" s="13">
        <f ca="1">IF((Prices!B148-Prices!B147)*B148&gt;0,1,0)</f>
        <v>0</v>
      </c>
      <c r="H148" s="9">
        <f>ABS(Prices!B148-Prices!B147)/Prices!B147</f>
        <v>0</v>
      </c>
      <c r="I148" s="13"/>
      <c r="J148" s="1">
        <f t="shared" ca="1" si="13"/>
        <v>4.3673921206426727E-2</v>
      </c>
      <c r="K148" s="9"/>
      <c r="L148" s="9">
        <f ca="1">L147-O148*Prices!B148</f>
        <v>0.54578212462765818</v>
      </c>
      <c r="M148" s="1">
        <f t="shared" ca="1" si="14"/>
        <v>0.36000861554121488</v>
      </c>
      <c r="N148" s="9">
        <f ca="1">IF(Prices!D147&gt;OFFSET(Prices!D147,-$N$3,0),1,IF(Prices!D147&lt;OFFSET(Prices!D147,-$N$3,0),-1,0))</f>
        <v>1</v>
      </c>
      <c r="O148" s="1">
        <f ca="1">IF(N148=1,O$3*L147/Prices!B147,O$3*M147*N148)</f>
        <v>4.8459691778777382E-2</v>
      </c>
      <c r="P148" s="14"/>
      <c r="Q148" s="9">
        <f ca="1">Q147-T148*Prices!B148</f>
        <v>0.69527944398771313</v>
      </c>
      <c r="R148" s="1">
        <f t="shared" ca="1" si="15"/>
        <v>0.23450275804518197</v>
      </c>
      <c r="S148" s="9">
        <f ca="1">IF(Prices!C147&lt;OFFSET(Prices!C147,-S$3,0),1,IF(Prices!C147&gt;OFFSET(Prices!C147,-S$3,0),-1,0))</f>
        <v>-1</v>
      </c>
      <c r="T148" s="1">
        <f ca="1">IF(S148=1,T$3*Q147/Prices!B147,T$3*R147*S148)</f>
        <v>-4.7857705723506529E-3</v>
      </c>
      <c r="V148" s="9"/>
      <c r="W148" s="1"/>
      <c r="X148" s="1"/>
      <c r="Y148" s="1"/>
      <c r="Z148" s="1"/>
      <c r="AA148" s="1"/>
      <c r="AB148" s="1"/>
      <c r="AC148" s="1"/>
      <c r="AD148" s="1"/>
      <c r="AE148" s="16"/>
    </row>
    <row r="149" spans="1:31" x14ac:dyDescent="0.2">
      <c r="A149" s="4">
        <v>33715</v>
      </c>
      <c r="B149" s="9">
        <f ca="1">Prices!B148*(1+J149/(50*(ABS(O149)+ABS(T149)+0.0001)))</f>
        <v>1.2715261470433612</v>
      </c>
      <c r="C149" s="13">
        <f t="shared" ca="1" si="10"/>
        <v>1</v>
      </c>
      <c r="D149" s="9">
        <f ca="1">D148+C149*(Prices!B149-Prices!B148)/Prices!B148</f>
        <v>-0.10962822431167751</v>
      </c>
      <c r="E149" s="9">
        <f t="shared" ca="1" si="11"/>
        <v>0.14575217557042383</v>
      </c>
      <c r="F149" s="9">
        <f t="shared" ca="1" si="12"/>
        <v>3.6123951258746317E-2</v>
      </c>
      <c r="G149" s="13">
        <f ca="1">IF((Prices!B149-Prices!B148)*B149&gt;0,1,0)</f>
        <v>1</v>
      </c>
      <c r="H149" s="9">
        <f>ABS(Prices!B149-Prices!B148)/Prices!B148</f>
        <v>1.9178520057535221E-3</v>
      </c>
      <c r="I149" s="13"/>
      <c r="J149" s="1">
        <f t="shared" ca="1" si="13"/>
        <v>3.8923667439996007E-2</v>
      </c>
      <c r="K149" s="9"/>
      <c r="L149" s="9">
        <f ca="1">L148-O149*Prices!B149</f>
        <v>0.49109923923065019</v>
      </c>
      <c r="M149" s="1">
        <f t="shared" ca="1" si="14"/>
        <v>0.40362233814211451</v>
      </c>
      <c r="N149" s="9">
        <f ca="1">IF(Prices!D148&gt;OFFSET(Prices!D148,-$N$3,0),1,IF(Prices!D148&lt;OFFSET(Prices!D148,-$N$3,0),-1,0))</f>
        <v>1</v>
      </c>
      <c r="O149" s="1">
        <f ca="1">IF(N149=1,O$3*L148/Prices!B148,O$3*M148*N149)</f>
        <v>4.3613722600899643E-2</v>
      </c>
      <c r="P149" s="14"/>
      <c r="Q149" s="9">
        <f ca="1">Q148-T149*Prices!B149</f>
        <v>0.70115983514845415</v>
      </c>
      <c r="R149" s="1">
        <f t="shared" ca="1" si="15"/>
        <v>0.22981270288427832</v>
      </c>
      <c r="S149" s="9">
        <f ca="1">IF(Prices!C148&lt;OFFSET(Prices!C148,-S$3,0),1,IF(Prices!C148&gt;OFFSET(Prices!C148,-S$3,0),-1,0))</f>
        <v>-1</v>
      </c>
      <c r="T149" s="1">
        <f ca="1">IF(S149=1,T$3*Q148/Prices!B148,T$3*R148*S149)</f>
        <v>-4.6900551609036396E-3</v>
      </c>
      <c r="V149" s="9"/>
      <c r="W149" s="1"/>
      <c r="X149" s="1"/>
      <c r="Y149" s="1"/>
      <c r="Z149" s="1"/>
      <c r="AA149" s="1"/>
      <c r="AB149" s="1"/>
      <c r="AC149" s="1"/>
      <c r="AD149" s="1"/>
      <c r="AE149" s="16"/>
    </row>
    <row r="150" spans="1:31" x14ac:dyDescent="0.2">
      <c r="A150" s="4">
        <v>33716</v>
      </c>
      <c r="B150" s="9">
        <f ca="1">Prices!B149*(1+J150/(50*(ABS(O150)+ABS(T150)+0.0001)))</f>
        <v>1.2735638309160224</v>
      </c>
      <c r="C150" s="13">
        <f t="shared" ca="1" si="10"/>
        <v>1</v>
      </c>
      <c r="D150" s="9">
        <f ca="1">D149+C150*(Prices!B150-Prices!B149)/Prices!B149</f>
        <v>-0.10978773938585201</v>
      </c>
      <c r="E150" s="9">
        <f t="shared" ca="1" si="11"/>
        <v>0.14591169064459833</v>
      </c>
      <c r="F150" s="9">
        <f t="shared" ca="1" si="12"/>
        <v>3.6123951258746317E-2</v>
      </c>
      <c r="G150" s="13">
        <f ca="1">IF((Prices!B150-Prices!B149)*B150&gt;0,1,0)</f>
        <v>0</v>
      </c>
      <c r="H150" s="9">
        <f>ABS(Prices!B150-Prices!B149)/Prices!B149</f>
        <v>1.5951507417449193E-4</v>
      </c>
      <c r="I150" s="13"/>
      <c r="J150" s="1">
        <f t="shared" ca="1" si="13"/>
        <v>3.4572611728775605E-2</v>
      </c>
      <c r="K150" s="9"/>
      <c r="L150" s="9">
        <f ca="1">L149-O150*Prices!B150</f>
        <v>0.44199714908074245</v>
      </c>
      <c r="M150" s="1">
        <f t="shared" ca="1" si="14"/>
        <v>0.44279120392857568</v>
      </c>
      <c r="N150" s="9">
        <f ca="1">IF(Prices!D149&gt;OFFSET(Prices!D149,-$N$3,0),1,IF(Prices!D149&lt;OFFSET(Prices!D149,-$N$3,0),-1,0))</f>
        <v>1</v>
      </c>
      <c r="O150" s="1">
        <f ca="1">IF(N150=1,O$3*L149/Prices!B149,O$3*M149*N150)</f>
        <v>3.9168865786461171E-2</v>
      </c>
      <c r="P150" s="14"/>
      <c r="Q150" s="9">
        <f ca="1">Q149-T150*Prices!B150</f>
        <v>0.70692169923516879</v>
      </c>
      <c r="R150" s="1">
        <f t="shared" ca="1" si="15"/>
        <v>0.22521644882659275</v>
      </c>
      <c r="S150" s="9">
        <f ca="1">IF(Prices!C149&lt;OFFSET(Prices!C149,-S$3,0),1,IF(Prices!C149&gt;OFFSET(Prices!C149,-S$3,0),-1,0))</f>
        <v>-1</v>
      </c>
      <c r="T150" s="1">
        <f ca="1">IF(S150=1,T$3*Q149/Prices!B149,T$3*R149*S150)</f>
        <v>-4.5962540576855665E-3</v>
      </c>
      <c r="V150" s="9"/>
      <c r="W150" s="1"/>
      <c r="X150" s="1"/>
      <c r="Y150" s="1"/>
      <c r="Z150" s="1"/>
      <c r="AA150" s="1"/>
      <c r="AB150" s="1"/>
      <c r="AC150" s="1"/>
      <c r="AD150" s="1"/>
      <c r="AE150" s="16"/>
    </row>
    <row r="151" spans="1:31" x14ac:dyDescent="0.2">
      <c r="A151" s="4">
        <v>33717</v>
      </c>
      <c r="B151" s="9">
        <f ca="1">Prices!B150*(1+J151/(50*(ABS(O151)+ABS(T151)+0.0001)))</f>
        <v>1.2285792893429648</v>
      </c>
      <c r="C151" s="13">
        <f t="shared" ca="1" si="10"/>
        <v>-1</v>
      </c>
      <c r="D151" s="9">
        <f ca="1">D150+C151*(Prices!B151-Prices!B150)/Prices!B150</f>
        <v>-0.11218084723524567</v>
      </c>
      <c r="E151" s="9">
        <f t="shared" ca="1" si="11"/>
        <v>0.14830479849399197</v>
      </c>
      <c r="F151" s="9">
        <f t="shared" ca="1" si="12"/>
        <v>3.6123951258746317E-2</v>
      </c>
      <c r="G151" s="13">
        <f ca="1">IF((Prices!B151-Prices!B150)*B151&gt;0,1,0)</f>
        <v>1</v>
      </c>
      <c r="H151" s="9">
        <f>ABS(Prices!B151-Prices!B150)/Prices!B150</f>
        <v>2.3931078493936594E-3</v>
      </c>
      <c r="I151" s="13"/>
      <c r="J151" s="1">
        <f t="shared" ca="1" si="13"/>
        <v>-4.8783449369389428E-2</v>
      </c>
      <c r="K151" s="9"/>
      <c r="L151" s="9">
        <f ca="1">L150-O151*Prices!B151</f>
        <v>0.49763829176640728</v>
      </c>
      <c r="M151" s="1">
        <f t="shared" ca="1" si="14"/>
        <v>0.3985120835357181</v>
      </c>
      <c r="N151" s="9">
        <f ca="1">IF(Prices!D150&gt;OFFSET(Prices!D150,-$N$3,0),1,IF(Prices!D150&lt;OFFSET(Prices!D150,-$N$3,0),-1,0))</f>
        <v>-1</v>
      </c>
      <c r="O151" s="1">
        <f ca="1">IF(N151=1,O$3*L150/Prices!B150,O$3*M150*N151)</f>
        <v>-4.4279120392857571E-2</v>
      </c>
      <c r="P151" s="14"/>
      <c r="Q151" s="9">
        <f ca="1">Q150-T151*Prices!B151</f>
        <v>0.71258183902707872</v>
      </c>
      <c r="R151" s="1">
        <f t="shared" ca="1" si="15"/>
        <v>0.22071211985006089</v>
      </c>
      <c r="S151" s="9">
        <f ca="1">IF(Prices!C150&lt;OFFSET(Prices!C150,-S$3,0),1,IF(Prices!C150&gt;OFFSET(Prices!C150,-S$3,0),-1,0))</f>
        <v>-1</v>
      </c>
      <c r="T151" s="1">
        <f ca="1">IF(S151=1,T$3*Q150/Prices!B150,T$3*R150*S151)</f>
        <v>-4.5043289765318555E-3</v>
      </c>
      <c r="V151" s="9"/>
      <c r="W151" s="1"/>
      <c r="X151" s="1"/>
      <c r="Y151" s="1"/>
      <c r="Z151" s="1"/>
      <c r="AA151" s="1"/>
      <c r="AB151" s="1"/>
      <c r="AC151" s="1"/>
      <c r="AD151" s="1"/>
      <c r="AE151" s="16"/>
    </row>
    <row r="152" spans="1:31" x14ac:dyDescent="0.2">
      <c r="A152" s="4">
        <v>33718</v>
      </c>
      <c r="B152" s="9">
        <f ca="1">Prices!B151*(1+J152/(50*(ABS(O152)+ABS(T152)+0.0001)))</f>
        <v>1.276645645273379</v>
      </c>
      <c r="C152" s="13">
        <f t="shared" ca="1" si="10"/>
        <v>1</v>
      </c>
      <c r="D152" s="9">
        <f ca="1">D151+C152*(Prices!B152-Prices!B151)/Prices!B151</f>
        <v>-0.10676941957330063</v>
      </c>
      <c r="E152" s="9">
        <f t="shared" ca="1" si="11"/>
        <v>0.14289337083204695</v>
      </c>
      <c r="F152" s="9">
        <f t="shared" ca="1" si="12"/>
        <v>3.6123951258746317E-2</v>
      </c>
      <c r="G152" s="13">
        <f ca="1">IF((Prices!B152-Prices!B151)*B152&gt;0,1,0)</f>
        <v>1</v>
      </c>
      <c r="H152" s="9">
        <f>ABS(Prices!B152-Prices!B151)/Prices!B151</f>
        <v>5.4114276619450421E-3</v>
      </c>
      <c r="I152" s="13"/>
      <c r="J152" s="1">
        <f t="shared" ca="1" si="13"/>
        <v>3.5187722569289356E-2</v>
      </c>
      <c r="K152" s="9"/>
      <c r="L152" s="9">
        <f ca="1">L151-O152*Prices!B152</f>
        <v>0.44760516922799576</v>
      </c>
      <c r="M152" s="1">
        <f t="shared" ca="1" si="14"/>
        <v>0.43811404850200869</v>
      </c>
      <c r="N152" s="9">
        <f ca="1">IF(Prices!D151&gt;OFFSET(Prices!D151,-$N$3,0),1,IF(Prices!D151&lt;OFFSET(Prices!D151,-$N$3,0),-1,0))</f>
        <v>1</v>
      </c>
      <c r="O152" s="1">
        <f ca="1">IF(N152=1,O$3*L151/Prices!B151,O$3*M151*N152)</f>
        <v>3.9601964966290572E-2</v>
      </c>
      <c r="P152" s="14"/>
      <c r="Q152" s="9">
        <f ca="1">Q151-T152*Prices!B152</f>
        <v>0.71815879287145001</v>
      </c>
      <c r="R152" s="1">
        <f t="shared" ca="1" si="15"/>
        <v>0.21629787745305967</v>
      </c>
      <c r="S152" s="9">
        <f ca="1">IF(Prices!C151&lt;OFFSET(Prices!C151,-S$3,0),1,IF(Prices!C151&gt;OFFSET(Prices!C151,-S$3,0),-1,0))</f>
        <v>-1</v>
      </c>
      <c r="T152" s="1">
        <f ca="1">IF(S152=1,T$3*Q151/Prices!B151,T$3*R151*S152)</f>
        <v>-4.414242397001218E-3</v>
      </c>
      <c r="V152" s="9"/>
      <c r="W152" s="1"/>
      <c r="X152" s="1"/>
      <c r="Y152" s="1"/>
      <c r="Z152" s="1"/>
      <c r="AA152" s="1"/>
      <c r="AB152" s="1"/>
      <c r="AC152" s="1"/>
      <c r="AD152" s="1"/>
      <c r="AE152" s="16"/>
    </row>
    <row r="153" spans="1:31" x14ac:dyDescent="0.2">
      <c r="A153" s="4">
        <v>33721</v>
      </c>
      <c r="B153" s="9">
        <f ca="1">Prices!B152*(1+J153/(50*(ABS(O153)+ABS(T153)+0.0001)))</f>
        <v>1.2381843826319336</v>
      </c>
      <c r="C153" s="13">
        <f t="shared" ca="1" si="10"/>
        <v>-1</v>
      </c>
      <c r="D153" s="9">
        <f ca="1">D152+C153*(Prices!B153-Prices!B152)/Prices!B152</f>
        <v>-0.10803584350871287</v>
      </c>
      <c r="E153" s="9">
        <f t="shared" ca="1" si="11"/>
        <v>0.14415979476745919</v>
      </c>
      <c r="F153" s="9">
        <f t="shared" ca="1" si="12"/>
        <v>3.6123951258746317E-2</v>
      </c>
      <c r="G153" s="13">
        <f ca="1">IF((Prices!B153-Prices!B152)*B153&gt;0,1,0)</f>
        <v>1</v>
      </c>
      <c r="H153" s="9">
        <f>ABS(Prices!B153-Prices!B152)/Prices!B152</f>
        <v>1.2664239354122397E-3</v>
      </c>
      <c r="I153" s="13"/>
      <c r="J153" s="1">
        <f t="shared" ca="1" si="13"/>
        <v>-4.8137362399262064E-2</v>
      </c>
      <c r="K153" s="9"/>
      <c r="L153" s="9">
        <f ca="1">L152-O153*Prices!B153</f>
        <v>0.50302659636349989</v>
      </c>
      <c r="M153" s="1">
        <f t="shared" ca="1" si="14"/>
        <v>0.39430264365180784</v>
      </c>
      <c r="N153" s="9">
        <f ca="1">IF(Prices!D152&gt;OFFSET(Prices!D152,-$N$3,0),1,IF(Prices!D152&lt;OFFSET(Prices!D152,-$N$3,0),-1,0))</f>
        <v>-1</v>
      </c>
      <c r="O153" s="1">
        <f ca="1">IF(N153=1,O$3*L152/Prices!B152,O$3*M152*N153)</f>
        <v>-4.3811404850200873E-2</v>
      </c>
      <c r="P153" s="14"/>
      <c r="Q153" s="9">
        <f ca="1">Q152-T153*Prices!B153</f>
        <v>0.72363112917101247</v>
      </c>
      <c r="R153" s="1">
        <f t="shared" ca="1" si="15"/>
        <v>0.21197191990399847</v>
      </c>
      <c r="S153" s="9">
        <f ca="1">IF(Prices!C152&lt;OFFSET(Prices!C152,-S$3,0),1,IF(Prices!C152&gt;OFFSET(Prices!C152,-S$3,0),-1,0))</f>
        <v>-1</v>
      </c>
      <c r="T153" s="1">
        <f ca="1">IF(S153=1,T$3*Q152/Prices!B152,T$3*R152*S153)</f>
        <v>-4.3259575490611933E-3</v>
      </c>
      <c r="V153" s="9"/>
      <c r="W153" s="1"/>
      <c r="X153" s="1"/>
      <c r="Y153" s="1"/>
      <c r="Z153" s="1"/>
      <c r="AA153" s="1"/>
      <c r="AB153" s="1"/>
      <c r="AC153" s="1"/>
      <c r="AD153" s="1"/>
      <c r="AE153" s="16"/>
    </row>
    <row r="154" spans="1:31" x14ac:dyDescent="0.2">
      <c r="A154" s="4">
        <v>33722</v>
      </c>
      <c r="B154" s="9">
        <f ca="1">Prices!B153*(1+J154/(50*(ABS(O154)+ABS(T154)+0.0001)))</f>
        <v>1.290250687794841</v>
      </c>
      <c r="C154" s="13">
        <f t="shared" ca="1" si="10"/>
        <v>1</v>
      </c>
      <c r="D154" s="9">
        <f ca="1">D153+C154*(Prices!B154-Prices!B153)/Prices!B153</f>
        <v>-0.11064453916088667</v>
      </c>
      <c r="E154" s="9">
        <f t="shared" ca="1" si="11"/>
        <v>0.14676849041963297</v>
      </c>
      <c r="F154" s="9">
        <f t="shared" ca="1" si="12"/>
        <v>3.6123951258746317E-2</v>
      </c>
      <c r="G154" s="13">
        <f ca="1">IF((Prices!B154-Prices!B153)*B154&gt;0,1,0)</f>
        <v>0</v>
      </c>
      <c r="H154" s="9">
        <f>ABS(Prices!B154-Prices!B153)/Prices!B153</f>
        <v>2.6086956521738014E-3</v>
      </c>
      <c r="I154" s="13"/>
      <c r="J154" s="1">
        <f t="shared" ca="1" si="13"/>
        <v>5.1205756695470547E-2</v>
      </c>
      <c r="K154" s="9"/>
      <c r="L154" s="9">
        <f ca="1">L153-O154*Prices!B154</f>
        <v>0.45285516105663604</v>
      </c>
      <c r="M154" s="1">
        <f t="shared" ca="1" si="14"/>
        <v>0.43406759198093825</v>
      </c>
      <c r="N154" s="9">
        <f ca="1">IF(Prices!D153&gt;OFFSET(Prices!D153,-$N$3,0),1,IF(Prices!D153&lt;OFFSET(Prices!D153,-$N$3,0),-1,0))</f>
        <v>1</v>
      </c>
      <c r="O154" s="1">
        <f ca="1">IF(N154=1,O$3*L153/Prices!B153,O$3*M153*N154)</f>
        <v>3.9764948329130433E-2</v>
      </c>
      <c r="P154" s="14"/>
      <c r="Q154" s="9">
        <f ca="1">Q153-T154*Prices!B154</f>
        <v>0.70919626125520119</v>
      </c>
      <c r="R154" s="1">
        <f t="shared" ca="1" si="15"/>
        <v>0.22341272827033859</v>
      </c>
      <c r="S154" s="9">
        <f ca="1">IF(Prices!C153&lt;OFFSET(Prices!C153,-S$3,0),1,IF(Prices!C153&gt;OFFSET(Prices!C153,-S$3,0),-1,0))</f>
        <v>1</v>
      </c>
      <c r="T154" s="1">
        <f ca="1">IF(S154=1,T$3*Q153/Prices!B153,T$3*R153*S154)</f>
        <v>1.1440808366340118E-2</v>
      </c>
      <c r="V154" s="9"/>
      <c r="W154" s="1"/>
      <c r="X154" s="1"/>
      <c r="Y154" s="1"/>
      <c r="Z154" s="1"/>
      <c r="AA154" s="1"/>
      <c r="AB154" s="1"/>
      <c r="AC154" s="1"/>
      <c r="AD154" s="1"/>
      <c r="AE154" s="16"/>
    </row>
    <row r="155" spans="1:31" x14ac:dyDescent="0.2">
      <c r="A155" s="4">
        <v>33723</v>
      </c>
      <c r="B155" s="9">
        <f ca="1">Prices!B154*(1+J155/(50*(ABS(O155)+ABS(T155)+0.0001)))</f>
        <v>1.2868805770430254</v>
      </c>
      <c r="C155" s="13">
        <f t="shared" ca="1" si="10"/>
        <v>1</v>
      </c>
      <c r="D155" s="9">
        <f ca="1">D154+C155*(Prices!B155-Prices!B154)/Prices!B154</f>
        <v>-0.11104082987975798</v>
      </c>
      <c r="E155" s="9">
        <f t="shared" ca="1" si="11"/>
        <v>0.14716478113850429</v>
      </c>
      <c r="F155" s="9">
        <f t="shared" ca="1" si="12"/>
        <v>3.6123951258746317E-2</v>
      </c>
      <c r="G155" s="13">
        <f ca="1">IF((Prices!B155-Prices!B154)*B155&gt;0,1,0)</f>
        <v>0</v>
      </c>
      <c r="H155" s="9">
        <f>ABS(Prices!B155-Prices!B154)/Prices!B154</f>
        <v>3.9629071887132037E-4</v>
      </c>
      <c r="I155" s="13"/>
      <c r="J155" s="1">
        <f t="shared" ca="1" si="13"/>
        <v>4.7134375311696619E-2</v>
      </c>
      <c r="K155" s="9"/>
      <c r="L155" s="9">
        <f ca="1">L154-O155*Prices!B155</f>
        <v>0.40758759118070442</v>
      </c>
      <c r="M155" s="1">
        <f t="shared" ca="1" si="14"/>
        <v>0.46996005144488656</v>
      </c>
      <c r="N155" s="9">
        <f ca="1">IF(Prices!D154&gt;OFFSET(Prices!D154,-$N$3,0),1,IF(Prices!D154&lt;OFFSET(Prices!D154,-$N$3,0),-1,0))</f>
        <v>1</v>
      </c>
      <c r="O155" s="1">
        <f ca="1">IF(N155=1,O$3*L154/Prices!B154,O$3*M154*N155)</f>
        <v>3.5892459463948326E-2</v>
      </c>
      <c r="P155" s="14"/>
      <c r="Q155" s="9">
        <f ca="1">Q154-T155*Prices!B155</f>
        <v>0.69501795698802105</v>
      </c>
      <c r="R155" s="1">
        <f t="shared" ca="1" si="15"/>
        <v>0.2346546441180869</v>
      </c>
      <c r="S155" s="9">
        <f ca="1">IF(Prices!C154&lt;OFFSET(Prices!C154,-S$3,0),1,IF(Prices!C154&gt;OFFSET(Prices!C154,-S$3,0),-1,0))</f>
        <v>1</v>
      </c>
      <c r="T155" s="1">
        <f ca="1">IF(S155=1,T$3*Q154/Prices!B154,T$3*R154*S155)</f>
        <v>1.1241915847748295E-2</v>
      </c>
      <c r="V155" s="9"/>
      <c r="W155" s="1"/>
      <c r="X155" s="1"/>
      <c r="Y155" s="1"/>
      <c r="Z155" s="1"/>
      <c r="AA155" s="1"/>
      <c r="AB155" s="1"/>
      <c r="AC155" s="1"/>
      <c r="AD155" s="1"/>
      <c r="AE155" s="16"/>
    </row>
    <row r="156" spans="1:31" x14ac:dyDescent="0.2">
      <c r="A156" s="4">
        <v>33724</v>
      </c>
      <c r="B156" s="9">
        <f ca="1">Prices!B155*(1+J156/(50*(ABS(O156)+ABS(T156)+0.0001)))</f>
        <v>1.2861971967624732</v>
      </c>
      <c r="C156" s="13">
        <f t="shared" ca="1" si="10"/>
        <v>1</v>
      </c>
      <c r="D156" s="9">
        <f ca="1">D155+C156*(Prices!B156-Prices!B155)/Prices!B155</f>
        <v>-0.11080296118327847</v>
      </c>
      <c r="E156" s="9">
        <f t="shared" ca="1" si="11"/>
        <v>0.14692691244202477</v>
      </c>
      <c r="F156" s="9">
        <f t="shared" ca="1" si="12"/>
        <v>3.6123951258746317E-2</v>
      </c>
      <c r="G156" s="13">
        <f ca="1">IF((Prices!B156-Prices!B155)*B156&gt;0,1,0)</f>
        <v>1</v>
      </c>
      <c r="H156" s="9">
        <f>ABS(Prices!B156-Prices!B155)/Prices!B155</f>
        <v>2.3786869647951706E-4</v>
      </c>
      <c r="I156" s="13"/>
      <c r="J156" s="1">
        <f t="shared" ca="1" si="13"/>
        <v>1.1021534363907723E-2</v>
      </c>
      <c r="K156" s="9"/>
      <c r="L156" s="9">
        <f ca="1">L155-O156*Prices!B156</f>
        <v>0.40758759118070442</v>
      </c>
      <c r="M156" s="1">
        <f t="shared" ca="1" si="14"/>
        <v>0.46996005144488656</v>
      </c>
      <c r="N156" s="9">
        <f ca="1">IF(Prices!D155&gt;OFFSET(Prices!D155,-$N$3,0),1,IF(Prices!D155&lt;OFFSET(Prices!D155,-$N$3,0),-1,0))</f>
        <v>0</v>
      </c>
      <c r="O156" s="1">
        <f ca="1">IF(N156=1,O$3*L155/Prices!B155,O$3*M155*N156)</f>
        <v>0</v>
      </c>
      <c r="P156" s="14"/>
      <c r="Q156" s="9">
        <f ca="1">Q155-T156*Prices!B156</f>
        <v>0.68111429138795143</v>
      </c>
      <c r="R156" s="1">
        <f t="shared" ca="1" si="15"/>
        <v>0.24567617848199463</v>
      </c>
      <c r="S156" s="9">
        <f ca="1">IF(Prices!C155&lt;OFFSET(Prices!C155,-S$3,0),1,IF(Prices!C155&gt;OFFSET(Prices!C155,-S$3,0),-1,0))</f>
        <v>1</v>
      </c>
      <c r="T156" s="1">
        <f ca="1">IF(S156=1,T$3*Q155/Prices!B155,T$3*R155*S156)</f>
        <v>1.1021534363907723E-2</v>
      </c>
      <c r="V156" s="9"/>
      <c r="W156" s="1"/>
      <c r="X156" s="1"/>
      <c r="Y156" s="1"/>
      <c r="Z156" s="1"/>
      <c r="AA156" s="1"/>
      <c r="AB156" s="1"/>
      <c r="AC156" s="1"/>
      <c r="AD156" s="1"/>
      <c r="AE156" s="16"/>
    </row>
    <row r="157" spans="1:31" x14ac:dyDescent="0.2">
      <c r="A157" s="4">
        <v>33725</v>
      </c>
      <c r="B157" s="9">
        <f ca="1">Prices!B156*(1+J157/(50*(ABS(O157)+ABS(T157)+0.0001)))</f>
        <v>1.286671608360086</v>
      </c>
      <c r="C157" s="13">
        <f t="shared" ca="1" si="10"/>
        <v>1</v>
      </c>
      <c r="D157" s="9">
        <f ca="1">D156+C157*(Prices!B157-Prices!B156)/Prices!B156</f>
        <v>-0.10327224378335786</v>
      </c>
      <c r="E157" s="9">
        <f t="shared" ca="1" si="11"/>
        <v>0.13939619504210418</v>
      </c>
      <c r="F157" s="9">
        <f t="shared" ca="1" si="12"/>
        <v>3.6123951258746317E-2</v>
      </c>
      <c r="G157" s="13">
        <f ca="1">IF((Prices!B157-Prices!B156)*B157&gt;0,1,0)</f>
        <v>1</v>
      </c>
      <c r="H157" s="9">
        <f>ABS(Prices!B157-Prices!B156)/Prices!B156</f>
        <v>7.5307173999206037E-3</v>
      </c>
      <c r="I157" s="13"/>
      <c r="J157" s="1">
        <f t="shared" ca="1" si="13"/>
        <v>4.3108240147308345E-2</v>
      </c>
      <c r="K157" s="9"/>
      <c r="L157" s="9">
        <f ca="1">L156-O157*Prices!B157</f>
        <v>0.36652188936614433</v>
      </c>
      <c r="M157" s="1">
        <f t="shared" ca="1" si="14"/>
        <v>0.50226980897011086</v>
      </c>
      <c r="N157" s="9">
        <f ca="1">IF(Prices!D156&gt;OFFSET(Prices!D156,-$N$3,0),1,IF(Prices!D156&lt;OFFSET(Prices!D156,-$N$3,0),-1,0))</f>
        <v>1</v>
      </c>
      <c r="O157" s="1">
        <f ca="1">IF(N157=1,O$3*L156/Prices!B156,O$3*M156*N157)</f>
        <v>3.2309757525224296E-2</v>
      </c>
      <c r="P157" s="14"/>
      <c r="Q157" s="9">
        <f ca="1">Q156-T157*Prices!B157</f>
        <v>0.66738941997528256</v>
      </c>
      <c r="R157" s="1">
        <f t="shared" ca="1" si="15"/>
        <v>0.25647466110407868</v>
      </c>
      <c r="S157" s="9">
        <f ca="1">IF(Prices!C156&lt;OFFSET(Prices!C156,-S$3,0),1,IF(Prices!C156&gt;OFFSET(Prices!C156,-S$3,0),-1,0))</f>
        <v>1</v>
      </c>
      <c r="T157" s="1">
        <f ca="1">IF(S157=1,T$3*Q156/Prices!B156,T$3*R156*S157)</f>
        <v>1.0798482622084049E-2</v>
      </c>
      <c r="V157" s="9"/>
      <c r="W157" s="1"/>
      <c r="X157" s="1"/>
      <c r="Y157" s="1"/>
      <c r="Z157" s="1"/>
      <c r="AA157" s="1"/>
      <c r="AB157" s="1"/>
      <c r="AC157" s="1"/>
      <c r="AD157" s="1"/>
      <c r="AE157" s="16"/>
    </row>
    <row r="158" spans="1:31" x14ac:dyDescent="0.2">
      <c r="A158" s="4">
        <v>33728</v>
      </c>
      <c r="B158" s="9">
        <f ca="1">Prices!B157*(1+J158/(50*(ABS(O158)+ABS(T158)+0.0001)))</f>
        <v>1.254399074193328</v>
      </c>
      <c r="C158" s="13">
        <f t="shared" ca="1" si="10"/>
        <v>-1</v>
      </c>
      <c r="D158" s="9">
        <f ca="1">D157+C158*(Prices!B158-Prices!B157)/Prices!B157</f>
        <v>-0.10327224378335786</v>
      </c>
      <c r="E158" s="9">
        <f t="shared" ca="1" si="11"/>
        <v>0.13939619504210418</v>
      </c>
      <c r="F158" s="9">
        <f t="shared" ca="1" si="12"/>
        <v>3.6123951258746317E-2</v>
      </c>
      <c r="G158" s="13">
        <f ca="1">IF((Prices!B158-Prices!B157)*B158&gt;0,1,0)</f>
        <v>0</v>
      </c>
      <c r="H158" s="9">
        <f>ABS(Prices!B158-Prices!B157)/Prices!B157</f>
        <v>0</v>
      </c>
      <c r="I158" s="13"/>
      <c r="J158" s="1">
        <f t="shared" ca="1" si="13"/>
        <v>-3.9725180425330797E-2</v>
      </c>
      <c r="K158" s="9"/>
      <c r="L158" s="9">
        <f ca="1">L157-O158*Prices!B158</f>
        <v>0.43036038208624539</v>
      </c>
      <c r="M158" s="1">
        <f t="shared" ca="1" si="14"/>
        <v>0.45204282807309976</v>
      </c>
      <c r="N158" s="9">
        <f ca="1">IF(Prices!D157&gt;OFFSET(Prices!D157,-$N$3,0),1,IF(Prices!D157&lt;OFFSET(Prices!D157,-$N$3,0),-1,0))</f>
        <v>-1</v>
      </c>
      <c r="O158" s="1">
        <f ca="1">IF(N158=1,O$3*L157/Prices!B157,O$3*M157*N158)</f>
        <v>-5.0226980897011088E-2</v>
      </c>
      <c r="P158" s="14"/>
      <c r="Q158" s="9">
        <f ca="1">Q157-T158*Prices!B158</f>
        <v>0.65404163157577688</v>
      </c>
      <c r="R158" s="1">
        <f t="shared" ca="1" si="15"/>
        <v>0.26697646157575899</v>
      </c>
      <c r="S158" s="9">
        <f ca="1">IF(Prices!C157&lt;OFFSET(Prices!C157,-S$3,0),1,IF(Prices!C157&gt;OFFSET(Prices!C157,-S$3,0),-1,0))</f>
        <v>1</v>
      </c>
      <c r="T158" s="1">
        <f ca="1">IF(S158=1,T$3*Q157/Prices!B157,T$3*R157*S158)</f>
        <v>1.0501800471680294E-2</v>
      </c>
      <c r="V158" s="9"/>
      <c r="W158" s="1"/>
      <c r="X158" s="1"/>
      <c r="Y158" s="1"/>
      <c r="Z158" s="1"/>
      <c r="AA158" s="1"/>
      <c r="AB158" s="1"/>
      <c r="AC158" s="1"/>
      <c r="AD158" s="1"/>
      <c r="AE158" s="16"/>
    </row>
    <row r="159" spans="1:31" x14ac:dyDescent="0.2">
      <c r="A159" s="4">
        <v>33729</v>
      </c>
      <c r="B159" s="9">
        <f ca="1">Prices!B158*(1+J159/(50*(ABS(O159)+ABS(T159)+0.0001)))</f>
        <v>1.25503706270648</v>
      </c>
      <c r="C159" s="13">
        <f t="shared" ca="1" si="10"/>
        <v>-1</v>
      </c>
      <c r="D159" s="9">
        <f ca="1">D158+C159*(Prices!B159-Prices!B158)/Prices!B158</f>
        <v>-0.10602598099814942</v>
      </c>
      <c r="E159" s="9">
        <f t="shared" ca="1" si="11"/>
        <v>0.14214993225689573</v>
      </c>
      <c r="F159" s="9">
        <f t="shared" ca="1" si="12"/>
        <v>3.6123951258746317E-2</v>
      </c>
      <c r="G159" s="13">
        <f ca="1">IF((Prices!B159-Prices!B158)*B159&gt;0,1,0)</f>
        <v>1</v>
      </c>
      <c r="H159" s="9">
        <f>ABS(Prices!B159-Prices!B158)/Prices!B158</f>
        <v>2.7537372147915492E-3</v>
      </c>
      <c r="I159" s="13"/>
      <c r="J159" s="1">
        <f t="shared" ca="1" si="13"/>
        <v>-3.4912518345063294E-2</v>
      </c>
      <c r="K159" s="9"/>
      <c r="L159" s="9">
        <f ca="1">L158-O159*Prices!B159</f>
        <v>0.48797324052416197</v>
      </c>
      <c r="M159" s="1">
        <f t="shared" ca="1" si="14"/>
        <v>0.40683854526578977</v>
      </c>
      <c r="N159" s="9">
        <f ca="1">IF(Prices!D158&gt;OFFSET(Prices!D158,-$N$3,0),1,IF(Prices!D158&lt;OFFSET(Prices!D158,-$N$3,0),-1,0))</f>
        <v>-1</v>
      </c>
      <c r="O159" s="1">
        <f ca="1">IF(N159=1,O$3*L158/Prices!B158,O$3*M158*N159)</f>
        <v>-4.5204282807309981E-2</v>
      </c>
      <c r="P159" s="14"/>
      <c r="Q159" s="9">
        <f ca="1">Q158-T159*Prices!B159</f>
        <v>0.64092477776864343</v>
      </c>
      <c r="R159" s="1">
        <f t="shared" ca="1" si="15"/>
        <v>0.27726822603800566</v>
      </c>
      <c r="S159" s="9">
        <f ca="1">IF(Prices!C158&lt;OFFSET(Prices!C158,-S$3,0),1,IF(Prices!C158&gt;OFFSET(Prices!C158,-S$3,0),-1,0))</f>
        <v>1</v>
      </c>
      <c r="T159" s="1">
        <f ca="1">IF(S159=1,T$3*Q158/Prices!B158,T$3*R158*S159)</f>
        <v>1.0291764462246687E-2</v>
      </c>
      <c r="V159" s="9"/>
      <c r="W159" s="1"/>
      <c r="X159" s="1"/>
      <c r="Y159" s="1"/>
      <c r="Z159" s="1"/>
      <c r="AA159" s="1"/>
      <c r="AB159" s="1"/>
      <c r="AC159" s="1"/>
      <c r="AD159" s="1"/>
      <c r="AE159" s="16"/>
    </row>
    <row r="160" spans="1:31" x14ac:dyDescent="0.2">
      <c r="A160" s="4">
        <v>33730</v>
      </c>
      <c r="B160" s="9">
        <f ca="1">Prices!B159*(1+J160/(50*(ABS(O160)+ABS(T160)+0.0001)))</f>
        <v>1.2997390565300075</v>
      </c>
      <c r="C160" s="13">
        <f t="shared" ca="1" si="10"/>
        <v>1</v>
      </c>
      <c r="D160" s="9">
        <f ca="1">D159+C160*(Prices!B160-Prices!B159)/Prices!B159</f>
        <v>-0.10288749531749034</v>
      </c>
      <c r="E160" s="9">
        <f t="shared" ca="1" si="11"/>
        <v>0.13901144657623665</v>
      </c>
      <c r="F160" s="9">
        <f t="shared" ca="1" si="12"/>
        <v>3.6123951258746317E-2</v>
      </c>
      <c r="G160" s="13">
        <f ca="1">IF((Prices!B160-Prices!B159)*B160&gt;0,1,0)</f>
        <v>1</v>
      </c>
      <c r="H160" s="9">
        <f>ABS(Prices!B160-Prices!B159)/Prices!B159</f>
        <v>3.138485680659085E-3</v>
      </c>
      <c r="I160" s="13"/>
      <c r="J160" s="1">
        <f t="shared" ca="1" si="13"/>
        <v>1.0057666187032459E-2</v>
      </c>
      <c r="K160" s="9"/>
      <c r="L160" s="9">
        <f ca="1">L159-O160*Prices!B160</f>
        <v>0.48797324052416197</v>
      </c>
      <c r="M160" s="1">
        <f t="shared" ca="1" si="14"/>
        <v>0.40683854526578977</v>
      </c>
      <c r="N160" s="9">
        <f ca="1">IF(Prices!D159&gt;OFFSET(Prices!D159,-$N$3,0),1,IF(Prices!D159&lt;OFFSET(Prices!D159,-$N$3,0),-1,0))</f>
        <v>0</v>
      </c>
      <c r="O160" s="1">
        <f ca="1">IF(N160=1,O$3*L159/Prices!B159,O$3*M159*N160)</f>
        <v>0</v>
      </c>
      <c r="P160" s="14"/>
      <c r="Q160" s="9">
        <f ca="1">Q159-T160*Prices!B160</f>
        <v>0.62806605154852246</v>
      </c>
      <c r="R160" s="1">
        <f t="shared" ca="1" si="15"/>
        <v>0.28732589222503813</v>
      </c>
      <c r="S160" s="9">
        <f ca="1">IF(Prices!C159&lt;OFFSET(Prices!C159,-S$3,0),1,IF(Prices!C159&gt;OFFSET(Prices!C159,-S$3,0),-1,0))</f>
        <v>1</v>
      </c>
      <c r="T160" s="1">
        <f ca="1">IF(S160=1,T$3*Q159/Prices!B159,T$3*R159*S160)</f>
        <v>1.0057666187032459E-2</v>
      </c>
      <c r="V160" s="9"/>
      <c r="W160" s="1"/>
      <c r="X160" s="1"/>
      <c r="Y160" s="1"/>
      <c r="Z160" s="1"/>
      <c r="AA160" s="1"/>
      <c r="AB160" s="1"/>
      <c r="AC160" s="1"/>
      <c r="AD160" s="1"/>
      <c r="AE160" s="16"/>
    </row>
    <row r="161" spans="1:31" x14ac:dyDescent="0.2">
      <c r="A161" s="4">
        <v>33731</v>
      </c>
      <c r="B161" s="9">
        <f ca="1">Prices!B160*(1+J161/(50*(ABS(O161)+ABS(T161)+0.0001)))</f>
        <v>1.2629086764416908</v>
      </c>
      <c r="C161" s="13">
        <f t="shared" ca="1" si="10"/>
        <v>-1</v>
      </c>
      <c r="D161" s="9">
        <f ca="1">D160+C161*(Prices!B161-Prices!B160)/Prices!B160</f>
        <v>-0.10155781209496391</v>
      </c>
      <c r="E161" s="9">
        <f t="shared" ca="1" si="11"/>
        <v>0.13768176335371024</v>
      </c>
      <c r="F161" s="9">
        <f t="shared" ca="1" si="12"/>
        <v>3.6123951258746317E-2</v>
      </c>
      <c r="G161" s="13">
        <f ca="1">IF((Prices!B161-Prices!B160)*B161&gt;0,1,0)</f>
        <v>0</v>
      </c>
      <c r="H161" s="9">
        <f>ABS(Prices!B161-Prices!B160)/Prices!B160</f>
        <v>1.3296832225264254E-3</v>
      </c>
      <c r="I161" s="13"/>
      <c r="J161" s="1">
        <f t="shared" ca="1" si="13"/>
        <v>-3.0858808745608743E-2</v>
      </c>
      <c r="K161" s="9"/>
      <c r="L161" s="9">
        <f ca="1">L160-O161*Prices!B161</f>
        <v>0.53991838598369801</v>
      </c>
      <c r="M161" s="1">
        <f t="shared" ca="1" si="14"/>
        <v>0.36615469073921081</v>
      </c>
      <c r="N161" s="9">
        <f ca="1">IF(Prices!D160&gt;OFFSET(Prices!D160,-$N$3,0),1,IF(Prices!D160&lt;OFFSET(Prices!D160,-$N$3,0),-1,0))</f>
        <v>-1</v>
      </c>
      <c r="O161" s="1">
        <f ca="1">IF(N161=1,O$3*L160/Prices!B160,O$3*M160*N161)</f>
        <v>-4.068385452657898E-2</v>
      </c>
      <c r="P161" s="14"/>
      <c r="Q161" s="9">
        <f ca="1">Q160-T161*Prices!B161</f>
        <v>0.61552143309537966</v>
      </c>
      <c r="R161" s="1">
        <f t="shared" ca="1" si="15"/>
        <v>0.29715093800600834</v>
      </c>
      <c r="S161" s="9">
        <f ca="1">IF(Prices!C160&lt;OFFSET(Prices!C160,-S$3,0),1,IF(Prices!C160&gt;OFFSET(Prices!C160,-S$3,0),-1,0))</f>
        <v>1</v>
      </c>
      <c r="T161" s="1">
        <f ca="1">IF(S161=1,T$3*Q160/Prices!B160,T$3*R160*S161)</f>
        <v>9.8250457809702374E-3</v>
      </c>
      <c r="V161" s="9"/>
      <c r="W161" s="1"/>
      <c r="X161" s="1"/>
      <c r="Y161" s="1"/>
      <c r="Z161" s="1"/>
      <c r="AA161" s="1"/>
      <c r="AB161" s="1"/>
      <c r="AC161" s="1"/>
      <c r="AD161" s="1"/>
      <c r="AE161" s="16"/>
    </row>
    <row r="162" spans="1:31" x14ac:dyDescent="0.2">
      <c r="A162" s="4">
        <v>33732</v>
      </c>
      <c r="B162" s="9">
        <f ca="1">Prices!B161*(1+J162/(50*(ABS(O162)+ABS(T162)+0.0001)))</f>
        <v>1.2619413459552202</v>
      </c>
      <c r="C162" s="13">
        <f t="shared" ca="1" si="10"/>
        <v>-1</v>
      </c>
      <c r="D162" s="9">
        <f ca="1">D161+C162*(Prices!B162-Prices!B161)/Prices!B161</f>
        <v>-9.5135506330552899E-2</v>
      </c>
      <c r="E162" s="9">
        <f t="shared" ca="1" si="11"/>
        <v>0.13125945758929922</v>
      </c>
      <c r="F162" s="9">
        <f t="shared" ca="1" si="12"/>
        <v>3.6123951258746317E-2</v>
      </c>
      <c r="G162" s="13">
        <f ca="1">IF((Prices!B162-Prices!B161)*B162&gt;0,1,0)</f>
        <v>0</v>
      </c>
      <c r="H162" s="9">
        <f>ABS(Prices!B162-Prices!B161)/Prices!B161</f>
        <v>6.4223057644110159E-3</v>
      </c>
      <c r="I162" s="13"/>
      <c r="J162" s="1">
        <f t="shared" ca="1" si="13"/>
        <v>-2.6973842615660125E-2</v>
      </c>
      <c r="K162" s="9"/>
      <c r="L162" s="9">
        <f ca="1">L161-O162*Prices!B162</f>
        <v>0.58636877005087429</v>
      </c>
      <c r="M162" s="1">
        <f t="shared" ca="1" si="14"/>
        <v>0.32953922166528971</v>
      </c>
      <c r="N162" s="9">
        <f ca="1">IF(Prices!D161&gt;OFFSET(Prices!D161,-$N$3,0),1,IF(Prices!D161&lt;OFFSET(Prices!D161,-$N$3,0),-1,0))</f>
        <v>-1</v>
      </c>
      <c r="O162" s="1">
        <f ca="1">IF(N162=1,O$3*L161/Prices!B161,O$3*M161*N162)</f>
        <v>-3.6615469073921082E-2</v>
      </c>
      <c r="P162" s="14"/>
      <c r="Q162" s="9">
        <f ca="1">Q161-T162*Prices!B162</f>
        <v>0.60329006577042976</v>
      </c>
      <c r="R162" s="1">
        <f t="shared" ca="1" si="15"/>
        <v>0.30679256446426928</v>
      </c>
      <c r="S162" s="9">
        <f ca="1">IF(Prices!C161&lt;OFFSET(Prices!C161,-S$3,0),1,IF(Prices!C161&gt;OFFSET(Prices!C161,-S$3,0),-1,0))</f>
        <v>1</v>
      </c>
      <c r="T162" s="1">
        <f ca="1">IF(S162=1,T$3*Q161/Prices!B161,T$3*R161*S162)</f>
        <v>9.6416264582609591E-3</v>
      </c>
      <c r="V162" s="9"/>
      <c r="W162" s="1"/>
      <c r="X162" s="1"/>
      <c r="Y162" s="1"/>
      <c r="Z162" s="1"/>
      <c r="AA162" s="1"/>
      <c r="AB162" s="1"/>
      <c r="AC162" s="1"/>
      <c r="AD162" s="1"/>
      <c r="AE162" s="16"/>
    </row>
    <row r="163" spans="1:31" x14ac:dyDescent="0.2">
      <c r="A163" s="4">
        <v>33735</v>
      </c>
      <c r="B163" s="9">
        <f ca="1">Prices!B162*(1+J163/(50*(ABS(O163)+ABS(T163)+0.0001)))</f>
        <v>1.2432927413796067</v>
      </c>
      <c r="C163" s="13">
        <f t="shared" ca="1" si="10"/>
        <v>-1</v>
      </c>
      <c r="D163" s="9">
        <f ca="1">D162+C163*(Prices!B163-Prices!B162)/Prices!B162</f>
        <v>-9.9155686056234843E-2</v>
      </c>
      <c r="E163" s="9">
        <f t="shared" ca="1" si="11"/>
        <v>0.13527963731498116</v>
      </c>
      <c r="F163" s="9">
        <f t="shared" ca="1" si="12"/>
        <v>3.6123951258746317E-2</v>
      </c>
      <c r="G163" s="13">
        <f ca="1">IF((Prices!B163-Prices!B162)*B163&gt;0,1,0)</f>
        <v>1</v>
      </c>
      <c r="H163" s="9">
        <f>ABS(Prices!B163-Prices!B162)/Prices!B162</f>
        <v>4.0201797256819369E-3</v>
      </c>
      <c r="I163" s="13"/>
      <c r="J163" s="1">
        <f t="shared" ca="1" si="13"/>
        <v>-3.908977345581436E-2</v>
      </c>
      <c r="K163" s="9"/>
      <c r="L163" s="9">
        <f ca="1">L162-O163*Prices!B163</f>
        <v>0.6283421807143823</v>
      </c>
      <c r="M163" s="1">
        <f t="shared" ca="1" si="14"/>
        <v>0.29658529949876072</v>
      </c>
      <c r="N163" s="9">
        <f ca="1">IF(Prices!D162&gt;OFFSET(Prices!D162,-$N$3,0),1,IF(Prices!D162&lt;OFFSET(Prices!D162,-$N$3,0),-1,0))</f>
        <v>-1</v>
      </c>
      <c r="O163" s="1">
        <f ca="1">IF(N163=1,O$3*L162/Prices!B162,O$3*M162*N163)</f>
        <v>-3.2953922166528975E-2</v>
      </c>
      <c r="P163" s="14"/>
      <c r="Q163" s="9">
        <f ca="1">Q162-T163*Prices!B163</f>
        <v>0.61110529955759252</v>
      </c>
      <c r="R163" s="1">
        <f t="shared" ca="1" si="15"/>
        <v>0.30065671317498388</v>
      </c>
      <c r="S163" s="9">
        <f ca="1">IF(Prices!C162&lt;OFFSET(Prices!C162,-S$3,0),1,IF(Prices!C162&gt;OFFSET(Prices!C162,-S$3,0),-1,0))</f>
        <v>-1</v>
      </c>
      <c r="T163" s="1">
        <f ca="1">IF(S163=1,T$3*Q162/Prices!B162,T$3*R162*S163)</f>
        <v>-6.1358512892853859E-3</v>
      </c>
      <c r="V163" s="9"/>
      <c r="W163" s="1"/>
      <c r="X163" s="1"/>
      <c r="Y163" s="1"/>
      <c r="Z163" s="1"/>
      <c r="AA163" s="1"/>
      <c r="AB163" s="1"/>
      <c r="AC163" s="1"/>
      <c r="AD163" s="1"/>
      <c r="AE163" s="16"/>
    </row>
    <row r="164" spans="1:31" x14ac:dyDescent="0.2">
      <c r="A164" s="4">
        <v>33736</v>
      </c>
      <c r="B164" s="9">
        <f ca="1">Prices!B163*(1+J164/(50*(ABS(O164)+ABS(T164)+0.0001)))</f>
        <v>1.2482972127896765</v>
      </c>
      <c r="C164" s="13">
        <f t="shared" ca="1" si="10"/>
        <v>-1</v>
      </c>
      <c r="D164" s="9">
        <f ca="1">D163+C164*(Prices!B164-Prices!B163)/Prices!B163</f>
        <v>-0.10794896547839067</v>
      </c>
      <c r="E164" s="9">
        <f t="shared" ca="1" si="11"/>
        <v>0.14407291673713699</v>
      </c>
      <c r="F164" s="9">
        <f t="shared" ca="1" si="12"/>
        <v>3.6123951258746317E-2</v>
      </c>
      <c r="G164" s="13">
        <f ca="1">IF((Prices!B164-Prices!B163)*B164&gt;0,1,0)</f>
        <v>1</v>
      </c>
      <c r="H164" s="9">
        <f>ABS(Prices!B164-Prices!B163)/Prices!B163</f>
        <v>8.793279422155827E-3</v>
      </c>
      <c r="I164" s="13"/>
      <c r="J164" s="1">
        <f t="shared" ca="1" si="13"/>
        <v>-3.5671664213375753E-2</v>
      </c>
      <c r="K164" s="9"/>
      <c r="L164" s="9">
        <f ca="1">L163-O164*Prices!B164</f>
        <v>0.66645042584697811</v>
      </c>
      <c r="M164" s="1">
        <f t="shared" ca="1" si="14"/>
        <v>0.26692676954888467</v>
      </c>
      <c r="N164" s="9">
        <f ca="1">IF(Prices!D163&gt;OFFSET(Prices!D163,-$N$3,0),1,IF(Prices!D163&lt;OFFSET(Prices!D163,-$N$3,0),-1,0))</f>
        <v>-1</v>
      </c>
      <c r="O164" s="1">
        <f ca="1">IF(N164=1,O$3*L163/Prices!B163,O$3*M163*N164)</f>
        <v>-2.9658529949876073E-2</v>
      </c>
      <c r="P164" s="14"/>
      <c r="Q164" s="9">
        <f ca="1">Q163-T164*Prices!B164</f>
        <v>0.61883157577276326</v>
      </c>
      <c r="R164" s="1">
        <f t="shared" ca="1" si="15"/>
        <v>0.29464357891148418</v>
      </c>
      <c r="S164" s="9">
        <f ca="1">IF(Prices!C163&lt;OFFSET(Prices!C163,-S$3,0),1,IF(Prices!C163&gt;OFFSET(Prices!C163,-S$3,0),-1,0))</f>
        <v>-1</v>
      </c>
      <c r="T164" s="1">
        <f ca="1">IF(S164=1,T$3*Q163/Prices!B163,T$3*R163*S164)</f>
        <v>-6.0131342634996776E-3</v>
      </c>
      <c r="V164" s="9"/>
      <c r="W164" s="1"/>
      <c r="X164" s="1"/>
      <c r="Y164" s="1"/>
      <c r="Z164" s="1"/>
      <c r="AA164" s="1"/>
      <c r="AB164" s="1"/>
      <c r="AC164" s="1"/>
      <c r="AD164" s="1"/>
      <c r="AE164" s="16"/>
    </row>
    <row r="165" spans="1:31" x14ac:dyDescent="0.2">
      <c r="A165" s="4">
        <v>33737</v>
      </c>
      <c r="B165" s="9">
        <f ca="1">Prices!B164*(1+J165/(50*(ABS(O165)+ABS(T165)+0.0001)))</f>
        <v>1.2728638922866802</v>
      </c>
      <c r="C165" s="13">
        <f t="shared" ca="1" si="10"/>
        <v>-1</v>
      </c>
      <c r="D165" s="9">
        <f ca="1">D164+C165*(Prices!B165-Prices!B164)/Prices!B164</f>
        <v>-0.1107507399355469</v>
      </c>
      <c r="E165" s="9">
        <f t="shared" ca="1" si="11"/>
        <v>0.14687469119429322</v>
      </c>
      <c r="F165" s="9">
        <f t="shared" ca="1" si="12"/>
        <v>3.6123951258746317E-2</v>
      </c>
      <c r="G165" s="13">
        <f ca="1">IF((Prices!B165-Prices!B164)*B165&gt;0,1,0)</f>
        <v>1</v>
      </c>
      <c r="H165" s="9">
        <f>ABS(Prices!B165-Prices!B164)/Prices!B164</f>
        <v>2.801774457156236E-3</v>
      </c>
      <c r="I165" s="13"/>
      <c r="J165" s="1">
        <f t="shared" ca="1" si="13"/>
        <v>-1.7060307497767085E-2</v>
      </c>
      <c r="K165" s="9"/>
      <c r="L165" s="9">
        <f ca="1">L164-O165*Prices!B165</f>
        <v>0.70084394010335194</v>
      </c>
      <c r="M165" s="1">
        <f t="shared" ca="1" si="14"/>
        <v>0.2402340925939962</v>
      </c>
      <c r="N165" s="9">
        <f ca="1">IF(Prices!D164&gt;OFFSET(Prices!D164,-$N$3,0),1,IF(Prices!D164&lt;OFFSET(Prices!D164,-$N$3,0),-1,0))</f>
        <v>-1</v>
      </c>
      <c r="O165" s="1">
        <f ca="1">IF(N165=1,O$3*L164/Prices!B164,O$3*M164*N165)</f>
        <v>-2.6692676954888469E-2</v>
      </c>
      <c r="P165" s="14"/>
      <c r="Q165" s="9">
        <f ca="1">Q164-T165*Prices!B165</f>
        <v>0.60642026772726232</v>
      </c>
      <c r="R165" s="1">
        <f t="shared" ca="1" si="15"/>
        <v>0.30427594836860555</v>
      </c>
      <c r="S165" s="9">
        <f ca="1">IF(Prices!C164&lt;OFFSET(Prices!C164,-S$3,0),1,IF(Prices!C164&gt;OFFSET(Prices!C164,-S$3,0),-1,0))</f>
        <v>1</v>
      </c>
      <c r="T165" s="1">
        <f ca="1">IF(S165=1,T$3*Q164/Prices!B164,T$3*R164*S165)</f>
        <v>9.6323694571213841E-3</v>
      </c>
      <c r="V165" s="9"/>
      <c r="W165" s="1"/>
      <c r="X165" s="1"/>
      <c r="Y165" s="1"/>
      <c r="Z165" s="1"/>
      <c r="AA165" s="1"/>
      <c r="AB165" s="1"/>
      <c r="AC165" s="1"/>
      <c r="AD165" s="1"/>
      <c r="AE165" s="16"/>
    </row>
    <row r="166" spans="1:31" x14ac:dyDescent="0.2">
      <c r="A166" s="4">
        <v>33738</v>
      </c>
      <c r="B166" s="9">
        <f ca="1">Prices!B165*(1+J166/(50*(ABS(O166)+ABS(T166)+0.0001)))</f>
        <v>1.2772728801660416</v>
      </c>
      <c r="C166" s="13">
        <f t="shared" ca="1" si="10"/>
        <v>-1</v>
      </c>
      <c r="D166" s="9">
        <f ca="1">D165+C166*(Prices!B166-Prices!B165)/Prices!B165</f>
        <v>-0.11602819433989298</v>
      </c>
      <c r="E166" s="9">
        <f t="shared" ca="1" si="11"/>
        <v>0.15215214559863929</v>
      </c>
      <c r="F166" s="9">
        <f t="shared" ca="1" si="12"/>
        <v>3.6123951258746317E-2</v>
      </c>
      <c r="G166" s="13">
        <f ca="1">IF((Prices!B166-Prices!B165)*B166&gt;0,1,0)</f>
        <v>1</v>
      </c>
      <c r="H166" s="9">
        <f>ABS(Prices!B166-Prices!B165)/Prices!B165</f>
        <v>5.2774544043460749E-3</v>
      </c>
      <c r="I166" s="13"/>
      <c r="J166" s="1">
        <f t="shared" ca="1" si="13"/>
        <v>-1.4610599515864311E-2</v>
      </c>
      <c r="K166" s="9"/>
      <c r="L166" s="9">
        <f ca="1">L165-O166*Prices!B166</f>
        <v>0.73196146211705226</v>
      </c>
      <c r="M166" s="1">
        <f t="shared" ca="1" si="14"/>
        <v>0.21621068333459659</v>
      </c>
      <c r="N166" s="9">
        <f ca="1">IF(Prices!D165&gt;OFFSET(Prices!D165,-$N$3,0),1,IF(Prices!D165&lt;OFFSET(Prices!D165,-$N$3,0),-1,0))</f>
        <v>-1</v>
      </c>
      <c r="O166" s="1">
        <f ca="1">IF(N166=1,O$3*L165/Prices!B165,O$3*M165*N166)</f>
        <v>-2.4023409259399622E-2</v>
      </c>
      <c r="P166" s="14"/>
      <c r="Q166" s="9">
        <f ca="1">Q165-T166*Prices!B166</f>
        <v>0.59422785526646105</v>
      </c>
      <c r="R166" s="1">
        <f t="shared" ca="1" si="15"/>
        <v>0.31368875811214086</v>
      </c>
      <c r="S166" s="9">
        <f ca="1">IF(Prices!C165&lt;OFFSET(Prices!C165,-S$3,0),1,IF(Prices!C165&gt;OFFSET(Prices!C165,-S$3,0),-1,0))</f>
        <v>1</v>
      </c>
      <c r="T166" s="1">
        <f ca="1">IF(S166=1,T$3*Q165/Prices!B165,T$3*R165*S166)</f>
        <v>9.4128097435353109E-3</v>
      </c>
      <c r="V166" s="9"/>
      <c r="W166" s="1"/>
      <c r="X166" s="1"/>
      <c r="Y166" s="1"/>
      <c r="Z166" s="1"/>
      <c r="AA166" s="1"/>
      <c r="AB166" s="1"/>
      <c r="AC166" s="1"/>
      <c r="AD166" s="1"/>
      <c r="AE166" s="16"/>
    </row>
    <row r="167" spans="1:31" x14ac:dyDescent="0.2">
      <c r="A167" s="4">
        <v>33739</v>
      </c>
      <c r="B167" s="9">
        <f ca="1">Prices!B166*(1+J167/(50*(ABS(O167)+ABS(T167)+0.0001)))</f>
        <v>1.284864277122558</v>
      </c>
      <c r="C167" s="13">
        <f t="shared" ca="1" si="10"/>
        <v>-1</v>
      </c>
      <c r="D167" s="9">
        <f ca="1">D166+C167*(Prices!B167-Prices!B166)/Prices!B166</f>
        <v>-0.12011991054463325</v>
      </c>
      <c r="E167" s="9">
        <f t="shared" ca="1" si="11"/>
        <v>0.15624386180337957</v>
      </c>
      <c r="F167" s="9">
        <f t="shared" ca="1" si="12"/>
        <v>3.6123951258746317E-2</v>
      </c>
      <c r="G167" s="13">
        <f ca="1">IF((Prices!B167-Prices!B166)*B167&gt;0,1,0)</f>
        <v>1</v>
      </c>
      <c r="H167" s="9">
        <f>ABS(Prices!B167-Prices!B166)/Prices!B166</f>
        <v>4.091716204740279E-3</v>
      </c>
      <c r="I167" s="13"/>
      <c r="J167" s="1">
        <f t="shared" ca="1" si="13"/>
        <v>-1.2445929674207577E-2</v>
      </c>
      <c r="K167" s="9"/>
      <c r="L167" s="9">
        <f ca="1">L166-O167*Prices!B167</f>
        <v>0.76008182359154985</v>
      </c>
      <c r="M167" s="1">
        <f t="shared" ca="1" si="14"/>
        <v>0.19458961500113692</v>
      </c>
      <c r="N167" s="9">
        <f ca="1">IF(Prices!D166&gt;OFFSET(Prices!D166,-$N$3,0),1,IF(Prices!D166&lt;OFFSET(Prices!D166,-$N$3,0),-1,0))</f>
        <v>-1</v>
      </c>
      <c r="O167" s="1">
        <f ca="1">IF(N167=1,O$3*L166/Prices!B166,O$3*M166*N167)</f>
        <v>-2.1621068333459659E-2</v>
      </c>
      <c r="P167" s="14"/>
      <c r="Q167" s="9">
        <f ca="1">Q166-T167*Prices!B167</f>
        <v>0.5822946699262378</v>
      </c>
      <c r="R167" s="1">
        <f t="shared" ca="1" si="15"/>
        <v>0.32286389677139293</v>
      </c>
      <c r="S167" s="9">
        <f ca="1">IF(Prices!C166&lt;OFFSET(Prices!C166,-S$3,0),1,IF(Prices!C166&gt;OFFSET(Prices!C166,-S$3,0),-1,0))</f>
        <v>1</v>
      </c>
      <c r="T167" s="1">
        <f ca="1">IF(S167=1,T$3*Q166/Prices!B166,T$3*R166*S167)</f>
        <v>9.1751386592520828E-3</v>
      </c>
      <c r="V167" s="9"/>
      <c r="W167" s="1"/>
      <c r="X167" s="1"/>
      <c r="Y167" s="1"/>
      <c r="Z167" s="1"/>
      <c r="AA167" s="1"/>
      <c r="AB167" s="1"/>
      <c r="AC167" s="1"/>
      <c r="AD167" s="1"/>
      <c r="AE167" s="16"/>
    </row>
    <row r="168" spans="1:31" x14ac:dyDescent="0.2">
      <c r="A168" s="4">
        <v>33742</v>
      </c>
      <c r="B168" s="9">
        <f ca="1">Prices!B167*(1+J168/(50*(ABS(O168)+ABS(T168)+0.0001)))</f>
        <v>1.2910167698135739</v>
      </c>
      <c r="C168" s="13">
        <f t="shared" ref="C168:C231" ca="1" si="16">IF(J168&gt;0,1,IF(J168&lt;0,-1,0))</f>
        <v>-1</v>
      </c>
      <c r="D168" s="9">
        <f ca="1">D167+C168*(Prices!B168-Prices!B167)/Prices!B167</f>
        <v>-0.12727045644652477</v>
      </c>
      <c r="E168" s="9">
        <f t="shared" ref="E168:E231" ca="1" si="17">F168-D168</f>
        <v>0.16339440770527108</v>
      </c>
      <c r="F168" s="9">
        <f t="shared" ref="F168:F231" ca="1" si="18">MAX(F167,D168)</f>
        <v>3.6123951258746317E-2</v>
      </c>
      <c r="G168" s="13">
        <f ca="1">IF((Prices!B168-Prices!B167)*B168&gt;0,1,0)</f>
        <v>1</v>
      </c>
      <c r="H168" s="9">
        <f>ABS(Prices!B168-Prices!B167)/Prices!B167</f>
        <v>7.1505459018915011E-3</v>
      </c>
      <c r="I168" s="13"/>
      <c r="J168" s="1">
        <f t="shared" ref="J168:J231" ca="1" si="19">O168+T168</f>
        <v>-1.0504714692082973E-2</v>
      </c>
      <c r="K168" s="9"/>
      <c r="L168" s="9">
        <f ca="1">L167-O168*Prices!B168</f>
        <v>0.78557111726054873</v>
      </c>
      <c r="M168" s="1">
        <f t="shared" ca="1" si="14"/>
        <v>0.17513065350102322</v>
      </c>
      <c r="N168" s="9">
        <f ca="1">IF(Prices!D167&gt;OFFSET(Prices!D167,-$N$3,0),1,IF(Prices!D167&lt;OFFSET(Prices!D167,-$N$3,0),-1,0))</f>
        <v>-1</v>
      </c>
      <c r="O168" s="1">
        <f ca="1">IF(N168=1,O$3*L167/Prices!B167,O$3*M167*N168)</f>
        <v>-1.9458961500113694E-2</v>
      </c>
      <c r="P168" s="14"/>
      <c r="Q168" s="9">
        <f ca="1">Q167-T168*Prices!B168</f>
        <v>0.57056550203239831</v>
      </c>
      <c r="R168" s="1">
        <f t="shared" ca="1" si="15"/>
        <v>0.33181814357942363</v>
      </c>
      <c r="S168" s="9">
        <f ca="1">IF(Prices!C167&lt;OFFSET(Prices!C167,-S$3,0),1,IF(Prices!C167&gt;OFFSET(Prices!C167,-S$3,0),-1,0))</f>
        <v>1</v>
      </c>
      <c r="T168" s="1">
        <f ca="1">IF(S168=1,T$3*Q167/Prices!B167,T$3*R167*S168)</f>
        <v>8.9542468080307212E-3</v>
      </c>
      <c r="V168" s="9"/>
      <c r="W168" s="1"/>
      <c r="X168" s="1"/>
      <c r="Y168" s="1"/>
      <c r="Z168" s="1"/>
      <c r="AA168" s="1"/>
      <c r="AB168" s="1"/>
      <c r="AC168" s="1"/>
      <c r="AD168" s="1"/>
      <c r="AE168" s="16"/>
    </row>
    <row r="169" spans="1:31" x14ac:dyDescent="0.2">
      <c r="A169" s="4">
        <v>33743</v>
      </c>
      <c r="B169" s="9">
        <f ca="1">Prices!B168*(1+J169/(50*(ABS(O169)+ABS(T169)+0.0001)))</f>
        <v>1.3011408693093049</v>
      </c>
      <c r="C169" s="13">
        <f t="shared" ca="1" si="16"/>
        <v>-1</v>
      </c>
      <c r="D169" s="9">
        <f ca="1">D168+C169*(Prices!B169-Prices!B168)/Prices!B168</f>
        <v>-0.12978973272715677</v>
      </c>
      <c r="E169" s="9">
        <f t="shared" ca="1" si="17"/>
        <v>0.16591368398590309</v>
      </c>
      <c r="F169" s="9">
        <f t="shared" ca="1" si="18"/>
        <v>3.6123951258746317E-2</v>
      </c>
      <c r="G169" s="13">
        <f ca="1">IF((Prices!B169-Prices!B168)*B169&gt;0,1,0)</f>
        <v>1</v>
      </c>
      <c r="H169" s="9">
        <f>ABS(Prices!B169-Prices!B168)/Prices!B168</f>
        <v>2.5192762806320011E-3</v>
      </c>
      <c r="I169" s="13"/>
      <c r="J169" s="1">
        <f t="shared" ca="1" si="19"/>
        <v>-8.8014766481800642E-3</v>
      </c>
      <c r="K169" s="9"/>
      <c r="L169" s="9">
        <f ca="1">L168-O169*Prices!B169</f>
        <v>0.80856927467830308</v>
      </c>
      <c r="M169" s="1">
        <f t="shared" ca="1" si="14"/>
        <v>0.15761758815092089</v>
      </c>
      <c r="N169" s="9">
        <f ca="1">IF(Prices!D168&gt;OFFSET(Prices!D168,-$N$3,0),1,IF(Prices!D168&lt;OFFSET(Prices!D168,-$N$3,0),-1,0))</f>
        <v>-1</v>
      </c>
      <c r="O169" s="1">
        <f ca="1">IF(N169=1,O$3*L168/Prices!B168,O$3*M168*N169)</f>
        <v>-1.7513065350102323E-2</v>
      </c>
      <c r="P169" s="14"/>
      <c r="Q169" s="9">
        <f ca="1">Q168-T169*Prices!B169</f>
        <v>0.55912544374903395</v>
      </c>
      <c r="R169" s="1">
        <f t="shared" ca="1" si="15"/>
        <v>0.34052973228134586</v>
      </c>
      <c r="S169" s="9">
        <f ca="1">IF(Prices!C168&lt;OFFSET(Prices!C168,-S$3,0),1,IF(Prices!C168&gt;OFFSET(Prices!C168,-S$3,0),-1,0))</f>
        <v>1</v>
      </c>
      <c r="T169" s="1">
        <f ca="1">IF(S169=1,T$3*Q168/Prices!B168,T$3*R168*S169)</f>
        <v>8.7115887019222592E-3</v>
      </c>
      <c r="V169" s="9"/>
      <c r="W169" s="1"/>
      <c r="X169" s="1"/>
      <c r="Y169" s="1"/>
      <c r="Z169" s="1"/>
      <c r="AA169" s="1"/>
      <c r="AB169" s="1"/>
      <c r="AC169" s="1"/>
      <c r="AD169" s="1"/>
      <c r="AE169" s="16"/>
    </row>
    <row r="170" spans="1:31" x14ac:dyDescent="0.2">
      <c r="A170" s="4">
        <v>33744</v>
      </c>
      <c r="B170" s="9">
        <f ca="1">Prices!B169*(1+J170/(50*(ABS(O170)+ABS(T170)+0.0001)))</f>
        <v>1.305392849519917</v>
      </c>
      <c r="C170" s="13">
        <f t="shared" ca="1" si="16"/>
        <v>-1</v>
      </c>
      <c r="D170" s="9">
        <f ca="1">D169+C170*(Prices!B170-Prices!B169)/Prices!B169</f>
        <v>-0.12445924232203957</v>
      </c>
      <c r="E170" s="9">
        <f t="shared" ca="1" si="17"/>
        <v>0.16058319358078588</v>
      </c>
      <c r="F170" s="9">
        <f t="shared" ca="1" si="18"/>
        <v>3.6123951258746317E-2</v>
      </c>
      <c r="G170" s="13">
        <f ca="1">IF((Prices!B170-Prices!B169)*B170&gt;0,1,0)</f>
        <v>0</v>
      </c>
      <c r="H170" s="9">
        <f>ABS(Prices!B170-Prices!B169)/Prices!B169</f>
        <v>5.3304904051171909E-3</v>
      </c>
      <c r="I170" s="13"/>
      <c r="J170" s="1">
        <f t="shared" ca="1" si="19"/>
        <v>-7.2462936346316259E-3</v>
      </c>
      <c r="K170" s="9"/>
      <c r="L170" s="9">
        <f ca="1">L169-O170*Prices!B170</f>
        <v>0.82915728404257638</v>
      </c>
      <c r="M170" s="1">
        <f t="shared" ca="1" si="14"/>
        <v>0.1418558293358288</v>
      </c>
      <c r="N170" s="9">
        <f ca="1">IF(Prices!D169&gt;OFFSET(Prices!D169,-$N$3,0),1,IF(Prices!D169&lt;OFFSET(Prices!D169,-$N$3,0),-1,0))</f>
        <v>-1</v>
      </c>
      <c r="O170" s="1">
        <f ca="1">IF(N170=1,O$3*L169/Prices!B169,O$3*M169*N170)</f>
        <v>-1.5761758815092088E-2</v>
      </c>
      <c r="P170" s="14"/>
      <c r="Q170" s="9">
        <f ca="1">Q169-T170*Prices!B170</f>
        <v>0.54800254313031649</v>
      </c>
      <c r="R170" s="1">
        <f t="shared" ca="1" si="15"/>
        <v>0.34904519746180634</v>
      </c>
      <c r="S170" s="9">
        <f ca="1">IF(Prices!C169&lt;OFFSET(Prices!C169,-S$3,0),1,IF(Prices!C169&gt;OFFSET(Prices!C169,-S$3,0),-1,0))</f>
        <v>1</v>
      </c>
      <c r="T170" s="1">
        <f ca="1">IF(S170=1,T$3*Q169/Prices!B169,T$3*R169*S170)</f>
        <v>8.5154651804604624E-3</v>
      </c>
      <c r="V170" s="9"/>
      <c r="W170" s="1"/>
      <c r="X170" s="1"/>
      <c r="Y170" s="1"/>
      <c r="Z170" s="1"/>
      <c r="AA170" s="1"/>
      <c r="AB170" s="1"/>
      <c r="AC170" s="1"/>
      <c r="AD170" s="1"/>
      <c r="AE170" s="16"/>
    </row>
    <row r="171" spans="1:31" x14ac:dyDescent="0.2">
      <c r="A171" s="4">
        <v>33745</v>
      </c>
      <c r="B171" s="9">
        <f ca="1">Prices!B170*(1+J171/(50*(ABS(O171)+ABS(T171)+0.0001)))</f>
        <v>1.2995241904771011</v>
      </c>
      <c r="C171" s="13">
        <f t="shared" ca="1" si="16"/>
        <v>-1</v>
      </c>
      <c r="D171" s="9">
        <f ca="1">D170+C171*(Prices!B171-Prices!B170)/Prices!B170</f>
        <v>-0.11588475143243607</v>
      </c>
      <c r="E171" s="9">
        <f t="shared" ca="1" si="17"/>
        <v>0.15200870269118238</v>
      </c>
      <c r="F171" s="9">
        <f t="shared" ca="1" si="18"/>
        <v>3.6123951258746317E-2</v>
      </c>
      <c r="G171" s="13">
        <f ca="1">IF((Prices!B171-Prices!B170)*B171&gt;0,1,0)</f>
        <v>0</v>
      </c>
      <c r="H171" s="9">
        <f>ABS(Prices!B171-Prices!B170)/Prices!B170</f>
        <v>8.574490889603506E-3</v>
      </c>
      <c r="I171" s="13"/>
      <c r="J171" s="1">
        <f t="shared" ca="1" si="19"/>
        <v>-5.7947921951000056E-3</v>
      </c>
      <c r="K171" s="9"/>
      <c r="L171" s="9">
        <f ca="1">L170-O171*Prices!B171</f>
        <v>0.84752761394156617</v>
      </c>
      <c r="M171" s="1">
        <f t="shared" ca="1" si="14"/>
        <v>0.12767024640224592</v>
      </c>
      <c r="N171" s="9">
        <f ca="1">IF(Prices!D170&gt;OFFSET(Prices!D170,-$N$3,0),1,IF(Prices!D170&lt;OFFSET(Prices!D170,-$N$3,0),-1,0))</f>
        <v>-1</v>
      </c>
      <c r="O171" s="1">
        <f ca="1">IF(N171=1,O$3*L170/Prices!B170,O$3*M170*N171)</f>
        <v>-1.418558293358288E-2</v>
      </c>
      <c r="P171" s="14"/>
      <c r="Q171" s="9">
        <f ca="1">Q170-T171*Prices!B171</f>
        <v>0.53713646912398116</v>
      </c>
      <c r="R171" s="1">
        <f t="shared" ca="1" si="15"/>
        <v>0.35743598820028921</v>
      </c>
      <c r="S171" s="9">
        <f ca="1">IF(Prices!C170&lt;OFFSET(Prices!C170,-S$3,0),1,IF(Prices!C170&gt;OFFSET(Prices!C170,-S$3,0),-1,0))</f>
        <v>1</v>
      </c>
      <c r="T171" s="1">
        <f ca="1">IF(S171=1,T$3*Q170/Prices!B170,T$3*R170*S171)</f>
        <v>8.3907907384828742E-3</v>
      </c>
      <c r="V171" s="9"/>
      <c r="W171" s="1"/>
      <c r="X171" s="1"/>
      <c r="Y171" s="1"/>
      <c r="Z171" s="1"/>
      <c r="AA171" s="1"/>
      <c r="AB171" s="1"/>
      <c r="AC171" s="1"/>
      <c r="AD171" s="1"/>
      <c r="AE171" s="16"/>
    </row>
    <row r="172" spans="1:31" x14ac:dyDescent="0.2">
      <c r="A172" s="4">
        <v>33746</v>
      </c>
      <c r="B172" s="9">
        <f ca="1">Prices!B171*(1+J172/(50*(ABS(O172)+ABS(T172)+0.0001)))</f>
        <v>1.3208604858548192</v>
      </c>
      <c r="C172" s="13">
        <f t="shared" ca="1" si="16"/>
        <v>1</v>
      </c>
      <c r="D172" s="9">
        <f ca="1">D171+C172*(Prices!B172-Prices!B171)/Prices!B171</f>
        <v>-0.11804691359459817</v>
      </c>
      <c r="E172" s="9">
        <f t="shared" ca="1" si="17"/>
        <v>0.15417086485334447</v>
      </c>
      <c r="F172" s="9">
        <f t="shared" ca="1" si="18"/>
        <v>3.6123951258746317E-2</v>
      </c>
      <c r="G172" s="13">
        <f ca="1">IF((Prices!B172-Prices!B171)*B172&gt;0,1,0)</f>
        <v>0</v>
      </c>
      <c r="H172" s="9">
        <f>ABS(Prices!B172-Prices!B171)/Prices!B171</f>
        <v>2.1621621621620954E-3</v>
      </c>
      <c r="I172" s="13"/>
      <c r="J172" s="1">
        <f t="shared" ca="1" si="19"/>
        <v>6.544614779471554E-2</v>
      </c>
      <c r="K172" s="9"/>
      <c r="L172" s="9">
        <f ca="1">L171-O172*Prices!B172</f>
        <v>0.7629581017612348</v>
      </c>
      <c r="M172" s="1">
        <f t="shared" ca="1" si="14"/>
        <v>0.19311639419696147</v>
      </c>
      <c r="N172" s="9">
        <f ca="1">IF(Prices!D171&gt;OFFSET(Prices!D171,-$N$3,0),1,IF(Prices!D171&lt;OFFSET(Prices!D171,-$N$3,0),-1,0))</f>
        <v>1</v>
      </c>
      <c r="O172" s="1">
        <f ca="1">IF(N172=1,O$3*L171/Prices!B171,O$3*M171*N172)</f>
        <v>6.544614779471554E-2</v>
      </c>
      <c r="P172" s="14"/>
      <c r="Q172" s="9">
        <f ca="1">Q171-T172*Prices!B172</f>
        <v>0.53713646912398116</v>
      </c>
      <c r="R172" s="1">
        <f t="shared" ca="1" si="15"/>
        <v>0.35743598820028921</v>
      </c>
      <c r="S172" s="9">
        <f ca="1">IF(Prices!C171&lt;OFFSET(Prices!C171,-S$3,0),1,IF(Prices!C171&gt;OFFSET(Prices!C171,-S$3,0),-1,0))</f>
        <v>0</v>
      </c>
      <c r="T172" s="1">
        <f ca="1">IF(S172=1,T$3*Q171/Prices!B171,T$3*R171*S172)</f>
        <v>0</v>
      </c>
      <c r="V172" s="9"/>
      <c r="W172" s="1"/>
      <c r="X172" s="1"/>
      <c r="Y172" s="1"/>
      <c r="Z172" s="1"/>
      <c r="AA172" s="1"/>
      <c r="AB172" s="1"/>
      <c r="AC172" s="1"/>
      <c r="AD172" s="1"/>
      <c r="AE172" s="16"/>
    </row>
    <row r="173" spans="1:31" x14ac:dyDescent="0.2">
      <c r="A173" s="4">
        <v>33749</v>
      </c>
      <c r="B173" s="9">
        <f ca="1">Prices!B172*(1+J173/(50*(ABS(O173)+ABS(T173)+0.0001)))</f>
        <v>1.3124311498120014</v>
      </c>
      <c r="C173" s="13">
        <f t="shared" ca="1" si="16"/>
        <v>1</v>
      </c>
      <c r="D173" s="9">
        <f ca="1">D172+C173*(Prices!B173-Prices!B172)/Prices!B172</f>
        <v>-0.11804691359459817</v>
      </c>
      <c r="E173" s="9">
        <f t="shared" ca="1" si="17"/>
        <v>0.15417086485334447</v>
      </c>
      <c r="F173" s="9">
        <f t="shared" ca="1" si="18"/>
        <v>3.6123951258746317E-2</v>
      </c>
      <c r="G173" s="13">
        <f ca="1">IF((Prices!B173-Prices!B172)*B173&gt;0,1,0)</f>
        <v>0</v>
      </c>
      <c r="H173" s="9">
        <f>ABS(Prices!B173-Prices!B172)/Prices!B172</f>
        <v>0</v>
      </c>
      <c r="I173" s="13"/>
      <c r="J173" s="1">
        <f t="shared" ca="1" si="19"/>
        <v>5.1894625055777126E-2</v>
      </c>
      <c r="K173" s="9"/>
      <c r="L173" s="9">
        <f ca="1">L172-O173*Prices!B173</f>
        <v>0.68666229158511127</v>
      </c>
      <c r="M173" s="1">
        <f t="shared" ca="1" si="14"/>
        <v>0.25215973901674438</v>
      </c>
      <c r="N173" s="9">
        <f ca="1">IF(Prices!D172&gt;OFFSET(Prices!D172,-$N$3,0),1,IF(Prices!D172&lt;OFFSET(Prices!D172,-$N$3,0),-1,0))</f>
        <v>1</v>
      </c>
      <c r="O173" s="1">
        <f ca="1">IF(N173=1,O$3*L172/Prices!B172,O$3*M172*N173)</f>
        <v>5.9043344819782913E-2</v>
      </c>
      <c r="P173" s="14"/>
      <c r="Q173" s="9">
        <f ca="1">Q172-T173*Prices!B173</f>
        <v>0.54637404480302942</v>
      </c>
      <c r="R173" s="1">
        <f t="shared" ca="1" si="15"/>
        <v>0.35028726843628344</v>
      </c>
      <c r="S173" s="9">
        <f ca="1">IF(Prices!C172&lt;OFFSET(Prices!C172,-S$3,0),1,IF(Prices!C172&gt;OFFSET(Prices!C172,-S$3,0),-1,0))</f>
        <v>-1</v>
      </c>
      <c r="T173" s="1">
        <f ca="1">IF(S173=1,T$3*Q172/Prices!B172,T$3*R172*S173)</f>
        <v>-7.1487197640057844E-3</v>
      </c>
      <c r="V173" s="9"/>
      <c r="W173" s="1"/>
      <c r="X173" s="1"/>
      <c r="Y173" s="1"/>
      <c r="Z173" s="1"/>
      <c r="AA173" s="1"/>
      <c r="AB173" s="1"/>
      <c r="AC173" s="1"/>
      <c r="AD173" s="1"/>
      <c r="AE173" s="16"/>
    </row>
    <row r="174" spans="1:31" x14ac:dyDescent="0.2">
      <c r="A174" s="4">
        <v>33750</v>
      </c>
      <c r="B174" s="9">
        <f ca="1">Prices!B173*(1+J174/(50*(ABS(O174)+ABS(T174)+0.0001)))</f>
        <v>1.2664359586178686</v>
      </c>
      <c r="C174" s="13">
        <f t="shared" ca="1" si="16"/>
        <v>-1</v>
      </c>
      <c r="D174" s="9">
        <f ca="1">D173+C174*(Prices!B174-Prices!B173)/Prices!B173</f>
        <v>-0.12207105846381353</v>
      </c>
      <c r="E174" s="9">
        <f t="shared" ca="1" si="17"/>
        <v>0.15819500972255984</v>
      </c>
      <c r="F174" s="9">
        <f t="shared" ca="1" si="18"/>
        <v>3.6123951258746317E-2</v>
      </c>
      <c r="G174" s="13">
        <f ca="1">IF((Prices!B174-Prices!B173)*B174&gt;0,1,0)</f>
        <v>1</v>
      </c>
      <c r="H174" s="9">
        <f>ABS(Prices!B174-Prices!B173)/Prices!B173</f>
        <v>4.0241448692153641E-3</v>
      </c>
      <c r="I174" s="13"/>
      <c r="J174" s="1">
        <f t="shared" ca="1" si="19"/>
        <v>-3.2221719270400108E-2</v>
      </c>
      <c r="K174" s="9"/>
      <c r="L174" s="9">
        <f ca="1">L173-O174*Prices!B174</f>
        <v>0.71937749612514368</v>
      </c>
      <c r="M174" s="1">
        <f t="shared" ca="1" si="14"/>
        <v>0.22694376511506995</v>
      </c>
      <c r="N174" s="9">
        <f ca="1">IF(Prices!D173&gt;OFFSET(Prices!D173,-$N$3,0),1,IF(Prices!D173&lt;OFFSET(Prices!D173,-$N$3,0),-1,0))</f>
        <v>-1</v>
      </c>
      <c r="O174" s="1">
        <f ca="1">IF(N174=1,O$3*L173/Prices!B173,O$3*M173*N174)</f>
        <v>-2.5215973901674439E-2</v>
      </c>
      <c r="P174" s="14"/>
      <c r="Q174" s="9">
        <f ca="1">Q173-T174*Prices!B174</f>
        <v>0.55546329884441414</v>
      </c>
      <c r="R174" s="1">
        <f t="shared" ca="1" si="15"/>
        <v>0.34328152306755777</v>
      </c>
      <c r="S174" s="9">
        <f ca="1">IF(Prices!C173&lt;OFFSET(Prices!C173,-S$3,0),1,IF(Prices!C173&gt;OFFSET(Prices!C173,-S$3,0),-1,0))</f>
        <v>-1</v>
      </c>
      <c r="T174" s="1">
        <f ca="1">IF(S174=1,T$3*Q173/Prices!B173,T$3*R173*S174)</f>
        <v>-7.0057453687256688E-3</v>
      </c>
      <c r="V174" s="9"/>
      <c r="W174" s="1"/>
      <c r="X174" s="1"/>
      <c r="Y174" s="1"/>
      <c r="Z174" s="1"/>
      <c r="AA174" s="1"/>
      <c r="AB174" s="1"/>
      <c r="AC174" s="1"/>
      <c r="AD174" s="1"/>
      <c r="AE174" s="16"/>
    </row>
    <row r="175" spans="1:31" x14ac:dyDescent="0.2">
      <c r="A175" s="4">
        <v>33751</v>
      </c>
      <c r="B175" s="9">
        <f ca="1">Prices!B174*(1+J175/(50*(ABS(O175)+ABS(T175)+0.0001)))</f>
        <v>1.3233075260298848</v>
      </c>
      <c r="C175" s="13">
        <f t="shared" ca="1" si="16"/>
        <v>1</v>
      </c>
      <c r="D175" s="9">
        <f ca="1">D174+C175*(Prices!B175-Prices!B174)/Prices!B174</f>
        <v>-0.13540541949356541</v>
      </c>
      <c r="E175" s="9">
        <f t="shared" ca="1" si="17"/>
        <v>0.17152937075231173</v>
      </c>
      <c r="F175" s="9">
        <f t="shared" ca="1" si="18"/>
        <v>3.6123951258746317E-2</v>
      </c>
      <c r="G175" s="13">
        <f ca="1">IF((Prices!B175-Prices!B174)*B175&gt;0,1,0)</f>
        <v>0</v>
      </c>
      <c r="H175" s="9">
        <f>ABS(Prices!B175-Prices!B174)/Prices!B174</f>
        <v>1.3334361029751883E-2</v>
      </c>
      <c r="I175" s="13"/>
      <c r="J175" s="1">
        <f t="shared" ca="1" si="19"/>
        <v>6.4010340364885648E-2</v>
      </c>
      <c r="K175" s="9"/>
      <c r="L175" s="9">
        <f ca="1">L174-O175*Prices!B175</f>
        <v>0.6483989904376305</v>
      </c>
      <c r="M175" s="1">
        <f t="shared" ca="1" si="14"/>
        <v>0.28239139083768006</v>
      </c>
      <c r="N175" s="9">
        <f ca="1">IF(Prices!D174&gt;OFFSET(Prices!D174,-$N$3,0),1,IF(Prices!D174&lt;OFFSET(Prices!D174,-$N$3,0),-1,0))</f>
        <v>1</v>
      </c>
      <c r="O175" s="1">
        <f ca="1">IF(N175=1,O$3*L174/Prices!B174,O$3*M174*N175)</f>
        <v>5.5447625722610111E-2</v>
      </c>
      <c r="P175" s="14"/>
      <c r="Q175" s="9">
        <f ca="1">Q174-T175*Prices!B175</f>
        <v>0.54450216783083727</v>
      </c>
      <c r="R175" s="1">
        <f t="shared" ca="1" si="15"/>
        <v>0.35184423770983331</v>
      </c>
      <c r="S175" s="9">
        <f ca="1">IF(Prices!C174&lt;OFFSET(Prices!C174,-S$3,0),1,IF(Prices!C174&gt;OFFSET(Prices!C174,-S$3,0),-1,0))</f>
        <v>1</v>
      </c>
      <c r="T175" s="1">
        <f ca="1">IF(S175=1,T$3*Q174/Prices!B174,T$3*R174*S175)</f>
        <v>8.5627146422755374E-3</v>
      </c>
      <c r="V175" s="9"/>
      <c r="W175" s="1"/>
      <c r="X175" s="1"/>
      <c r="Y175" s="1"/>
      <c r="Z175" s="1"/>
      <c r="AA175" s="1"/>
      <c r="AB175" s="1"/>
      <c r="AC175" s="1"/>
      <c r="AD175" s="1"/>
      <c r="AE175" s="16"/>
    </row>
    <row r="176" spans="1:31" x14ac:dyDescent="0.2">
      <c r="A176" s="4">
        <v>33752</v>
      </c>
      <c r="B176" s="9">
        <f ca="1">Prices!B175*(1+J176/(50*(ABS(O176)+ABS(T176)+0.0001)))</f>
        <v>1.3056587967244528</v>
      </c>
      <c r="C176" s="13">
        <f t="shared" ca="1" si="16"/>
        <v>1</v>
      </c>
      <c r="D176" s="9">
        <f ca="1">D175+C176*(Prices!B176-Prices!B175)/Prices!B175</f>
        <v>-0.13204630692423491</v>
      </c>
      <c r="E176" s="9">
        <f t="shared" ca="1" si="17"/>
        <v>0.16817025818298123</v>
      </c>
      <c r="F176" s="9">
        <f t="shared" ca="1" si="18"/>
        <v>3.6123951258746317E-2</v>
      </c>
      <c r="G176" s="13">
        <f ca="1">IF((Prices!B176-Prices!B175)*B176&gt;0,1,0)</f>
        <v>1</v>
      </c>
      <c r="H176" s="9">
        <f>ABS(Prices!B176-Prices!B175)/Prices!B175</f>
        <v>3.3591125693304981E-3</v>
      </c>
      <c r="I176" s="13"/>
      <c r="J176" s="1">
        <f t="shared" ca="1" si="19"/>
        <v>5.9159395672509801E-2</v>
      </c>
      <c r="K176" s="9"/>
      <c r="L176" s="9">
        <f ca="1">L175-O176*Prices!B176</f>
        <v>0.58334128687399545</v>
      </c>
      <c r="M176" s="1">
        <f t="shared" ca="1" si="14"/>
        <v>0.33304360476140715</v>
      </c>
      <c r="N176" s="9">
        <f ca="1">IF(Prices!D175&gt;OFFSET(Prices!D175,-$N$3,0),1,IF(Prices!D175&lt;OFFSET(Prices!D175,-$N$3,0),-1,0))</f>
        <v>1</v>
      </c>
      <c r="O176" s="1">
        <f ca="1">IF(N176=1,O$3*L175/Prices!B175,O$3*M175*N176)</f>
        <v>5.0652213923727096E-2</v>
      </c>
      <c r="P176" s="14"/>
      <c r="Q176" s="9">
        <f ca="1">Q175-T176*Prices!B176</f>
        <v>0.53357554359270076</v>
      </c>
      <c r="R176" s="1">
        <f t="shared" ca="1" si="15"/>
        <v>0.36035141945861604</v>
      </c>
      <c r="S176" s="9">
        <f ca="1">IF(Prices!C175&lt;OFFSET(Prices!C175,-S$3,0),1,IF(Prices!C175&gt;OFFSET(Prices!C175,-S$3,0),-1,0))</f>
        <v>1</v>
      </c>
      <c r="T176" s="1">
        <f ca="1">IF(S176=1,T$3*Q175/Prices!B175,T$3*R175*S176)</f>
        <v>8.5071817487827085E-3</v>
      </c>
      <c r="V176" s="9"/>
      <c r="W176" s="1"/>
      <c r="X176" s="1"/>
      <c r="Y176" s="1"/>
      <c r="Z176" s="1"/>
      <c r="AA176" s="1"/>
      <c r="AB176" s="1"/>
      <c r="AC176" s="1"/>
      <c r="AD176" s="1"/>
      <c r="AE176" s="16"/>
    </row>
    <row r="177" spans="1:31" x14ac:dyDescent="0.2">
      <c r="A177" s="4">
        <v>33753</v>
      </c>
      <c r="B177" s="9">
        <f ca="1">Prices!B176*(1+J177/(50*(ABS(O177)+ABS(T177)+0.0001)))</f>
        <v>1.2587752531925593</v>
      </c>
      <c r="C177" s="13">
        <f t="shared" ca="1" si="16"/>
        <v>-1</v>
      </c>
      <c r="D177" s="9">
        <f ca="1">D176+C177*(Prices!B177-Prices!B176)/Prices!B176</f>
        <v>-0.14644991950598513</v>
      </c>
      <c r="E177" s="9">
        <f t="shared" ca="1" si="17"/>
        <v>0.18257387076473144</v>
      </c>
      <c r="F177" s="9">
        <f t="shared" ca="1" si="18"/>
        <v>3.6123951258746317E-2</v>
      </c>
      <c r="G177" s="13">
        <f ca="1">IF((Prices!B177-Prices!B176)*B177&gt;0,1,0)</f>
        <v>1</v>
      </c>
      <c r="H177" s="9">
        <f>ABS(Prices!B177-Prices!B176)/Prices!B176</f>
        <v>1.4403612581750203E-2</v>
      </c>
      <c r="I177" s="13"/>
      <c r="J177" s="1">
        <f t="shared" ca="1" si="19"/>
        <v>-4.0511388865313039E-2</v>
      </c>
      <c r="K177" s="9"/>
      <c r="L177" s="9">
        <f ca="1">L176-O177*Prices!B177</f>
        <v>0.62673353813835919</v>
      </c>
      <c r="M177" s="1">
        <f t="shared" ca="1" si="14"/>
        <v>0.29973924428526644</v>
      </c>
      <c r="N177" s="9">
        <f ca="1">IF(Prices!D176&gt;OFFSET(Prices!D176,-$N$3,0),1,IF(Prices!D176&lt;OFFSET(Prices!D176,-$N$3,0),-1,0))</f>
        <v>-1</v>
      </c>
      <c r="O177" s="1">
        <f ca="1">IF(N177=1,O$3*L176/Prices!B176,O$3*M176*N177)</f>
        <v>-3.3304360476140715E-2</v>
      </c>
      <c r="P177" s="14"/>
      <c r="Q177" s="9">
        <f ca="1">Q176-T177*Prices!B177</f>
        <v>0.54296558088095337</v>
      </c>
      <c r="R177" s="1">
        <f t="shared" ca="1" si="15"/>
        <v>0.35314439106944373</v>
      </c>
      <c r="S177" s="9">
        <f ca="1">IF(Prices!C176&lt;OFFSET(Prices!C176,-S$3,0),1,IF(Prices!C176&gt;OFFSET(Prices!C176,-S$3,0),-1,0))</f>
        <v>-1</v>
      </c>
      <c r="T177" s="1">
        <f ca="1">IF(S177=1,T$3*Q176/Prices!B176,T$3*R176*S177)</f>
        <v>-7.207028389172321E-3</v>
      </c>
      <c r="V177" s="9"/>
      <c r="W177" s="1"/>
      <c r="X177" s="1"/>
      <c r="Y177" s="1"/>
      <c r="Z177" s="1"/>
      <c r="AA177" s="1"/>
      <c r="AB177" s="1"/>
      <c r="AC177" s="1"/>
      <c r="AD177" s="1"/>
      <c r="AE177" s="16"/>
    </row>
    <row r="178" spans="1:31" x14ac:dyDescent="0.2">
      <c r="A178" s="4">
        <v>33756</v>
      </c>
      <c r="B178" s="9">
        <f ca="1">Prices!B177*(1+J178/(50*(ABS(O178)+ABS(T178)+0.0001)))</f>
        <v>1.2882190800339464</v>
      </c>
      <c r="C178" s="13">
        <f t="shared" ca="1" si="16"/>
        <v>-1</v>
      </c>
      <c r="D178" s="9">
        <f ca="1">D177+C178*(Prices!B178-Prices!B177)/Prices!B177</f>
        <v>-0.14337984505667972</v>
      </c>
      <c r="E178" s="9">
        <f t="shared" ca="1" si="17"/>
        <v>0.17950379631542604</v>
      </c>
      <c r="F178" s="9">
        <f t="shared" ca="1" si="18"/>
        <v>3.6123951258746317E-2</v>
      </c>
      <c r="G178" s="13">
        <f ca="1">IF((Prices!B178-Prices!B177)*B178&gt;0,1,0)</f>
        <v>0</v>
      </c>
      <c r="H178" s="9">
        <f>ABS(Prices!B178-Prices!B177)/Prices!B177</f>
        <v>3.0700744493053983E-3</v>
      </c>
      <c r="I178" s="13"/>
      <c r="J178" s="1">
        <f t="shared" ca="1" si="19"/>
        <v>-2.1639200644952256E-2</v>
      </c>
      <c r="K178" s="9"/>
      <c r="L178" s="9">
        <f ca="1">L177-O178*Prices!B178</f>
        <v>0.66566666857857248</v>
      </c>
      <c r="M178" s="1">
        <f t="shared" ca="1" si="14"/>
        <v>0.26976531985673979</v>
      </c>
      <c r="N178" s="9">
        <f ca="1">IF(Prices!D177&gt;OFFSET(Prices!D177,-$N$3,0),1,IF(Prices!D177&lt;OFFSET(Prices!D177,-$N$3,0),-1,0))</f>
        <v>-1</v>
      </c>
      <c r="O178" s="1">
        <f ca="1">IF(N178=1,O$3*L177/Prices!B177,O$3*M177*N178)</f>
        <v>-2.9973924428526644E-2</v>
      </c>
      <c r="P178" s="14"/>
      <c r="Q178" s="9">
        <f ca="1">Q177-T178*Prices!B178</f>
        <v>0.53213960815846861</v>
      </c>
      <c r="R178" s="1">
        <f t="shared" ca="1" si="15"/>
        <v>0.36147911485301809</v>
      </c>
      <c r="S178" s="9">
        <f ca="1">IF(Prices!C177&lt;OFFSET(Prices!C177,-S$3,0),1,IF(Prices!C177&gt;OFFSET(Prices!C177,-S$3,0),-1,0))</f>
        <v>1</v>
      </c>
      <c r="T178" s="1">
        <f ca="1">IF(S178=1,T$3*Q177/Prices!B177,T$3*R177*S178)</f>
        <v>8.3347237835743864E-3</v>
      </c>
      <c r="V178" s="9"/>
      <c r="W178" s="1"/>
      <c r="X178" s="1"/>
      <c r="Y178" s="1"/>
      <c r="Z178" s="1"/>
      <c r="AA178" s="1"/>
      <c r="AB178" s="1"/>
      <c r="AC178" s="1"/>
      <c r="AD178" s="1"/>
      <c r="AE178" s="16"/>
    </row>
    <row r="179" spans="1:31" x14ac:dyDescent="0.2">
      <c r="A179" s="4">
        <v>33757</v>
      </c>
      <c r="B179" s="9">
        <f ca="1">Prices!B178*(1+J179/(50*(ABS(O179)+ABS(T179)+0.0001)))</f>
        <v>1.3248343704315757</v>
      </c>
      <c r="C179" s="13">
        <f t="shared" ca="1" si="16"/>
        <v>1</v>
      </c>
      <c r="D179" s="9">
        <f ca="1">D178+C179*(Prices!B179-Prices!B178)/Prices!B178</f>
        <v>-0.14168610419903097</v>
      </c>
      <c r="E179" s="9">
        <f t="shared" ca="1" si="17"/>
        <v>0.17781005545777728</v>
      </c>
      <c r="F179" s="9">
        <f t="shared" ca="1" si="18"/>
        <v>3.6123951258746317E-2</v>
      </c>
      <c r="G179" s="13">
        <f ca="1">IF((Prices!B179-Prices!B178)*B179&gt;0,1,0)</f>
        <v>1</v>
      </c>
      <c r="H179" s="9">
        <f>ABS(Prices!B179-Prices!B178)/Prices!B178</f>
        <v>1.6937408576487643E-3</v>
      </c>
      <c r="I179" s="13"/>
      <c r="J179" s="1">
        <f t="shared" ca="1" si="19"/>
        <v>5.9442188791305438E-2</v>
      </c>
      <c r="K179" s="9"/>
      <c r="L179" s="9">
        <f ca="1">L178-O179*Prices!B179</f>
        <v>0.59898725503730055</v>
      </c>
      <c r="M179" s="1">
        <f t="shared" ca="1" si="14"/>
        <v>0.32101381231794335</v>
      </c>
      <c r="N179" s="9">
        <f ca="1">IF(Prices!D178&gt;OFFSET(Prices!D178,-$N$3,0),1,IF(Prices!D178&lt;OFFSET(Prices!D178,-$N$3,0),-1,0))</f>
        <v>1</v>
      </c>
      <c r="O179" s="1">
        <f ca="1">IF(N179=1,O$3*L178/Prices!B178,O$3*M178*N179)</f>
        <v>5.1248492461203526E-2</v>
      </c>
      <c r="P179" s="14"/>
      <c r="Q179" s="9">
        <f ca="1">Q178-T179*Prices!B179</f>
        <v>0.52147878986337304</v>
      </c>
      <c r="R179" s="1">
        <f t="shared" ca="1" si="15"/>
        <v>0.36967281118312001</v>
      </c>
      <c r="S179" s="9">
        <f ca="1">IF(Prices!C178&lt;OFFSET(Prices!C178,-S$3,0),1,IF(Prices!C178&gt;OFFSET(Prices!C178,-S$3,0),-1,0))</f>
        <v>1</v>
      </c>
      <c r="T179" s="1">
        <f ca="1">IF(S179=1,T$3*Q178/Prices!B178,T$3*R178*S179)</f>
        <v>8.1936963301019114E-3</v>
      </c>
      <c r="V179" s="9"/>
      <c r="W179" s="1"/>
      <c r="X179" s="1"/>
      <c r="Y179" s="1"/>
      <c r="Z179" s="1"/>
      <c r="AA179" s="1"/>
      <c r="AB179" s="1"/>
      <c r="AC179" s="1"/>
      <c r="AD179" s="1"/>
      <c r="AE179" s="16"/>
    </row>
    <row r="180" spans="1:31" x14ac:dyDescent="0.2">
      <c r="A180" s="4">
        <v>33758</v>
      </c>
      <c r="B180" s="9">
        <f ca="1">Prices!B179*(1+J180/(50*(ABS(O180)+ABS(T180)+0.0001)))</f>
        <v>1.3270739472216659</v>
      </c>
      <c r="C180" s="13">
        <f t="shared" ca="1" si="16"/>
        <v>1</v>
      </c>
      <c r="D180" s="9">
        <f ca="1">D179+C180*(Prices!B180-Prices!B179)/Prices!B179</f>
        <v>-0.14330012310610959</v>
      </c>
      <c r="E180" s="9">
        <f t="shared" ca="1" si="17"/>
        <v>0.17942407436485591</v>
      </c>
      <c r="F180" s="9">
        <f t="shared" ca="1" si="18"/>
        <v>3.6123951258746317E-2</v>
      </c>
      <c r="G180" s="13">
        <f ca="1">IF((Prices!B180-Prices!B179)*B180&gt;0,1,0)</f>
        <v>0</v>
      </c>
      <c r="H180" s="9">
        <f>ABS(Prices!B180-Prices!B179)/Prices!B179</f>
        <v>1.6140189070786189E-3</v>
      </c>
      <c r="I180" s="13"/>
      <c r="J180" s="1">
        <f t="shared" ca="1" si="19"/>
        <v>5.4052956191682051E-2</v>
      </c>
      <c r="K180" s="9"/>
      <c r="L180" s="9">
        <f ca="1">L179-O180*Prices!B180</f>
        <v>0.53918520720904339</v>
      </c>
      <c r="M180" s="1">
        <f t="shared" ca="1" si="14"/>
        <v>0.36705080063838763</v>
      </c>
      <c r="N180" s="9">
        <f ca="1">IF(Prices!D179&gt;OFFSET(Prices!D179,-$N$3,0),1,IF(Prices!D179&lt;OFFSET(Prices!D179,-$N$3,0),-1,0))</f>
        <v>1</v>
      </c>
      <c r="O180" s="1">
        <f ca="1">IF(N180=1,O$3*L179/Prices!B179,O$3*M179*N180)</f>
        <v>4.6036988320444283E-2</v>
      </c>
      <c r="P180" s="14"/>
      <c r="Q180" s="9">
        <f ca="1">Q179-T180*Prices!B180</f>
        <v>0.51106604759863516</v>
      </c>
      <c r="R180" s="1">
        <f t="shared" ca="1" si="15"/>
        <v>0.37768877905435777</v>
      </c>
      <c r="S180" s="9">
        <f ca="1">IF(Prices!C179&lt;OFFSET(Prices!C179,-S$3,0),1,IF(Prices!C179&gt;OFFSET(Prices!C179,-S$3,0),-1,0))</f>
        <v>1</v>
      </c>
      <c r="T180" s="1">
        <f ca="1">IF(S180=1,T$3*Q179/Prices!B179,T$3*R179*S180)</f>
        <v>8.0159678712377683E-3</v>
      </c>
      <c r="V180" s="9"/>
      <c r="W180" s="1"/>
      <c r="X180" s="1"/>
      <c r="Y180" s="1"/>
      <c r="Z180" s="1"/>
      <c r="AA180" s="1"/>
      <c r="AB180" s="1"/>
      <c r="AC180" s="1"/>
      <c r="AD180" s="1"/>
      <c r="AE180" s="16"/>
    </row>
    <row r="181" spans="1:31" x14ac:dyDescent="0.2">
      <c r="A181" s="4">
        <v>33759</v>
      </c>
      <c r="B181" s="9">
        <f ca="1">Prices!B180*(1+J181/(50*(ABS(O181)+ABS(T181)+0.0001)))</f>
        <v>1.2822301382685684</v>
      </c>
      <c r="C181" s="13">
        <f t="shared" ca="1" si="16"/>
        <v>-1</v>
      </c>
      <c r="D181" s="9">
        <f ca="1">D180+C181*(Prices!B181-Prices!B180)/Prices!B180</f>
        <v>-0.14714923780972786</v>
      </c>
      <c r="E181" s="9">
        <f t="shared" ca="1" si="17"/>
        <v>0.18327318906847417</v>
      </c>
      <c r="F181" s="9">
        <f t="shared" ca="1" si="18"/>
        <v>3.6123951258746317E-2</v>
      </c>
      <c r="G181" s="13">
        <f ca="1">IF((Prices!B181-Prices!B180)*B181&gt;0,1,0)</f>
        <v>1</v>
      </c>
      <c r="H181" s="9">
        <f>ABS(Prices!B181-Prices!B180)/Prices!B180</f>
        <v>3.8491147036182568E-3</v>
      </c>
      <c r="I181" s="13"/>
      <c r="J181" s="1">
        <f t="shared" ca="1" si="19"/>
        <v>-2.8836472710511048E-2</v>
      </c>
      <c r="K181" s="9"/>
      <c r="L181" s="9">
        <f ca="1">L180-O181*Prices!B181</f>
        <v>0.58704863161228915</v>
      </c>
      <c r="M181" s="1">
        <f t="shared" ca="1" si="14"/>
        <v>0.33034572057454886</v>
      </c>
      <c r="N181" s="9">
        <f ca="1">IF(Prices!D180&gt;OFFSET(Prices!D180,-$N$3,0),1,IF(Prices!D180&lt;OFFSET(Prices!D180,-$N$3,0),-1,0))</f>
        <v>-1</v>
      </c>
      <c r="O181" s="1">
        <f ca="1">IF(N181=1,O$3*L180/Prices!B180,O$3*M180*N181)</f>
        <v>-3.6705080063838762E-2</v>
      </c>
      <c r="P181" s="14"/>
      <c r="Q181" s="9">
        <f ca="1">Q180-T181*Prices!B181</f>
        <v>0.50080538360989579</v>
      </c>
      <c r="R181" s="1">
        <f t="shared" ca="1" si="15"/>
        <v>0.3855573864076855</v>
      </c>
      <c r="S181" s="9">
        <f ca="1">IF(Prices!C180&lt;OFFSET(Prices!C180,-S$3,0),1,IF(Prices!C180&gt;OFFSET(Prices!C180,-S$3,0),-1,0))</f>
        <v>1</v>
      </c>
      <c r="T181" s="1">
        <f ca="1">IF(S181=1,T$3*Q180/Prices!B180,T$3*R180*S181)</f>
        <v>7.8686073533277157E-3</v>
      </c>
      <c r="V181" s="9"/>
      <c r="W181" s="1"/>
      <c r="X181" s="1"/>
      <c r="Y181" s="1"/>
      <c r="Z181" s="1"/>
      <c r="AA181" s="1"/>
      <c r="AB181" s="1"/>
      <c r="AC181" s="1"/>
      <c r="AD181" s="1"/>
      <c r="AE181" s="16"/>
    </row>
    <row r="182" spans="1:31" x14ac:dyDescent="0.2">
      <c r="A182" s="4">
        <v>33760</v>
      </c>
      <c r="B182" s="9">
        <f ca="1">Prices!B181*(1+J182/(50*(ABS(O182)+ABS(T182)+0.0001)))</f>
        <v>1.2877998486119937</v>
      </c>
      <c r="C182" s="13">
        <f t="shared" ca="1" si="16"/>
        <v>-1</v>
      </c>
      <c r="D182" s="9">
        <f ca="1">D181+C182*(Prices!B182-Prices!B181)/Prices!B181</f>
        <v>-0.15382101695083208</v>
      </c>
      <c r="E182" s="9">
        <f t="shared" ca="1" si="17"/>
        <v>0.1899449682095784</v>
      </c>
      <c r="F182" s="9">
        <f t="shared" ca="1" si="18"/>
        <v>3.6123951258746317E-2</v>
      </c>
      <c r="G182" s="13">
        <f ca="1">IF((Prices!B182-Prices!B181)*B182&gt;0,1,0)</f>
        <v>1</v>
      </c>
      <c r="H182" s="9">
        <f>ABS(Prices!B182-Prices!B181)/Prices!B181</f>
        <v>6.6717791411042403E-3</v>
      </c>
      <c r="I182" s="13"/>
      <c r="J182" s="1">
        <f t="shared" ca="1" si="19"/>
        <v>-2.5353507891658938E-2</v>
      </c>
      <c r="K182" s="9"/>
      <c r="L182" s="9">
        <f ca="1">L181-O182*Prices!B182</f>
        <v>0.63041311435211023</v>
      </c>
      <c r="M182" s="1">
        <f t="shared" ca="1" si="14"/>
        <v>0.29731114851709395</v>
      </c>
      <c r="N182" s="9">
        <f ca="1">IF(Prices!D181&gt;OFFSET(Prices!D181,-$N$3,0),1,IF(Prices!D181&lt;OFFSET(Prices!D181,-$N$3,0),-1,0))</f>
        <v>-1</v>
      </c>
      <c r="O182" s="1">
        <f ca="1">IF(N182=1,O$3*L181/Prices!B181,O$3*M181*N182)</f>
        <v>-3.3034572057454886E-2</v>
      </c>
      <c r="P182" s="14"/>
      <c r="Q182" s="9">
        <f ca="1">Q181-T182*Prices!B182</f>
        <v>0.49072245067945547</v>
      </c>
      <c r="R182" s="1">
        <f t="shared" ca="1" si="15"/>
        <v>0.39323845057348145</v>
      </c>
      <c r="S182" s="9">
        <f ca="1">IF(Prices!C181&lt;OFFSET(Prices!C181,-S$3,0),1,IF(Prices!C181&gt;OFFSET(Prices!C181,-S$3,0),-1,0))</f>
        <v>1</v>
      </c>
      <c r="T182" s="1">
        <f ca="1">IF(S182=1,T$3*Q181/Prices!B181,T$3*R181*S182)</f>
        <v>7.6810641657959486E-3</v>
      </c>
      <c r="V182" s="9"/>
      <c r="W182" s="1"/>
      <c r="X182" s="1"/>
      <c r="Y182" s="1"/>
      <c r="Z182" s="1"/>
      <c r="AA182" s="1"/>
      <c r="AB182" s="1"/>
      <c r="AC182" s="1"/>
      <c r="AD182" s="1"/>
      <c r="AE182" s="16"/>
    </row>
    <row r="183" spans="1:31" x14ac:dyDescent="0.2">
      <c r="A183" s="4">
        <v>33763</v>
      </c>
      <c r="B183" s="9">
        <f ca="1">Prices!B182*(1+J183/(50*(ABS(O183)+ABS(T183)+0.0001)))</f>
        <v>1.297039091493456</v>
      </c>
      <c r="C183" s="13">
        <f t="shared" ca="1" si="16"/>
        <v>-1</v>
      </c>
      <c r="D183" s="9">
        <f ca="1">D182+C183*(Prices!B183-Prices!B182)/Prices!B182</f>
        <v>-0.15260215506311969</v>
      </c>
      <c r="E183" s="9">
        <f t="shared" ca="1" si="17"/>
        <v>0.18872610632186601</v>
      </c>
      <c r="F183" s="9">
        <f t="shared" ca="1" si="18"/>
        <v>3.6123951258746317E-2</v>
      </c>
      <c r="G183" s="13">
        <f ca="1">IF((Prices!B183-Prices!B182)*B183&gt;0,1,0)</f>
        <v>0</v>
      </c>
      <c r="H183" s="9">
        <f>ABS(Prices!B183-Prices!B182)/Prices!B182</f>
        <v>1.2188618877123835E-3</v>
      </c>
      <c r="I183" s="13"/>
      <c r="J183" s="1">
        <f t="shared" ca="1" si="19"/>
        <v>-2.2254578694484509E-2</v>
      </c>
      <c r="K183" s="9"/>
      <c r="L183" s="9">
        <f ca="1">L182-O183*Prices!B183</f>
        <v>0.66939357903418639</v>
      </c>
      <c r="M183" s="1">
        <f t="shared" ca="1" si="14"/>
        <v>0.26758003366538458</v>
      </c>
      <c r="N183" s="9">
        <f ca="1">IF(Prices!D182&gt;OFFSET(Prices!D182,-$N$3,0),1,IF(Prices!D182&lt;OFFSET(Prices!D182,-$N$3,0),-1,0))</f>
        <v>-1</v>
      </c>
      <c r="O183" s="1">
        <f ca="1">IF(N183=1,O$3*L182/Prices!B182,O$3*M182*N183)</f>
        <v>-2.9731114851709397E-2</v>
      </c>
      <c r="P183" s="14"/>
      <c r="Q183" s="9">
        <f ca="1">Q182-T183*Prices!B183</f>
        <v>0.4809199641237179</v>
      </c>
      <c r="R183" s="1">
        <f t="shared" ca="1" si="15"/>
        <v>0.40071498673070632</v>
      </c>
      <c r="S183" s="9">
        <f ca="1">IF(Prices!C182&lt;OFFSET(Prices!C182,-S$3,0),1,IF(Prices!C182&gt;OFFSET(Prices!C182,-S$3,0),-1,0))</f>
        <v>1</v>
      </c>
      <c r="T183" s="1">
        <f ca="1">IF(S183=1,T$3*Q182/Prices!B182,T$3*R182*S183)</f>
        <v>7.4765361572248883E-3</v>
      </c>
      <c r="V183" s="9"/>
      <c r="W183" s="1"/>
      <c r="X183" s="1"/>
      <c r="Y183" s="1"/>
      <c r="Z183" s="1"/>
      <c r="AA183" s="1"/>
      <c r="AB183" s="1"/>
      <c r="AC183" s="1"/>
      <c r="AD183" s="1"/>
      <c r="AE183" s="16"/>
    </row>
    <row r="184" spans="1:31" x14ac:dyDescent="0.2">
      <c r="A184" s="4">
        <v>33764</v>
      </c>
      <c r="B184" s="9">
        <f ca="1">Prices!B183*(1+J184/(50*(ABS(O184)+ABS(T184)+0.0001)))</f>
        <v>1.2962062057397936</v>
      </c>
      <c r="C184" s="13">
        <f t="shared" ca="1" si="16"/>
        <v>-1</v>
      </c>
      <c r="D184" s="9">
        <f ca="1">D183+C184*(Prices!B184-Prices!B183)/Prices!B183</f>
        <v>-0.15305978605999268</v>
      </c>
      <c r="E184" s="9">
        <f t="shared" ca="1" si="17"/>
        <v>0.189183737318739</v>
      </c>
      <c r="F184" s="9">
        <f t="shared" ca="1" si="18"/>
        <v>3.6123951258746317E-2</v>
      </c>
      <c r="G184" s="13">
        <f ca="1">IF((Prices!B184-Prices!B183)*B184&gt;0,1,0)</f>
        <v>1</v>
      </c>
      <c r="H184" s="9">
        <f>ABS(Prices!B184-Prices!B183)/Prices!B183</f>
        <v>4.5763099687297381E-4</v>
      </c>
      <c r="I184" s="13"/>
      <c r="J184" s="1">
        <f t="shared" ca="1" si="19"/>
        <v>-1.9421873946605304E-2</v>
      </c>
      <c r="K184" s="9"/>
      <c r="L184" s="9">
        <f ca="1">L183-O184*Prices!B184</f>
        <v>0.70449205205007492</v>
      </c>
      <c r="M184" s="1">
        <f t="shared" ca="1" si="14"/>
        <v>0.24082203029884611</v>
      </c>
      <c r="N184" s="9">
        <f ca="1">IF(Prices!D183&gt;OFFSET(Prices!D183,-$N$3,0),1,IF(Prices!D183&lt;OFFSET(Prices!D183,-$N$3,0),-1,0))</f>
        <v>-1</v>
      </c>
      <c r="O184" s="1">
        <f ca="1">IF(N184=1,O$3*L183/Prices!B183,O$3*M183*N184)</f>
        <v>-2.6758003366538458E-2</v>
      </c>
      <c r="P184" s="14"/>
      <c r="Q184" s="9">
        <f ca="1">Q183-T184*Prices!B184</f>
        <v>0.4712971631635916</v>
      </c>
      <c r="R184" s="1">
        <f t="shared" ca="1" si="15"/>
        <v>0.40805111615063949</v>
      </c>
      <c r="S184" s="9">
        <f ca="1">IF(Prices!C183&lt;OFFSET(Prices!C183,-S$3,0),1,IF(Prices!C183&gt;OFFSET(Prices!C183,-S$3,0),-1,0))</f>
        <v>1</v>
      </c>
      <c r="T184" s="1">
        <f ca="1">IF(S184=1,T$3*Q183/Prices!B183,T$3*R183*S184)</f>
        <v>7.3361294199331545E-3</v>
      </c>
      <c r="V184" s="9"/>
      <c r="W184" s="1"/>
      <c r="X184" s="1"/>
      <c r="Y184" s="1"/>
      <c r="Z184" s="1"/>
      <c r="AA184" s="1"/>
      <c r="AB184" s="1"/>
      <c r="AC184" s="1"/>
      <c r="AD184" s="1"/>
      <c r="AE184" s="16"/>
    </row>
    <row r="185" spans="1:31" x14ac:dyDescent="0.2">
      <c r="A185" s="4">
        <v>33765</v>
      </c>
      <c r="B185" s="9">
        <f ca="1">Prices!B184*(1+J185/(50*(ABS(O185)+ABS(T185)+0.0001)))</f>
        <v>1.3378909894747582</v>
      </c>
      <c r="C185" s="13">
        <f t="shared" ca="1" si="16"/>
        <v>1</v>
      </c>
      <c r="D185" s="9">
        <f ca="1">D184+C185*(Prices!B185-Prices!B184)/Prices!B184</f>
        <v>-0.15412710328191848</v>
      </c>
      <c r="E185" s="9">
        <f t="shared" ca="1" si="17"/>
        <v>0.19025105454066479</v>
      </c>
      <c r="F185" s="9">
        <f t="shared" ca="1" si="18"/>
        <v>3.6123951258746317E-2</v>
      </c>
      <c r="G185" s="13">
        <f ca="1">IF((Prices!B185-Prices!B184)*B185&gt;0,1,0)</f>
        <v>0</v>
      </c>
      <c r="H185" s="9">
        <f>ABS(Prices!B185-Prices!B184)/Prices!B184</f>
        <v>1.0673172219257969E-3</v>
      </c>
      <c r="I185" s="13"/>
      <c r="J185" s="1">
        <f t="shared" ca="1" si="19"/>
        <v>6.0894372545764519E-2</v>
      </c>
      <c r="K185" s="9"/>
      <c r="L185" s="9">
        <f ca="1">L184-O185*Prices!B185</f>
        <v>0.63411803849505377</v>
      </c>
      <c r="M185" s="1">
        <f t="shared" ca="1" si="14"/>
        <v>0.29453035171762137</v>
      </c>
      <c r="N185" s="9">
        <f ca="1">IF(Prices!D184&gt;OFFSET(Prices!D184,-$N$3,0),1,IF(Prices!D184&lt;OFFSET(Prices!D184,-$N$3,0),-1,0))</f>
        <v>1</v>
      </c>
      <c r="O185" s="1">
        <f ca="1">IF(N185=1,O$3*L184/Prices!B184,O$3*M184*N185)</f>
        <v>5.3708321418775247E-2</v>
      </c>
      <c r="P185" s="14"/>
      <c r="Q185" s="9">
        <f ca="1">Q184-T185*Prices!B185</f>
        <v>0.46188128037189757</v>
      </c>
      <c r="R185" s="1">
        <f t="shared" ca="1" si="15"/>
        <v>0.41523716727762877</v>
      </c>
      <c r="S185" s="9">
        <f ca="1">IF(Prices!C184&lt;OFFSET(Prices!C184,-S$3,0),1,IF(Prices!C184&gt;OFFSET(Prices!C184,-S$3,0),-1,0))</f>
        <v>1</v>
      </c>
      <c r="T185" s="1">
        <f ca="1">IF(S185=1,T$3*Q184/Prices!B184,T$3*R184*S185)</f>
        <v>7.1860511269892747E-3</v>
      </c>
      <c r="V185" s="9"/>
      <c r="W185" s="1"/>
      <c r="X185" s="1"/>
      <c r="Y185" s="1"/>
      <c r="Z185" s="1"/>
      <c r="AA185" s="1"/>
      <c r="AB185" s="1"/>
      <c r="AC185" s="1"/>
      <c r="AD185" s="1"/>
      <c r="AE185" s="16"/>
    </row>
    <row r="186" spans="1:31" x14ac:dyDescent="0.2">
      <c r="A186" s="4">
        <v>33766</v>
      </c>
      <c r="B186" s="9">
        <f ca="1">Prices!B185*(1+J186/(50*(ABS(O186)+ABS(T186)+0.0001)))</f>
        <v>1.3287966381053358</v>
      </c>
      <c r="C186" s="13">
        <f t="shared" ca="1" si="16"/>
        <v>1</v>
      </c>
      <c r="D186" s="9">
        <f ca="1">D185+C186*(Prices!B186-Prices!B185)/Prices!B185</f>
        <v>-0.14565576084125612</v>
      </c>
      <c r="E186" s="9">
        <f t="shared" ca="1" si="17"/>
        <v>0.18177971210000243</v>
      </c>
      <c r="F186" s="9">
        <f t="shared" ca="1" si="18"/>
        <v>3.6123951258746317E-2</v>
      </c>
      <c r="G186" s="13">
        <f ca="1">IF((Prices!B186-Prices!B185)*B186&gt;0,1,0)</f>
        <v>1</v>
      </c>
      <c r="H186" s="9">
        <f>ABS(Prices!B186-Prices!B185)/Prices!B185</f>
        <v>8.4713424406623571E-3</v>
      </c>
      <c r="I186" s="13"/>
      <c r="J186" s="1">
        <f t="shared" ca="1" si="19"/>
        <v>4.0090130995823738E-2</v>
      </c>
      <c r="K186" s="9"/>
      <c r="L186" s="9">
        <f ca="1">L185-O186*Prices!B186</f>
        <v>0.57016905154035913</v>
      </c>
      <c r="M186" s="1">
        <f t="shared" ca="1" si="14"/>
        <v>0.34292522605899767</v>
      </c>
      <c r="N186" s="9">
        <f ca="1">IF(Prices!D185&gt;OFFSET(Prices!D185,-$N$3,0),1,IF(Prices!D185&lt;OFFSET(Prices!D185,-$N$3,0),-1,0))</f>
        <v>1</v>
      </c>
      <c r="O186" s="1">
        <f ca="1">IF(N186=1,O$3*L185/Prices!B185,O$3*M185*N186)</f>
        <v>4.8394874341376314E-2</v>
      </c>
      <c r="P186" s="14"/>
      <c r="Q186" s="9">
        <f ca="1">Q185-T186*Prices!B186</f>
        <v>0.47285516822871076</v>
      </c>
      <c r="R186" s="1">
        <f t="shared" ca="1" si="15"/>
        <v>0.40693242393207618</v>
      </c>
      <c r="S186" s="9">
        <f ca="1">IF(Prices!C185&lt;OFFSET(Prices!C185,-S$3,0),1,IF(Prices!C185&gt;OFFSET(Prices!C185,-S$3,0),-1,0))</f>
        <v>-1</v>
      </c>
      <c r="T186" s="1">
        <f ca="1">IF(S186=1,T$3*Q185/Prices!B185,T$3*R185*S186)</f>
        <v>-8.304743345552576E-3</v>
      </c>
      <c r="V186" s="9"/>
      <c r="W186" s="1"/>
      <c r="X186" s="1"/>
      <c r="Y186" s="1"/>
      <c r="Z186" s="1"/>
      <c r="AA186" s="1"/>
      <c r="AB186" s="1"/>
      <c r="AC186" s="1"/>
      <c r="AD186" s="1"/>
      <c r="AE186" s="16"/>
    </row>
    <row r="187" spans="1:31" x14ac:dyDescent="0.2">
      <c r="A187" s="4">
        <v>33767</v>
      </c>
      <c r="B187" s="9">
        <f ca="1">Prices!B186*(1+J187/(50*(ABS(O187)+ABS(T187)+0.0001)))</f>
        <v>1.3474638215359407</v>
      </c>
      <c r="C187" s="13">
        <f t="shared" ca="1" si="16"/>
        <v>1</v>
      </c>
      <c r="D187" s="9">
        <f ca="1">D186+C187*(Prices!B187-Prices!B186)/Prices!B186</f>
        <v>-0.14474763309795349</v>
      </c>
      <c r="E187" s="9">
        <f t="shared" ca="1" si="17"/>
        <v>0.18087158435669981</v>
      </c>
      <c r="F187" s="9">
        <f t="shared" ca="1" si="18"/>
        <v>3.6123951258746317E-2</v>
      </c>
      <c r="G187" s="13">
        <f ca="1">IF((Prices!B187-Prices!B186)*B187&gt;0,1,0)</f>
        <v>1</v>
      </c>
      <c r="H187" s="9">
        <f>ABS(Prices!B187-Prices!B186)/Prices!B186</f>
        <v>9.0812774330262594E-4</v>
      </c>
      <c r="I187" s="13"/>
      <c r="J187" s="1">
        <f t="shared" ca="1" si="19"/>
        <v>7.1568816138748419E-3</v>
      </c>
      <c r="K187" s="9"/>
      <c r="L187" s="9">
        <f ca="1">L186-O187*Prices!B187</f>
        <v>0.57016905154035913</v>
      </c>
      <c r="M187" s="1">
        <f t="shared" ca="1" si="14"/>
        <v>0.34292522605899767</v>
      </c>
      <c r="N187" s="9">
        <f ca="1">IF(Prices!D186&gt;OFFSET(Prices!D186,-$N$3,0),1,IF(Prices!D186&lt;OFFSET(Prices!D186,-$N$3,0),-1,0))</f>
        <v>0</v>
      </c>
      <c r="O187" s="1">
        <f ca="1">IF(N187=1,O$3*L186/Prices!B186,O$3*M186*N187)</f>
        <v>0</v>
      </c>
      <c r="P187" s="14"/>
      <c r="Q187" s="9">
        <f ca="1">Q186-T187*Prices!B187</f>
        <v>0.46338947660619989</v>
      </c>
      <c r="R187" s="1">
        <f t="shared" ca="1" si="15"/>
        <v>0.41408930554595103</v>
      </c>
      <c r="S187" s="9">
        <f ca="1">IF(Prices!C186&lt;OFFSET(Prices!C186,-S$3,0),1,IF(Prices!C186&gt;OFFSET(Prices!C186,-S$3,0),-1,0))</f>
        <v>1</v>
      </c>
      <c r="T187" s="1">
        <f ca="1">IF(S187=1,T$3*Q186/Prices!B186,T$3*R186*S187)</f>
        <v>7.1568816138748419E-3</v>
      </c>
      <c r="V187" s="9"/>
      <c r="W187" s="1"/>
      <c r="X187" s="1"/>
      <c r="Y187" s="1"/>
      <c r="Z187" s="1"/>
      <c r="AA187" s="1"/>
      <c r="AB187" s="1"/>
      <c r="AC187" s="1"/>
      <c r="AD187" s="1"/>
      <c r="AE187" s="16"/>
    </row>
    <row r="188" spans="1:31" x14ac:dyDescent="0.2">
      <c r="A188" s="4">
        <v>33770</v>
      </c>
      <c r="B188" s="9">
        <f ca="1">Prices!B187*(1+J188/(50*(ABS(O188)+ABS(T188)+0.0001)))</f>
        <v>1.3051663291630109</v>
      </c>
      <c r="C188" s="13">
        <f t="shared" ca="1" si="16"/>
        <v>-1</v>
      </c>
      <c r="D188" s="9">
        <f ca="1">D187+C188*(Prices!B188-Prices!B187)/Prices!B187</f>
        <v>-0.14935976072535406</v>
      </c>
      <c r="E188" s="9">
        <f t="shared" ca="1" si="17"/>
        <v>0.18548371198410038</v>
      </c>
      <c r="F188" s="9">
        <f t="shared" ca="1" si="18"/>
        <v>3.6123951258746317E-2</v>
      </c>
      <c r="G188" s="13">
        <f ca="1">IF((Prices!B188-Prices!B187)*B188&gt;0,1,0)</f>
        <v>1</v>
      </c>
      <c r="H188" s="9">
        <f>ABS(Prices!B188-Prices!B187)/Prices!B187</f>
        <v>4.6121276274005705E-3</v>
      </c>
      <c r="I188" s="13"/>
      <c r="J188" s="1">
        <f t="shared" ca="1" si="19"/>
        <v>-2.7285272090155022E-2</v>
      </c>
      <c r="K188" s="9"/>
      <c r="L188" s="9">
        <f ca="1">L187-O188*Prices!B188</f>
        <v>0.6157335263268181</v>
      </c>
      <c r="M188" s="1">
        <f t="shared" ca="1" si="14"/>
        <v>0.3086327034530979</v>
      </c>
      <c r="N188" s="9">
        <f ca="1">IF(Prices!D187&gt;OFFSET(Prices!D187,-$N$3,0),1,IF(Prices!D187&lt;OFFSET(Prices!D187,-$N$3,0),-1,0))</f>
        <v>-1</v>
      </c>
      <c r="O188" s="1">
        <f ca="1">IF(N188=1,O$3*L187/Prices!B187,O$3*M187*N188)</f>
        <v>-3.4292522605899767E-2</v>
      </c>
      <c r="P188" s="14"/>
      <c r="Q188" s="9">
        <f ca="1">Q187-T188*Prices!B188</f>
        <v>0.45407894284592987</v>
      </c>
      <c r="R188" s="1">
        <f t="shared" ca="1" si="15"/>
        <v>0.42109655606169577</v>
      </c>
      <c r="S188" s="9">
        <f ca="1">IF(Prices!C187&lt;OFFSET(Prices!C187,-S$3,0),1,IF(Prices!C187&gt;OFFSET(Prices!C187,-S$3,0),-1,0))</f>
        <v>1</v>
      </c>
      <c r="T188" s="1">
        <f ca="1">IF(S188=1,T$3*Q187/Prices!B187,T$3*R187*S188)</f>
        <v>7.0072505157447434E-3</v>
      </c>
      <c r="V188" s="9"/>
      <c r="W188" s="1"/>
      <c r="X188" s="1"/>
      <c r="Y188" s="1"/>
      <c r="Z188" s="1"/>
      <c r="AA188" s="1"/>
      <c r="AB188" s="1"/>
      <c r="AC188" s="1"/>
      <c r="AD188" s="1"/>
      <c r="AE188" s="16"/>
    </row>
    <row r="189" spans="1:31" x14ac:dyDescent="0.2">
      <c r="A189" s="4">
        <v>33771</v>
      </c>
      <c r="B189" s="9">
        <f ca="1">Prices!B188*(1+J189/(50*(ABS(O189)+ABS(T189)+0.0001)))</f>
        <v>1.3118068974307191</v>
      </c>
      <c r="C189" s="13">
        <f t="shared" ca="1" si="16"/>
        <v>-1</v>
      </c>
      <c r="D189" s="9">
        <f ca="1">D188+C189*(Prices!B189-Prices!B188)/Prices!B188</f>
        <v>-0.14898345305620381</v>
      </c>
      <c r="E189" s="9">
        <f t="shared" ca="1" si="17"/>
        <v>0.18510740431495012</v>
      </c>
      <c r="F189" s="9">
        <f t="shared" ca="1" si="18"/>
        <v>3.6123951258746317E-2</v>
      </c>
      <c r="G189" s="13">
        <f ca="1">IF((Prices!B189-Prices!B188)*B189&gt;0,1,0)</f>
        <v>0</v>
      </c>
      <c r="H189" s="9">
        <f>ABS(Prices!B189-Prices!B188)/Prices!B188</f>
        <v>3.7630766915025586E-4</v>
      </c>
      <c r="I189" s="13"/>
      <c r="J189" s="1">
        <f t="shared" ca="1" si="19"/>
        <v>-2.4028334801606478E-2</v>
      </c>
      <c r="K189" s="9"/>
      <c r="L189" s="9">
        <f ca="1">L188-O189*Prices!B189</f>
        <v>0.65672612199945857</v>
      </c>
      <c r="M189" s="1">
        <f t="shared" ca="1" si="14"/>
        <v>0.27776943310778812</v>
      </c>
      <c r="N189" s="9">
        <f ca="1">IF(Prices!D188&gt;OFFSET(Prices!D188,-$N$3,0),1,IF(Prices!D188&lt;OFFSET(Prices!D188,-$N$3,0),-1,0))</f>
        <v>-1</v>
      </c>
      <c r="O189" s="1">
        <f ca="1">IF(N189=1,O$3*L188/Prices!B188,O$3*M188*N189)</f>
        <v>-3.0863270345309793E-2</v>
      </c>
      <c r="P189" s="14"/>
      <c r="Q189" s="9">
        <f ca="1">Q188-T189*Prices!B189</f>
        <v>0.44500078145678312</v>
      </c>
      <c r="R189" s="1">
        <f t="shared" ca="1" si="15"/>
        <v>0.42793149160539906</v>
      </c>
      <c r="S189" s="9">
        <f ca="1">IF(Prices!C188&lt;OFFSET(Prices!C188,-S$3,0),1,IF(Prices!C188&gt;OFFSET(Prices!C188,-S$3,0),-1,0))</f>
        <v>1</v>
      </c>
      <c r="T189" s="1">
        <f ca="1">IF(S189=1,T$3*Q188/Prices!B188,T$3*R188*S189)</f>
        <v>6.8349355437033162E-3</v>
      </c>
      <c r="V189" s="9"/>
      <c r="W189" s="1"/>
      <c r="X189" s="1"/>
      <c r="Y189" s="1"/>
      <c r="Z189" s="1"/>
      <c r="AA189" s="1"/>
      <c r="AB189" s="1"/>
      <c r="AC189" s="1"/>
      <c r="AD189" s="1"/>
      <c r="AE189" s="16"/>
    </row>
    <row r="190" spans="1:31" x14ac:dyDescent="0.2">
      <c r="A190" s="4">
        <v>33772</v>
      </c>
      <c r="B190" s="9">
        <f ca="1">Prices!B189*(1+J190/(50*(ABS(O190)+ABS(T190)+0.0001)))</f>
        <v>1.3120084791950544</v>
      </c>
      <c r="C190" s="13">
        <f t="shared" ca="1" si="16"/>
        <v>-1</v>
      </c>
      <c r="D190" s="9">
        <f ca="1">D189+C190*(Prices!B190-Prices!B189)/Prices!B189</f>
        <v>-0.1470259165406187</v>
      </c>
      <c r="E190" s="9">
        <f t="shared" ca="1" si="17"/>
        <v>0.18314986779936501</v>
      </c>
      <c r="F190" s="9">
        <f t="shared" ca="1" si="18"/>
        <v>3.6123951258746317E-2</v>
      </c>
      <c r="G190" s="13">
        <f ca="1">IF((Prices!B190-Prices!B189)*B190&gt;0,1,0)</f>
        <v>0</v>
      </c>
      <c r="H190" s="9">
        <f>ABS(Prices!B190-Prices!B189)/Prices!B189</f>
        <v>1.9575365155851208E-3</v>
      </c>
      <c r="I190" s="13"/>
      <c r="J190" s="1">
        <f t="shared" ca="1" si="19"/>
        <v>-2.107613347104409E-2</v>
      </c>
      <c r="K190" s="9"/>
      <c r="L190" s="9">
        <f ca="1">L189-O190*Prices!B190</f>
        <v>0.69354723805222696</v>
      </c>
      <c r="M190" s="1">
        <f t="shared" ca="1" si="14"/>
        <v>0.2499924897970093</v>
      </c>
      <c r="N190" s="9">
        <f ca="1">IF(Prices!D189&gt;OFFSET(Prices!D189,-$N$3,0),1,IF(Prices!D189&lt;OFFSET(Prices!D189,-$N$3,0),-1,0))</f>
        <v>-1</v>
      </c>
      <c r="O190" s="1">
        <f ca="1">IF(N190=1,O$3*L189/Prices!B189,O$3*M189*N190)</f>
        <v>-2.7776943310778814E-2</v>
      </c>
      <c r="P190" s="14"/>
      <c r="Q190" s="9">
        <f ca="1">Q189-T190*Prices!B190</f>
        <v>0.43611818793323076</v>
      </c>
      <c r="R190" s="1">
        <f t="shared" ca="1" si="15"/>
        <v>0.43463230144513376</v>
      </c>
      <c r="S190" s="9">
        <f ca="1">IF(Prices!C189&lt;OFFSET(Prices!C189,-S$3,0),1,IF(Prices!C189&gt;OFFSET(Prices!C189,-S$3,0),-1,0))</f>
        <v>1</v>
      </c>
      <c r="T190" s="1">
        <f ca="1">IF(S190=1,T$3*Q189/Prices!B189,T$3*R189*S190)</f>
        <v>6.7008098397347256E-3</v>
      </c>
      <c r="V190" s="9"/>
      <c r="W190" s="1"/>
      <c r="X190" s="1"/>
      <c r="Y190" s="1"/>
      <c r="Z190" s="1"/>
      <c r="AA190" s="1"/>
      <c r="AB190" s="1"/>
      <c r="AC190" s="1"/>
      <c r="AD190" s="1"/>
      <c r="AE190" s="16"/>
    </row>
    <row r="191" spans="1:31" x14ac:dyDescent="0.2">
      <c r="A191" s="4">
        <v>33773</v>
      </c>
      <c r="B191" s="9">
        <f ca="1">Prices!B190*(1+J191/(50*(ABS(O191)+ABS(T191)+0.0001)))</f>
        <v>1.299166456683158</v>
      </c>
      <c r="C191" s="13">
        <f t="shared" ca="1" si="16"/>
        <v>-1</v>
      </c>
      <c r="D191" s="9">
        <f ca="1">D190+C191*(Prices!B191-Prices!B190)/Prices!B190</f>
        <v>-0.15230654418093259</v>
      </c>
      <c r="E191" s="9">
        <f t="shared" ca="1" si="17"/>
        <v>0.18843049543967891</v>
      </c>
      <c r="F191" s="9">
        <f t="shared" ca="1" si="18"/>
        <v>3.6123951258746317E-2</v>
      </c>
      <c r="G191" s="13">
        <f ca="1">IF((Prices!B191-Prices!B190)*B191&gt;0,1,0)</f>
        <v>1</v>
      </c>
      <c r="H191" s="9">
        <f>ABS(Prices!B191-Prices!B190)/Prices!B190</f>
        <v>5.2806276403139091E-3</v>
      </c>
      <c r="I191" s="13"/>
      <c r="J191" s="1">
        <f t="shared" ca="1" si="19"/>
        <v>-3.369189500860361E-2</v>
      </c>
      <c r="K191" s="9"/>
      <c r="L191" s="9">
        <f ca="1">L190-O191*Prices!B191</f>
        <v>0.72686123724257645</v>
      </c>
      <c r="M191" s="1">
        <f t="shared" ca="1" si="14"/>
        <v>0.22499324081730837</v>
      </c>
      <c r="N191" s="9">
        <f ca="1">IF(Prices!D190&gt;OFFSET(Prices!D190,-$N$3,0),1,IF(Prices!D190&lt;OFFSET(Prices!D190,-$N$3,0),-1,0))</f>
        <v>-1</v>
      </c>
      <c r="O191" s="1">
        <f ca="1">IF(N191=1,O$3*L190/Prices!B190,O$3*M190*N191)</f>
        <v>-2.4999248979700933E-2</v>
      </c>
      <c r="P191" s="14"/>
      <c r="Q191" s="9">
        <f ca="1">Q190-T191*Prices!B191</f>
        <v>0.44770200803134647</v>
      </c>
      <c r="R191" s="1">
        <f t="shared" ca="1" si="15"/>
        <v>0.42593965541623108</v>
      </c>
      <c r="S191" s="9">
        <f ca="1">IF(Prices!C190&lt;OFFSET(Prices!C190,-S$3,0),1,IF(Prices!C190&gt;OFFSET(Prices!C190,-S$3,0),-1,0))</f>
        <v>-1</v>
      </c>
      <c r="T191" s="1">
        <f ca="1">IF(S191=1,T$3*Q190/Prices!B190,T$3*R190*S191)</f>
        <v>-8.6926460289026754E-3</v>
      </c>
      <c r="V191" s="9"/>
      <c r="W191" s="1"/>
      <c r="X191" s="1"/>
      <c r="Y191" s="1"/>
      <c r="Z191" s="1"/>
      <c r="AA191" s="1"/>
      <c r="AB191" s="1"/>
      <c r="AC191" s="1"/>
      <c r="AD191" s="1"/>
      <c r="AE191" s="16"/>
    </row>
    <row r="192" spans="1:31" x14ac:dyDescent="0.2">
      <c r="A192" s="4">
        <v>33774</v>
      </c>
      <c r="B192" s="9">
        <f ca="1">Prices!B191*(1+J192/(50*(ABS(O192)+ABS(T192)+0.0001)))</f>
        <v>1.3060659327306587</v>
      </c>
      <c r="C192" s="13">
        <f t="shared" ca="1" si="16"/>
        <v>-1</v>
      </c>
      <c r="D192" s="9">
        <f ca="1">D191+C192*(Prices!B192-Prices!B191)/Prices!B191</f>
        <v>-0.15073067745423291</v>
      </c>
      <c r="E192" s="9">
        <f t="shared" ca="1" si="17"/>
        <v>0.18685462871297923</v>
      </c>
      <c r="F192" s="9">
        <f t="shared" ca="1" si="18"/>
        <v>3.6123951258746317E-2</v>
      </c>
      <c r="G192" s="13">
        <f ca="1">IF((Prices!B192-Prices!B191)*B192&gt;0,1,0)</f>
        <v>0</v>
      </c>
      <c r="H192" s="9">
        <f>ABS(Prices!B192-Prices!B191)/Prices!B191</f>
        <v>1.5758667266996778E-3</v>
      </c>
      <c r="I192" s="13"/>
      <c r="J192" s="1">
        <f t="shared" ca="1" si="19"/>
        <v>-2.2499324081730838E-2</v>
      </c>
      <c r="K192" s="9"/>
      <c r="L192" s="9">
        <f ca="1">L191-O192*Prices!B192</f>
        <v>0.75679658793331939</v>
      </c>
      <c r="M192" s="1">
        <f t="shared" ca="1" si="14"/>
        <v>0.20249391673557754</v>
      </c>
      <c r="N192" s="9">
        <f ca="1">IF(Prices!D191&gt;OFFSET(Prices!D191,-$N$3,0),1,IF(Prices!D191&lt;OFFSET(Prices!D191,-$N$3,0),-1,0))</f>
        <v>-1</v>
      </c>
      <c r="O192" s="1">
        <f ca="1">IF(N192=1,O$3*L191/Prices!B191,O$3*M191*N192)</f>
        <v>-2.2499324081730838E-2</v>
      </c>
      <c r="P192" s="14"/>
      <c r="Q192" s="9">
        <f ca="1">Q191-T192*Prices!B192</f>
        <v>0.44770200803134647</v>
      </c>
      <c r="R192" s="1">
        <f t="shared" ca="1" si="15"/>
        <v>0.42593965541623108</v>
      </c>
      <c r="S192" s="9">
        <f ca="1">IF(Prices!C191&lt;OFFSET(Prices!C191,-S$3,0),1,IF(Prices!C191&gt;OFFSET(Prices!C191,-S$3,0),-1,0))</f>
        <v>0</v>
      </c>
      <c r="T192" s="1">
        <f ca="1">IF(S192=1,T$3*Q191/Prices!B191,T$3*R191*S192)</f>
        <v>0</v>
      </c>
      <c r="V192" s="9"/>
      <c r="W192" s="1"/>
      <c r="X192" s="1"/>
      <c r="Y192" s="1"/>
      <c r="Z192" s="1"/>
      <c r="AA192" s="1"/>
      <c r="AB192" s="1"/>
      <c r="AC192" s="1"/>
      <c r="AD192" s="1"/>
      <c r="AE192" s="16"/>
    </row>
    <row r="193" spans="1:31" x14ac:dyDescent="0.2">
      <c r="A193" s="4">
        <v>33777</v>
      </c>
      <c r="B193" s="9">
        <f ca="1">Prices!B192*(1+J193/(50*(ABS(O193)+ABS(T193)+0.0001)))</f>
        <v>1.3501476292001464</v>
      </c>
      <c r="C193" s="13">
        <f t="shared" ca="1" si="16"/>
        <v>1</v>
      </c>
      <c r="D193" s="9">
        <f ca="1">D192+C193*(Prices!B193-Prices!B192)/Prices!B192</f>
        <v>-0.15005424002469522</v>
      </c>
      <c r="E193" s="9">
        <f t="shared" ca="1" si="17"/>
        <v>0.18617819128344154</v>
      </c>
      <c r="F193" s="9">
        <f t="shared" ca="1" si="18"/>
        <v>3.6123951258746317E-2</v>
      </c>
      <c r="G193" s="13">
        <f ca="1">IF((Prices!B193-Prices!B192)*B193&gt;0,1,0)</f>
        <v>1</v>
      </c>
      <c r="H193" s="9">
        <f>ABS(Prices!B193-Prices!B192)/Prices!B192</f>
        <v>6.7643742953769328E-4</v>
      </c>
      <c r="I193" s="13"/>
      <c r="J193" s="1">
        <f t="shared" ca="1" si="19"/>
        <v>4.8361822294405131E-2</v>
      </c>
      <c r="K193" s="9"/>
      <c r="L193" s="9">
        <f ca="1">L192-O193*Prices!B193</f>
        <v>0.68106573658612501</v>
      </c>
      <c r="M193" s="1">
        <f t="shared" ca="1" si="14"/>
        <v>0.2593745321383073</v>
      </c>
      <c r="N193" s="9">
        <f ca="1">IF(Prices!D192&gt;OFFSET(Prices!D192,-$N$3,0),1,IF(Prices!D192&lt;OFFSET(Prices!D192,-$N$3,0),-1,0))</f>
        <v>1</v>
      </c>
      <c r="O193" s="1">
        <f ca="1">IF(N193=1,O$3*L192/Prices!B192,O$3*M192*N193)</f>
        <v>5.6880615402729755E-2</v>
      </c>
      <c r="P193" s="14"/>
      <c r="Q193" s="9">
        <f ca="1">Q192-T193*Prices!B193</f>
        <v>0.45904392917576986</v>
      </c>
      <c r="R193" s="1">
        <f t="shared" ca="1" si="15"/>
        <v>0.41742086230790648</v>
      </c>
      <c r="S193" s="9">
        <f ca="1">IF(Prices!C192&lt;OFFSET(Prices!C192,-S$3,0),1,IF(Prices!C192&gt;OFFSET(Prices!C192,-S$3,0),-1,0))</f>
        <v>-1</v>
      </c>
      <c r="T193" s="1">
        <f ca="1">IF(S193=1,T$3*Q192/Prices!B192,T$3*R192*S193)</f>
        <v>-8.518793108324622E-3</v>
      </c>
      <c r="V193" s="9"/>
      <c r="W193" s="1"/>
      <c r="X193" s="1"/>
      <c r="Y193" s="1"/>
      <c r="Z193" s="1"/>
      <c r="AA193" s="1"/>
      <c r="AB193" s="1"/>
      <c r="AC193" s="1"/>
      <c r="AD193" s="1"/>
      <c r="AE193" s="16"/>
    </row>
    <row r="194" spans="1:31" x14ac:dyDescent="0.2">
      <c r="A194" s="4">
        <v>33778</v>
      </c>
      <c r="B194" s="9">
        <f ca="1">Prices!B193*(1+J194/(50*(ABS(O194)+ABS(T194)+0.0001)))</f>
        <v>1.3505238524940899</v>
      </c>
      <c r="C194" s="13">
        <f t="shared" ca="1" si="16"/>
        <v>1</v>
      </c>
      <c r="D194" s="9">
        <f ca="1">D193+C194*(Prices!B194-Prices!B193)/Prices!B193</f>
        <v>-0.14937825985344683</v>
      </c>
      <c r="E194" s="9">
        <f t="shared" ca="1" si="17"/>
        <v>0.18550221111219314</v>
      </c>
      <c r="F194" s="9">
        <f t="shared" ca="1" si="18"/>
        <v>3.6123951258746317E-2</v>
      </c>
      <c r="G194" s="13">
        <f ca="1">IF((Prices!B194-Prices!B193)*B194&gt;0,1,0)</f>
        <v>1</v>
      </c>
      <c r="H194" s="9">
        <f>ABS(Prices!B194-Prices!B193)/Prices!B193</f>
        <v>6.7598017124840246E-4</v>
      </c>
      <c r="I194" s="13"/>
      <c r="J194" s="1">
        <f t="shared" ca="1" si="19"/>
        <v>4.2805686448158006E-2</v>
      </c>
      <c r="K194" s="9"/>
      <c r="L194" s="9">
        <f ca="1">L193-O194*Prices!B194</f>
        <v>0.61291312423418765</v>
      </c>
      <c r="M194" s="1">
        <f t="shared" ca="1" si="14"/>
        <v>0.31052863583262347</v>
      </c>
      <c r="N194" s="9">
        <f ca="1">IF(Prices!D193&gt;OFFSET(Prices!D193,-$N$3,0),1,IF(Prices!D193&lt;OFFSET(Prices!D193,-$N$3,0),-1,0))</f>
        <v>1</v>
      </c>
      <c r="O194" s="1">
        <f ca="1">IF(N194=1,O$3*L193/Prices!B193,O$3*M193*N194)</f>
        <v>5.1154103694316139E-2</v>
      </c>
      <c r="P194" s="14"/>
      <c r="Q194" s="9">
        <f ca="1">Q193-T194*Prices!B194</f>
        <v>0.47016652547282634</v>
      </c>
      <c r="R194" s="1">
        <f t="shared" ca="1" si="15"/>
        <v>0.40907244506174834</v>
      </c>
      <c r="S194" s="9">
        <f ca="1">IF(Prices!C193&lt;OFFSET(Prices!C193,-S$3,0),1,IF(Prices!C193&gt;OFFSET(Prices!C193,-S$3,0),-1,0))</f>
        <v>-1</v>
      </c>
      <c r="T194" s="1">
        <f ca="1">IF(S194=1,T$3*Q193/Prices!B193,T$3*R193*S194)</f>
        <v>-8.3484172461581289E-3</v>
      </c>
      <c r="V194" s="9"/>
      <c r="W194" s="1"/>
      <c r="X194" s="1"/>
      <c r="Y194" s="1"/>
      <c r="Z194" s="1"/>
      <c r="AA194" s="1"/>
      <c r="AB194" s="1"/>
      <c r="AC194" s="1"/>
      <c r="AD194" s="1"/>
      <c r="AE194" s="16"/>
    </row>
    <row r="195" spans="1:31" x14ac:dyDescent="0.2">
      <c r="A195" s="4">
        <v>33779</v>
      </c>
      <c r="B195" s="9">
        <f ca="1">Prices!B194*(1+J195/(50*(ABS(O195)+ABS(T195)+0.0001)))</f>
        <v>1.350865210904213</v>
      </c>
      <c r="C195" s="13">
        <f t="shared" ca="1" si="16"/>
        <v>1</v>
      </c>
      <c r="D195" s="9">
        <f ca="1">D194+C195*(Prices!B195-Prices!B194)/Prices!B194</f>
        <v>-0.14014610493338381</v>
      </c>
      <c r="E195" s="9">
        <f t="shared" ca="1" si="17"/>
        <v>0.17627005619213013</v>
      </c>
      <c r="F195" s="9">
        <f t="shared" ca="1" si="18"/>
        <v>3.6123951258746317E-2</v>
      </c>
      <c r="G195" s="13">
        <f ca="1">IF((Prices!B195-Prices!B194)*B195&gt;0,1,0)</f>
        <v>1</v>
      </c>
      <c r="H195" s="9">
        <f>ABS(Prices!B195-Prices!B194)/Prices!B194</f>
        <v>9.2321549200630321E-3</v>
      </c>
      <c r="I195" s="13"/>
      <c r="J195" s="1">
        <f t="shared" ca="1" si="19"/>
        <v>3.7822688622910314E-2</v>
      </c>
      <c r="K195" s="9"/>
      <c r="L195" s="9">
        <f ca="1">L194-O195*Prices!B195</f>
        <v>0.55105596091922193</v>
      </c>
      <c r="M195" s="1">
        <f t="shared" ca="1" si="14"/>
        <v>0.35653277335676875</v>
      </c>
      <c r="N195" s="9">
        <f ca="1">IF(Prices!D194&gt;OFFSET(Prices!D194,-$N$3,0),1,IF(Prices!D194&lt;OFFSET(Prices!D194,-$N$3,0),-1,0))</f>
        <v>1</v>
      </c>
      <c r="O195" s="1">
        <f ca="1">IF(N195=1,O$3*L194/Prices!B194,O$3*M194*N195)</f>
        <v>4.6004137524145283E-2</v>
      </c>
      <c r="P195" s="14"/>
      <c r="Q195" s="9">
        <f ca="1">Q194-T195*Prices!B195</f>
        <v>0.48116730166542687</v>
      </c>
      <c r="R195" s="1">
        <f t="shared" ca="1" si="15"/>
        <v>0.40089099616051338</v>
      </c>
      <c r="S195" s="9">
        <f ca="1">IF(Prices!C194&lt;OFFSET(Prices!C194,-S$3,0),1,IF(Prices!C194&gt;OFFSET(Prices!C194,-S$3,0),-1,0))</f>
        <v>-1</v>
      </c>
      <c r="T195" s="1">
        <f ca="1">IF(S195=1,T$3*Q194/Prices!B194,T$3*R194*S195)</f>
        <v>-8.181448901234966E-3</v>
      </c>
      <c r="V195" s="9"/>
      <c r="W195" s="1"/>
      <c r="X195" s="1"/>
      <c r="Y195" s="1"/>
      <c r="Z195" s="1"/>
      <c r="AA195" s="1"/>
      <c r="AB195" s="1"/>
      <c r="AC195" s="1"/>
      <c r="AD195" s="1"/>
      <c r="AE195" s="16"/>
    </row>
    <row r="196" spans="1:31" x14ac:dyDescent="0.2">
      <c r="A196" s="4">
        <v>33780</v>
      </c>
      <c r="B196" s="9">
        <f ca="1">Prices!B195*(1+J196/(50*(ABS(O196)+ABS(T196)+0.0001)))</f>
        <v>1.3177694378018467</v>
      </c>
      <c r="C196" s="13">
        <f t="shared" ca="1" si="16"/>
        <v>-1</v>
      </c>
      <c r="D196" s="9">
        <f ca="1">D195+C196*(Prices!B196-Prices!B195)/Prices!B195</f>
        <v>-0.14788074720617866</v>
      </c>
      <c r="E196" s="9">
        <f t="shared" ca="1" si="17"/>
        <v>0.18400469846492498</v>
      </c>
      <c r="F196" s="9">
        <f t="shared" ca="1" si="18"/>
        <v>3.6123951258746317E-2</v>
      </c>
      <c r="G196" s="13">
        <f ca="1">IF((Prices!B196-Prices!B195)*B196&gt;0,1,0)</f>
        <v>1</v>
      </c>
      <c r="H196" s="9">
        <f>ABS(Prices!B196-Prices!B195)/Prices!B195</f>
        <v>7.7346422727948569E-3</v>
      </c>
      <c r="I196" s="13"/>
      <c r="J196" s="1">
        <f t="shared" ca="1" si="19"/>
        <v>-4.3671097258887147E-2</v>
      </c>
      <c r="K196" s="9"/>
      <c r="L196" s="9">
        <f ca="1">L195-O196*Prices!B196</f>
        <v>0.59936615170906415</v>
      </c>
      <c r="M196" s="1">
        <f t="shared" ca="1" si="14"/>
        <v>0.32087949602109189</v>
      </c>
      <c r="N196" s="9">
        <f ca="1">IF(Prices!D195&gt;OFFSET(Prices!D195,-$N$3,0),1,IF(Prices!D195&lt;OFFSET(Prices!D195,-$N$3,0),-1,0))</f>
        <v>-1</v>
      </c>
      <c r="O196" s="1">
        <f ca="1">IF(N196=1,O$3*L195/Prices!B195,O$3*M195*N196)</f>
        <v>-3.5653277335676879E-2</v>
      </c>
      <c r="P196" s="14"/>
      <c r="Q196" s="9">
        <f ca="1">Q195-T196*Prices!B196</f>
        <v>0.4920314476613768</v>
      </c>
      <c r="R196" s="1">
        <f t="shared" ca="1" si="15"/>
        <v>0.39287317623730311</v>
      </c>
      <c r="S196" s="9">
        <f ca="1">IF(Prices!C195&lt;OFFSET(Prices!C195,-S$3,0),1,IF(Prices!C195&gt;OFFSET(Prices!C195,-S$3,0),-1,0))</f>
        <v>-1</v>
      </c>
      <c r="T196" s="1">
        <f ca="1">IF(S196=1,T$3*Q195/Prices!B195,T$3*R195*S196)</f>
        <v>-8.0178199232102676E-3</v>
      </c>
      <c r="V196" s="9"/>
      <c r="W196" s="1"/>
      <c r="X196" s="1"/>
      <c r="Y196" s="1"/>
      <c r="Z196" s="1"/>
      <c r="AA196" s="1"/>
      <c r="AB196" s="1"/>
      <c r="AC196" s="1"/>
      <c r="AD196" s="1"/>
      <c r="AE196" s="16"/>
    </row>
    <row r="197" spans="1:31" x14ac:dyDescent="0.2">
      <c r="A197" s="4">
        <v>33781</v>
      </c>
      <c r="B197" s="9">
        <f ca="1">Prices!B196*(1+J197/(50*(ABS(O197)+ABS(T197)+0.0001)))</f>
        <v>1.3379464150906131</v>
      </c>
      <c r="C197" s="13">
        <f t="shared" ca="1" si="16"/>
        <v>-1</v>
      </c>
      <c r="D197" s="9">
        <f ca="1">D196+C197*(Prices!B197-Prices!B196)/Prices!B196</f>
        <v>-0.15046377303643702</v>
      </c>
      <c r="E197" s="9">
        <f t="shared" ca="1" si="17"/>
        <v>0.18658772429518333</v>
      </c>
      <c r="F197" s="9">
        <f t="shared" ca="1" si="18"/>
        <v>3.6123951258746317E-2</v>
      </c>
      <c r="G197" s="13">
        <f ca="1">IF((Prices!B197-Prices!B196)*B197&gt;0,1,0)</f>
        <v>1</v>
      </c>
      <c r="H197" s="9">
        <f>ABS(Prices!B197-Prices!B196)/Prices!B196</f>
        <v>2.5830258302583461E-3</v>
      </c>
      <c r="I197" s="13"/>
      <c r="J197" s="1">
        <f t="shared" ca="1" si="19"/>
        <v>-2.4825492810059351E-2</v>
      </c>
      <c r="K197" s="9"/>
      <c r="L197" s="9">
        <f ca="1">L196-O197*Prices!B197</f>
        <v>0.64295763124352945</v>
      </c>
      <c r="M197" s="1">
        <f t="shared" ca="1" si="14"/>
        <v>0.28879154641898269</v>
      </c>
      <c r="N197" s="9">
        <f ca="1">IF(Prices!D196&gt;OFFSET(Prices!D196,-$N$3,0),1,IF(Prices!D196&lt;OFFSET(Prices!D196,-$N$3,0),-1,0))</f>
        <v>-1</v>
      </c>
      <c r="O197" s="1">
        <f ca="1">IF(N197=1,O$3*L196/Prices!B196,O$3*M196*N197)</f>
        <v>-3.2087949602109193E-2</v>
      </c>
      <c r="P197" s="14"/>
      <c r="Q197" s="9">
        <f ca="1">Q196-T197*Prices!B197</f>
        <v>0.48216540010937708</v>
      </c>
      <c r="R197" s="1">
        <f t="shared" ca="1" si="15"/>
        <v>0.40013563302935296</v>
      </c>
      <c r="S197" s="9">
        <f ca="1">IF(Prices!C196&lt;OFFSET(Prices!C196,-S$3,0),1,IF(Prices!C196&gt;OFFSET(Prices!C196,-S$3,0),-1,0))</f>
        <v>1</v>
      </c>
      <c r="T197" s="1">
        <f ca="1">IF(S197=1,T$3*Q196/Prices!B196,T$3*R196*S197)</f>
        <v>7.262456792049842E-3</v>
      </c>
      <c r="V197" s="9"/>
      <c r="W197" s="1"/>
      <c r="X197" s="1"/>
      <c r="Y197" s="1"/>
      <c r="Z197" s="1"/>
      <c r="AA197" s="1"/>
      <c r="AB197" s="1"/>
      <c r="AC197" s="1"/>
      <c r="AD197" s="1"/>
      <c r="AE197" s="16"/>
    </row>
    <row r="198" spans="1:31" x14ac:dyDescent="0.2">
      <c r="A198" s="4">
        <v>33784</v>
      </c>
      <c r="B198" s="9">
        <f ca="1">Prices!B197*(1+J198/(50*(ABS(O198)+ABS(T198)+0.0001)))</f>
        <v>1.3420970345428491</v>
      </c>
      <c r="C198" s="13">
        <f t="shared" ca="1" si="16"/>
        <v>-1</v>
      </c>
      <c r="D198" s="9">
        <f ca="1">D197+C198*(Prices!B198-Prices!B197)/Prices!B197</f>
        <v>-0.1617261948251745</v>
      </c>
      <c r="E198" s="9">
        <f t="shared" ca="1" si="17"/>
        <v>0.19785014608392082</v>
      </c>
      <c r="F198" s="9">
        <f t="shared" ca="1" si="18"/>
        <v>3.6123951258746317E-2</v>
      </c>
      <c r="G198" s="13">
        <f ca="1">IF((Prices!B198-Prices!B197)*B198&gt;0,1,0)</f>
        <v>1</v>
      </c>
      <c r="H198" s="9">
        <f>ABS(Prices!B198-Prices!B197)/Prices!B197</f>
        <v>1.1262421788737481E-2</v>
      </c>
      <c r="I198" s="13"/>
      <c r="J198" s="1">
        <f t="shared" ca="1" si="19"/>
        <v>-2.1780657768738505E-2</v>
      </c>
      <c r="K198" s="9"/>
      <c r="L198" s="9">
        <f ca="1">L197-O198*Prices!B198</f>
        <v>0.68263181389056926</v>
      </c>
      <c r="M198" s="1">
        <f t="shared" ca="1" si="14"/>
        <v>0.25991239177708442</v>
      </c>
      <c r="N198" s="9">
        <f ca="1">IF(Prices!D197&gt;OFFSET(Prices!D197,-$N$3,0),1,IF(Prices!D197&lt;OFFSET(Prices!D197,-$N$3,0),-1,0))</f>
        <v>-1</v>
      </c>
      <c r="O198" s="1">
        <f ca="1">IF(N198=1,O$3*L197/Prices!B197,O$3*M197*N198)</f>
        <v>-2.8879154641898271E-2</v>
      </c>
      <c r="P198" s="14"/>
      <c r="Q198" s="9">
        <f ca="1">Q197-T198*Prices!B198</f>
        <v>0.47241348510503023</v>
      </c>
      <c r="R198" s="1">
        <f t="shared" ca="1" si="15"/>
        <v>0.40723412990251273</v>
      </c>
      <c r="S198" s="9">
        <f ca="1">IF(Prices!C197&lt;OFFSET(Prices!C197,-S$3,0),1,IF(Prices!C197&gt;OFFSET(Prices!C197,-S$3,0),-1,0))</f>
        <v>1</v>
      </c>
      <c r="T198" s="1">
        <f ca="1">IF(S198=1,T$3*Q197/Prices!B197,T$3*R197*S198)</f>
        <v>7.0984968731597651E-3</v>
      </c>
      <c r="V198" s="9"/>
      <c r="W198" s="1"/>
      <c r="X198" s="1"/>
      <c r="Y198" s="1"/>
      <c r="Z198" s="1"/>
      <c r="AA198" s="1"/>
      <c r="AB198" s="1"/>
      <c r="AC198" s="1"/>
      <c r="AD198" s="1"/>
      <c r="AE198" s="16"/>
    </row>
    <row r="199" spans="1:31" x14ac:dyDescent="0.2">
      <c r="A199" s="4">
        <v>33785</v>
      </c>
      <c r="B199" s="9">
        <f ca="1">Prices!B198*(1+J199/(50*(ABS(O199)+ABS(T199)+0.0001)))</f>
        <v>1.3578706569870811</v>
      </c>
      <c r="C199" s="13">
        <f t="shared" ca="1" si="16"/>
        <v>-1</v>
      </c>
      <c r="D199" s="9">
        <f ca="1">D198+C199*(Prices!B199-Prices!B198)/Prices!B198</f>
        <v>-0.15859619045772658</v>
      </c>
      <c r="E199" s="9">
        <f t="shared" ca="1" si="17"/>
        <v>0.19472014171647289</v>
      </c>
      <c r="F199" s="9">
        <f t="shared" ca="1" si="18"/>
        <v>3.6123951258746317E-2</v>
      </c>
      <c r="G199" s="13">
        <f ca="1">IF((Prices!B199-Prices!B198)*B199&gt;0,1,0)</f>
        <v>0</v>
      </c>
      <c r="H199" s="9">
        <f>ABS(Prices!B199-Prices!B198)/Prices!B198</f>
        <v>3.1300043674479332E-3</v>
      </c>
      <c r="I199" s="13"/>
      <c r="J199" s="1">
        <f t="shared" ca="1" si="19"/>
        <v>-1.9113768146917495E-2</v>
      </c>
      <c r="K199" s="9"/>
      <c r="L199" s="9">
        <f ca="1">L198-O199*Prices!B199</f>
        <v>0.71822681594444093</v>
      </c>
      <c r="M199" s="1">
        <f t="shared" ca="1" si="14"/>
        <v>0.23392115259937596</v>
      </c>
      <c r="N199" s="9">
        <f ca="1">IF(Prices!D198&gt;OFFSET(Prices!D198,-$N$3,0),1,IF(Prices!D198&lt;OFFSET(Prices!D198,-$N$3,0),-1,0))</f>
        <v>-1</v>
      </c>
      <c r="O199" s="1">
        <f ca="1">IF(N199=1,O$3*L198/Prices!B198,O$3*M198*N199)</f>
        <v>-2.5991239177708444E-2</v>
      </c>
      <c r="P199" s="14"/>
      <c r="Q199" s="9">
        <f ca="1">Q198-T199*Prices!B199</f>
        <v>0.46299478852836201</v>
      </c>
      <c r="R199" s="1">
        <f t="shared" ca="1" si="15"/>
        <v>0.41411160093330368</v>
      </c>
      <c r="S199" s="9">
        <f ca="1">IF(Prices!C198&lt;OFFSET(Prices!C198,-S$3,0),1,IF(Prices!C198&gt;OFFSET(Prices!C198,-S$3,0),-1,0))</f>
        <v>1</v>
      </c>
      <c r="T199" s="1">
        <f ca="1">IF(S199=1,T$3*Q198/Prices!B198,T$3*R198*S199)</f>
        <v>6.8774710307909492E-3</v>
      </c>
      <c r="V199" s="9"/>
      <c r="W199" s="1"/>
      <c r="X199" s="1"/>
      <c r="Y199" s="1"/>
      <c r="Z199" s="1"/>
      <c r="AA199" s="1"/>
      <c r="AB199" s="1"/>
      <c r="AC199" s="1"/>
      <c r="AD199" s="1"/>
      <c r="AE199" s="16"/>
    </row>
    <row r="200" spans="1:31" x14ac:dyDescent="0.2">
      <c r="A200" s="4">
        <v>33786</v>
      </c>
      <c r="B200" s="9">
        <f ca="1">Prices!B199*(1+J200/(50*(ABS(O200)+ABS(T200)+0.0001)))</f>
        <v>1.3544435553058716</v>
      </c>
      <c r="C200" s="13">
        <f t="shared" ca="1" si="16"/>
        <v>-1</v>
      </c>
      <c r="D200" s="9">
        <f ca="1">D199+C200*(Prices!B200-Prices!B199)/Prices!B199</f>
        <v>-0.16436471911782152</v>
      </c>
      <c r="E200" s="9">
        <f t="shared" ca="1" si="17"/>
        <v>0.20048867037656784</v>
      </c>
      <c r="F200" s="9">
        <f t="shared" ca="1" si="18"/>
        <v>3.6123951258746317E-2</v>
      </c>
      <c r="G200" s="13">
        <f ca="1">IF((Prices!B200-Prices!B199)*B200&gt;0,1,0)</f>
        <v>1</v>
      </c>
      <c r="H200" s="9">
        <f>ABS(Prices!B200-Prices!B199)/Prices!B199</f>
        <v>5.768528660094939E-3</v>
      </c>
      <c r="I200" s="13"/>
      <c r="J200" s="1">
        <f t="shared" ca="1" si="19"/>
        <v>-1.6630599545759253E-2</v>
      </c>
      <c r="K200" s="9"/>
      <c r="L200" s="9">
        <f ca="1">L199-O200*Prices!B200</f>
        <v>0.75044711550347898</v>
      </c>
      <c r="M200" s="1">
        <f t="shared" ca="1" si="14"/>
        <v>0.21052903733943837</v>
      </c>
      <c r="N200" s="9">
        <f ca="1">IF(Prices!D199&gt;OFFSET(Prices!D199,-$N$3,0),1,IF(Prices!D199&lt;OFFSET(Prices!D199,-$N$3,0),-1,0))</f>
        <v>-1</v>
      </c>
      <c r="O200" s="1">
        <f ca="1">IF(N200=1,O$3*L199/Prices!B199,O$3*M199*N200)</f>
        <v>-2.3392115259937597E-2</v>
      </c>
      <c r="P200" s="14"/>
      <c r="Q200" s="9">
        <f ca="1">Q199-T200*Prices!B200</f>
        <v>0.45368147678365278</v>
      </c>
      <c r="R200" s="1">
        <f t="shared" ca="1" si="15"/>
        <v>0.420873116647482</v>
      </c>
      <c r="S200" s="9">
        <f ca="1">IF(Prices!C199&lt;OFFSET(Prices!C199,-S$3,0),1,IF(Prices!C199&gt;OFFSET(Prices!C199,-S$3,0),-1,0))</f>
        <v>1</v>
      </c>
      <c r="T200" s="1">
        <f ca="1">IF(S200=1,T$3*Q199/Prices!B199,T$3*R199*S200)</f>
        <v>6.7615157141783433E-3</v>
      </c>
      <c r="V200" s="9"/>
      <c r="W200" s="1"/>
      <c r="X200" s="1"/>
      <c r="Y200" s="1"/>
      <c r="Z200" s="1"/>
      <c r="AA200" s="1"/>
      <c r="AB200" s="1"/>
      <c r="AC200" s="1"/>
      <c r="AD200" s="1"/>
      <c r="AE200" s="16"/>
    </row>
    <row r="201" spans="1:31" x14ac:dyDescent="0.2">
      <c r="A201" s="4">
        <v>33787</v>
      </c>
      <c r="B201" s="9">
        <f ca="1">Prices!B200*(1+J201/(50*(ABS(O201)+ABS(T201)+0.0001)))</f>
        <v>1.3630349340912526</v>
      </c>
      <c r="C201" s="13">
        <f t="shared" ca="1" si="16"/>
        <v>-1</v>
      </c>
      <c r="D201" s="9">
        <f ca="1">D200+C201*(Prices!B201-Prices!B200)/Prices!B200</f>
        <v>-0.16480032242840664</v>
      </c>
      <c r="E201" s="9">
        <f t="shared" ca="1" si="17"/>
        <v>0.20092427368715296</v>
      </c>
      <c r="F201" s="9">
        <f t="shared" ca="1" si="18"/>
        <v>3.6123951258746317E-2</v>
      </c>
      <c r="G201" s="13">
        <f ca="1">IF((Prices!B201-Prices!B200)*B201&gt;0,1,0)</f>
        <v>1</v>
      </c>
      <c r="H201" s="9">
        <f>ABS(Prices!B201-Prices!B200)/Prices!B200</f>
        <v>4.3560331058511249E-4</v>
      </c>
      <c r="I201" s="13"/>
      <c r="J201" s="1">
        <f t="shared" ca="1" si="19"/>
        <v>-1.446539862600638E-2</v>
      </c>
      <c r="K201" s="9"/>
      <c r="L201" s="9">
        <f ca="1">L200-O201*Prices!B201</f>
        <v>0.77945801684885363</v>
      </c>
      <c r="M201" s="1">
        <f t="shared" ca="1" si="14"/>
        <v>0.18947613360549453</v>
      </c>
      <c r="N201" s="9">
        <f ca="1">IF(Prices!D200&gt;OFFSET(Prices!D200,-$N$3,0),1,IF(Prices!D200&lt;OFFSET(Prices!D200,-$N$3,0),-1,0))</f>
        <v>-1</v>
      </c>
      <c r="O201" s="1">
        <f ca="1">IF(N201=1,O$3*L200/Prices!B200,O$3*M200*N201)</f>
        <v>-2.1052903733943838E-2</v>
      </c>
      <c r="P201" s="14"/>
      <c r="Q201" s="9">
        <f ca="1">Q200-T201*Prices!B201</f>
        <v>0.44460389474491496</v>
      </c>
      <c r="R201" s="1">
        <f t="shared" ca="1" si="15"/>
        <v>0.42746062175541949</v>
      </c>
      <c r="S201" s="9">
        <f ca="1">IF(Prices!C200&lt;OFFSET(Prices!C200,-S$3,0),1,IF(Prices!C200&gt;OFFSET(Prices!C200,-S$3,0),-1,0))</f>
        <v>1</v>
      </c>
      <c r="T201" s="1">
        <f ca="1">IF(S201=1,T$3*Q200/Prices!B200,T$3*R200*S201)</f>
        <v>6.5875051079374589E-3</v>
      </c>
      <c r="V201" s="9"/>
      <c r="W201" s="1"/>
      <c r="X201" s="1"/>
      <c r="Y201" s="1"/>
      <c r="Z201" s="1"/>
      <c r="AA201" s="1"/>
      <c r="AB201" s="1"/>
      <c r="AC201" s="1"/>
      <c r="AD201" s="1"/>
      <c r="AE201" s="16"/>
    </row>
    <row r="202" spans="1:31" x14ac:dyDescent="0.2">
      <c r="A202" s="4">
        <v>33788</v>
      </c>
      <c r="B202" s="9">
        <f ca="1">Prices!B201*(1+J202/(50*(ABS(O202)+ABS(T202)+0.0001)))</f>
        <v>1.3644961602602845</v>
      </c>
      <c r="C202" s="13">
        <f t="shared" ca="1" si="16"/>
        <v>-1</v>
      </c>
      <c r="D202" s="9">
        <f ca="1">D201+C202*(Prices!B202-Prices!B201)/Prices!B201</f>
        <v>-0.16138958222521366</v>
      </c>
      <c r="E202" s="9">
        <f t="shared" ca="1" si="17"/>
        <v>0.19751353348395997</v>
      </c>
      <c r="F202" s="9">
        <f t="shared" ca="1" si="18"/>
        <v>3.6123951258746317E-2</v>
      </c>
      <c r="G202" s="13">
        <f ca="1">IF((Prices!B202-Prices!B201)*B202&gt;0,1,0)</f>
        <v>0</v>
      </c>
      <c r="H202" s="9">
        <f>ABS(Prices!B202-Prices!B201)/Prices!B201</f>
        <v>3.4107402031929804E-3</v>
      </c>
      <c r="I202" s="13"/>
      <c r="J202" s="1">
        <f t="shared" ca="1" si="19"/>
        <v>-1.2494726644367814E-2</v>
      </c>
      <c r="K202" s="9"/>
      <c r="L202" s="9">
        <f ca="1">L201-O202*Prices!B202</f>
        <v>0.80547877427689618</v>
      </c>
      <c r="M202" s="1">
        <f t="shared" ca="1" si="14"/>
        <v>0.17052852024494508</v>
      </c>
      <c r="N202" s="9">
        <f ca="1">IF(Prices!D201&gt;OFFSET(Prices!D201,-$N$3,0),1,IF(Prices!D201&lt;OFFSET(Prices!D201,-$N$3,0),-1,0))</f>
        <v>-1</v>
      </c>
      <c r="O202" s="1">
        <f ca="1">IF(N202=1,O$3*L201/Prices!B201,O$3*M201*N202)</f>
        <v>-1.8947613360549453E-2</v>
      </c>
      <c r="P202" s="14"/>
      <c r="Q202" s="9">
        <f ca="1">Q201-T202*Prices!B202</f>
        <v>0.43574214541758272</v>
      </c>
      <c r="R202" s="1">
        <f t="shared" ca="1" si="15"/>
        <v>0.43391350847160115</v>
      </c>
      <c r="S202" s="9">
        <f ca="1">IF(Prices!C201&lt;OFFSET(Prices!C201,-S$3,0),1,IF(Prices!C201&gt;OFFSET(Prices!C201,-S$3,0),-1,0))</f>
        <v>1</v>
      </c>
      <c r="T202" s="1">
        <f ca="1">IF(S202=1,T$3*Q201/Prices!B201,T$3*R201*S202)</f>
        <v>6.4528867161816406E-3</v>
      </c>
      <c r="V202" s="9"/>
      <c r="W202" s="1"/>
      <c r="X202" s="1"/>
      <c r="Y202" s="1"/>
      <c r="Z202" s="1"/>
      <c r="AA202" s="1"/>
      <c r="AB202" s="1"/>
      <c r="AC202" s="1"/>
      <c r="AD202" s="1"/>
      <c r="AE202" s="16"/>
    </row>
    <row r="203" spans="1:31" x14ac:dyDescent="0.2">
      <c r="A203" s="4">
        <v>33791</v>
      </c>
      <c r="B203" s="9">
        <f ca="1">Prices!B202*(1+J203/(50*(ABS(O203)+ABS(T203)+0.0001)))</f>
        <v>1.3607854372178234</v>
      </c>
      <c r="C203" s="13">
        <f t="shared" ca="1" si="16"/>
        <v>-1</v>
      </c>
      <c r="D203" s="9">
        <f ca="1">D202+C203*(Prices!B203-Prices!B202)/Prices!B202</f>
        <v>-0.16481199539058169</v>
      </c>
      <c r="E203" s="9">
        <f t="shared" ca="1" si="17"/>
        <v>0.20093594664932801</v>
      </c>
      <c r="F203" s="9">
        <f t="shared" ca="1" si="18"/>
        <v>3.6123951258746317E-2</v>
      </c>
      <c r="G203" s="13">
        <f ca="1">IF((Prices!B203-Prices!B202)*B203&gt;0,1,0)</f>
        <v>1</v>
      </c>
      <c r="H203" s="9">
        <f>ABS(Prices!B203-Prices!B202)/Prices!B202</f>
        <v>3.4224131653680379E-3</v>
      </c>
      <c r="I203" s="13"/>
      <c r="J203" s="1">
        <f t="shared" ca="1" si="19"/>
        <v>-1.0706938598184411E-2</v>
      </c>
      <c r="K203" s="9"/>
      <c r="L203" s="9">
        <f ca="1">L202-O203*Prices!B203</f>
        <v>0.82897760436664958</v>
      </c>
      <c r="M203" s="1">
        <f t="shared" ca="1" si="14"/>
        <v>0.15347566822045058</v>
      </c>
      <c r="N203" s="9">
        <f ca="1">IF(Prices!D202&gt;OFFSET(Prices!D202,-$N$3,0),1,IF(Prices!D202&lt;OFFSET(Prices!D202,-$N$3,0),-1,0))</f>
        <v>-1</v>
      </c>
      <c r="O203" s="1">
        <f ca="1">IF(N203=1,O$3*L202/Prices!B202,O$3*M202*N203)</f>
        <v>-1.7052852024494507E-2</v>
      </c>
      <c r="P203" s="14"/>
      <c r="Q203" s="9">
        <f ca="1">Q202-T203*Prices!B203</f>
        <v>0.42699747671612742</v>
      </c>
      <c r="R203" s="1">
        <f t="shared" ca="1" si="15"/>
        <v>0.44025942189791123</v>
      </c>
      <c r="S203" s="9">
        <f ca="1">IF(Prices!C202&lt;OFFSET(Prices!C202,-S$3,0),1,IF(Prices!C202&gt;OFFSET(Prices!C202,-S$3,0),-1,0))</f>
        <v>1</v>
      </c>
      <c r="T203" s="1">
        <f ca="1">IF(S203=1,T$3*Q202/Prices!B202,T$3*R202*S203)</f>
        <v>6.3459134263100965E-3</v>
      </c>
      <c r="V203" s="9"/>
      <c r="W203" s="1"/>
      <c r="X203" s="1"/>
      <c r="Y203" s="1"/>
      <c r="Z203" s="1"/>
      <c r="AA203" s="1"/>
      <c r="AB203" s="1"/>
      <c r="AC203" s="1"/>
      <c r="AD203" s="1"/>
      <c r="AE203" s="16"/>
    </row>
    <row r="204" spans="1:31" x14ac:dyDescent="0.2">
      <c r="A204" s="4">
        <v>33792</v>
      </c>
      <c r="B204" s="9">
        <f ca="1">Prices!B203*(1+J204/(50*(ABS(O204)+ABS(T204)+0.0001)))</f>
        <v>1.36634923032662</v>
      </c>
      <c r="C204" s="13">
        <f t="shared" ca="1" si="16"/>
        <v>-1</v>
      </c>
      <c r="D204" s="9">
        <f ca="1">D203+C204*(Prices!B204-Prices!B203)/Prices!B203</f>
        <v>-0.17359283719029142</v>
      </c>
      <c r="E204" s="9">
        <f t="shared" ca="1" si="17"/>
        <v>0.20971678844903774</v>
      </c>
      <c r="F204" s="9">
        <f t="shared" ca="1" si="18"/>
        <v>3.6123951258746317E-2</v>
      </c>
      <c r="G204" s="13">
        <f ca="1">IF((Prices!B204-Prices!B203)*B204&gt;0,1,0)</f>
        <v>1</v>
      </c>
      <c r="H204" s="9">
        <f>ABS(Prices!B204-Prices!B203)/Prices!B203</f>
        <v>8.7808417997097248E-3</v>
      </c>
      <c r="I204" s="13"/>
      <c r="J204" s="1">
        <f t="shared" ca="1" si="19"/>
        <v>-9.1502159263102626E-3</v>
      </c>
      <c r="K204" s="9"/>
      <c r="L204" s="9">
        <f ca="1">L203-O204*Prices!B204</f>
        <v>0.85031225700597446</v>
      </c>
      <c r="M204" s="1">
        <f t="shared" ca="1" si="14"/>
        <v>0.13812810139840553</v>
      </c>
      <c r="N204" s="9">
        <f ca="1">IF(Prices!D203&gt;OFFSET(Prices!D203,-$N$3,0),1,IF(Prices!D203&lt;OFFSET(Prices!D203,-$N$3,0),-1,0))</f>
        <v>-1</v>
      </c>
      <c r="O204" s="1">
        <f ca="1">IF(N204=1,O$3*L203/Prices!B203,O$3*M203*N204)</f>
        <v>-1.5347566822045059E-2</v>
      </c>
      <c r="P204" s="14"/>
      <c r="Q204" s="9">
        <f ca="1">Q203-T204*Prices!B204</f>
        <v>0.41838253923596647</v>
      </c>
      <c r="R204" s="1">
        <f t="shared" ca="1" si="15"/>
        <v>0.44645677279364604</v>
      </c>
      <c r="S204" s="9">
        <f ca="1">IF(Prices!C203&lt;OFFSET(Prices!C203,-S$3,0),1,IF(Prices!C203&gt;OFFSET(Prices!C203,-S$3,0),-1,0))</f>
        <v>1</v>
      </c>
      <c r="T204" s="1">
        <f ca="1">IF(S204=1,T$3*Q203/Prices!B203,T$3*R203*S204)</f>
        <v>6.1973508957347961E-3</v>
      </c>
      <c r="V204" s="9"/>
      <c r="W204" s="1"/>
      <c r="X204" s="1"/>
      <c r="Y204" s="1"/>
      <c r="Z204" s="1"/>
      <c r="AA204" s="1"/>
      <c r="AB204" s="1"/>
      <c r="AC204" s="1"/>
      <c r="AD204" s="1"/>
      <c r="AE204" s="16"/>
    </row>
    <row r="205" spans="1:31" x14ac:dyDescent="0.2">
      <c r="A205" s="4">
        <v>33793</v>
      </c>
      <c r="B205" s="9">
        <f ca="1">Prices!B204*(1+J205/(50*(ABS(O205)+ABS(T205)+0.0001)))</f>
        <v>1.379229650828407</v>
      </c>
      <c r="C205" s="13">
        <f t="shared" ca="1" si="16"/>
        <v>-1</v>
      </c>
      <c r="D205" s="9">
        <f ca="1">D204+C205*(Prices!B205-Prices!B204)/Prices!B204</f>
        <v>-0.17747744980808874</v>
      </c>
      <c r="E205" s="9">
        <f t="shared" ca="1" si="17"/>
        <v>0.21360140106683506</v>
      </c>
      <c r="F205" s="9">
        <f t="shared" ca="1" si="18"/>
        <v>3.6123951258746317E-2</v>
      </c>
      <c r="G205" s="13">
        <f ca="1">IF((Prices!B205-Prices!B204)*B205&gt;0,1,0)</f>
        <v>1</v>
      </c>
      <c r="H205" s="9">
        <f>ABS(Prices!B205-Prices!B204)/Prices!B204</f>
        <v>3.8846126177973323E-3</v>
      </c>
      <c r="I205" s="13"/>
      <c r="J205" s="1">
        <f t="shared" ca="1" si="19"/>
        <v>-7.7933505436105482E-3</v>
      </c>
      <c r="K205" s="9"/>
      <c r="L205" s="9">
        <f ca="1">L204-O205*Prices!B205</f>
        <v>0.86958803355612191</v>
      </c>
      <c r="M205" s="1">
        <f t="shared" ca="1" si="14"/>
        <v>0.12431529125856498</v>
      </c>
      <c r="N205" s="9">
        <f ca="1">IF(Prices!D204&gt;OFFSET(Prices!D204,-$N$3,0),1,IF(Prices!D204&lt;OFFSET(Prices!D204,-$N$3,0),-1,0))</f>
        <v>-1</v>
      </c>
      <c r="O205" s="1">
        <f ca="1">IF(N205=1,O$3*L204/Prices!B204,O$3*M204*N205)</f>
        <v>-1.3812810139840554E-2</v>
      </c>
      <c r="P205" s="14"/>
      <c r="Q205" s="9">
        <f ca="1">Q204-T205*Prices!B205</f>
        <v>0.40998238336942749</v>
      </c>
      <c r="R205" s="1">
        <f t="shared" ca="1" si="15"/>
        <v>0.45247623238987605</v>
      </c>
      <c r="S205" s="9">
        <f ca="1">IF(Prices!C204&lt;OFFSET(Prices!C204,-S$3,0),1,IF(Prices!C204&gt;OFFSET(Prices!C204,-S$3,0),-1,0))</f>
        <v>1</v>
      </c>
      <c r="T205" s="1">
        <f ca="1">IF(S205=1,T$3*Q204/Prices!B204,T$3*R204*S205)</f>
        <v>6.0194595962300059E-3</v>
      </c>
      <c r="V205" s="9"/>
      <c r="W205" s="1"/>
      <c r="X205" s="1"/>
      <c r="Y205" s="1"/>
      <c r="Z205" s="1"/>
      <c r="AA205" s="1"/>
      <c r="AB205" s="1"/>
      <c r="AC205" s="1"/>
      <c r="AD205" s="1"/>
      <c r="AE205" s="16"/>
    </row>
    <row r="206" spans="1:31" x14ac:dyDescent="0.2">
      <c r="A206" s="4">
        <v>33794</v>
      </c>
      <c r="B206" s="9">
        <f ca="1">Prices!B205*(1+J206/(50*(ABS(O206)+ABS(T206)+0.0001)))</f>
        <v>1.4163023542136439</v>
      </c>
      <c r="C206" s="13">
        <f t="shared" ca="1" si="16"/>
        <v>1</v>
      </c>
      <c r="D206" s="9">
        <f ca="1">D205+C206*(Prices!B206-Prices!B205)/Prices!B205</f>
        <v>-0.18636315385681679</v>
      </c>
      <c r="E206" s="9">
        <f t="shared" ca="1" si="17"/>
        <v>0.22248710511556311</v>
      </c>
      <c r="F206" s="9">
        <f t="shared" ca="1" si="18"/>
        <v>3.6123951258746317E-2</v>
      </c>
      <c r="G206" s="13">
        <f ca="1">IF((Prices!B206-Prices!B205)*B206&gt;0,1,0)</f>
        <v>0</v>
      </c>
      <c r="H206" s="9">
        <f>ABS(Prices!B206-Prices!B205)/Prices!B205</f>
        <v>8.8857040487280315E-3</v>
      </c>
      <c r="I206" s="13"/>
      <c r="J206" s="1">
        <f t="shared" ca="1" si="19"/>
        <v>5.3264200436840381E-2</v>
      </c>
      <c r="K206" s="9"/>
      <c r="L206" s="9">
        <f ca="1">L205-O206*Prices!B206</f>
        <v>0.7834019203915592</v>
      </c>
      <c r="M206" s="1">
        <f t="shared" ca="1" si="14"/>
        <v>0.18662901634320289</v>
      </c>
      <c r="N206" s="9">
        <f ca="1">IF(Prices!D205&gt;OFFSET(Prices!D205,-$N$3,0),1,IF(Prices!D205&lt;OFFSET(Prices!D205,-$N$3,0),-1,0))</f>
        <v>1</v>
      </c>
      <c r="O206" s="1">
        <f ca="1">IF(N206=1,O$3*L205/Prices!B205,O$3*M205*N206)</f>
        <v>6.2313725084637901E-2</v>
      </c>
      <c r="P206" s="14"/>
      <c r="Q206" s="9">
        <f ca="1">Q205-T206*Prices!B206</f>
        <v>0.42249878090979626</v>
      </c>
      <c r="R206" s="1">
        <f t="shared" ca="1" si="15"/>
        <v>0.44342670774207854</v>
      </c>
      <c r="S206" s="9">
        <f ca="1">IF(Prices!C205&lt;OFFSET(Prices!C205,-S$3,0),1,IF(Prices!C205&gt;OFFSET(Prices!C205,-S$3,0),-1,0))</f>
        <v>-1</v>
      </c>
      <c r="T206" s="1">
        <f ca="1">IF(S206=1,T$3*Q205/Prices!B205,T$3*R205*S206)</f>
        <v>-9.049524647797522E-3</v>
      </c>
      <c r="V206" s="9"/>
      <c r="W206" s="1"/>
      <c r="X206" s="1"/>
      <c r="Y206" s="1"/>
      <c r="Z206" s="1"/>
      <c r="AA206" s="1"/>
      <c r="AB206" s="1"/>
      <c r="AC206" s="1"/>
      <c r="AD206" s="1"/>
      <c r="AE206" s="16"/>
    </row>
    <row r="207" spans="1:31" x14ac:dyDescent="0.2">
      <c r="A207" s="4">
        <v>33795</v>
      </c>
      <c r="B207" s="9">
        <f ca="1">Prices!B206*(1+J207/(50*(ABS(O207)+ABS(T207)+0.0001)))</f>
        <v>1.4032416166542601</v>
      </c>
      <c r="C207" s="13">
        <f t="shared" ca="1" si="16"/>
        <v>1</v>
      </c>
      <c r="D207" s="9">
        <f ca="1">D206+C207*(Prices!B207-Prices!B206)/Prices!B206</f>
        <v>-0.17992833352567666</v>
      </c>
      <c r="E207" s="9">
        <f t="shared" ca="1" si="17"/>
        <v>0.21605228478442298</v>
      </c>
      <c r="F207" s="9">
        <f t="shared" ca="1" si="18"/>
        <v>3.6123951258746317E-2</v>
      </c>
      <c r="G207" s="13">
        <f ca="1">IF((Prices!B207-Prices!B206)*B207&gt;0,1,0)</f>
        <v>1</v>
      </c>
      <c r="H207" s="9">
        <f>ABS(Prices!B207-Prices!B206)/Prices!B206</f>
        <v>6.4348203311401257E-3</v>
      </c>
      <c r="I207" s="13"/>
      <c r="J207" s="1">
        <f t="shared" ca="1" si="19"/>
        <v>4.7772483876505359E-2</v>
      </c>
      <c r="K207" s="9"/>
      <c r="L207" s="9">
        <f ca="1">L206-O207*Prices!B207</f>
        <v>0.70455762329192428</v>
      </c>
      <c r="M207" s="1">
        <f t="shared" ca="1" si="14"/>
        <v>0.2432700343745498</v>
      </c>
      <c r="N207" s="9">
        <f ca="1">IF(Prices!D206&gt;OFFSET(Prices!D206,-$N$3,0),1,IF(Prices!D206&lt;OFFSET(Prices!D206,-$N$3,0),-1,0))</f>
        <v>1</v>
      </c>
      <c r="O207" s="1">
        <f ca="1">IF(N207=1,O$3*L206/Prices!B206,O$3*M206*N207)</f>
        <v>5.6641018031346926E-2</v>
      </c>
      <c r="P207" s="14"/>
      <c r="Q207" s="9">
        <f ca="1">Q206-T207*Prices!B207</f>
        <v>0.43484378045333572</v>
      </c>
      <c r="R207" s="1">
        <f t="shared" ca="1" si="15"/>
        <v>0.43455817358723697</v>
      </c>
      <c r="S207" s="9">
        <f ca="1">IF(Prices!C206&lt;OFFSET(Prices!C206,-S$3,0),1,IF(Prices!C206&gt;OFFSET(Prices!C206,-S$3,0),-1,0))</f>
        <v>-1</v>
      </c>
      <c r="T207" s="1">
        <f ca="1">IF(S207=1,T$3*Q206/Prices!B206,T$3*R206*S207)</f>
        <v>-8.868534154841571E-3</v>
      </c>
      <c r="V207" s="9"/>
      <c r="W207" s="1"/>
      <c r="X207" s="1"/>
      <c r="Y207" s="1"/>
      <c r="Z207" s="1"/>
      <c r="AA207" s="1"/>
      <c r="AB207" s="1"/>
      <c r="AC207" s="1"/>
      <c r="AD207" s="1"/>
      <c r="AE207" s="16"/>
    </row>
    <row r="208" spans="1:31" x14ac:dyDescent="0.2">
      <c r="A208" s="4">
        <v>33798</v>
      </c>
      <c r="B208" s="9">
        <f ca="1">Prices!B207*(1+J208/(50*(ABS(O208)+ABS(T208)+0.0001)))</f>
        <v>1.4116470815655551</v>
      </c>
      <c r="C208" s="13">
        <f t="shared" ca="1" si="16"/>
        <v>1</v>
      </c>
      <c r="D208" s="9">
        <f ca="1">D207+C208*(Prices!B208-Prices!B207)/Prices!B207</f>
        <v>-0.16979902318084908</v>
      </c>
      <c r="E208" s="9">
        <f t="shared" ca="1" si="17"/>
        <v>0.2059229744395954</v>
      </c>
      <c r="F208" s="9">
        <f t="shared" ca="1" si="18"/>
        <v>3.6123951258746317E-2</v>
      </c>
      <c r="G208" s="13">
        <f ca="1">IF((Prices!B208-Prices!B207)*B208&gt;0,1,0)</f>
        <v>1</v>
      </c>
      <c r="H208" s="9">
        <f>ABS(Prices!B208-Prices!B207)/Prices!B207</f>
        <v>1.0129310344827587E-2</v>
      </c>
      <c r="I208" s="13"/>
      <c r="J208" s="1">
        <f t="shared" ca="1" si="19"/>
        <v>4.1923608316468214E-2</v>
      </c>
      <c r="K208" s="9"/>
      <c r="L208" s="9">
        <f ca="1">L207-O208*Prices!B208</f>
        <v>0.63338819268051805</v>
      </c>
      <c r="M208" s="1">
        <f t="shared" ca="1" si="14"/>
        <v>0.29388480616276275</v>
      </c>
      <c r="N208" s="9">
        <f ca="1">IF(Prices!D207&gt;OFFSET(Prices!D207,-$N$3,0),1,IF(Prices!D207&lt;OFFSET(Prices!D207,-$N$3,0),-1,0))</f>
        <v>1</v>
      </c>
      <c r="O208" s="1">
        <f ca="1">IF(N208=1,O$3*L207/Prices!B207,O$3*M207*N208)</f>
        <v>5.0614771788212956E-2</v>
      </c>
      <c r="P208" s="14"/>
      <c r="Q208" s="9">
        <f ca="1">Q207-T208*Prices!B208</f>
        <v>0.44706442541095598</v>
      </c>
      <c r="R208" s="1">
        <f t="shared" ca="1" si="15"/>
        <v>0.42586701011549222</v>
      </c>
      <c r="S208" s="9">
        <f ca="1">IF(Prices!C207&lt;OFFSET(Prices!C207,-S$3,0),1,IF(Prices!C207&gt;OFFSET(Prices!C207,-S$3,0),-1,0))</f>
        <v>-1</v>
      </c>
      <c r="T208" s="1">
        <f ca="1">IF(S208=1,T$3*Q207/Prices!B207,T$3*R207*S208)</f>
        <v>-8.6911634717447405E-3</v>
      </c>
      <c r="V208" s="9"/>
      <c r="W208" s="1"/>
      <c r="X208" s="1"/>
      <c r="Y208" s="1"/>
      <c r="Z208" s="1"/>
      <c r="AA208" s="1"/>
      <c r="AB208" s="1"/>
      <c r="AC208" s="1"/>
      <c r="AD208" s="1"/>
      <c r="AE208" s="16"/>
    </row>
    <row r="209" spans="1:31" x14ac:dyDescent="0.2">
      <c r="A209" s="4">
        <v>33799</v>
      </c>
      <c r="B209" s="9">
        <f ca="1">Prices!B208*(1+J209/(50*(ABS(O209)+ABS(T209)+0.0001)))</f>
        <v>1.4252426150419313</v>
      </c>
      <c r="C209" s="13">
        <f t="shared" ca="1" si="16"/>
        <v>1</v>
      </c>
      <c r="D209" s="9">
        <f ca="1">D208+C209*(Prices!B209-Prices!B208)/Prices!B208</f>
        <v>-0.17356831412743884</v>
      </c>
      <c r="E209" s="9">
        <f t="shared" ca="1" si="17"/>
        <v>0.20969226538618516</v>
      </c>
      <c r="F209" s="9">
        <f t="shared" ca="1" si="18"/>
        <v>3.6123951258746317E-2</v>
      </c>
      <c r="G209" s="13">
        <f ca="1">IF((Prices!B209-Prices!B208)*B209&gt;0,1,0)</f>
        <v>0</v>
      </c>
      <c r="H209" s="9">
        <f>ABS(Prices!B209-Prices!B208)/Prices!B208</f>
        <v>3.7692909465897595E-3</v>
      </c>
      <c r="I209" s="13"/>
      <c r="J209" s="1">
        <f t="shared" ca="1" si="19"/>
        <v>3.6528402823116382E-2</v>
      </c>
      <c r="K209" s="9"/>
      <c r="L209" s="9">
        <f ca="1">L208-O209*Prices!B209</f>
        <v>0.57028811585050099</v>
      </c>
      <c r="M209" s="1">
        <f t="shared" ca="1" si="14"/>
        <v>0.33893054918818899</v>
      </c>
      <c r="N209" s="9">
        <f ca="1">IF(Prices!D208&gt;OFFSET(Prices!D208,-$N$3,0),1,IF(Prices!D208&lt;OFFSET(Prices!D208,-$N$3,0),-1,0))</f>
        <v>1</v>
      </c>
      <c r="O209" s="1">
        <f ca="1">IF(N209=1,O$3*L208/Prices!B208,O$3*M208*N209)</f>
        <v>4.5045743025426223E-2</v>
      </c>
      <c r="P209" s="14"/>
      <c r="Q209" s="9">
        <f ca="1">Q208-T209*Prices!B209</f>
        <v>0.4589955155663516</v>
      </c>
      <c r="R209" s="1">
        <f t="shared" ca="1" si="15"/>
        <v>0.4173496699131824</v>
      </c>
      <c r="S209" s="9">
        <f ca="1">IF(Prices!C208&lt;OFFSET(Prices!C208,-S$3,0),1,IF(Prices!C208&gt;OFFSET(Prices!C208,-S$3,0),-1,0))</f>
        <v>-1</v>
      </c>
      <c r="T209" s="1">
        <f ca="1">IF(S209=1,T$3*Q208/Prices!B208,T$3*R208*S209)</f>
        <v>-8.5173402023098442E-3</v>
      </c>
      <c r="V209" s="9"/>
      <c r="W209" s="1"/>
      <c r="X209" s="1"/>
      <c r="Y209" s="1"/>
      <c r="Z209" s="1"/>
      <c r="AA209" s="1"/>
      <c r="AB209" s="1"/>
      <c r="AC209" s="1"/>
      <c r="AD209" s="1"/>
      <c r="AE209" s="16"/>
    </row>
    <row r="210" spans="1:31" x14ac:dyDescent="0.2">
      <c r="A210" s="4">
        <v>33800</v>
      </c>
      <c r="B210" s="9">
        <f ca="1">Prices!B209*(1+J210/(50*(ABS(O210)+ABS(T210)+0.0001)))</f>
        <v>1.4192449304103907</v>
      </c>
      <c r="C210" s="13">
        <f t="shared" ca="1" si="16"/>
        <v>1</v>
      </c>
      <c r="D210" s="9">
        <f ca="1">D209+C210*(Prices!B210-Prices!B209)/Prices!B209</f>
        <v>-0.16792867963286429</v>
      </c>
      <c r="E210" s="9">
        <f t="shared" ca="1" si="17"/>
        <v>0.2040526308916106</v>
      </c>
      <c r="F210" s="9">
        <f t="shared" ca="1" si="18"/>
        <v>3.6123951258746317E-2</v>
      </c>
      <c r="G210" s="13">
        <f ca="1">IF((Prices!B210-Prices!B209)*B210&gt;0,1,0)</f>
        <v>1</v>
      </c>
      <c r="H210" s="9">
        <f>ABS(Prices!B210-Prices!B209)/Prices!B209</f>
        <v>5.6396344945745412E-3</v>
      </c>
      <c r="I210" s="13"/>
      <c r="J210" s="1">
        <f t="shared" ca="1" si="19"/>
        <v>3.236460824726041E-2</v>
      </c>
      <c r="K210" s="9"/>
      <c r="L210" s="9">
        <f ca="1">L209-O210*Prices!B210</f>
        <v>0.51293768261245121</v>
      </c>
      <c r="M210" s="1">
        <f t="shared" ref="M210:M273" ca="1" si="20">M209+O210</f>
        <v>0.37964215083371305</v>
      </c>
      <c r="N210" s="9">
        <f ca="1">IF(Prices!D209&gt;OFFSET(Prices!D209,-$N$3,0),1,IF(Prices!D209&lt;OFFSET(Prices!D209,-$N$3,0),-1,0))</f>
        <v>1</v>
      </c>
      <c r="O210" s="1">
        <f ca="1">IF(N210=1,O$3*L209/Prices!B209,O$3*M209*N210)</f>
        <v>4.0711601645524058E-2</v>
      </c>
      <c r="P210" s="14"/>
      <c r="Q210" s="9">
        <f ca="1">Q209-T210*Prices!B210</f>
        <v>0.47075392516648562</v>
      </c>
      <c r="R210" s="1">
        <f t="shared" ref="R210:R273" ca="1" si="21">R209+T210</f>
        <v>0.40900267651491873</v>
      </c>
      <c r="S210" s="9">
        <f ca="1">IF(Prices!C209&lt;OFFSET(Prices!C209,-S$3,0),1,IF(Prices!C209&gt;OFFSET(Prices!C209,-S$3,0),-1,0))</f>
        <v>-1</v>
      </c>
      <c r="T210" s="1">
        <f ca="1">IF(S210=1,T$3*Q209/Prices!B209,T$3*R209*S210)</f>
        <v>-8.3469933982636482E-3</v>
      </c>
      <c r="V210" s="9"/>
      <c r="W210" s="1"/>
      <c r="X210" s="1"/>
      <c r="Y210" s="1"/>
      <c r="Z210" s="1"/>
      <c r="AA210" s="1"/>
      <c r="AB210" s="1"/>
      <c r="AC210" s="1"/>
      <c r="AD210" s="1"/>
      <c r="AE210" s="16"/>
    </row>
    <row r="211" spans="1:31" x14ac:dyDescent="0.2">
      <c r="A211" s="4">
        <v>33801</v>
      </c>
      <c r="B211" s="9">
        <f ca="1">Prices!B210*(1+J211/(50*(ABS(O211)+ABS(T211)+0.0001)))</f>
        <v>1.3890050999159225</v>
      </c>
      <c r="C211" s="13">
        <f t="shared" ca="1" si="16"/>
        <v>-1</v>
      </c>
      <c r="D211" s="9">
        <f ca="1">D210+C211*(Prices!B211-Prices!B210)/Prices!B210</f>
        <v>-0.16870954142032782</v>
      </c>
      <c r="E211" s="9">
        <f t="shared" ca="1" si="17"/>
        <v>0.20483349267907414</v>
      </c>
      <c r="F211" s="9">
        <f t="shared" ca="1" si="18"/>
        <v>3.6123951258746317E-2</v>
      </c>
      <c r="G211" s="13">
        <f ca="1">IF((Prices!B211-Prices!B210)*B211&gt;0,1,0)</f>
        <v>1</v>
      </c>
      <c r="H211" s="9">
        <f>ABS(Prices!B211-Prices!B210)/Prices!B210</f>
        <v>7.8086178746353296E-4</v>
      </c>
      <c r="I211" s="13"/>
      <c r="J211" s="1">
        <f t="shared" ca="1" si="19"/>
        <v>-3.1280692329534635E-2</v>
      </c>
      <c r="K211" s="9"/>
      <c r="L211" s="9">
        <f ca="1">L210-O211*Prices!B211</f>
        <v>0.5664596330369881</v>
      </c>
      <c r="M211" s="1">
        <f t="shared" ca="1" si="20"/>
        <v>0.34167793575034178</v>
      </c>
      <c r="N211" s="9">
        <f ca="1">IF(Prices!D210&gt;OFFSET(Prices!D210,-$N$3,0),1,IF(Prices!D210&lt;OFFSET(Prices!D210,-$N$3,0),-1,0))</f>
        <v>-1</v>
      </c>
      <c r="O211" s="1">
        <f ca="1">IF(N211=1,O$3*L210/Prices!B210,O$3*M210*N211)</f>
        <v>-3.7964215083371305E-2</v>
      </c>
      <c r="P211" s="14"/>
      <c r="Q211" s="9">
        <f ca="1">Q210-T211*Prices!B211</f>
        <v>0.46133149478812668</v>
      </c>
      <c r="R211" s="1">
        <f t="shared" ca="1" si="21"/>
        <v>0.41568619926875539</v>
      </c>
      <c r="S211" s="9">
        <f ca="1">IF(Prices!C210&lt;OFFSET(Prices!C210,-S$3,0),1,IF(Prices!C210&gt;OFFSET(Prices!C210,-S$3,0),-1,0))</f>
        <v>1</v>
      </c>
      <c r="T211" s="1">
        <f ca="1">IF(S211=1,T$3*Q210/Prices!B210,T$3*R210*S211)</f>
        <v>6.6835227538366675E-3</v>
      </c>
      <c r="V211" s="9"/>
      <c r="W211" s="1"/>
      <c r="X211" s="1"/>
      <c r="Y211" s="1"/>
      <c r="Z211" s="1"/>
      <c r="AA211" s="1"/>
      <c r="AB211" s="1"/>
      <c r="AC211" s="1"/>
      <c r="AD211" s="1"/>
      <c r="AE211" s="16"/>
    </row>
    <row r="212" spans="1:31" x14ac:dyDescent="0.2">
      <c r="A212" s="4">
        <v>33802</v>
      </c>
      <c r="B212" s="9">
        <f ca="1">Prices!B211*(1+J212/(50*(ABS(O212)+ABS(T212)+0.0001)))</f>
        <v>1.3816702165221331</v>
      </c>
      <c r="C212" s="13">
        <f t="shared" ca="1" si="16"/>
        <v>-1</v>
      </c>
      <c r="D212" s="9">
        <f ca="1">D211+C212*(Prices!B212-Prices!B211)/Prices!B211</f>
        <v>-0.17729231911929222</v>
      </c>
      <c r="E212" s="9">
        <f t="shared" ca="1" si="17"/>
        <v>0.21341627037803854</v>
      </c>
      <c r="F212" s="9">
        <f t="shared" ca="1" si="18"/>
        <v>3.6123951258746317E-2</v>
      </c>
      <c r="G212" s="13">
        <f ca="1">IF((Prices!B212-Prices!B211)*B212&gt;0,1,0)</f>
        <v>1</v>
      </c>
      <c r="H212" s="9">
        <f>ABS(Prices!B212-Prices!B211)/Prices!B211</f>
        <v>8.5827776989643931E-3</v>
      </c>
      <c r="I212" s="13"/>
      <c r="J212" s="1">
        <f t="shared" ca="1" si="19"/>
        <v>-4.2481517560409292E-2</v>
      </c>
      <c r="K212" s="9"/>
      <c r="L212" s="9">
        <f ca="1">L211-O212*Prices!B212</f>
        <v>0.61504281872132915</v>
      </c>
      <c r="M212" s="1">
        <f t="shared" ca="1" si="20"/>
        <v>0.30751014217530759</v>
      </c>
      <c r="N212" s="9">
        <f ca="1">IF(Prices!D211&gt;OFFSET(Prices!D211,-$N$3,0),1,IF(Prices!D211&lt;OFFSET(Prices!D211,-$N$3,0),-1,0))</f>
        <v>-1</v>
      </c>
      <c r="O212" s="1">
        <f ca="1">IF(N212=1,O$3*L211/Prices!B211,O$3*M211*N212)</f>
        <v>-3.4167793575034182E-2</v>
      </c>
      <c r="P212" s="14"/>
      <c r="Q212" s="9">
        <f ca="1">Q211-T212*Prices!B212</f>
        <v>0.47315277892293156</v>
      </c>
      <c r="R212" s="1">
        <f t="shared" ca="1" si="21"/>
        <v>0.40737247528338028</v>
      </c>
      <c r="S212" s="9">
        <f ca="1">IF(Prices!C211&lt;OFFSET(Prices!C211,-S$3,0),1,IF(Prices!C211&gt;OFFSET(Prices!C211,-S$3,0),-1,0))</f>
        <v>-1</v>
      </c>
      <c r="T212" s="1">
        <f ca="1">IF(S212=1,T$3*Q211/Prices!B211,T$3*R211*S212)</f>
        <v>-8.3137239853751082E-3</v>
      </c>
      <c r="V212" s="9"/>
      <c r="W212" s="1"/>
      <c r="X212" s="1"/>
      <c r="Y212" s="1"/>
      <c r="Z212" s="1"/>
      <c r="AA212" s="1"/>
      <c r="AB212" s="1"/>
      <c r="AC212" s="1"/>
      <c r="AD212" s="1"/>
      <c r="AE212" s="16"/>
    </row>
    <row r="213" spans="1:31" x14ac:dyDescent="0.2">
      <c r="A213" s="4">
        <v>33805</v>
      </c>
      <c r="B213" s="9">
        <f ca="1">Prices!B212*(1+J213/(50*(ABS(O213)+ABS(T213)+0.0001)))</f>
        <v>1.4499170217764896</v>
      </c>
      <c r="C213" s="13">
        <f t="shared" ca="1" si="16"/>
        <v>1</v>
      </c>
      <c r="D213" s="9">
        <f ca="1">D212+C213*(Prices!B213-Prices!B212)/Prices!B212</f>
        <v>-0.19163931961159122</v>
      </c>
      <c r="E213" s="9">
        <f t="shared" ca="1" si="17"/>
        <v>0.22776327087033754</v>
      </c>
      <c r="F213" s="9">
        <f t="shared" ca="1" si="18"/>
        <v>3.6123951258746317E-2</v>
      </c>
      <c r="G213" s="13">
        <f ca="1">IF((Prices!B213-Prices!B212)*B213&gt;0,1,0)</f>
        <v>0</v>
      </c>
      <c r="H213" s="9">
        <f>ABS(Prices!B213-Prices!B212)/Prices!B212</f>
        <v>1.4347000492299018E-2</v>
      </c>
      <c r="I213" s="13"/>
      <c r="J213" s="1">
        <f t="shared" ca="1" si="19"/>
        <v>6.6552187766078007E-3</v>
      </c>
      <c r="K213" s="9"/>
      <c r="L213" s="9">
        <f ca="1">L212-O213*Prices!B213</f>
        <v>0.61504281872132915</v>
      </c>
      <c r="M213" s="1">
        <f t="shared" ca="1" si="20"/>
        <v>0.30751014217530759</v>
      </c>
      <c r="N213" s="9">
        <f ca="1">IF(Prices!D212&gt;OFFSET(Prices!D212,-$N$3,0),1,IF(Prices!D212&lt;OFFSET(Prices!D212,-$N$3,0),-1,0))</f>
        <v>0</v>
      </c>
      <c r="O213" s="1">
        <f ca="1">IF(N213=1,O$3*L212/Prices!B212,O$3*M212*N213)</f>
        <v>0</v>
      </c>
      <c r="P213" s="14"/>
      <c r="Q213" s="9">
        <f ca="1">Q212-T213*Prices!B213</f>
        <v>0.4638254898075157</v>
      </c>
      <c r="R213" s="1">
        <f t="shared" ca="1" si="21"/>
        <v>0.41402769405998807</v>
      </c>
      <c r="S213" s="9">
        <f ca="1">IF(Prices!C212&lt;OFFSET(Prices!C212,-S$3,0),1,IF(Prices!C212&gt;OFFSET(Prices!C212,-S$3,0),-1,0))</f>
        <v>1</v>
      </c>
      <c r="T213" s="1">
        <f ca="1">IF(S213=1,T$3*Q212/Prices!B212,T$3*R212*S213)</f>
        <v>6.6552187766078007E-3</v>
      </c>
      <c r="V213" s="9"/>
      <c r="W213" s="1"/>
      <c r="X213" s="1"/>
      <c r="Y213" s="1"/>
      <c r="Z213" s="1"/>
      <c r="AA213" s="1"/>
      <c r="AB213" s="1"/>
      <c r="AC213" s="1"/>
      <c r="AD213" s="1"/>
      <c r="AE213" s="16"/>
    </row>
    <row r="214" spans="1:31" x14ac:dyDescent="0.2">
      <c r="A214" s="4">
        <v>33806</v>
      </c>
      <c r="B214" s="9">
        <f ca="1">Prices!B213*(1+J214/(50*(ABS(O214)+ABS(T214)+0.0001)))</f>
        <v>1.4294746086810524</v>
      </c>
      <c r="C214" s="13">
        <f t="shared" ca="1" si="16"/>
        <v>1</v>
      </c>
      <c r="D214" s="9">
        <f ca="1">D213+C214*(Prices!B214-Prices!B213)/Prices!B213</f>
        <v>-0.1948501651342455</v>
      </c>
      <c r="E214" s="9">
        <f t="shared" ca="1" si="17"/>
        <v>0.23097411639299181</v>
      </c>
      <c r="F214" s="9">
        <f t="shared" ca="1" si="18"/>
        <v>3.6123951258746317E-2</v>
      </c>
      <c r="G214" s="13">
        <f ca="1">IF((Prices!B214-Prices!B213)*B214&gt;0,1,0)</f>
        <v>0</v>
      </c>
      <c r="H214" s="9">
        <f>ABS(Prices!B214-Prices!B213)/Prices!B213</f>
        <v>3.2108455226542622E-3</v>
      </c>
      <c r="I214" s="13"/>
      <c r="J214" s="1">
        <f t="shared" ca="1" si="19"/>
        <v>5.0503597337340868E-2</v>
      </c>
      <c r="K214" s="9"/>
      <c r="L214" s="9">
        <f ca="1">L213-O214*Prices!B214</f>
        <v>0.55373601759726943</v>
      </c>
      <c r="M214" s="1">
        <f t="shared" ca="1" si="20"/>
        <v>0.35139475285824223</v>
      </c>
      <c r="N214" s="9">
        <f ca="1">IF(Prices!D213&gt;OFFSET(Prices!D213,-$N$3,0),1,IF(Prices!D213&lt;OFFSET(Prices!D213,-$N$3,0),-1,0))</f>
        <v>1</v>
      </c>
      <c r="O214" s="1">
        <f ca="1">IF(N214=1,O$3*L213/Prices!B213,O$3*M213*N214)</f>
        <v>4.3884610682934651E-2</v>
      </c>
      <c r="P214" s="14"/>
      <c r="Q214" s="9">
        <f ca="1">Q213-T214*Prices!B214</f>
        <v>0.45457876545131021</v>
      </c>
      <c r="R214" s="1">
        <f t="shared" ca="1" si="21"/>
        <v>0.42064668071439432</v>
      </c>
      <c r="S214" s="9">
        <f ca="1">IF(Prices!C213&lt;OFFSET(Prices!C213,-S$3,0),1,IF(Prices!C213&gt;OFFSET(Prices!C213,-S$3,0),-1,0))</f>
        <v>1</v>
      </c>
      <c r="T214" s="1">
        <f ca="1">IF(S214=1,T$3*Q213/Prices!B213,T$3*R213*S214)</f>
        <v>6.6189866544062179E-3</v>
      </c>
      <c r="V214" s="9"/>
      <c r="W214" s="1"/>
      <c r="X214" s="1"/>
      <c r="Y214" s="1"/>
      <c r="Z214" s="1"/>
      <c r="AA214" s="1"/>
      <c r="AB214" s="1"/>
      <c r="AC214" s="1"/>
      <c r="AD214" s="1"/>
      <c r="AE214" s="16"/>
    </row>
    <row r="215" spans="1:31" x14ac:dyDescent="0.2">
      <c r="A215" s="4">
        <v>33807</v>
      </c>
      <c r="B215" s="9">
        <f ca="1">Prices!B214*(1+J215/(50*(ABS(O215)+ABS(T215)+0.0001)))</f>
        <v>1.3691240056315426</v>
      </c>
      <c r="C215" s="13">
        <f t="shared" ca="1" si="16"/>
        <v>-1</v>
      </c>
      <c r="D215" s="9">
        <f ca="1">D214+C215*(Prices!B215-Prices!B214)/Prices!B214</f>
        <v>-0.19527965690231988</v>
      </c>
      <c r="E215" s="9">
        <f t="shared" ca="1" si="17"/>
        <v>0.2314036081610662</v>
      </c>
      <c r="F215" s="9">
        <f t="shared" ca="1" si="18"/>
        <v>3.6123951258746317E-2</v>
      </c>
      <c r="G215" s="13">
        <f ca="1">IF((Prices!B215-Prices!B214)*B215&gt;0,1,0)</f>
        <v>1</v>
      </c>
      <c r="H215" s="9">
        <f>ABS(Prices!B215-Prices!B214)/Prices!B214</f>
        <v>4.2949176807439792E-4</v>
      </c>
      <c r="I215" s="13"/>
      <c r="J215" s="1">
        <f t="shared" ca="1" si="19"/>
        <v>-4.3552408900112111E-2</v>
      </c>
      <c r="K215" s="9"/>
      <c r="L215" s="9">
        <f ca="1">L214-O215*Prices!B215</f>
        <v>0.60284694825673735</v>
      </c>
      <c r="M215" s="1">
        <f t="shared" ca="1" si="20"/>
        <v>0.316255277572418</v>
      </c>
      <c r="N215" s="9">
        <f ca="1">IF(Prices!D214&gt;OFFSET(Prices!D214,-$N$3,0),1,IF(Prices!D214&lt;OFFSET(Prices!D214,-$N$3,0),-1,0))</f>
        <v>-1</v>
      </c>
      <c r="O215" s="1">
        <f ca="1">IF(N215=1,O$3*L214/Prices!B214,O$3*M214*N215)</f>
        <v>-3.5139475285824222E-2</v>
      </c>
      <c r="P215" s="14"/>
      <c r="Q215" s="9">
        <f ca="1">Q214-T215*Prices!B215</f>
        <v>0.46633668147063895</v>
      </c>
      <c r="R215" s="1">
        <f t="shared" ca="1" si="21"/>
        <v>0.41223374710010641</v>
      </c>
      <c r="S215" s="9">
        <f ca="1">IF(Prices!C214&lt;OFFSET(Prices!C214,-S$3,0),1,IF(Prices!C214&gt;OFFSET(Prices!C214,-S$3,0),-1,0))</f>
        <v>-1</v>
      </c>
      <c r="T215" s="1">
        <f ca="1">IF(S215=1,T$3*Q214/Prices!B214,T$3*R214*S215)</f>
        <v>-8.4129336142878871E-3</v>
      </c>
      <c r="V215" s="9"/>
      <c r="W215" s="1"/>
      <c r="X215" s="1"/>
      <c r="Y215" s="1"/>
      <c r="Z215" s="1"/>
      <c r="AA215" s="1"/>
      <c r="AB215" s="1"/>
      <c r="AC215" s="1"/>
      <c r="AD215" s="1"/>
      <c r="AE215" s="16"/>
    </row>
    <row r="216" spans="1:31" x14ac:dyDescent="0.2">
      <c r="A216" s="4">
        <v>33808</v>
      </c>
      <c r="B216" s="9">
        <f ca="1">Prices!B215*(1+J216/(50*(ABS(O216)+ABS(T216)+0.0001)))</f>
        <v>1.3697179320946915</v>
      </c>
      <c r="C216" s="13">
        <f t="shared" ca="1" si="16"/>
        <v>-1</v>
      </c>
      <c r="D216" s="9">
        <f ca="1">D215+C216*(Prices!B216-Prices!B215)/Prices!B215</f>
        <v>-0.19728309136139269</v>
      </c>
      <c r="E216" s="9">
        <f t="shared" ca="1" si="17"/>
        <v>0.233407042620139</v>
      </c>
      <c r="F216" s="9">
        <f t="shared" ca="1" si="18"/>
        <v>3.6123951258746317E-2</v>
      </c>
      <c r="G216" s="13">
        <f ca="1">IF((Prices!B216-Prices!B215)*B216&gt;0,1,0)</f>
        <v>1</v>
      </c>
      <c r="H216" s="9">
        <f>ABS(Prices!B216-Prices!B215)/Prices!B215</f>
        <v>2.0034344590727934E-3</v>
      </c>
      <c r="I216" s="13"/>
      <c r="J216" s="1">
        <f t="shared" ca="1" si="19"/>
        <v>-3.9870202699243934E-2</v>
      </c>
      <c r="K216" s="9"/>
      <c r="L216" s="9">
        <f ca="1">L215-O216*Prices!B216</f>
        <v>0.64713533732797879</v>
      </c>
      <c r="M216" s="1">
        <f t="shared" ca="1" si="20"/>
        <v>0.28462974981517619</v>
      </c>
      <c r="N216" s="9">
        <f ca="1">IF(Prices!D215&gt;OFFSET(Prices!D215,-$N$3,0),1,IF(Prices!D215&lt;OFFSET(Prices!D215,-$N$3,0),-1,0))</f>
        <v>-1</v>
      </c>
      <c r="O216" s="1">
        <f ca="1">IF(N216=1,O$3*L215/Prices!B215,O$3*M215*N216)</f>
        <v>-3.1625527757241804E-2</v>
      </c>
      <c r="P216" s="14"/>
      <c r="Q216" s="9">
        <f ca="1">Q215-T216*Prices!B216</f>
        <v>0.47788252425941874</v>
      </c>
      <c r="R216" s="1">
        <f t="shared" ca="1" si="21"/>
        <v>0.40398907215810426</v>
      </c>
      <c r="S216" s="9">
        <f ca="1">IF(Prices!C215&lt;OFFSET(Prices!C215,-S$3,0),1,IF(Prices!C215&gt;OFFSET(Prices!C215,-S$3,0),-1,0))</f>
        <v>-1</v>
      </c>
      <c r="T216" s="1">
        <f ca="1">IF(S216=1,T$3*Q215/Prices!B215,T$3*R215*S216)</f>
        <v>-8.2446749420021278E-3</v>
      </c>
      <c r="V216" s="9"/>
      <c r="W216" s="1"/>
      <c r="X216" s="1"/>
      <c r="Y216" s="1"/>
      <c r="Z216" s="1"/>
      <c r="AA216" s="1"/>
      <c r="AB216" s="1"/>
      <c r="AC216" s="1"/>
      <c r="AD216" s="1"/>
      <c r="AE216" s="16"/>
    </row>
    <row r="217" spans="1:31" x14ac:dyDescent="0.2">
      <c r="A217" s="4">
        <v>33809</v>
      </c>
      <c r="B217" s="9">
        <f ca="1">Prices!B216*(1+J217/(50*(ABS(O217)+ABS(T217)+0.0001)))</f>
        <v>1.3724684352978129</v>
      </c>
      <c r="C217" s="13">
        <f t="shared" ca="1" si="16"/>
        <v>-1</v>
      </c>
      <c r="D217" s="9">
        <f ca="1">D216+C217*(Prices!B217-Prices!B216)/Prices!B216</f>
        <v>-0.18785721304091274</v>
      </c>
      <c r="E217" s="9">
        <f t="shared" ca="1" si="17"/>
        <v>0.22398116429965906</v>
      </c>
      <c r="F217" s="9">
        <f t="shared" ca="1" si="18"/>
        <v>3.6123951258746317E-2</v>
      </c>
      <c r="G217" s="13">
        <f ca="1">IF((Prices!B217-Prices!B216)*B217&gt;0,1,0)</f>
        <v>0</v>
      </c>
      <c r="H217" s="9">
        <f>ABS(Prices!B217-Prices!B216)/Prices!B216</f>
        <v>9.4258783204799346E-3</v>
      </c>
      <c r="I217" s="13"/>
      <c r="J217" s="1">
        <f t="shared" ca="1" si="19"/>
        <v>-3.6542756424679704E-2</v>
      </c>
      <c r="K217" s="9"/>
      <c r="L217" s="9">
        <f ca="1">L216-O217*Prices!B217</f>
        <v>0.68661917622234003</v>
      </c>
      <c r="M217" s="1">
        <f t="shared" ca="1" si="20"/>
        <v>0.25616677483365857</v>
      </c>
      <c r="N217" s="9">
        <f ca="1">IF(Prices!D216&gt;OFFSET(Prices!D216,-$N$3,0),1,IF(Prices!D216&lt;OFFSET(Prices!D216,-$N$3,0),-1,0))</f>
        <v>-1</v>
      </c>
      <c r="O217" s="1">
        <f ca="1">IF(N217=1,O$3*L216/Prices!B216,O$3*M216*N217)</f>
        <v>-2.8462974981517619E-2</v>
      </c>
      <c r="P217" s="14"/>
      <c r="Q217" s="9">
        <f ca="1">Q216-T217*Prices!B217</f>
        <v>0.48909079707737318</v>
      </c>
      <c r="R217" s="1">
        <f t="shared" ca="1" si="21"/>
        <v>0.39590929071494219</v>
      </c>
      <c r="S217" s="9">
        <f ca="1">IF(Prices!C216&lt;OFFSET(Prices!C216,-S$3,0),1,IF(Prices!C216&gt;OFFSET(Prices!C216,-S$3,0),-1,0))</f>
        <v>-1</v>
      </c>
      <c r="T217" s="1">
        <f ca="1">IF(S217=1,T$3*Q216/Prices!B216,T$3*R216*S217)</f>
        <v>-8.0797814431620846E-3</v>
      </c>
      <c r="V217" s="9"/>
      <c r="W217" s="1"/>
      <c r="X217" s="1"/>
      <c r="Y217" s="1"/>
      <c r="Z217" s="1"/>
      <c r="AA217" s="1"/>
      <c r="AB217" s="1"/>
      <c r="AC217" s="1"/>
      <c r="AD217" s="1"/>
      <c r="AE217" s="16"/>
    </row>
    <row r="218" spans="1:31" x14ac:dyDescent="0.2">
      <c r="A218" s="4">
        <v>33812</v>
      </c>
      <c r="B218" s="9">
        <f ca="1">Prices!B217*(1+J218/(50*(ABS(O218)+ABS(T218)+0.0001)))</f>
        <v>1.3595384858414155</v>
      </c>
      <c r="C218" s="13">
        <f t="shared" ca="1" si="16"/>
        <v>-1</v>
      </c>
      <c r="D218" s="9">
        <f ca="1">D217+C218*(Prices!B218-Prices!B217)/Prices!B217</f>
        <v>-0.20018420266028999</v>
      </c>
      <c r="E218" s="9">
        <f t="shared" ca="1" si="17"/>
        <v>0.23630815391903631</v>
      </c>
      <c r="F218" s="9">
        <f t="shared" ca="1" si="18"/>
        <v>3.6123951258746317E-2</v>
      </c>
      <c r="G218" s="13">
        <f ca="1">IF((Prices!B218-Prices!B217)*B218&gt;0,1,0)</f>
        <v>1</v>
      </c>
      <c r="H218" s="9">
        <f>ABS(Prices!B218-Prices!B217)/Prices!B217</f>
        <v>1.2326989619377246E-2</v>
      </c>
      <c r="I218" s="13"/>
      <c r="J218" s="1">
        <f t="shared" ca="1" si="19"/>
        <v>-3.3534863297664703E-2</v>
      </c>
      <c r="K218" s="9"/>
      <c r="L218" s="9">
        <f ca="1">L217-O218*Prices!B218</f>
        <v>0.72259267641223068</v>
      </c>
      <c r="M218" s="1">
        <f t="shared" ca="1" si="20"/>
        <v>0.23055009735029272</v>
      </c>
      <c r="N218" s="9">
        <f ca="1">IF(Prices!D217&gt;OFFSET(Prices!D217,-$N$3,0),1,IF(Prices!D217&lt;OFFSET(Prices!D217,-$N$3,0),-1,0))</f>
        <v>-1</v>
      </c>
      <c r="O218" s="1">
        <f ca="1">IF(N218=1,O$3*L217/Prices!B217,O$3*M217*N218)</f>
        <v>-2.5616677483365859E-2</v>
      </c>
      <c r="P218" s="14"/>
      <c r="Q218" s="9">
        <f ca="1">Q217-T218*Prices!B218</f>
        <v>0.500210305416393</v>
      </c>
      <c r="R218" s="1">
        <f t="shared" ca="1" si="21"/>
        <v>0.38799110490064337</v>
      </c>
      <c r="S218" s="9">
        <f ca="1">IF(Prices!C217&lt;OFFSET(Prices!C217,-S$3,0),1,IF(Prices!C217&gt;OFFSET(Prices!C217,-S$3,0),-1,0))</f>
        <v>-1</v>
      </c>
      <c r="T218" s="1">
        <f ca="1">IF(S218=1,T$3*Q217/Prices!B217,T$3*R217*S218)</f>
        <v>-7.9181858142988431E-3</v>
      </c>
      <c r="V218" s="9"/>
      <c r="W218" s="1"/>
      <c r="X218" s="1"/>
      <c r="Y218" s="1"/>
      <c r="Z218" s="1"/>
      <c r="AA218" s="1"/>
      <c r="AB218" s="1"/>
      <c r="AC218" s="1"/>
      <c r="AD218" s="1"/>
      <c r="AE218" s="16"/>
    </row>
    <row r="219" spans="1:31" x14ac:dyDescent="0.2">
      <c r="A219" s="4">
        <v>33813</v>
      </c>
      <c r="B219" s="9">
        <f ca="1">Prices!B218*(1+J219/(50*(ABS(O219)+ABS(T219)+0.0001)))</f>
        <v>1.3763048495965682</v>
      </c>
      <c r="C219" s="13">
        <f t="shared" ca="1" si="16"/>
        <v>-1</v>
      </c>
      <c r="D219" s="9">
        <f ca="1">D218+C219*(Prices!B219-Prices!B218)/Prices!B218</f>
        <v>-0.20481284326414953</v>
      </c>
      <c r="E219" s="9">
        <f t="shared" ca="1" si="17"/>
        <v>0.24093679452289585</v>
      </c>
      <c r="F219" s="9">
        <f t="shared" ca="1" si="18"/>
        <v>3.6123951258746317E-2</v>
      </c>
      <c r="G219" s="13">
        <f ca="1">IF((Prices!B219-Prices!B218)*B219&gt;0,1,0)</f>
        <v>1</v>
      </c>
      <c r="H219" s="9">
        <f>ABS(Prices!B219-Prices!B218)/Prices!B218</f>
        <v>4.6286406038595386E-3</v>
      </c>
      <c r="I219" s="13"/>
      <c r="J219" s="1">
        <f t="shared" ca="1" si="19"/>
        <v>-3.0814831833042143E-2</v>
      </c>
      <c r="K219" s="9"/>
      <c r="L219" s="9">
        <f ca="1">L218-O219*Prices!B219</f>
        <v>0.75511868414641004</v>
      </c>
      <c r="M219" s="1">
        <f t="shared" ca="1" si="20"/>
        <v>0.20749508761526345</v>
      </c>
      <c r="N219" s="9">
        <f ca="1">IF(Prices!D218&gt;OFFSET(Prices!D218,-$N$3,0),1,IF(Prices!D218&lt;OFFSET(Prices!D218,-$N$3,0),-1,0))</f>
        <v>-1</v>
      </c>
      <c r="O219" s="1">
        <f ca="1">IF(N219=1,O$3*L218/Prices!B218,O$3*M218*N219)</f>
        <v>-2.3055009735029275E-2</v>
      </c>
      <c r="P219" s="14"/>
      <c r="Q219" s="9">
        <f ca="1">Q218-T219*Prices!B219</f>
        <v>0.51115786243226957</v>
      </c>
      <c r="R219" s="1">
        <f t="shared" ca="1" si="21"/>
        <v>0.38023128280263052</v>
      </c>
      <c r="S219" s="9">
        <f ca="1">IF(Prices!C218&lt;OFFSET(Prices!C218,-S$3,0),1,IF(Prices!C218&gt;OFFSET(Prices!C218,-S$3,0),-1,0))</f>
        <v>-1</v>
      </c>
      <c r="T219" s="1">
        <f ca="1">IF(S219=1,T$3*Q218/Prices!B218,T$3*R218*S219)</f>
        <v>-7.7598220980128673E-3</v>
      </c>
      <c r="V219" s="9"/>
      <c r="W219" s="1"/>
      <c r="X219" s="1"/>
      <c r="Y219" s="1"/>
      <c r="Z219" s="1"/>
      <c r="AA219" s="1"/>
      <c r="AB219" s="1"/>
      <c r="AC219" s="1"/>
      <c r="AD219" s="1"/>
      <c r="AE219" s="16"/>
    </row>
    <row r="220" spans="1:31" x14ac:dyDescent="0.2">
      <c r="A220" s="4">
        <v>33814</v>
      </c>
      <c r="B220" s="9">
        <f ca="1">Prices!B219*(1+J220/(50*(ABS(O220)+ABS(T220)+0.0001)))</f>
        <v>1.3826831630937912</v>
      </c>
      <c r="C220" s="13">
        <f t="shared" ca="1" si="16"/>
        <v>-1</v>
      </c>
      <c r="D220" s="9">
        <f ca="1">D219+C220*(Prices!B220-Prices!B219)/Prices!B219</f>
        <v>-0.20233198134183591</v>
      </c>
      <c r="E220" s="9">
        <f t="shared" ca="1" si="17"/>
        <v>0.23845593260058223</v>
      </c>
      <c r="F220" s="9">
        <f t="shared" ca="1" si="18"/>
        <v>3.6123951258746317E-2</v>
      </c>
      <c r="G220" s="13">
        <f ca="1">IF((Prices!B220-Prices!B219)*B220&gt;0,1,0)</f>
        <v>0</v>
      </c>
      <c r="H220" s="9">
        <f>ABS(Prices!B220-Prices!B219)/Prices!B219</f>
        <v>2.4808619223136226E-3</v>
      </c>
      <c r="I220" s="13"/>
      <c r="J220" s="1">
        <f t="shared" ca="1" si="19"/>
        <v>-2.8354134417578957E-2</v>
      </c>
      <c r="K220" s="9"/>
      <c r="L220" s="9">
        <f ca="1">L219-O220*Prices!B220</f>
        <v>0.78431946782650608</v>
      </c>
      <c r="M220" s="1">
        <f t="shared" ca="1" si="20"/>
        <v>0.1867455788537371</v>
      </c>
      <c r="N220" s="9">
        <f ca="1">IF(Prices!D219&gt;OFFSET(Prices!D219,-$N$3,0),1,IF(Prices!D219&lt;OFFSET(Prices!D219,-$N$3,0),-1,0))</f>
        <v>-1</v>
      </c>
      <c r="O220" s="1">
        <f ca="1">IF(N220=1,O$3*L219/Prices!B219,O$3*M219*N220)</f>
        <v>-2.0749508761526345E-2</v>
      </c>
      <c r="P220" s="14"/>
      <c r="Q220" s="9">
        <f ca="1">Q219-T220*Prices!B220</f>
        <v>0.52185985211803243</v>
      </c>
      <c r="R220" s="1">
        <f t="shared" ca="1" si="21"/>
        <v>0.37262665714657789</v>
      </c>
      <c r="S220" s="9">
        <f ca="1">IF(Prices!C219&lt;OFFSET(Prices!C219,-S$3,0),1,IF(Prices!C219&gt;OFFSET(Prices!C219,-S$3,0),-1,0))</f>
        <v>-1</v>
      </c>
      <c r="T220" s="1">
        <f ca="1">IF(S220=1,T$3*Q219/Prices!B219,T$3*R219*S220)</f>
        <v>-7.6046256560526109E-3</v>
      </c>
      <c r="V220" s="9"/>
      <c r="W220" s="1"/>
      <c r="X220" s="1"/>
      <c r="Y220" s="1"/>
      <c r="Z220" s="1"/>
      <c r="AA220" s="1"/>
      <c r="AB220" s="1"/>
      <c r="AC220" s="1"/>
      <c r="AD220" s="1"/>
      <c r="AE220" s="16"/>
    </row>
    <row r="221" spans="1:31" x14ac:dyDescent="0.2">
      <c r="A221" s="4">
        <v>33815</v>
      </c>
      <c r="B221" s="9">
        <f ca="1">Prices!B220*(1+J221/(50*(ABS(O221)+ABS(T221)+0.0001)))</f>
        <v>1.3792613165147047</v>
      </c>
      <c r="C221" s="13">
        <f t="shared" ca="1" si="16"/>
        <v>-1</v>
      </c>
      <c r="D221" s="9">
        <f ca="1">D220+C221*(Prices!B221-Prices!B220)/Prices!B220</f>
        <v>-0.20005812360006081</v>
      </c>
      <c r="E221" s="9">
        <f t="shared" ca="1" si="17"/>
        <v>0.23618207485880713</v>
      </c>
      <c r="F221" s="9">
        <f t="shared" ca="1" si="18"/>
        <v>3.6123951258746317E-2</v>
      </c>
      <c r="G221" s="13">
        <f ca="1">IF((Prices!B221-Prices!B220)*B221&gt;0,1,0)</f>
        <v>0</v>
      </c>
      <c r="H221" s="9">
        <f>ABS(Prices!B221-Prices!B220)/Prices!B220</f>
        <v>2.2738577417750951E-3</v>
      </c>
      <c r="I221" s="13"/>
      <c r="J221" s="1">
        <f t="shared" ca="1" si="19"/>
        <v>-2.6127091028305266E-2</v>
      </c>
      <c r="K221" s="9"/>
      <c r="L221" s="9">
        <f ca="1">L220-O221*Prices!B221</f>
        <v>0.81054041455335935</v>
      </c>
      <c r="M221" s="1">
        <f t="shared" ca="1" si="20"/>
        <v>0.1680710209683634</v>
      </c>
      <c r="N221" s="9">
        <f ca="1">IF(Prices!D220&gt;OFFSET(Prices!D220,-$N$3,0),1,IF(Prices!D220&lt;OFFSET(Prices!D220,-$N$3,0),-1,0))</f>
        <v>-1</v>
      </c>
      <c r="O221" s="1">
        <f ca="1">IF(N221=1,O$3*L220/Prices!B220,O$3*M220*N221)</f>
        <v>-1.867455788537371E-2</v>
      </c>
      <c r="P221" s="14"/>
      <c r="Q221" s="9">
        <f ca="1">Q220-T221*Prices!B221</f>
        <v>0.53232395390402265</v>
      </c>
      <c r="R221" s="1">
        <f t="shared" ca="1" si="21"/>
        <v>0.36517412400364635</v>
      </c>
      <c r="S221" s="9">
        <f ca="1">IF(Prices!C220&lt;OFFSET(Prices!C220,-S$3,0),1,IF(Prices!C220&gt;OFFSET(Prices!C220,-S$3,0),-1,0))</f>
        <v>-1</v>
      </c>
      <c r="T221" s="1">
        <f ca="1">IF(S221=1,T$3*Q220/Prices!B220,T$3*R220*S221)</f>
        <v>-7.452533142931558E-3</v>
      </c>
      <c r="V221" s="9"/>
      <c r="W221" s="1"/>
      <c r="X221" s="1"/>
      <c r="Y221" s="1"/>
      <c r="Z221" s="1"/>
      <c r="AA221" s="1"/>
      <c r="AB221" s="1"/>
      <c r="AC221" s="1"/>
      <c r="AD221" s="1"/>
      <c r="AE221" s="16"/>
    </row>
    <row r="222" spans="1:31" x14ac:dyDescent="0.2">
      <c r="A222" s="4">
        <v>33816</v>
      </c>
      <c r="B222" s="9">
        <f ca="1">Prices!B221*(1+J222/(50*(ABS(O222)+ABS(T222)+0.0001)))</f>
        <v>1.4321390671420999</v>
      </c>
      <c r="C222" s="13">
        <f t="shared" ca="1" si="16"/>
        <v>1</v>
      </c>
      <c r="D222" s="9">
        <f ca="1">D221+C222*(Prices!B222-Prices!B221)/Prices!B221</f>
        <v>-0.1944317437125884</v>
      </c>
      <c r="E222" s="9">
        <f t="shared" ca="1" si="17"/>
        <v>0.23055569497133471</v>
      </c>
      <c r="F222" s="9">
        <f t="shared" ca="1" si="18"/>
        <v>3.6123951258746317E-2</v>
      </c>
      <c r="G222" s="13">
        <f ca="1">IF((Prices!B222-Prices!B221)*B222&gt;0,1,0)</f>
        <v>1</v>
      </c>
      <c r="H222" s="9">
        <f>ABS(Prices!B222-Prices!B221)/Prices!B221</f>
        <v>5.6263798874724158E-3</v>
      </c>
      <c r="I222" s="13"/>
      <c r="J222" s="1">
        <f t="shared" ca="1" si="19"/>
        <v>6.5309109417716976E-2</v>
      </c>
      <c r="K222" s="9"/>
      <c r="L222" s="9">
        <f ca="1">L221-O222*Prices!B222</f>
        <v>0.72903033226938074</v>
      </c>
      <c r="M222" s="1">
        <f t="shared" ca="1" si="20"/>
        <v>0.22579770813831992</v>
      </c>
      <c r="N222" s="9">
        <f ca="1">IF(Prices!D221&gt;OFFSET(Prices!D221,-$N$3,0),1,IF(Prices!D221&lt;OFFSET(Prices!D221,-$N$3,0),-1,0))</f>
        <v>1</v>
      </c>
      <c r="O222" s="1">
        <f ca="1">IF(N222=1,O$3*L221/Prices!B221,O$3*M221*N222)</f>
        <v>5.772668716995652E-2</v>
      </c>
      <c r="P222" s="14"/>
      <c r="Q222" s="9">
        <f ca="1">Q221-T222*Prices!B222</f>
        <v>0.52161757369018491</v>
      </c>
      <c r="R222" s="1">
        <f t="shared" ca="1" si="21"/>
        <v>0.37275654625140681</v>
      </c>
      <c r="S222" s="9">
        <f ca="1">IF(Prices!C221&lt;OFFSET(Prices!C221,-S$3,0),1,IF(Prices!C221&gt;OFFSET(Prices!C221,-S$3,0),-1,0))</f>
        <v>1</v>
      </c>
      <c r="T222" s="1">
        <f ca="1">IF(S222=1,T$3*Q221/Prices!B221,T$3*R221*S222)</f>
        <v>7.5824222477604546E-3</v>
      </c>
      <c r="V222" s="9"/>
      <c r="W222" s="1"/>
      <c r="X222" s="1"/>
      <c r="Y222" s="1"/>
      <c r="Z222" s="1"/>
      <c r="AA222" s="1"/>
      <c r="AB222" s="1"/>
      <c r="AC222" s="1"/>
      <c r="AD222" s="1"/>
      <c r="AE222" s="16"/>
    </row>
    <row r="223" spans="1:31" x14ac:dyDescent="0.2">
      <c r="A223" s="4">
        <v>33819</v>
      </c>
      <c r="B223" s="9">
        <f ca="1">Prices!B222*(1+J223/(50*(ABS(O223)+ABS(T223)+0.0001)))</f>
        <v>1.4401922322575331</v>
      </c>
      <c r="C223" s="13">
        <f t="shared" ca="1" si="16"/>
        <v>1</v>
      </c>
      <c r="D223" s="9">
        <f ca="1">D222+C223*(Prices!B223-Prices!B222)/Prices!B222</f>
        <v>-0.19598981736697932</v>
      </c>
      <c r="E223" s="9">
        <f t="shared" ca="1" si="17"/>
        <v>0.23211376862572564</v>
      </c>
      <c r="F223" s="9">
        <f t="shared" ca="1" si="18"/>
        <v>3.6123951258746317E-2</v>
      </c>
      <c r="G223" s="13">
        <f ca="1">IF((Prices!B223-Prices!B222)*B223&gt;0,1,0)</f>
        <v>0</v>
      </c>
      <c r="H223" s="9">
        <f>ABS(Prices!B223-Prices!B222)/Prices!B222</f>
        <v>1.5580736543909207E-3</v>
      </c>
      <c r="I223" s="13"/>
      <c r="J223" s="1">
        <f t="shared" ca="1" si="19"/>
        <v>5.9019394263981423E-2</v>
      </c>
      <c r="K223" s="9"/>
      <c r="L223" s="9">
        <f ca="1">L222-O223*Prices!B223</f>
        <v>0.6562408873378387</v>
      </c>
      <c r="M223" s="1">
        <f t="shared" ca="1" si="20"/>
        <v>0.2774287515001741</v>
      </c>
      <c r="N223" s="9">
        <f ca="1">IF(Prices!D222&gt;OFFSET(Prices!D222,-$N$3,0),1,IF(Prices!D222&lt;OFFSET(Prices!D222,-$N$3,0),-1,0))</f>
        <v>1</v>
      </c>
      <c r="O223" s="1">
        <f ca="1">IF(N223=1,O$3*L222/Prices!B222,O$3*M222*N223)</f>
        <v>5.1631043361854159E-2</v>
      </c>
      <c r="P223" s="14"/>
      <c r="Q223" s="9">
        <f ca="1">Q222-T223*Prices!B223</f>
        <v>0.5112014765883659</v>
      </c>
      <c r="R223" s="1">
        <f t="shared" ca="1" si="21"/>
        <v>0.38014489715353406</v>
      </c>
      <c r="S223" s="9">
        <f ca="1">IF(Prices!C222&lt;OFFSET(Prices!C222,-S$3,0),1,IF(Prices!C222&gt;OFFSET(Prices!C222,-S$3,0),-1,0))</f>
        <v>1</v>
      </c>
      <c r="T223" s="1">
        <f ca="1">IF(S223=1,T$3*Q222/Prices!B222,T$3*R222*S223)</f>
        <v>7.3883509021272662E-3</v>
      </c>
      <c r="V223" s="9"/>
      <c r="W223" s="1"/>
      <c r="X223" s="1"/>
      <c r="Y223" s="1"/>
      <c r="Z223" s="1"/>
      <c r="AA223" s="1"/>
      <c r="AB223" s="1"/>
      <c r="AC223" s="1"/>
      <c r="AD223" s="1"/>
      <c r="AE223" s="16"/>
    </row>
    <row r="224" spans="1:31" x14ac:dyDescent="0.2">
      <c r="A224" s="4">
        <v>33820</v>
      </c>
      <c r="B224" s="9">
        <f ca="1">Prices!B223*(1+J224/(50*(ABS(O224)+ABS(T224)+0.0001)))</f>
        <v>1.4379436889162955</v>
      </c>
      <c r="C224" s="13">
        <f t="shared" ca="1" si="16"/>
        <v>1</v>
      </c>
      <c r="D224" s="9">
        <f ca="1">D223+C224*(Prices!B224-Prices!B223)/Prices!B223</f>
        <v>-0.19414558414240835</v>
      </c>
      <c r="E224" s="9">
        <f t="shared" ca="1" si="17"/>
        <v>0.23026953540115466</v>
      </c>
      <c r="F224" s="9">
        <f t="shared" ca="1" si="18"/>
        <v>3.6123951258746317E-2</v>
      </c>
      <c r="G224" s="13">
        <f ca="1">IF((Prices!B224-Prices!B223)*B224&gt;0,1,0)</f>
        <v>1</v>
      </c>
      <c r="H224" s="9">
        <f>ABS(Prices!B224-Prices!B223)/Prices!B223</f>
        <v>1.8442332245709732E-3</v>
      </c>
      <c r="I224" s="13"/>
      <c r="J224" s="1">
        <f t="shared" ca="1" si="19"/>
        <v>5.3800622971734428E-2</v>
      </c>
      <c r="K224" s="9"/>
      <c r="L224" s="9">
        <f ca="1">L223-O224*Prices!B224</f>
        <v>0.59049577247927976</v>
      </c>
      <c r="M224" s="1">
        <f t="shared" ca="1" si="20"/>
        <v>0.32397726102903202</v>
      </c>
      <c r="N224" s="9">
        <f ca="1">IF(Prices!D223&gt;OFFSET(Prices!D223,-$N$3,0),1,IF(Prices!D223&lt;OFFSET(Prices!D223,-$N$3,0),-1,0))</f>
        <v>1</v>
      </c>
      <c r="O224" s="1">
        <f ca="1">IF(N224=1,O$3*L223/Prices!B223,O$3*M223*N224)</f>
        <v>4.6548509528857911E-2</v>
      </c>
      <c r="P224" s="14"/>
      <c r="Q224" s="9">
        <f ca="1">Q223-T224*Prices!B224</f>
        <v>0.50095859156164713</v>
      </c>
      <c r="R224" s="1">
        <f t="shared" ca="1" si="21"/>
        <v>0.38739701059641057</v>
      </c>
      <c r="S224" s="9">
        <f ca="1">IF(Prices!C223&lt;OFFSET(Prices!C223,-S$3,0),1,IF(Prices!C223&gt;OFFSET(Prices!C223,-S$3,0),-1,0))</f>
        <v>1</v>
      </c>
      <c r="T224" s="1">
        <f ca="1">IF(S224=1,T$3*Q223/Prices!B223,T$3*R223*S224)</f>
        <v>7.2521134428765203E-3</v>
      </c>
      <c r="V224" s="9"/>
      <c r="W224" s="1"/>
      <c r="X224" s="1"/>
      <c r="Y224" s="1"/>
      <c r="Z224" s="1"/>
      <c r="AA224" s="1"/>
      <c r="AB224" s="1"/>
      <c r="AC224" s="1"/>
      <c r="AD224" s="1"/>
      <c r="AE224" s="16"/>
    </row>
    <row r="225" spans="1:31" x14ac:dyDescent="0.2">
      <c r="A225" s="4">
        <v>33821</v>
      </c>
      <c r="B225" s="9">
        <f ca="1">Prices!B224*(1+J225/(50*(ABS(O225)+ABS(T225)+0.0001)))</f>
        <v>1.3943459105711713</v>
      </c>
      <c r="C225" s="13">
        <f t="shared" ca="1" si="16"/>
        <v>-1</v>
      </c>
      <c r="D225" s="9">
        <f ca="1">D224+C225*(Prices!B225-Prices!B224)/Prices!B224</f>
        <v>-0.19258795174365431</v>
      </c>
      <c r="E225" s="9">
        <f t="shared" ca="1" si="17"/>
        <v>0.22871190300240063</v>
      </c>
      <c r="F225" s="9">
        <f t="shared" ca="1" si="18"/>
        <v>3.6123951258746317E-2</v>
      </c>
      <c r="G225" s="13">
        <f ca="1">IF((Prices!B225-Prices!B224)*B225&gt;0,1,0)</f>
        <v>0</v>
      </c>
      <c r="H225" s="9">
        <f>ABS(Prices!B225-Prices!B224)/Prices!B224</f>
        <v>1.5576323987540369E-3</v>
      </c>
      <c r="I225" s="13"/>
      <c r="J225" s="1">
        <f t="shared" ca="1" si="19"/>
        <v>-2.5304004896989196E-2</v>
      </c>
      <c r="K225" s="9"/>
      <c r="L225" s="9">
        <f ca="1">L224-O225*Prices!B225</f>
        <v>0.63618304582959384</v>
      </c>
      <c r="M225" s="1">
        <f t="shared" ca="1" si="20"/>
        <v>0.29157953492612881</v>
      </c>
      <c r="N225" s="9">
        <f ca="1">IF(Prices!D224&gt;OFFSET(Prices!D224,-$N$3,0),1,IF(Prices!D224&lt;OFFSET(Prices!D224,-$N$3,0),-1,0))</f>
        <v>-1</v>
      </c>
      <c r="O225" s="1">
        <f ca="1">IF(N225=1,O$3*L224/Prices!B224,O$3*M224*N225)</f>
        <v>-3.2397726102903202E-2</v>
      </c>
      <c r="P225" s="14"/>
      <c r="Q225" s="9">
        <f ca="1">Q224-T225*Prices!B225</f>
        <v>0.49095502591706719</v>
      </c>
      <c r="R225" s="1">
        <f t="shared" ca="1" si="21"/>
        <v>0.39449073180232458</v>
      </c>
      <c r="S225" s="9">
        <f ca="1">IF(Prices!C224&lt;OFFSET(Prices!C224,-S$3,0),1,IF(Prices!C224&gt;OFFSET(Prices!C224,-S$3,0),-1,0))</f>
        <v>1</v>
      </c>
      <c r="T225" s="1">
        <f ca="1">IF(S225=1,T$3*Q224/Prices!B224,T$3*R224*S225)</f>
        <v>7.0937212059140053E-3</v>
      </c>
      <c r="V225" s="9"/>
      <c r="W225" s="1"/>
      <c r="X225" s="1"/>
      <c r="Y225" s="1"/>
      <c r="Z225" s="1"/>
      <c r="AA225" s="1"/>
      <c r="AB225" s="1"/>
      <c r="AC225" s="1"/>
      <c r="AD225" s="1"/>
      <c r="AE225" s="16"/>
    </row>
    <row r="226" spans="1:31" x14ac:dyDescent="0.2">
      <c r="A226" s="4">
        <v>33822</v>
      </c>
      <c r="B226" s="9">
        <f ca="1">Prices!B225*(1+J226/(50*(ABS(O226)+ABS(T226)+0.0001)))</f>
        <v>1.3820719238075954</v>
      </c>
      <c r="C226" s="13">
        <f t="shared" ca="1" si="16"/>
        <v>-1</v>
      </c>
      <c r="D226" s="9">
        <f ca="1">D225+C226*(Prices!B226-Prices!B225)/Prices!B225</f>
        <v>-0.18882961959218653</v>
      </c>
      <c r="E226" s="9">
        <f t="shared" ca="1" si="17"/>
        <v>0.22495357085093284</v>
      </c>
      <c r="F226" s="9">
        <f t="shared" ca="1" si="18"/>
        <v>3.6123951258746317E-2</v>
      </c>
      <c r="G226" s="13">
        <f ca="1">IF((Prices!B226-Prices!B225)*B226&gt;0,1,0)</f>
        <v>0</v>
      </c>
      <c r="H226" s="9">
        <f>ABS(Prices!B226-Prices!B225)/Prices!B225</f>
        <v>3.7583321514677781E-3</v>
      </c>
      <c r="I226" s="13"/>
      <c r="J226" s="1">
        <f t="shared" ca="1" si="19"/>
        <v>-3.704776812865937E-2</v>
      </c>
      <c r="K226" s="9"/>
      <c r="L226" s="9">
        <f ca="1">L225-O226*Prices!B226</f>
        <v>0.67714705469136571</v>
      </c>
      <c r="M226" s="1">
        <f t="shared" ca="1" si="20"/>
        <v>0.2624215814335159</v>
      </c>
      <c r="N226" s="9">
        <f ca="1">IF(Prices!D225&gt;OFFSET(Prices!D225,-$N$3,0),1,IF(Prices!D225&lt;OFFSET(Prices!D225,-$N$3,0),-1,0))</f>
        <v>-1</v>
      </c>
      <c r="O226" s="1">
        <f ca="1">IF(N226=1,O$3*L225/Prices!B225,O$3*M225*N226)</f>
        <v>-2.9157953492612881E-2</v>
      </c>
      <c r="P226" s="14"/>
      <c r="Q226" s="9">
        <f ca="1">Q225-T226*Prices!B226</f>
        <v>0.50203942649924893</v>
      </c>
      <c r="R226" s="1">
        <f t="shared" ca="1" si="21"/>
        <v>0.38660091716627809</v>
      </c>
      <c r="S226" s="9">
        <f ca="1">IF(Prices!C225&lt;OFFSET(Prices!C225,-S$3,0),1,IF(Prices!C225&gt;OFFSET(Prices!C225,-S$3,0),-1,0))</f>
        <v>-1</v>
      </c>
      <c r="T226" s="1">
        <f ca="1">IF(S226=1,T$3*Q225/Prices!B225,T$3*R225*S226)</f>
        <v>-7.8898146360464917E-3</v>
      </c>
      <c r="V226" s="9"/>
      <c r="W226" s="1"/>
      <c r="X226" s="1"/>
      <c r="Y226" s="1"/>
      <c r="Z226" s="1"/>
      <c r="AA226" s="1"/>
      <c r="AB226" s="1"/>
      <c r="AC226" s="1"/>
      <c r="AD226" s="1"/>
      <c r="AE226" s="16"/>
    </row>
    <row r="227" spans="1:31" x14ac:dyDescent="0.2">
      <c r="A227" s="4">
        <v>33823</v>
      </c>
      <c r="B227" s="9">
        <f ca="1">Prices!B226*(1+J227/(50*(ABS(O227)+ABS(T227)+0.0001)))</f>
        <v>1.3768844612738946</v>
      </c>
      <c r="C227" s="13">
        <f t="shared" ca="1" si="16"/>
        <v>-1</v>
      </c>
      <c r="D227" s="9">
        <f ca="1">D226+C227*(Prices!B227-Prices!B226)/Prices!B226</f>
        <v>-0.19886592110830867</v>
      </c>
      <c r="E227" s="9">
        <f t="shared" ca="1" si="17"/>
        <v>0.23498987236705499</v>
      </c>
      <c r="F227" s="9">
        <f t="shared" ca="1" si="18"/>
        <v>3.6123951258746317E-2</v>
      </c>
      <c r="G227" s="13">
        <f ca="1">IF((Prices!B227-Prices!B226)*B227&gt;0,1,0)</f>
        <v>1</v>
      </c>
      <c r="H227" s="9">
        <f>ABS(Prices!B227-Prices!B226)/Prices!B226</f>
        <v>1.0036301516122144E-2</v>
      </c>
      <c r="I227" s="13"/>
      <c r="J227" s="1">
        <f t="shared" ca="1" si="19"/>
        <v>-3.3974176486677152E-2</v>
      </c>
      <c r="K227" s="9"/>
      <c r="L227" s="9">
        <f ca="1">L226-O227*Prices!B227</f>
        <v>0.71438467709678166</v>
      </c>
      <c r="M227" s="1">
        <f t="shared" ca="1" si="20"/>
        <v>0.23617942329016431</v>
      </c>
      <c r="N227" s="9">
        <f ca="1">IF(Prices!D226&gt;OFFSET(Prices!D226,-$N$3,0),1,IF(Prices!D226&lt;OFFSET(Prices!D226,-$N$3,0),-1,0))</f>
        <v>-1</v>
      </c>
      <c r="O227" s="1">
        <f ca="1">IF(N227=1,O$3*L226/Prices!B226,O$3*M226*N227)</f>
        <v>-2.6242158143351593E-2</v>
      </c>
      <c r="P227" s="14"/>
      <c r="Q227" s="9">
        <f ca="1">Q226-T227*Prices!B227</f>
        <v>0.51301116052842788</v>
      </c>
      <c r="R227" s="1">
        <f t="shared" ca="1" si="21"/>
        <v>0.37886889882295255</v>
      </c>
      <c r="S227" s="9">
        <f ca="1">IF(Prices!C226&lt;OFFSET(Prices!C226,-S$3,0),1,IF(Prices!C226&gt;OFFSET(Prices!C226,-S$3,0),-1,0))</f>
        <v>-1</v>
      </c>
      <c r="T227" s="1">
        <f ca="1">IF(S227=1,T$3*Q226/Prices!B226,T$3*R226*S227)</f>
        <v>-7.7320183433255618E-3</v>
      </c>
      <c r="V227" s="9"/>
      <c r="W227" s="1"/>
      <c r="X227" s="1"/>
      <c r="Y227" s="1"/>
      <c r="Z227" s="1"/>
      <c r="AA227" s="1"/>
      <c r="AB227" s="1"/>
      <c r="AC227" s="1"/>
      <c r="AD227" s="1"/>
      <c r="AE227" s="16"/>
    </row>
    <row r="228" spans="1:31" x14ac:dyDescent="0.2">
      <c r="A228" s="4">
        <v>33826</v>
      </c>
      <c r="B228" s="9">
        <f ca="1">Prices!B227*(1+J228/(50*(ABS(O228)+ABS(T228)+0.0001)))</f>
        <v>1.3907106844848462</v>
      </c>
      <c r="C228" s="13">
        <f t="shared" ca="1" si="16"/>
        <v>-1</v>
      </c>
      <c r="D228" s="9">
        <f ca="1">D227+C228*(Prices!B228-Prices!B227)/Prices!B227</f>
        <v>-0.19844308812733619</v>
      </c>
      <c r="E228" s="9">
        <f t="shared" ca="1" si="17"/>
        <v>0.2345670393860825</v>
      </c>
      <c r="F228" s="9">
        <f t="shared" ca="1" si="18"/>
        <v>3.6123951258746317E-2</v>
      </c>
      <c r="G228" s="13">
        <f ca="1">IF((Prices!B228-Prices!B227)*B228&gt;0,1,0)</f>
        <v>0</v>
      </c>
      <c r="H228" s="9">
        <f>ABS(Prices!B228-Prices!B227)/Prices!B227</f>
        <v>4.2283298097246926E-4</v>
      </c>
      <c r="I228" s="13"/>
      <c r="J228" s="1">
        <f t="shared" ca="1" si="19"/>
        <v>-3.1195320305475484E-2</v>
      </c>
      <c r="K228" s="9"/>
      <c r="L228" s="9">
        <f ca="1">L227-O228*Prices!B228</f>
        <v>0.74788436649625856</v>
      </c>
      <c r="M228" s="1">
        <f t="shared" ca="1" si="20"/>
        <v>0.21256148096114788</v>
      </c>
      <c r="N228" s="9">
        <f ca="1">IF(Prices!D227&gt;OFFSET(Prices!D227,-$N$3,0),1,IF(Prices!D227&lt;OFFSET(Prices!D227,-$N$3,0),-1,0))</f>
        <v>-1</v>
      </c>
      <c r="O228" s="1">
        <f ca="1">IF(N228=1,O$3*L227/Prices!B227,O$3*M227*N228)</f>
        <v>-2.3617942329016432E-2</v>
      </c>
      <c r="P228" s="14"/>
      <c r="Q228" s="9">
        <f ca="1">Q227-T228*Prices!B228</f>
        <v>0.5237589134502374</v>
      </c>
      <c r="R228" s="1">
        <f t="shared" ca="1" si="21"/>
        <v>0.37129152084649347</v>
      </c>
      <c r="S228" s="9">
        <f ca="1">IF(Prices!C227&lt;OFFSET(Prices!C227,-S$3,0),1,IF(Prices!C227&gt;OFFSET(Prices!C227,-S$3,0),-1,0))</f>
        <v>-1</v>
      </c>
      <c r="T228" s="1">
        <f ca="1">IF(S228=1,T$3*Q227/Prices!B227,T$3*R227*S228)</f>
        <v>-7.5773779764590514E-3</v>
      </c>
      <c r="V228" s="9"/>
      <c r="W228" s="1"/>
      <c r="X228" s="1"/>
      <c r="Y228" s="1"/>
      <c r="Z228" s="1"/>
      <c r="AA228" s="1"/>
      <c r="AB228" s="1"/>
      <c r="AC228" s="1"/>
      <c r="AD228" s="1"/>
      <c r="AE228" s="16"/>
    </row>
    <row r="229" spans="1:31" x14ac:dyDescent="0.2">
      <c r="A229" s="4">
        <v>33827</v>
      </c>
      <c r="B229" s="9">
        <f ca="1">Prices!B228*(1+J229/(50*(ABS(O229)+ABS(T229)+0.0001)))</f>
        <v>1.3901305616745809</v>
      </c>
      <c r="C229" s="13">
        <f t="shared" ca="1" si="16"/>
        <v>-1</v>
      </c>
      <c r="D229" s="9">
        <f ca="1">D228+C229*(Prices!B229-Prices!B228)/Prices!B228</f>
        <v>-0.19491798942457242</v>
      </c>
      <c r="E229" s="9">
        <f t="shared" ca="1" si="17"/>
        <v>0.23104194068331874</v>
      </c>
      <c r="F229" s="9">
        <f t="shared" ca="1" si="18"/>
        <v>3.6123951258746317E-2</v>
      </c>
      <c r="G229" s="13">
        <f ca="1">IF((Prices!B229-Prices!B228)*B229&gt;0,1,0)</f>
        <v>0</v>
      </c>
      <c r="H229" s="9">
        <f>ABS(Prices!B229-Prices!B228)/Prices!B228</f>
        <v>3.5250987027637586E-3</v>
      </c>
      <c r="I229" s="13"/>
      <c r="J229" s="1">
        <f t="shared" ca="1" si="19"/>
        <v>-2.8681978513044659E-2</v>
      </c>
      <c r="K229" s="9"/>
      <c r="L229" s="9">
        <f ca="1">L228-O229*Prices!B229</f>
        <v>0.77792780621530722</v>
      </c>
      <c r="M229" s="1">
        <f t="shared" ca="1" si="20"/>
        <v>0.1913053328650331</v>
      </c>
      <c r="N229" s="9">
        <f ca="1">IF(Prices!D228&gt;OFFSET(Prices!D228,-$N$3,0),1,IF(Prices!D228&lt;OFFSET(Prices!D228,-$N$3,0),-1,0))</f>
        <v>-1</v>
      </c>
      <c r="O229" s="1">
        <f ca="1">IF(N229=1,O$3*L228/Prices!B228,O$3*M228*N229)</f>
        <v>-2.1256148096114789E-2</v>
      </c>
      <c r="P229" s="14"/>
      <c r="Q229" s="9">
        <f ca="1">Q228-T229*Prices!B229</f>
        <v>0.5342545821615261</v>
      </c>
      <c r="R229" s="1">
        <f t="shared" ca="1" si="21"/>
        <v>0.36386569042956363</v>
      </c>
      <c r="S229" s="9">
        <f ca="1">IF(Prices!C228&lt;OFFSET(Prices!C228,-S$3,0),1,IF(Prices!C228&gt;OFFSET(Prices!C228,-S$3,0),-1,0))</f>
        <v>-1</v>
      </c>
      <c r="T229" s="1">
        <f ca="1">IF(S229=1,T$3*Q228/Prices!B228,T$3*R228*S229)</f>
        <v>-7.4258304169298696E-3</v>
      </c>
      <c r="V229" s="9"/>
      <c r="W229" s="1"/>
      <c r="X229" s="1"/>
      <c r="Y229" s="1"/>
      <c r="Z229" s="1"/>
      <c r="AA229" s="1"/>
      <c r="AB229" s="1"/>
      <c r="AC229" s="1"/>
      <c r="AD229" s="1"/>
      <c r="AE229" s="16"/>
    </row>
    <row r="230" spans="1:31" x14ac:dyDescent="0.2">
      <c r="A230" s="4">
        <v>33828</v>
      </c>
      <c r="B230" s="9">
        <f ca="1">Prices!B229*(1+J230/(50*(ABS(O230)+ABS(T230)+0.0001)))</f>
        <v>1.3852386401201824</v>
      </c>
      <c r="C230" s="13">
        <f t="shared" ca="1" si="16"/>
        <v>-1</v>
      </c>
      <c r="D230" s="9">
        <f ca="1">D229+C230*(Prices!B230-Prices!B229)/Prices!B229</f>
        <v>-0.19965833186124987</v>
      </c>
      <c r="E230" s="9">
        <f t="shared" ca="1" si="17"/>
        <v>0.23578228311999619</v>
      </c>
      <c r="F230" s="9">
        <f t="shared" ca="1" si="18"/>
        <v>3.6123951258746317E-2</v>
      </c>
      <c r="G230" s="13">
        <f ca="1">IF((Prices!B230-Prices!B229)*B230&gt;0,1,0)</f>
        <v>1</v>
      </c>
      <c r="H230" s="9">
        <f>ABS(Prices!B230-Prices!B229)/Prices!B229</f>
        <v>4.7403424366774648E-3</v>
      </c>
      <c r="I230" s="13"/>
      <c r="J230" s="1">
        <f t="shared" ca="1" si="19"/>
        <v>-2.6407847095094583E-2</v>
      </c>
      <c r="K230" s="9"/>
      <c r="L230" s="9">
        <f ca="1">L229-O230*Prices!B230</f>
        <v>0.80509507653547052</v>
      </c>
      <c r="M230" s="1">
        <f t="shared" ca="1" si="20"/>
        <v>0.17217479957852977</v>
      </c>
      <c r="N230" s="9">
        <f ca="1">IF(Prices!D229&gt;OFFSET(Prices!D229,-$N$3,0),1,IF(Prices!D229&lt;OFFSET(Prices!D229,-$N$3,0),-1,0))</f>
        <v>-1</v>
      </c>
      <c r="O230" s="1">
        <f ca="1">IF(N230=1,O$3*L229/Prices!B229,O$3*M229*N230)</f>
        <v>-1.9130533286503312E-2</v>
      </c>
      <c r="P230" s="14"/>
      <c r="Q230" s="9">
        <f ca="1">Q229-T230*Prices!B230</f>
        <v>0.54458909550110657</v>
      </c>
      <c r="R230" s="1">
        <f t="shared" ca="1" si="21"/>
        <v>0.35658837662097237</v>
      </c>
      <c r="S230" s="9">
        <f ca="1">IF(Prices!C229&lt;OFFSET(Prices!C229,-S$3,0),1,IF(Prices!C229&gt;OFFSET(Prices!C229,-S$3,0),-1,0))</f>
        <v>-1</v>
      </c>
      <c r="T230" s="1">
        <f ca="1">IF(S230=1,T$3*Q229/Prices!B229,T$3*R229*S230)</f>
        <v>-7.2773138085912726E-3</v>
      </c>
      <c r="V230" s="9"/>
      <c r="W230" s="1"/>
      <c r="X230" s="1"/>
      <c r="Y230" s="1"/>
      <c r="Z230" s="1"/>
      <c r="AA230" s="1"/>
      <c r="AB230" s="1"/>
      <c r="AC230" s="1"/>
      <c r="AD230" s="1"/>
      <c r="AE230" s="16"/>
    </row>
    <row r="231" spans="1:31" x14ac:dyDescent="0.2">
      <c r="A231" s="4">
        <v>33829</v>
      </c>
      <c r="B231" s="9">
        <f ca="1">Prices!B230*(1+J231/(50*(ABS(O231)+ABS(T231)+0.0001)))</f>
        <v>1.4092474382002407</v>
      </c>
      <c r="C231" s="13">
        <f t="shared" ca="1" si="16"/>
        <v>-1</v>
      </c>
      <c r="D231" s="9">
        <f ca="1">D230+C231*(Prices!B231-Prices!B230)/Prices!B230</f>
        <v>-0.20261587006278498</v>
      </c>
      <c r="E231" s="9">
        <f t="shared" ca="1" si="17"/>
        <v>0.23873982132153129</v>
      </c>
      <c r="F231" s="9">
        <f t="shared" ca="1" si="18"/>
        <v>3.6123951258746317E-2</v>
      </c>
      <c r="G231" s="13">
        <f ca="1">IF((Prices!B231-Prices!B230)*B231&gt;0,1,0)</f>
        <v>1</v>
      </c>
      <c r="H231" s="9">
        <f>ABS(Prices!B231-Prices!B230)/Prices!B230</f>
        <v>2.9575382015350903E-3</v>
      </c>
      <c r="I231" s="13"/>
      <c r="J231" s="1">
        <f t="shared" ca="1" si="19"/>
        <v>-9.5477511288816867E-3</v>
      </c>
      <c r="K231" s="9"/>
      <c r="L231" s="9">
        <f ca="1">L230-O231*Prices!B231</f>
        <v>0.82961793323944055</v>
      </c>
      <c r="M231" s="1">
        <f t="shared" ca="1" si="20"/>
        <v>0.1549573196206768</v>
      </c>
      <c r="N231" s="9">
        <f ca="1">IF(Prices!D230&gt;OFFSET(Prices!D230,-$N$3,0),1,IF(Prices!D230&lt;OFFSET(Prices!D230,-$N$3,0),-1,0))</f>
        <v>-1</v>
      </c>
      <c r="O231" s="1">
        <f ca="1">IF(N231=1,O$3*L230/Prices!B230,O$3*M230*N231)</f>
        <v>-1.7217479957852978E-2</v>
      </c>
      <c r="P231" s="14"/>
      <c r="Q231" s="9">
        <f ca="1">Q230-T231*Prices!B231</f>
        <v>0.53366510073000273</v>
      </c>
      <c r="R231" s="1">
        <f t="shared" ca="1" si="21"/>
        <v>0.36425810544994364</v>
      </c>
      <c r="S231" s="9">
        <f ca="1">IF(Prices!C230&lt;OFFSET(Prices!C230,-S$3,0),1,IF(Prices!C230&gt;OFFSET(Prices!C230,-S$3,0),-1,0))</f>
        <v>1</v>
      </c>
      <c r="T231" s="1">
        <f ca="1">IF(S231=1,T$3*Q230/Prices!B230,T$3*R230*S231)</f>
        <v>7.6697288289712924E-3</v>
      </c>
      <c r="V231" s="9"/>
      <c r="W231" s="1"/>
      <c r="X231" s="1"/>
      <c r="Y231" s="1"/>
      <c r="Z231" s="1"/>
      <c r="AA231" s="1"/>
      <c r="AB231" s="1"/>
      <c r="AC231" s="1"/>
      <c r="AD231" s="1"/>
      <c r="AE231" s="16"/>
    </row>
    <row r="232" spans="1:31" x14ac:dyDescent="0.2">
      <c r="A232" s="4">
        <v>33830</v>
      </c>
      <c r="B232" s="9">
        <f ca="1">Prices!B231*(1+J232/(50*(ABS(O232)+ABS(T232)+0.0001)))</f>
        <v>1.4527427352522326</v>
      </c>
      <c r="C232" s="13">
        <f t="shared" ref="C232:C295" ca="1" si="22">IF(J232&gt;0,1,IF(J232&lt;0,-1,0))</f>
        <v>1</v>
      </c>
      <c r="D232" s="9">
        <f ca="1">D231+C232*(Prices!B232-Prices!B231)/Prices!B231</f>
        <v>-0.20858371391590577</v>
      </c>
      <c r="E232" s="9">
        <f t="shared" ref="E232:E295" ca="1" si="23">F232-D232</f>
        <v>0.24470766517465209</v>
      </c>
      <c r="F232" s="9">
        <f t="shared" ref="F232:F295" ca="1" si="24">MAX(F231,D232)</f>
        <v>3.6123951258746317E-2</v>
      </c>
      <c r="G232" s="13">
        <f ca="1">IF((Prices!B232-Prices!B231)*B232&gt;0,1,0)</f>
        <v>0</v>
      </c>
      <c r="H232" s="9">
        <f>ABS(Prices!B232-Prices!B231)/Prices!B231</f>
        <v>5.9678438531207984E-3</v>
      </c>
      <c r="I232" s="13"/>
      <c r="J232" s="1">
        <f t="shared" ref="J232:J295" ca="1" si="25">O232+T232</f>
        <v>6.5741132723825119E-2</v>
      </c>
      <c r="K232" s="9"/>
      <c r="L232" s="9">
        <f ca="1">L231-O232*Prices!B232</f>
        <v>0.74715124294382873</v>
      </c>
      <c r="M232" s="1">
        <f t="shared" ca="1" si="20"/>
        <v>0.21320473471858037</v>
      </c>
      <c r="N232" s="9">
        <f ca="1">IF(Prices!D231&gt;OFFSET(Prices!D231,-$N$3,0),1,IF(Prices!D231&lt;OFFSET(Prices!D231,-$N$3,0),-1,0))</f>
        <v>1</v>
      </c>
      <c r="O232" s="1">
        <f ca="1">IF(N232=1,O$3*L231/Prices!B231,O$3*M231*N232)</f>
        <v>5.8247415097903578E-2</v>
      </c>
      <c r="P232" s="14"/>
      <c r="Q232" s="9">
        <f ca="1">Q231-T232*Prices!B232</f>
        <v>0.523055495315223</v>
      </c>
      <c r="R232" s="1">
        <f t="shared" ca="1" si="21"/>
        <v>0.37175182307586518</v>
      </c>
      <c r="S232" s="9">
        <f ca="1">IF(Prices!C231&lt;OFFSET(Prices!C231,-S$3,0),1,IF(Prices!C231&gt;OFFSET(Prices!C231,-S$3,0),-1,0))</f>
        <v>1</v>
      </c>
      <c r="T232" s="1">
        <f ca="1">IF(S232=1,T$3*Q231/Prices!B231,T$3*R231*S232)</f>
        <v>7.4937176259215442E-3</v>
      </c>
      <c r="V232" s="9"/>
      <c r="W232" s="1"/>
      <c r="X232" s="1"/>
      <c r="Y232" s="1"/>
      <c r="Z232" s="1"/>
      <c r="AA232" s="1"/>
      <c r="AB232" s="1"/>
      <c r="AC232" s="1"/>
      <c r="AD232" s="1"/>
      <c r="AE232" s="16"/>
    </row>
    <row r="233" spans="1:31" x14ac:dyDescent="0.2">
      <c r="A233" s="4">
        <v>33833</v>
      </c>
      <c r="B233" s="9">
        <f ca="1">Prices!B232*(1+J233/(50*(ABS(O233)+ABS(T233)+0.0001)))</f>
        <v>1.4440690112284573</v>
      </c>
      <c r="C233" s="13">
        <f t="shared" ca="1" si="22"/>
        <v>1</v>
      </c>
      <c r="D233" s="9">
        <f ca="1">D232+C233*(Prices!B233-Prices!B232)/Prices!B232</f>
        <v>-0.20498151021481797</v>
      </c>
      <c r="E233" s="9">
        <f t="shared" ca="1" si="23"/>
        <v>0.24110546147356429</v>
      </c>
      <c r="F233" s="9">
        <f t="shared" ca="1" si="24"/>
        <v>3.6123951258746317E-2</v>
      </c>
      <c r="G233" s="13">
        <f ca="1">IF((Prices!B233-Prices!B232)*B233&gt;0,1,0)</f>
        <v>1</v>
      </c>
      <c r="H233" s="9">
        <f>ABS(Prices!B233-Prices!B232)/Prices!B232</f>
        <v>3.6022037010877981E-3</v>
      </c>
      <c r="I233" s="13"/>
      <c r="J233" s="1">
        <f t="shared" ca="1" si="25"/>
        <v>6.0161205114202101E-2</v>
      </c>
      <c r="K233" s="9"/>
      <c r="L233" s="9">
        <f ca="1">L232-O233*Prices!B233</f>
        <v>0.67216697955218541</v>
      </c>
      <c r="M233" s="1">
        <f t="shared" ca="1" si="20"/>
        <v>0.26597710673043434</v>
      </c>
      <c r="N233" s="9">
        <f ca="1">IF(Prices!D232&gt;OFFSET(Prices!D232,-$N$3,0),1,IF(Prices!D232&lt;OFFSET(Prices!D232,-$N$3,0),-1,0))</f>
        <v>1</v>
      </c>
      <c r="O233" s="1">
        <f ca="1">IF(N233=1,O$3*L232/Prices!B232,O$3*M232*N233)</f>
        <v>5.2772372011853988E-2</v>
      </c>
      <c r="P233" s="14"/>
      <c r="Q233" s="9">
        <f ca="1">Q232-T233*Prices!B233</f>
        <v>0.51255670236009654</v>
      </c>
      <c r="R233" s="1">
        <f t="shared" ca="1" si="21"/>
        <v>0.3791406561782133</v>
      </c>
      <c r="S233" s="9">
        <f ca="1">IF(Prices!C232&lt;OFFSET(Prices!C232,-S$3,0),1,IF(Prices!C232&gt;OFFSET(Prices!C232,-S$3,0),-1,0))</f>
        <v>1</v>
      </c>
      <c r="T233" s="1">
        <f ca="1">IF(S233=1,T$3*Q232/Prices!B232,T$3*R232*S233)</f>
        <v>7.3888331023481144E-3</v>
      </c>
      <c r="V233" s="9"/>
      <c r="W233" s="1"/>
      <c r="X233" s="1"/>
      <c r="Y233" s="1"/>
      <c r="Z233" s="1"/>
      <c r="AA233" s="1"/>
      <c r="AB233" s="1"/>
      <c r="AC233" s="1"/>
      <c r="AD233" s="1"/>
      <c r="AE233" s="16"/>
    </row>
    <row r="234" spans="1:31" x14ac:dyDescent="0.2">
      <c r="A234" s="4">
        <v>33834</v>
      </c>
      <c r="B234" s="9">
        <f ca="1">Prices!B233*(1+J234/(50*(ABS(O234)+ABS(T234)+0.0001)))</f>
        <v>1.4492659716830554</v>
      </c>
      <c r="C234" s="13">
        <f t="shared" ca="1" si="22"/>
        <v>1</v>
      </c>
      <c r="D234" s="9">
        <f ca="1">D233+C234*(Prices!B234-Prices!B233)/Prices!B233</f>
        <v>-0.20160336959971492</v>
      </c>
      <c r="E234" s="9">
        <f t="shared" ca="1" si="23"/>
        <v>0.23772732085846124</v>
      </c>
      <c r="F234" s="9">
        <f t="shared" ca="1" si="24"/>
        <v>3.6123951258746317E-2</v>
      </c>
      <c r="G234" s="13">
        <f ca="1">IF((Prices!B234-Prices!B233)*B234&gt;0,1,0)</f>
        <v>1</v>
      </c>
      <c r="H234" s="9">
        <f>ABS(Prices!B234-Prices!B233)/Prices!B233</f>
        <v>3.378140615103044E-3</v>
      </c>
      <c r="I234" s="13"/>
      <c r="J234" s="1">
        <f t="shared" ca="1" si="25"/>
        <v>5.4520256177366791E-2</v>
      </c>
      <c r="K234" s="9"/>
      <c r="L234" s="9">
        <f ca="1">L233-O234*Prices!B234</f>
        <v>0.60472321413959118</v>
      </c>
      <c r="M234" s="1">
        <f t="shared" ca="1" si="20"/>
        <v>0.31328282701702631</v>
      </c>
      <c r="N234" s="9">
        <f ca="1">IF(Prices!D233&gt;OFFSET(Prices!D233,-$N$3,0),1,IF(Prices!D233&lt;OFFSET(Prices!D233,-$N$3,0),-1,0))</f>
        <v>1</v>
      </c>
      <c r="O234" s="1">
        <f ca="1">IF(N234=1,O$3*L233/Prices!B233,O$3*M233*N234)</f>
        <v>4.7305720286591982E-2</v>
      </c>
      <c r="P234" s="14"/>
      <c r="Q234" s="9">
        <f ca="1">Q233-T234*Prices!B234</f>
        <v>0.50227093854061888</v>
      </c>
      <c r="R234" s="1">
        <f t="shared" ca="1" si="21"/>
        <v>0.38635519206898811</v>
      </c>
      <c r="S234" s="9">
        <f ca="1">IF(Prices!C233&lt;OFFSET(Prices!C233,-S$3,0),1,IF(Prices!C233&gt;OFFSET(Prices!C233,-S$3,0),-1,0))</f>
        <v>1</v>
      </c>
      <c r="T234" s="1">
        <f ca="1">IF(S234=1,T$3*Q233/Prices!B233,T$3*R233*S234)</f>
        <v>7.2145358907748118E-3</v>
      </c>
      <c r="V234" s="9"/>
      <c r="W234" s="1"/>
      <c r="X234" s="1"/>
      <c r="Y234" s="1"/>
      <c r="Z234" s="1"/>
      <c r="AA234" s="1"/>
      <c r="AB234" s="1"/>
      <c r="AC234" s="1"/>
      <c r="AD234" s="1"/>
      <c r="AE234" s="16"/>
    </row>
    <row r="235" spans="1:31" x14ac:dyDescent="0.2">
      <c r="A235" s="4">
        <v>33835</v>
      </c>
      <c r="B235" s="9">
        <f ca="1">Prices!B234*(1+J235/(50*(ABS(O235)+ABS(T235)+0.0001)))</f>
        <v>1.4077038989796837</v>
      </c>
      <c r="C235" s="13">
        <f t="shared" ca="1" si="22"/>
        <v>-1</v>
      </c>
      <c r="D235" s="9">
        <f ca="1">D234+C235*(Prices!B235-Prices!B234)/Prices!B234</f>
        <v>-0.20279576631711693</v>
      </c>
      <c r="E235" s="9">
        <f t="shared" ca="1" si="23"/>
        <v>0.23891971757586325</v>
      </c>
      <c r="F235" s="9">
        <f t="shared" ca="1" si="24"/>
        <v>3.6123951258746317E-2</v>
      </c>
      <c r="G235" s="13">
        <f ca="1">IF((Prices!B235-Prices!B234)*B235&gt;0,1,0)</f>
        <v>1</v>
      </c>
      <c r="H235" s="9">
        <f>ABS(Prices!B235-Prices!B234)/Prices!B234</f>
        <v>1.1923967174020025E-3</v>
      </c>
      <c r="I235" s="13"/>
      <c r="J235" s="1">
        <f t="shared" ca="1" si="25"/>
        <v>-2.4282327191558577E-2</v>
      </c>
      <c r="K235" s="9"/>
      <c r="L235" s="9">
        <f ca="1">L234-O235*Prices!B235</f>
        <v>0.6494412048680015</v>
      </c>
      <c r="M235" s="1">
        <f t="shared" ca="1" si="20"/>
        <v>0.28195454431532369</v>
      </c>
      <c r="N235" s="9">
        <f ca="1">IF(Prices!D234&gt;OFFSET(Prices!D234,-$N$3,0),1,IF(Prices!D234&lt;OFFSET(Prices!D234,-$N$3,0),-1,0))</f>
        <v>-1</v>
      </c>
      <c r="O235" s="1">
        <f ca="1">IF(N235=1,O$3*L234/Prices!B234,O$3*M234*N235)</f>
        <v>-3.1328282701702632E-2</v>
      </c>
      <c r="P235" s="14"/>
      <c r="Q235" s="9">
        <f ca="1">Q234-T235*Prices!B235</f>
        <v>0.49221354164543923</v>
      </c>
      <c r="R235" s="1">
        <f t="shared" ca="1" si="21"/>
        <v>0.39340114757913214</v>
      </c>
      <c r="S235" s="9">
        <f ca="1">IF(Prices!C234&lt;OFFSET(Prices!C234,-S$3,0),1,IF(Prices!C234&gt;OFFSET(Prices!C234,-S$3,0),-1,0))</f>
        <v>1</v>
      </c>
      <c r="T235" s="1">
        <f ca="1">IF(S235=1,T$3*Q234/Prices!B234,T$3*R234*S235)</f>
        <v>7.0459555101440542E-3</v>
      </c>
      <c r="V235" s="9"/>
      <c r="W235" s="1"/>
      <c r="X235" s="1"/>
      <c r="Y235" s="1"/>
      <c r="Z235" s="1"/>
      <c r="AA235" s="1"/>
      <c r="AB235" s="1"/>
      <c r="AC235" s="1"/>
      <c r="AD235" s="1"/>
      <c r="AE235" s="16"/>
    </row>
    <row r="236" spans="1:31" x14ac:dyDescent="0.2">
      <c r="A236" s="4">
        <v>33836</v>
      </c>
      <c r="B236" s="9">
        <f ca="1">Prices!B235*(1+J236/(50*(ABS(O236)+ABS(T236)+0.0001)))</f>
        <v>1.3989309415235087</v>
      </c>
      <c r="C236" s="13">
        <f t="shared" ca="1" si="22"/>
        <v>-1</v>
      </c>
      <c r="D236" s="9">
        <f ca="1">D235+C236*(Prices!B236-Prices!B235)/Prices!B235</f>
        <v>-0.20678904080219473</v>
      </c>
      <c r="E236" s="9">
        <f t="shared" ca="1" si="23"/>
        <v>0.24291299206094105</v>
      </c>
      <c r="F236" s="9">
        <f t="shared" ca="1" si="24"/>
        <v>3.6123951258746317E-2</v>
      </c>
      <c r="G236" s="13">
        <f ca="1">IF((Prices!B236-Prices!B235)*B236&gt;0,1,0)</f>
        <v>1</v>
      </c>
      <c r="H236" s="9">
        <f>ABS(Prices!B236-Prices!B235)/Prices!B235</f>
        <v>3.9932744850777902E-3</v>
      </c>
      <c r="I236" s="13"/>
      <c r="J236" s="1">
        <f t="shared" ca="1" si="25"/>
        <v>-3.6063477383115015E-2</v>
      </c>
      <c r="K236" s="9"/>
      <c r="L236" s="9">
        <f ca="1">L235-O236*Prices!B236</f>
        <v>0.68984811061383056</v>
      </c>
      <c r="M236" s="1">
        <f t="shared" ca="1" si="20"/>
        <v>0.25375908988379131</v>
      </c>
      <c r="N236" s="9">
        <f ca="1">IF(Prices!D235&gt;OFFSET(Prices!D235,-$N$3,0),1,IF(Prices!D235&lt;OFFSET(Prices!D235,-$N$3,0),-1,0))</f>
        <v>-1</v>
      </c>
      <c r="O236" s="1">
        <f ca="1">IF(N236=1,O$3*L235/Prices!B235,O$3*M235*N236)</f>
        <v>-2.8195454431532371E-2</v>
      </c>
      <c r="P236" s="14"/>
      <c r="Q236" s="9">
        <f ca="1">Q235-T236*Prices!B236</f>
        <v>0.50348920533735231</v>
      </c>
      <c r="R236" s="1">
        <f t="shared" ca="1" si="21"/>
        <v>0.38553312462754952</v>
      </c>
      <c r="S236" s="9">
        <f ca="1">IF(Prices!C235&lt;OFFSET(Prices!C235,-S$3,0),1,IF(Prices!C235&gt;OFFSET(Prices!C235,-S$3,0),-1,0))</f>
        <v>-1</v>
      </c>
      <c r="T236" s="1">
        <f ca="1">IF(S236=1,T$3*Q235/Prices!B235,T$3*R235*S236)</f>
        <v>-7.8680229515826431E-3</v>
      </c>
      <c r="V236" s="9"/>
      <c r="W236" s="1"/>
      <c r="X236" s="1"/>
      <c r="Y236" s="1"/>
      <c r="Z236" s="1"/>
      <c r="AA236" s="1"/>
      <c r="AB236" s="1"/>
      <c r="AC236" s="1"/>
      <c r="AD236" s="1"/>
      <c r="AE236" s="16"/>
    </row>
    <row r="237" spans="1:31" x14ac:dyDescent="0.2">
      <c r="A237" s="4">
        <v>33837</v>
      </c>
      <c r="B237" s="9">
        <f ca="1">Prices!B236*(1+J237/(50*(ABS(O237)+ABS(T237)+0.0001)))</f>
        <v>1.404524366258161</v>
      </c>
      <c r="C237" s="13">
        <f t="shared" ca="1" si="22"/>
        <v>-1</v>
      </c>
      <c r="D237" s="9">
        <f ca="1">D236+C237*(Prices!B237-Prices!B236)/Prices!B236</f>
        <v>-0.20434678276018786</v>
      </c>
      <c r="E237" s="9">
        <f t="shared" ca="1" si="23"/>
        <v>0.24047073401893418</v>
      </c>
      <c r="F237" s="9">
        <f t="shared" ca="1" si="24"/>
        <v>3.6123951258746317E-2</v>
      </c>
      <c r="G237" s="13">
        <f ca="1">IF((Prices!B237-Prices!B236)*B237&gt;0,1,0)</f>
        <v>0</v>
      </c>
      <c r="H237" s="9">
        <f>ABS(Prices!B237-Prices!B236)/Prices!B236</f>
        <v>2.442258042006879E-3</v>
      </c>
      <c r="I237" s="13"/>
      <c r="J237" s="1">
        <f t="shared" ca="1" si="25"/>
        <v>-3.3086571480930124E-2</v>
      </c>
      <c r="K237" s="9"/>
      <c r="L237" s="9">
        <f ca="1">L236-O237*Prices!B237</f>
        <v>0.72612551010361737</v>
      </c>
      <c r="M237" s="1">
        <f t="shared" ca="1" si="20"/>
        <v>0.22838318089541218</v>
      </c>
      <c r="N237" s="9">
        <f ca="1">IF(Prices!D236&gt;OFFSET(Prices!D236,-$N$3,0),1,IF(Prices!D236&lt;OFFSET(Prices!D236,-$N$3,0),-1,0))</f>
        <v>-1</v>
      </c>
      <c r="O237" s="1">
        <f ca="1">IF(N237=1,O$3*L236/Prices!B236,O$3*M236*N237)</f>
        <v>-2.5375908988379131E-2</v>
      </c>
      <c r="P237" s="14"/>
      <c r="Q237" s="9">
        <f ca="1">Q236-T237*Prices!B237</f>
        <v>0.51451236843670323</v>
      </c>
      <c r="R237" s="1">
        <f t="shared" ca="1" si="21"/>
        <v>0.37782246213499854</v>
      </c>
      <c r="S237" s="9">
        <f ca="1">IF(Prices!C236&lt;OFFSET(Prices!C236,-S$3,0),1,IF(Prices!C236&gt;OFFSET(Prices!C236,-S$3,0),-1,0))</f>
        <v>-1</v>
      </c>
      <c r="T237" s="1">
        <f ca="1">IF(S237=1,T$3*Q236/Prices!B236,T$3*R236*S237)</f>
        <v>-7.7106624925509905E-3</v>
      </c>
      <c r="V237" s="9"/>
      <c r="W237" s="1"/>
      <c r="X237" s="1"/>
      <c r="Y237" s="1"/>
      <c r="Z237" s="1"/>
      <c r="AA237" s="1"/>
      <c r="AB237" s="1"/>
      <c r="AC237" s="1"/>
      <c r="AD237" s="1"/>
      <c r="AE237" s="16"/>
    </row>
    <row r="238" spans="1:31" x14ac:dyDescent="0.2">
      <c r="A238" s="4">
        <v>33840</v>
      </c>
      <c r="B238" s="9">
        <f ca="1">Prices!B237*(1+J238/(50*(ABS(O238)+ABS(T238)+0.0001)))</f>
        <v>1.4507501329050592</v>
      </c>
      <c r="C238" s="13">
        <f t="shared" ca="1" si="22"/>
        <v>1</v>
      </c>
      <c r="D238" s="9">
        <f ca="1">D237+C238*(Prices!B238-Prices!B237)/Prices!B237</f>
        <v>-0.17049115880943241</v>
      </c>
      <c r="E238" s="9">
        <f t="shared" ca="1" si="23"/>
        <v>0.20661511006817873</v>
      </c>
      <c r="F238" s="9">
        <f t="shared" ca="1" si="24"/>
        <v>3.6123951258746317E-2</v>
      </c>
      <c r="G238" s="13">
        <f ca="1">IF((Prices!B238-Prices!B237)*B238&gt;0,1,0)</f>
        <v>1</v>
      </c>
      <c r="H238" s="9">
        <f>ABS(Prices!B238-Prices!B237)/Prices!B237</f>
        <v>3.3855623950755455E-2</v>
      </c>
      <c r="I238" s="13"/>
      <c r="J238" s="1">
        <f t="shared" ca="1" si="25"/>
        <v>4.323576606952844E-2</v>
      </c>
      <c r="K238" s="9"/>
      <c r="L238" s="9">
        <f ca="1">L237-O238*Prices!B238</f>
        <v>0.65105461587214375</v>
      </c>
      <c r="M238" s="1">
        <f t="shared" ca="1" si="20"/>
        <v>0.27917539620764059</v>
      </c>
      <c r="N238" s="9">
        <f ca="1">IF(Prices!D237&gt;OFFSET(Prices!D237,-$N$3,0),1,IF(Prices!D237&lt;OFFSET(Prices!D237,-$N$3,0),-1,0))</f>
        <v>1</v>
      </c>
      <c r="O238" s="1">
        <f ca="1">IF(N238=1,O$3*L237/Prices!B237,O$3*M237*N238)</f>
        <v>5.0792215312228411E-2</v>
      </c>
      <c r="P238" s="14"/>
      <c r="Q238" s="9">
        <f ca="1">Q237-T238*Prices!B238</f>
        <v>0.52568080041741383</v>
      </c>
      <c r="R238" s="1">
        <f t="shared" ca="1" si="21"/>
        <v>0.37026601289229855</v>
      </c>
      <c r="S238" s="9">
        <f ca="1">IF(Prices!C237&lt;OFFSET(Prices!C237,-S$3,0),1,IF(Prices!C237&gt;OFFSET(Prices!C237,-S$3,0),-1,0))</f>
        <v>-1</v>
      </c>
      <c r="T238" s="1">
        <f ca="1">IF(S238=1,T$3*Q237/Prices!B237,T$3*R237*S238)</f>
        <v>-7.556449242699971E-3</v>
      </c>
      <c r="V238" s="9"/>
      <c r="W238" s="1"/>
      <c r="X238" s="1"/>
      <c r="Y238" s="1"/>
      <c r="Z238" s="1"/>
      <c r="AA238" s="1"/>
      <c r="AB238" s="1"/>
      <c r="AC238" s="1"/>
      <c r="AD238" s="1"/>
      <c r="AE238" s="16"/>
    </row>
    <row r="239" spans="1:31" x14ac:dyDescent="0.2">
      <c r="A239" s="4">
        <v>33841</v>
      </c>
      <c r="B239" s="9">
        <f ca="1">Prices!B238*(1+J239/(50*(ABS(O239)+ABS(T239)+0.0001)))</f>
        <v>1.5075023367025455</v>
      </c>
      <c r="C239" s="13">
        <f t="shared" ca="1" si="22"/>
        <v>1</v>
      </c>
      <c r="D239" s="9">
        <f ca="1">D238+C239*(Prices!B239-Prices!B238)/Prices!B238</f>
        <v>-0.16974690982431734</v>
      </c>
      <c r="E239" s="9">
        <f t="shared" ca="1" si="23"/>
        <v>0.20587086108306366</v>
      </c>
      <c r="F239" s="9">
        <f t="shared" ca="1" si="24"/>
        <v>3.6123951258746317E-2</v>
      </c>
      <c r="G239" s="13">
        <f ca="1">IF((Prices!B239-Prices!B238)*B239&gt;0,1,0)</f>
        <v>1</v>
      </c>
      <c r="H239" s="9">
        <f>ABS(Prices!B239-Prices!B238)/Prices!B238</f>
        <v>7.4424898511508855E-4</v>
      </c>
      <c r="I239" s="13"/>
      <c r="J239" s="1">
        <f t="shared" ca="1" si="25"/>
        <v>5.1163110687119526E-2</v>
      </c>
      <c r="K239" s="9"/>
      <c r="L239" s="9">
        <f ca="1">L238-O239*Prices!B239</f>
        <v>0.5859006996112176</v>
      </c>
      <c r="M239" s="1">
        <f t="shared" ca="1" si="20"/>
        <v>0.3232250995819399</v>
      </c>
      <c r="N239" s="9">
        <f ca="1">IF(Prices!D238&gt;OFFSET(Prices!D238,-$N$3,0),1,IF(Prices!D238&lt;OFFSET(Prices!D238,-$N$3,0),-1,0))</f>
        <v>1</v>
      </c>
      <c r="O239" s="1">
        <f ca="1">IF(N239=1,O$3*L238/Prices!B238,O$3*M238*N239)</f>
        <v>4.4049703374299309E-2</v>
      </c>
      <c r="P239" s="14"/>
      <c r="Q239" s="9">
        <f ca="1">Q238-T239*Prices!B239</f>
        <v>0.51515935966102144</v>
      </c>
      <c r="R239" s="1">
        <f t="shared" ca="1" si="21"/>
        <v>0.37737942020511878</v>
      </c>
      <c r="S239" s="9">
        <f ca="1">IF(Prices!C238&lt;OFFSET(Prices!C238,-S$3,0),1,IF(Prices!C238&gt;OFFSET(Prices!C238,-S$3,0),-1,0))</f>
        <v>1</v>
      </c>
      <c r="T239" s="1">
        <f ca="1">IF(S239=1,T$3*Q238/Prices!B238,T$3*R238*S239)</f>
        <v>7.1134073128202146E-3</v>
      </c>
      <c r="V239" s="9"/>
      <c r="W239" s="1"/>
      <c r="X239" s="1"/>
      <c r="Y239" s="1"/>
      <c r="Z239" s="1"/>
      <c r="AA239" s="1"/>
      <c r="AB239" s="1"/>
      <c r="AC239" s="1"/>
      <c r="AD239" s="1"/>
      <c r="AE239" s="16"/>
    </row>
    <row r="240" spans="1:31" x14ac:dyDescent="0.2">
      <c r="A240" s="4">
        <v>33842</v>
      </c>
      <c r="B240" s="9">
        <f ca="1">Prices!B239*(1+J240/(50*(ABS(O240)+ABS(T240)+0.0001)))</f>
        <v>1.5086186251498876</v>
      </c>
      <c r="C240" s="13">
        <f t="shared" ca="1" si="22"/>
        <v>1</v>
      </c>
      <c r="D240" s="9">
        <f ca="1">D239+C240*(Prices!B240-Prices!B239)/Prices!B239</f>
        <v>-0.17549364770546139</v>
      </c>
      <c r="E240" s="9">
        <f t="shared" ca="1" si="23"/>
        <v>0.2116175989642077</v>
      </c>
      <c r="F240" s="9">
        <f t="shared" ca="1" si="24"/>
        <v>3.6123951258746317E-2</v>
      </c>
      <c r="G240" s="13">
        <f ca="1">IF((Prices!B240-Prices!B239)*B240&gt;0,1,0)</f>
        <v>0</v>
      </c>
      <c r="H240" s="9">
        <f>ABS(Prices!B240-Prices!B239)/Prices!B239</f>
        <v>5.7467378811440562E-3</v>
      </c>
      <c r="I240" s="13"/>
      <c r="J240" s="1">
        <f t="shared" ca="1" si="25"/>
        <v>4.6577822428735163E-2</v>
      </c>
      <c r="K240" s="9"/>
      <c r="L240" s="9">
        <f ca="1">L239-O240*Prices!B240</f>
        <v>0.5276473314246003</v>
      </c>
      <c r="M240" s="1">
        <f t="shared" ca="1" si="20"/>
        <v>0.36283707305305191</v>
      </c>
      <c r="N240" s="9">
        <f ca="1">IF(Prices!D239&gt;OFFSET(Prices!D239,-$N$3,0),1,IF(Prices!D239&lt;OFFSET(Prices!D239,-$N$3,0),-1,0))</f>
        <v>1</v>
      </c>
      <c r="O240" s="1">
        <f ca="1">IF(N240=1,O$3*L239/Prices!B239,O$3*M239*N240)</f>
        <v>3.9611973471111998E-2</v>
      </c>
      <c r="P240" s="14"/>
      <c r="Q240" s="9">
        <f ca="1">Q239-T240*Prices!B240</f>
        <v>0.50491538218394083</v>
      </c>
      <c r="R240" s="1">
        <f t="shared" ca="1" si="21"/>
        <v>0.38434526916274192</v>
      </c>
      <c r="S240" s="9">
        <f ca="1">IF(Prices!C239&lt;OFFSET(Prices!C239,-S$3,0),1,IF(Prices!C239&gt;OFFSET(Prices!C239,-S$3,0),-1,0))</f>
        <v>1</v>
      </c>
      <c r="T240" s="1">
        <f ca="1">IF(S240=1,T$3*Q239/Prices!B239,T$3*R239*S240)</f>
        <v>6.9658489576231684E-3</v>
      </c>
      <c r="V240" s="9"/>
      <c r="W240" s="1"/>
      <c r="X240" s="1"/>
      <c r="Y240" s="1"/>
      <c r="Z240" s="1"/>
      <c r="AA240" s="1"/>
      <c r="AB240" s="1"/>
      <c r="AC240" s="1"/>
      <c r="AD240" s="1"/>
      <c r="AE240" s="16"/>
    </row>
    <row r="241" spans="1:31" x14ac:dyDescent="0.2">
      <c r="A241" s="4">
        <v>33843</v>
      </c>
      <c r="B241" s="9">
        <f ca="1">Prices!B240*(1+J241/(50*(ABS(O241)+ABS(T241)+0.0001)))</f>
        <v>1.4995898259140688</v>
      </c>
      <c r="C241" s="13">
        <f t="shared" ca="1" si="22"/>
        <v>1</v>
      </c>
      <c r="D241" s="9">
        <f ca="1">D240+C241*(Prices!B241-Prices!B240)/Prices!B240</f>
        <v>-0.17753363138559186</v>
      </c>
      <c r="E241" s="9">
        <f t="shared" ca="1" si="23"/>
        <v>0.21365758264433818</v>
      </c>
      <c r="F241" s="9">
        <f t="shared" ca="1" si="24"/>
        <v>3.6123951258746317E-2</v>
      </c>
      <c r="G241" s="13">
        <f ca="1">IF((Prices!B241-Prices!B240)*B241&gt;0,1,0)</f>
        <v>0</v>
      </c>
      <c r="H241" s="9">
        <f>ABS(Prices!B241-Prices!B240)/Prices!B240</f>
        <v>2.0399836801304853E-3</v>
      </c>
      <c r="I241" s="13"/>
      <c r="J241" s="1">
        <f t="shared" ca="1" si="25"/>
        <v>6.8667942633474895E-3</v>
      </c>
      <c r="K241" s="9"/>
      <c r="L241" s="9">
        <f ca="1">L240-O241*Prices!B241</f>
        <v>0.5276473314246003</v>
      </c>
      <c r="M241" s="1">
        <f t="shared" ca="1" si="20"/>
        <v>0.36283707305305191</v>
      </c>
      <c r="N241" s="9">
        <f ca="1">IF(Prices!D240&gt;OFFSET(Prices!D240,-$N$3,0),1,IF(Prices!D240&lt;OFFSET(Prices!D240,-$N$3,0),-1,0))</f>
        <v>0</v>
      </c>
      <c r="O241" s="1">
        <f ca="1">IF(N241=1,O$3*L240/Prices!B240,O$3*M240*N241)</f>
        <v>0</v>
      </c>
      <c r="P241" s="14"/>
      <c r="Q241" s="9">
        <f ca="1">Q240-T241*Prices!B241</f>
        <v>0.49483767492305203</v>
      </c>
      <c r="R241" s="1">
        <f t="shared" ca="1" si="21"/>
        <v>0.39121206342608938</v>
      </c>
      <c r="S241" s="9">
        <f ca="1">IF(Prices!C240&lt;OFFSET(Prices!C240,-S$3,0),1,IF(Prices!C240&gt;OFFSET(Prices!C240,-S$3,0),-1,0))</f>
        <v>1</v>
      </c>
      <c r="T241" s="1">
        <f ca="1">IF(S241=1,T$3*Q240/Prices!B240,T$3*R240*S241)</f>
        <v>6.8667942633474895E-3</v>
      </c>
      <c r="V241" s="9"/>
      <c r="W241" s="1"/>
      <c r="X241" s="1"/>
      <c r="Y241" s="1"/>
      <c r="Z241" s="1"/>
      <c r="AA241" s="1"/>
      <c r="AB241" s="1"/>
      <c r="AC241" s="1"/>
      <c r="AD241" s="1"/>
      <c r="AE241" s="16"/>
    </row>
    <row r="242" spans="1:31" x14ac:dyDescent="0.2">
      <c r="A242" s="4">
        <v>33844</v>
      </c>
      <c r="B242" s="9">
        <f ca="1">Prices!B241*(1+J242/(50*(ABS(O242)+ABS(T242)+0.0001)))</f>
        <v>1.4474951877870794</v>
      </c>
      <c r="C242" s="13">
        <f t="shared" ca="1" si="22"/>
        <v>-1</v>
      </c>
      <c r="D242" s="9">
        <f ca="1">D241+C242*(Prices!B242-Prices!B241)/Prices!B241</f>
        <v>-0.1823714618571099</v>
      </c>
      <c r="E242" s="9">
        <f t="shared" ca="1" si="23"/>
        <v>0.21849541311585621</v>
      </c>
      <c r="F242" s="9">
        <f t="shared" ca="1" si="24"/>
        <v>3.6123951258746317E-2</v>
      </c>
      <c r="G242" s="13">
        <f ca="1">IF((Prices!B242-Prices!B241)*B242&gt;0,1,0)</f>
        <v>1</v>
      </c>
      <c r="H242" s="9">
        <f>ABS(Prices!B242-Prices!B241)/Prices!B241</f>
        <v>4.8378304715180455E-3</v>
      </c>
      <c r="I242" s="13"/>
      <c r="J242" s="1">
        <f t="shared" ca="1" si="25"/>
        <v>-2.9540212144184286E-2</v>
      </c>
      <c r="K242" s="9"/>
      <c r="L242" s="9">
        <f ca="1">L241-O242*Prices!B242</f>
        <v>0.58115491458773383</v>
      </c>
      <c r="M242" s="1">
        <f t="shared" ca="1" si="20"/>
        <v>0.32655336574774674</v>
      </c>
      <c r="N242" s="9">
        <f ca="1">IF(Prices!D241&gt;OFFSET(Prices!D241,-$N$3,0),1,IF(Prices!D241&lt;OFFSET(Prices!D241,-$N$3,0),-1,0))</f>
        <v>-1</v>
      </c>
      <c r="O242" s="1">
        <f ca="1">IF(N242=1,O$3*L241/Prices!B241,O$3*M241*N242)</f>
        <v>-3.6283707305305189E-2</v>
      </c>
      <c r="P242" s="14"/>
      <c r="Q242" s="9">
        <f ca="1">Q241-T242*Prices!B242</f>
        <v>0.48489304260894706</v>
      </c>
      <c r="R242" s="1">
        <f t="shared" ca="1" si="21"/>
        <v>0.39795555858721027</v>
      </c>
      <c r="S242" s="9">
        <f ca="1">IF(Prices!C241&lt;OFFSET(Prices!C241,-S$3,0),1,IF(Prices!C241&gt;OFFSET(Prices!C241,-S$3,0),-1,0))</f>
        <v>1</v>
      </c>
      <c r="T242" s="1">
        <f ca="1">IF(S242=1,T$3*Q241/Prices!B241,T$3*R241*S242)</f>
        <v>6.7434951611209052E-3</v>
      </c>
      <c r="V242" s="9"/>
      <c r="W242" s="1"/>
      <c r="X242" s="1"/>
      <c r="Y242" s="1"/>
      <c r="Z242" s="1"/>
      <c r="AA242" s="1"/>
      <c r="AB242" s="1"/>
      <c r="AC242" s="1"/>
      <c r="AD242" s="1"/>
      <c r="AE242" s="16"/>
    </row>
    <row r="243" spans="1:31" x14ac:dyDescent="0.2">
      <c r="A243" s="4">
        <v>33847</v>
      </c>
      <c r="B243" s="9">
        <f ca="1">Prices!B242*(1+J243/(50*(ABS(O243)+ABS(T243)+0.0001)))</f>
        <v>1.4551436805772457</v>
      </c>
      <c r="C243" s="13">
        <f t="shared" ca="1" si="22"/>
        <v>-1</v>
      </c>
      <c r="D243" s="9">
        <f ca="1">D242+C243*(Prices!B243-Prices!B242)/Prices!B242</f>
        <v>-0.1823714618571099</v>
      </c>
      <c r="E243" s="9">
        <f t="shared" ca="1" si="23"/>
        <v>0.21849541311585621</v>
      </c>
      <c r="F243" s="9">
        <f t="shared" ca="1" si="24"/>
        <v>3.6123951258746317E-2</v>
      </c>
      <c r="G243" s="13">
        <f ca="1">IF((Prices!B243-Prices!B242)*B243&gt;0,1,0)</f>
        <v>0</v>
      </c>
      <c r="H243" s="9">
        <f>ABS(Prices!B243-Prices!B242)/Prices!B242</f>
        <v>0</v>
      </c>
      <c r="I243" s="13"/>
      <c r="J243" s="1">
        <f t="shared" ca="1" si="25"/>
        <v>-2.6079178134292579E-2</v>
      </c>
      <c r="K243" s="9"/>
      <c r="L243" s="9">
        <f ca="1">L242-O243*Prices!B243</f>
        <v>0.62931173943455399</v>
      </c>
      <c r="M243" s="1">
        <f t="shared" ca="1" si="20"/>
        <v>0.29389802917297209</v>
      </c>
      <c r="N243" s="9">
        <f ca="1">IF(Prices!D242&gt;OFFSET(Prices!D242,-$N$3,0),1,IF(Prices!D242&lt;OFFSET(Prices!D242,-$N$3,0),-1,0))</f>
        <v>-1</v>
      </c>
      <c r="O243" s="1">
        <f ca="1">IF(N243=1,O$3*L242/Prices!B242,O$3*M242*N243)</f>
        <v>-3.2655336574774672E-2</v>
      </c>
      <c r="P243" s="14"/>
      <c r="Q243" s="9">
        <f ca="1">Q242-T243*Prices!B243</f>
        <v>0.47519518175676811</v>
      </c>
      <c r="R243" s="1">
        <f t="shared" ca="1" si="21"/>
        <v>0.40453171702769236</v>
      </c>
      <c r="S243" s="9">
        <f ca="1">IF(Prices!C242&lt;OFFSET(Prices!C242,-S$3,0),1,IF(Prices!C242&gt;OFFSET(Prices!C242,-S$3,0),-1,0))</f>
        <v>1</v>
      </c>
      <c r="T243" s="1">
        <f ca="1">IF(S243=1,T$3*Q242/Prices!B242,T$3*R242*S243)</f>
        <v>6.5761584404820921E-3</v>
      </c>
      <c r="V243" s="9"/>
      <c r="W243" s="1"/>
      <c r="X243" s="1"/>
      <c r="Y243" s="1"/>
      <c r="Z243" s="1"/>
      <c r="AA243" s="1"/>
      <c r="AB243" s="1"/>
      <c r="AC243" s="1"/>
      <c r="AD243" s="1"/>
      <c r="AE243" s="16"/>
    </row>
    <row r="244" spans="1:31" x14ac:dyDescent="0.2">
      <c r="A244" s="4">
        <v>33848</v>
      </c>
      <c r="B244" s="9">
        <f ca="1">Prices!B243*(1+J244/(50*(ABS(O244)+ABS(T244)+0.0001)))</f>
        <v>1.4558672365383525</v>
      </c>
      <c r="C244" s="13">
        <f t="shared" ca="1" si="22"/>
        <v>-1</v>
      </c>
      <c r="D244" s="9">
        <f ca="1">D243+C244*(Prices!B244-Prices!B243)/Prices!B243</f>
        <v>-0.19071214131733924</v>
      </c>
      <c r="E244" s="9">
        <f t="shared" ca="1" si="23"/>
        <v>0.22683609257608556</v>
      </c>
      <c r="F244" s="9">
        <f t="shared" ca="1" si="24"/>
        <v>3.6123951258746317E-2</v>
      </c>
      <c r="G244" s="13">
        <f ca="1">IF((Prices!B244-Prices!B243)*B244&gt;0,1,0)</f>
        <v>1</v>
      </c>
      <c r="H244" s="9">
        <f>ABS(Prices!B244-Prices!B243)/Prices!B243</f>
        <v>8.3406794602293357E-3</v>
      </c>
      <c r="I244" s="13"/>
      <c r="J244" s="1">
        <f t="shared" ca="1" si="25"/>
        <v>-2.2945167645624757E-2</v>
      </c>
      <c r="K244" s="9"/>
      <c r="L244" s="9">
        <f ca="1">L243-O244*Prices!B244</f>
        <v>0.67301437637257489</v>
      </c>
      <c r="M244" s="1">
        <f t="shared" ca="1" si="20"/>
        <v>0.26450822625567488</v>
      </c>
      <c r="N244" s="9">
        <f ca="1">IF(Prices!D243&gt;OFFSET(Prices!D243,-$N$3,0),1,IF(Prices!D243&lt;OFFSET(Prices!D243,-$N$3,0),-1,0))</f>
        <v>-1</v>
      </c>
      <c r="O244" s="1">
        <f ca="1">IF(N244=1,O$3*L243/Prices!B243,O$3*M243*N244)</f>
        <v>-2.938980291729721E-2</v>
      </c>
      <c r="P244" s="14"/>
      <c r="Q244" s="9">
        <f ca="1">Q243-T244*Prices!B244</f>
        <v>0.46561200910779116</v>
      </c>
      <c r="R244" s="1">
        <f t="shared" ca="1" si="21"/>
        <v>0.4109763522993648</v>
      </c>
      <c r="S244" s="9">
        <f ca="1">IF(Prices!C243&lt;OFFSET(Prices!C243,-S$3,0),1,IF(Prices!C243&gt;OFFSET(Prices!C243,-S$3,0),-1,0))</f>
        <v>1</v>
      </c>
      <c r="T244" s="1">
        <f ca="1">IF(S244=1,T$3*Q243/Prices!B243,T$3*R243*S244)</f>
        <v>6.4446352716724508E-3</v>
      </c>
      <c r="V244" s="9"/>
      <c r="W244" s="1"/>
      <c r="X244" s="1"/>
      <c r="Y244" s="1"/>
      <c r="Z244" s="1"/>
      <c r="AA244" s="1"/>
      <c r="AB244" s="1"/>
      <c r="AC244" s="1"/>
      <c r="AD244" s="1"/>
      <c r="AE244" s="16"/>
    </row>
    <row r="245" spans="1:31" x14ac:dyDescent="0.2">
      <c r="A245" s="4">
        <v>33849</v>
      </c>
      <c r="B245" s="9">
        <f ca="1">Prices!B244*(1+J245/(50*(ABS(O245)+ABS(T245)+0.0001)))</f>
        <v>1.468702436367374</v>
      </c>
      <c r="C245" s="13">
        <f t="shared" ca="1" si="22"/>
        <v>-1</v>
      </c>
      <c r="D245" s="9">
        <f ca="1">D244+C245*(Prices!B245-Prices!B244)/Prices!B244</f>
        <v>-0.19266237669057387</v>
      </c>
      <c r="E245" s="9">
        <f t="shared" ca="1" si="23"/>
        <v>0.22878632794932019</v>
      </c>
      <c r="F245" s="9">
        <f t="shared" ca="1" si="24"/>
        <v>3.6123951258746317E-2</v>
      </c>
      <c r="G245" s="13">
        <f ca="1">IF((Prices!B245-Prices!B244)*B245&gt;0,1,0)</f>
        <v>1</v>
      </c>
      <c r="H245" s="9">
        <f>ABS(Prices!B245-Prices!B244)/Prices!B244</f>
        <v>1.9502353732346351E-3</v>
      </c>
      <c r="I245" s="13"/>
      <c r="J245" s="1">
        <f t="shared" ca="1" si="25"/>
        <v>-2.0188388071326856E-2</v>
      </c>
      <c r="K245" s="9"/>
      <c r="L245" s="9">
        <f ca="1">L244-O245*Prices!B245</f>
        <v>0.71242345700240794</v>
      </c>
      <c r="M245" s="1">
        <f t="shared" ca="1" si="20"/>
        <v>0.23805740363010738</v>
      </c>
      <c r="N245" s="9">
        <f ca="1">IF(Prices!D244&gt;OFFSET(Prices!D244,-$N$3,0),1,IF(Prices!D244&lt;OFFSET(Prices!D244,-$N$3,0),-1,0))</f>
        <v>-1</v>
      </c>
      <c r="O245" s="1">
        <f ca="1">IF(N245=1,O$3*L244/Prices!B244,O$3*M244*N245)</f>
        <v>-2.6450822625567489E-2</v>
      </c>
      <c r="P245" s="14"/>
      <c r="Q245" s="9">
        <f ca="1">Q244-T245*Prices!B245</f>
        <v>0.45628160786542804</v>
      </c>
      <c r="R245" s="1">
        <f t="shared" ca="1" si="21"/>
        <v>0.41723878685360544</v>
      </c>
      <c r="S245" s="9">
        <f ca="1">IF(Prices!C244&lt;OFFSET(Prices!C244,-S$3,0),1,IF(Prices!C244&gt;OFFSET(Prices!C244,-S$3,0),-1,0))</f>
        <v>1</v>
      </c>
      <c r="T245" s="1">
        <f ca="1">IF(S245=1,T$3*Q244/Prices!B244,T$3*R244*S245)</f>
        <v>6.2624345542406333E-3</v>
      </c>
      <c r="V245" s="9"/>
      <c r="W245" s="1"/>
      <c r="X245" s="1"/>
      <c r="Y245" s="1"/>
      <c r="Z245" s="1"/>
      <c r="AA245" s="1"/>
      <c r="AB245" s="1"/>
      <c r="AC245" s="1"/>
      <c r="AD245" s="1"/>
      <c r="AE245" s="16"/>
    </row>
    <row r="246" spans="1:31" x14ac:dyDescent="0.2">
      <c r="A246" s="4">
        <v>33850</v>
      </c>
      <c r="B246" s="9">
        <f ca="1">Prices!B245*(1+J246/(50*(ABS(O246)+ABS(T246)+0.0001)))</f>
        <v>1.4723562809729969</v>
      </c>
      <c r="C246" s="13">
        <f t="shared" ca="1" si="22"/>
        <v>-1</v>
      </c>
      <c r="D246" s="9">
        <f ca="1">D245+C246*(Prices!B246-Prices!B245)/Prices!B245</f>
        <v>-0.17782916640800456</v>
      </c>
      <c r="E246" s="9">
        <f t="shared" ca="1" si="23"/>
        <v>0.21395311766675087</v>
      </c>
      <c r="F246" s="9">
        <f t="shared" ca="1" si="24"/>
        <v>3.6123951258746317E-2</v>
      </c>
      <c r="G246" s="13">
        <f ca="1">IF((Prices!B246-Prices!B245)*B246&gt;0,1,0)</f>
        <v>0</v>
      </c>
      <c r="H246" s="9">
        <f>ABS(Prices!B246-Prices!B245)/Prices!B245</f>
        <v>1.4833210282569306E-2</v>
      </c>
      <c r="I246" s="13"/>
      <c r="J246" s="1">
        <f t="shared" ca="1" si="25"/>
        <v>-1.7680743948950358E-2</v>
      </c>
      <c r="K246" s="9"/>
      <c r="L246" s="9">
        <f ca="1">L245-O246*Prices!B246</f>
        <v>0.74736552270723511</v>
      </c>
      <c r="M246" s="1">
        <f t="shared" ca="1" si="20"/>
        <v>0.21425166326709666</v>
      </c>
      <c r="N246" s="9">
        <f ca="1">IF(Prices!D245&gt;OFFSET(Prices!D245,-$N$3,0),1,IF(Prices!D245&lt;OFFSET(Prices!D245,-$N$3,0),-1,0))</f>
        <v>-1</v>
      </c>
      <c r="O246" s="1">
        <f ca="1">IF(N246=1,O$3*L245/Prices!B245,O$3*M245*N246)</f>
        <v>-2.3805740363010738E-2</v>
      </c>
      <c r="P246" s="14"/>
      <c r="Q246" s="9">
        <f ca="1">Q245-T246*Prices!B246</f>
        <v>0.44729133812887023</v>
      </c>
      <c r="R246" s="1">
        <f t="shared" ca="1" si="21"/>
        <v>0.42336378326766583</v>
      </c>
      <c r="S246" s="9">
        <f ca="1">IF(Prices!C245&lt;OFFSET(Prices!C245,-S$3,0),1,IF(Prices!C245&gt;OFFSET(Prices!C245,-S$3,0),-1,0))</f>
        <v>1</v>
      </c>
      <c r="T246" s="1">
        <f ca="1">IF(S246=1,T$3*Q245/Prices!B245,T$3*R245*S246)</f>
        <v>6.1249964140603812E-3</v>
      </c>
      <c r="V246" s="9"/>
      <c r="W246" s="1"/>
      <c r="X246" s="1"/>
      <c r="Y246" s="1"/>
      <c r="Z246" s="1"/>
      <c r="AA246" s="1"/>
      <c r="AB246" s="1"/>
      <c r="AC246" s="1"/>
      <c r="AD246" s="1"/>
      <c r="AE246" s="16"/>
    </row>
    <row r="247" spans="1:31" x14ac:dyDescent="0.2">
      <c r="A247" s="4">
        <v>33851</v>
      </c>
      <c r="B247" s="9">
        <f ca="1">Prices!B246*(1+J247/(50*(ABS(O247)+ABS(T247)+0.0001)))</f>
        <v>1.438541877992088</v>
      </c>
      <c r="C247" s="13">
        <f t="shared" ca="1" si="22"/>
        <v>-1</v>
      </c>
      <c r="D247" s="9">
        <f ca="1">D246+C247*(Prices!B247-Prices!B246)/Prices!B246</f>
        <v>-0.18164440009106769</v>
      </c>
      <c r="E247" s="9">
        <f t="shared" ca="1" si="23"/>
        <v>0.21776835134981401</v>
      </c>
      <c r="F247" s="9">
        <f t="shared" ca="1" si="24"/>
        <v>3.6123951258746317E-2</v>
      </c>
      <c r="G247" s="13">
        <f ca="1">IF((Prices!B247-Prices!B246)*B247&gt;0,1,0)</f>
        <v>1</v>
      </c>
      <c r="H247" s="9">
        <f>ABS(Prices!B247-Prices!B246)/Prices!B246</f>
        <v>3.8152336830631212E-3</v>
      </c>
      <c r="I247" s="13"/>
      <c r="J247" s="1">
        <f t="shared" ca="1" si="25"/>
        <v>-2.9892441992062986E-2</v>
      </c>
      <c r="K247" s="9"/>
      <c r="L247" s="9">
        <f ca="1">L246-O247*Prices!B247</f>
        <v>0.77893336277300917</v>
      </c>
      <c r="M247" s="1">
        <f t="shared" ca="1" si="20"/>
        <v>0.192826496940387</v>
      </c>
      <c r="N247" s="9">
        <f ca="1">IF(Prices!D246&gt;OFFSET(Prices!D246,-$N$3,0),1,IF(Prices!D246&lt;OFFSET(Prices!D246,-$N$3,0),-1,0))</f>
        <v>-1</v>
      </c>
      <c r="O247" s="1">
        <f ca="1">IF(N247=1,O$3*L246/Prices!B246,O$3*M246*N247)</f>
        <v>-2.1425166326709669E-2</v>
      </c>
      <c r="P247" s="14"/>
      <c r="Q247" s="9">
        <f ca="1">Q246-T247*Prices!B247</f>
        <v>0.45976702209420178</v>
      </c>
      <c r="R247" s="1">
        <f t="shared" ca="1" si="21"/>
        <v>0.4148965076023125</v>
      </c>
      <c r="S247" s="9">
        <f ca="1">IF(Prices!C246&lt;OFFSET(Prices!C246,-S$3,0),1,IF(Prices!C246&gt;OFFSET(Prices!C246,-S$3,0),-1,0))</f>
        <v>-1</v>
      </c>
      <c r="T247" s="1">
        <f ca="1">IF(S247=1,T$3*Q246/Prices!B246,T$3*R246*S247)</f>
        <v>-8.4672756653533174E-3</v>
      </c>
      <c r="V247" s="9"/>
      <c r="W247" s="1"/>
      <c r="X247" s="1"/>
      <c r="Y247" s="1"/>
      <c r="Z247" s="1"/>
      <c r="AA247" s="1"/>
      <c r="AB247" s="1"/>
      <c r="AC247" s="1"/>
      <c r="AD247" s="1"/>
      <c r="AE247" s="16"/>
    </row>
    <row r="248" spans="1:31" x14ac:dyDescent="0.2">
      <c r="A248" s="4">
        <v>33854</v>
      </c>
      <c r="B248" s="9">
        <f ca="1">Prices!B247*(1+J248/(50*(ABS(O248)+ABS(T248)+0.0001)))</f>
        <v>1.4440384573074836</v>
      </c>
      <c r="C248" s="13">
        <f t="shared" ca="1" si="22"/>
        <v>-1</v>
      </c>
      <c r="D248" s="9">
        <f ca="1">D247+C248*(Prices!B248-Prices!B247)/Prices!B247</f>
        <v>-0.18490217123264494</v>
      </c>
      <c r="E248" s="9">
        <f t="shared" ca="1" si="23"/>
        <v>0.22102612249139125</v>
      </c>
      <c r="F248" s="9">
        <f t="shared" ca="1" si="24"/>
        <v>3.6123951258746317E-2</v>
      </c>
      <c r="G248" s="13">
        <f ca="1">IF((Prices!B248-Prices!B247)*B248&gt;0,1,0)</f>
        <v>1</v>
      </c>
      <c r="H248" s="9">
        <f>ABS(Prices!B248-Prices!B247)/Prices!B247</f>
        <v>3.2577711415772469E-3</v>
      </c>
      <c r="I248" s="13"/>
      <c r="J248" s="1">
        <f t="shared" ca="1" si="25"/>
        <v>-2.7580579846084953E-2</v>
      </c>
      <c r="K248" s="9"/>
      <c r="L248" s="9">
        <f ca="1">L247-O248*Prices!B248</f>
        <v>0.80743697555073712</v>
      </c>
      <c r="M248" s="1">
        <f t="shared" ca="1" si="20"/>
        <v>0.1735438472463483</v>
      </c>
      <c r="N248" s="9">
        <f ca="1">IF(Prices!D247&gt;OFFSET(Prices!D247,-$N$3,0),1,IF(Prices!D247&lt;OFFSET(Prices!D247,-$N$3,0),-1,0))</f>
        <v>-1</v>
      </c>
      <c r="O248" s="1">
        <f ca="1">IF(N248=1,O$3*L247/Prices!B247,O$3*M247*N248)</f>
        <v>-1.92826496940387E-2</v>
      </c>
      <c r="P248" s="14"/>
      <c r="Q248" s="9">
        <f ca="1">Q247-T248*Prices!B248</f>
        <v>0.47203302244495654</v>
      </c>
      <c r="R248" s="1">
        <f t="shared" ca="1" si="21"/>
        <v>0.40659857745026623</v>
      </c>
      <c r="S248" s="9">
        <f ca="1">IF(Prices!C247&lt;OFFSET(Prices!C247,-S$3,0),1,IF(Prices!C247&gt;OFFSET(Prices!C247,-S$3,0),-1,0))</f>
        <v>-1</v>
      </c>
      <c r="T248" s="1">
        <f ca="1">IF(S248=1,T$3*Q247/Prices!B247,T$3*R247*S248)</f>
        <v>-8.2979301520462508E-3</v>
      </c>
      <c r="V248" s="9"/>
      <c r="W248" s="1"/>
      <c r="X248" s="1"/>
      <c r="Y248" s="1"/>
      <c r="Z248" s="1"/>
      <c r="AA248" s="1"/>
      <c r="AB248" s="1"/>
      <c r="AC248" s="1"/>
      <c r="AD248" s="1"/>
      <c r="AE248" s="16"/>
    </row>
    <row r="249" spans="1:31" x14ac:dyDescent="0.2">
      <c r="A249" s="4">
        <v>33855</v>
      </c>
      <c r="B249" s="9">
        <f ca="1">Prices!B248*(1+J249/(50*(ABS(O249)+ABS(T249)+0.0001)))</f>
        <v>1.4487515459561486</v>
      </c>
      <c r="C249" s="13">
        <f t="shared" ca="1" si="22"/>
        <v>-1</v>
      </c>
      <c r="D249" s="9">
        <f ca="1">D248+C249*(Prices!B249-Prices!B248)/Prices!B248</f>
        <v>-0.18902881174137176</v>
      </c>
      <c r="E249" s="9">
        <f t="shared" ca="1" si="23"/>
        <v>0.22515276300011808</v>
      </c>
      <c r="F249" s="9">
        <f t="shared" ca="1" si="24"/>
        <v>3.6123951258746317E-2</v>
      </c>
      <c r="G249" s="13">
        <f ca="1">IF((Prices!B249-Prices!B248)*B249&gt;0,1,0)</f>
        <v>1</v>
      </c>
      <c r="H249" s="9">
        <f>ABS(Prices!B249-Prices!B248)/Prices!B248</f>
        <v>4.1266405087268263E-3</v>
      </c>
      <c r="I249" s="13"/>
      <c r="J249" s="1">
        <f t="shared" ca="1" si="25"/>
        <v>-2.5486356273640157E-2</v>
      </c>
      <c r="K249" s="9"/>
      <c r="L249" s="9">
        <f ca="1">L248-O249*Prices!B249</f>
        <v>0.83319608879751261</v>
      </c>
      <c r="M249" s="1">
        <f t="shared" ca="1" si="20"/>
        <v>0.15618946252171348</v>
      </c>
      <c r="N249" s="9">
        <f ca="1">IF(Prices!D248&gt;OFFSET(Prices!D248,-$N$3,0),1,IF(Prices!D248&lt;OFFSET(Prices!D248,-$N$3,0),-1,0))</f>
        <v>-1</v>
      </c>
      <c r="O249" s="1">
        <f ca="1">IF(N249=1,O$3*L248/Prices!B248,O$3*M248*N249)</f>
        <v>-1.7354384724634832E-2</v>
      </c>
      <c r="P249" s="14"/>
      <c r="Q249" s="9">
        <f ca="1">Q248-T249*Prices!B249</f>
        <v>0.48410330781514516</v>
      </c>
      <c r="R249" s="1">
        <f t="shared" ca="1" si="21"/>
        <v>0.39846660590126093</v>
      </c>
      <c r="S249" s="9">
        <f ca="1">IF(Prices!C248&lt;OFFSET(Prices!C248,-S$3,0),1,IF(Prices!C248&gt;OFFSET(Prices!C248,-S$3,0),-1,0))</f>
        <v>-1</v>
      </c>
      <c r="T249" s="1">
        <f ca="1">IF(S249=1,T$3*Q248/Prices!B248,T$3*R248*S249)</f>
        <v>-8.1319715490053256E-3</v>
      </c>
      <c r="V249" s="9"/>
      <c r="W249" s="1"/>
      <c r="X249" s="1"/>
      <c r="Y249" s="1"/>
      <c r="Z249" s="1"/>
      <c r="AA249" s="1"/>
      <c r="AB249" s="1"/>
      <c r="AC249" s="1"/>
      <c r="AD249" s="1"/>
      <c r="AE249" s="16"/>
    </row>
    <row r="250" spans="1:31" x14ac:dyDescent="0.2">
      <c r="A250" s="4">
        <v>33856</v>
      </c>
      <c r="B250" s="9">
        <f ca="1">Prices!B249*(1+J250/(50*(ABS(O250)+ABS(T250)+0.0001)))</f>
        <v>1.4721597449037189</v>
      </c>
      <c r="C250" s="13">
        <f t="shared" ca="1" si="22"/>
        <v>-1</v>
      </c>
      <c r="D250" s="9">
        <f ca="1">D249+C250*(Prices!B250-Prices!B249)/Prices!B249</f>
        <v>-0.1761607931467481</v>
      </c>
      <c r="E250" s="9">
        <f t="shared" ca="1" si="23"/>
        <v>0.21228474440549441</v>
      </c>
      <c r="F250" s="9">
        <f t="shared" ca="1" si="24"/>
        <v>3.6123951258746317E-2</v>
      </c>
      <c r="G250" s="13">
        <f ca="1">IF((Prices!B250-Prices!B249)*B250&gt;0,1,0)</f>
        <v>0</v>
      </c>
      <c r="H250" s="9">
        <f>ABS(Prices!B250-Prices!B249)/Prices!B249</f>
        <v>1.2868018594623658E-2</v>
      </c>
      <c r="I250" s="13"/>
      <c r="J250" s="1">
        <f t="shared" ca="1" si="25"/>
        <v>-9.0959615750151775E-3</v>
      </c>
      <c r="K250" s="9"/>
      <c r="L250" s="9">
        <f ca="1">L249-O250*Prices!B250</f>
        <v>0.85608096884619411</v>
      </c>
      <c r="M250" s="1">
        <f t="shared" ca="1" si="20"/>
        <v>0.14057051626954215</v>
      </c>
      <c r="N250" s="9">
        <f ca="1">IF(Prices!D249&gt;OFFSET(Prices!D249,-$N$3,0),1,IF(Prices!D249&lt;OFFSET(Prices!D249,-$N$3,0),-1,0))</f>
        <v>-1</v>
      </c>
      <c r="O250" s="1">
        <f ca="1">IF(N250=1,O$3*L249/Prices!B249,O$3*M249*N250)</f>
        <v>-1.5618946252171348E-2</v>
      </c>
      <c r="P250" s="14"/>
      <c r="Q250" s="9">
        <f ca="1">Q249-T250*Prices!B250</f>
        <v>0.47454583066617595</v>
      </c>
      <c r="R250" s="1">
        <f t="shared" ca="1" si="21"/>
        <v>0.4049895905784171</v>
      </c>
      <c r="S250" s="9">
        <f ca="1">IF(Prices!C249&lt;OFFSET(Prices!C249,-S$3,0),1,IF(Prices!C249&gt;OFFSET(Prices!C249,-S$3,0),-1,0))</f>
        <v>1</v>
      </c>
      <c r="T250" s="1">
        <f ca="1">IF(S250=1,T$3*Q249/Prices!B249,T$3*R249*S250)</f>
        <v>6.5229846771561696E-3</v>
      </c>
      <c r="V250" s="9"/>
      <c r="W250" s="1"/>
      <c r="X250" s="1"/>
      <c r="Y250" s="1"/>
      <c r="Z250" s="1"/>
      <c r="AA250" s="1"/>
      <c r="AB250" s="1"/>
      <c r="AC250" s="1"/>
      <c r="AD250" s="1"/>
      <c r="AE250" s="16"/>
    </row>
    <row r="251" spans="1:31" x14ac:dyDescent="0.2">
      <c r="A251" s="4">
        <v>33857</v>
      </c>
      <c r="B251" s="9">
        <f ca="1">Prices!B250*(1+J251/(50*(ABS(O251)+ABS(T251)+0.0001)))</f>
        <v>1.4544360687855438</v>
      </c>
      <c r="C251" s="13">
        <f t="shared" ca="1" si="22"/>
        <v>-1</v>
      </c>
      <c r="D251" s="9">
        <f ca="1">D250+C251*(Prices!B251-Prices!B250)/Prices!B250</f>
        <v>-0.17691154389749877</v>
      </c>
      <c r="E251" s="9">
        <f t="shared" ca="1" si="23"/>
        <v>0.21303549515624509</v>
      </c>
      <c r="F251" s="9">
        <f t="shared" ca="1" si="24"/>
        <v>3.6123951258746317E-2</v>
      </c>
      <c r="G251" s="13">
        <f ca="1">IF((Prices!B251-Prices!B250)*B251&gt;0,1,0)</f>
        <v>1</v>
      </c>
      <c r="H251" s="9">
        <f>ABS(Prices!B251-Prices!B250)/Prices!B250</f>
        <v>7.5075075075066802E-4</v>
      </c>
      <c r="I251" s="13"/>
      <c r="J251" s="1">
        <f t="shared" ca="1" si="25"/>
        <v>-7.5794945608038478E-3</v>
      </c>
      <c r="K251" s="9"/>
      <c r="L251" s="9">
        <f ca="1">L250-O251*Prices!B251</f>
        <v>0.87669282364679713</v>
      </c>
      <c r="M251" s="1">
        <f t="shared" ca="1" si="20"/>
        <v>0.12651346464258792</v>
      </c>
      <c r="N251" s="9">
        <f ca="1">IF(Prices!D250&gt;OFFSET(Prices!D250,-$N$3,0),1,IF(Prices!D250&lt;OFFSET(Prices!D250,-$N$3,0),-1,0))</f>
        <v>-1</v>
      </c>
      <c r="O251" s="1">
        <f ca="1">IF(N251=1,O$3*L250/Prices!B250,O$3*M250*N251)</f>
        <v>-1.4057051626954215E-2</v>
      </c>
      <c r="P251" s="14"/>
      <c r="Q251" s="9">
        <f ca="1">Q250-T251*Prices!B251</f>
        <v>0.46504778874007968</v>
      </c>
      <c r="R251" s="1">
        <f t="shared" ca="1" si="21"/>
        <v>0.41146714764456749</v>
      </c>
      <c r="S251" s="9">
        <f ca="1">IF(Prices!C250&lt;OFFSET(Prices!C250,-S$3,0),1,IF(Prices!C250&gt;OFFSET(Prices!C250,-S$3,0),-1,0))</f>
        <v>1</v>
      </c>
      <c r="T251" s="1">
        <f ca="1">IF(S251=1,T$3*Q250/Prices!B250,T$3*R250*S251)</f>
        <v>6.4775570661503674E-3</v>
      </c>
      <c r="V251" s="9"/>
      <c r="W251" s="1"/>
      <c r="X251" s="1"/>
      <c r="Y251" s="1"/>
      <c r="Z251" s="1"/>
      <c r="AA251" s="1"/>
      <c r="AB251" s="1"/>
      <c r="AC251" s="1"/>
      <c r="AD251" s="1"/>
      <c r="AE251" s="16"/>
    </row>
    <row r="252" spans="1:31" x14ac:dyDescent="0.2">
      <c r="A252" s="4">
        <v>33858</v>
      </c>
      <c r="B252" s="9">
        <f ca="1">Prices!B251*(1+J252/(50*(ABS(O252)+ABS(T252)+0.0001)))</f>
        <v>1.4955817227136501</v>
      </c>
      <c r="C252" s="13">
        <f t="shared" ca="1" si="22"/>
        <v>1</v>
      </c>
      <c r="D252" s="9">
        <f ca="1">D251+C252*(Prices!B252-Prices!B251)/Prices!B251</f>
        <v>-0.19859878388931479</v>
      </c>
      <c r="E252" s="9">
        <f t="shared" ca="1" si="23"/>
        <v>0.23472273514806111</v>
      </c>
      <c r="F252" s="9">
        <f t="shared" ca="1" si="24"/>
        <v>3.6123951258746317E-2</v>
      </c>
      <c r="G252" s="13">
        <f ca="1">IF((Prices!B252-Prices!B251)*B252&gt;0,1,0)</f>
        <v>0</v>
      </c>
      <c r="H252" s="9">
        <f>ABS(Prices!B252-Prices!B251)/Prices!B251</f>
        <v>2.1687239991816019E-2</v>
      </c>
      <c r="I252" s="13"/>
      <c r="J252" s="1">
        <f t="shared" ca="1" si="25"/>
        <v>6.6132604609889734E-2</v>
      </c>
      <c r="K252" s="9"/>
      <c r="L252" s="9">
        <f ca="1">L251-O252*Prices!B252</f>
        <v>0.79092484604867053</v>
      </c>
      <c r="M252" s="1">
        <f t="shared" ca="1" si="20"/>
        <v>0.18630292271029558</v>
      </c>
      <c r="N252" s="9">
        <f ca="1">IF(Prices!D251&gt;OFFSET(Prices!D251,-$N$3,0),1,IF(Prices!D251&lt;OFFSET(Prices!D251,-$N$3,0),-1,0))</f>
        <v>1</v>
      </c>
      <c r="O252" s="1">
        <f ca="1">IF(N252=1,O$3*L251/Prices!B251,O$3*M251*N252)</f>
        <v>5.9789458067707649E-2</v>
      </c>
      <c r="P252" s="14"/>
      <c r="Q252" s="9">
        <f ca="1">Q251-T252*Prices!B252</f>
        <v>0.45594854502531945</v>
      </c>
      <c r="R252" s="1">
        <f t="shared" ca="1" si="21"/>
        <v>0.41781029418674959</v>
      </c>
      <c r="S252" s="9">
        <f ca="1">IF(Prices!C251&lt;OFFSET(Prices!C251,-S$3,0),1,IF(Prices!C251&gt;OFFSET(Prices!C251,-S$3,0),-1,0))</f>
        <v>1</v>
      </c>
      <c r="T252" s="1">
        <f ca="1">IF(S252=1,T$3*Q251/Prices!B251,T$3*R251*S252)</f>
        <v>6.3431465421820874E-3</v>
      </c>
      <c r="V252" s="9"/>
      <c r="W252" s="1"/>
      <c r="X252" s="1"/>
      <c r="Y252" s="1"/>
      <c r="Z252" s="1"/>
      <c r="AA252" s="1"/>
      <c r="AB252" s="1"/>
      <c r="AC252" s="1"/>
      <c r="AD252" s="1"/>
      <c r="AE252" s="16"/>
    </row>
    <row r="253" spans="1:31" x14ac:dyDescent="0.2">
      <c r="A253" s="4">
        <v>33861</v>
      </c>
      <c r="B253" s="9">
        <f ca="1">Prices!B252*(1+J253/(50*(ABS(O253)+ABS(T253)+0.0001)))</f>
        <v>1.4556049720116562</v>
      </c>
      <c r="C253" s="13">
        <f t="shared" ca="1" si="22"/>
        <v>1</v>
      </c>
      <c r="D253" s="9">
        <f ca="1">D252+C253*(Prices!B253-Prices!B252)/Prices!B252</f>
        <v>-0.23185078807195686</v>
      </c>
      <c r="E253" s="9">
        <f t="shared" ca="1" si="23"/>
        <v>0.26797473933070315</v>
      </c>
      <c r="F253" s="9">
        <f t="shared" ca="1" si="24"/>
        <v>3.6123951258746317E-2</v>
      </c>
      <c r="G253" s="13">
        <f ca="1">IF((Prices!B253-Prices!B252)*B253&gt;0,1,0)</f>
        <v>0</v>
      </c>
      <c r="H253" s="9">
        <f>ABS(Prices!B253-Prices!B252)/Prices!B252</f>
        <v>3.3252004182642084E-2</v>
      </c>
      <c r="I253" s="13"/>
      <c r="J253" s="1">
        <f t="shared" ca="1" si="25"/>
        <v>4.6779719250365427E-2</v>
      </c>
      <c r="K253" s="9"/>
      <c r="L253" s="9">
        <f ca="1">L252-O253*Prices!B253</f>
        <v>0.71446234507270012</v>
      </c>
      <c r="M253" s="1">
        <f t="shared" ca="1" si="20"/>
        <v>0.24143884784439601</v>
      </c>
      <c r="N253" s="9">
        <f ca="1">IF(Prices!D252&gt;OFFSET(Prices!D252,-$N$3,0),1,IF(Prices!D252&lt;OFFSET(Prices!D252,-$N$3,0),-1,0))</f>
        <v>1</v>
      </c>
      <c r="O253" s="1">
        <f ca="1">IF(N253=1,O$3*L252/Prices!B252,O$3*M252*N253)</f>
        <v>5.5135925134100421E-2</v>
      </c>
      <c r="P253" s="14"/>
      <c r="Q253" s="9">
        <f ca="1">Q252-T253*Prices!B253</f>
        <v>0.46753693134488317</v>
      </c>
      <c r="R253" s="1">
        <f t="shared" ca="1" si="21"/>
        <v>0.40945408830301461</v>
      </c>
      <c r="S253" s="9">
        <f ca="1">IF(Prices!C252&lt;OFFSET(Prices!C252,-S$3,0),1,IF(Prices!C252&gt;OFFSET(Prices!C252,-S$3,0),-1,0))</f>
        <v>-1</v>
      </c>
      <c r="T253" s="1">
        <f ca="1">IF(S253=1,T$3*Q252/Prices!B252,T$3*R252*S253)</f>
        <v>-8.3562058837349917E-3</v>
      </c>
      <c r="V253" s="9"/>
      <c r="W253" s="1"/>
      <c r="X253" s="1"/>
      <c r="Y253" s="1"/>
      <c r="Z253" s="1"/>
      <c r="AA253" s="1"/>
      <c r="AB253" s="1"/>
      <c r="AC253" s="1"/>
      <c r="AD253" s="1"/>
      <c r="AE253" s="16"/>
    </row>
    <row r="254" spans="1:31" x14ac:dyDescent="0.2">
      <c r="A254" s="4">
        <v>33862</v>
      </c>
      <c r="B254" s="9">
        <f ca="1">Prices!B253*(1+J254/(50*(ABS(O254)+ABS(T254)+0.0001)))</f>
        <v>1.4068942220946783</v>
      </c>
      <c r="C254" s="13">
        <f t="shared" ca="1" si="22"/>
        <v>1</v>
      </c>
      <c r="D254" s="9">
        <f ca="1">D253+C254*(Prices!B254-Prices!B253)/Prices!B253</f>
        <v>-0.22658687114089263</v>
      </c>
      <c r="E254" s="9">
        <f t="shared" ca="1" si="23"/>
        <v>0.26271082239963894</v>
      </c>
      <c r="F254" s="9">
        <f t="shared" ca="1" si="24"/>
        <v>3.6123951258746317E-2</v>
      </c>
      <c r="G254" s="13">
        <f ca="1">IF((Prices!B254-Prices!B253)*B254&gt;0,1,0)</f>
        <v>1</v>
      </c>
      <c r="H254" s="9">
        <f>ABS(Prices!B254-Prices!B253)/Prices!B253</f>
        <v>5.2639169310642209E-3</v>
      </c>
      <c r="I254" s="13"/>
      <c r="J254" s="1">
        <f t="shared" ca="1" si="25"/>
        <v>4.3329691313886358E-2</v>
      </c>
      <c r="K254" s="9"/>
      <c r="L254" s="9">
        <f ca="1">L253-O254*Prices!B254</f>
        <v>0.64264002352194649</v>
      </c>
      <c r="M254" s="1">
        <f t="shared" ca="1" si="20"/>
        <v>0.29295762092434263</v>
      </c>
      <c r="N254" s="9">
        <f ca="1">IF(Prices!D253&gt;OFFSET(Prices!D253,-$N$3,0),1,IF(Prices!D253&lt;OFFSET(Prices!D253,-$N$3,0),-1,0))</f>
        <v>1</v>
      </c>
      <c r="O254" s="1">
        <f ca="1">IF(N254=1,O$3*L253/Prices!B253,O$3*M253*N254)</f>
        <v>5.151877307994665E-2</v>
      </c>
      <c r="P254" s="14"/>
      <c r="Q254" s="9">
        <f ca="1">Q253-T254*Prices!B254</f>
        <v>0.47895333023494779</v>
      </c>
      <c r="R254" s="1">
        <f t="shared" ca="1" si="21"/>
        <v>0.40126500653695429</v>
      </c>
      <c r="S254" s="9">
        <f ca="1">IF(Prices!C253&lt;OFFSET(Prices!C253,-S$3,0),1,IF(Prices!C253&gt;OFFSET(Prices!C253,-S$3,0),-1,0))</f>
        <v>-1</v>
      </c>
      <c r="T254" s="1">
        <f ca="1">IF(S254=1,T$3*Q253/Prices!B253,T$3*R253*S254)</f>
        <v>-8.1890817660602924E-3</v>
      </c>
      <c r="V254" s="9"/>
      <c r="W254" s="1"/>
      <c r="X254" s="1"/>
      <c r="Y254" s="1"/>
      <c r="Z254" s="1"/>
      <c r="AA254" s="1"/>
      <c r="AB254" s="1"/>
      <c r="AC254" s="1"/>
      <c r="AD254" s="1"/>
      <c r="AE254" s="16"/>
    </row>
    <row r="255" spans="1:31" x14ac:dyDescent="0.2">
      <c r="A255" s="4">
        <v>33863</v>
      </c>
      <c r="B255" s="9">
        <f ca="1">Prices!B254*(1+J255/(50*(ABS(O255)+ABS(T255)+0.0001)))</f>
        <v>1.4136771144644806</v>
      </c>
      <c r="C255" s="13">
        <f t="shared" ca="1" si="22"/>
        <v>1</v>
      </c>
      <c r="D255" s="9">
        <f ca="1">D254+C255*(Prices!B255-Prices!B254)/Prices!B254</f>
        <v>-0.25370113841009845</v>
      </c>
      <c r="E255" s="9">
        <f t="shared" ca="1" si="23"/>
        <v>0.28982508966884479</v>
      </c>
      <c r="F255" s="9">
        <f t="shared" ca="1" si="24"/>
        <v>3.6123951258746317E-2</v>
      </c>
      <c r="G255" s="13">
        <f ca="1">IF((Prices!B255-Prices!B254)*B255&gt;0,1,0)</f>
        <v>0</v>
      </c>
      <c r="H255" s="9">
        <f>ABS(Prices!B255-Prices!B254)/Prices!B254</f>
        <v>2.7114267269205822E-2</v>
      </c>
      <c r="I255" s="13"/>
      <c r="J255" s="1">
        <f t="shared" ca="1" si="25"/>
        <v>3.8071825148792267E-2</v>
      </c>
      <c r="K255" s="9"/>
      <c r="L255" s="9">
        <f ca="1">L254-O255*Prices!B255</f>
        <v>0.58011849250531811</v>
      </c>
      <c r="M255" s="1">
        <f t="shared" ca="1" si="20"/>
        <v>0.33905474620387399</v>
      </c>
      <c r="N255" s="9">
        <f ca="1">IF(Prices!D254&gt;OFFSET(Prices!D254,-$N$3,0),1,IF(Prices!D254&lt;OFFSET(Prices!D254,-$N$3,0),-1,0))</f>
        <v>1</v>
      </c>
      <c r="O255" s="1">
        <f ca="1">IF(N255=1,O$3*L254/Prices!B254,O$3*M254*N255)</f>
        <v>4.6097125279531352E-2</v>
      </c>
      <c r="P255" s="14"/>
      <c r="Q255" s="9">
        <f ca="1">Q254-T255*Prices!B255</f>
        <v>0.48983804480226922</v>
      </c>
      <c r="R255" s="1">
        <f t="shared" ca="1" si="21"/>
        <v>0.39323970640621519</v>
      </c>
      <c r="S255" s="9">
        <f ca="1">IF(Prices!C254&lt;OFFSET(Prices!C254,-S$3,0),1,IF(Prices!C254&gt;OFFSET(Prices!C254,-S$3,0),-1,0))</f>
        <v>-1</v>
      </c>
      <c r="T255" s="1">
        <f ca="1">IF(S255=1,T$3*Q254/Prices!B254,T$3*R254*S255)</f>
        <v>-8.0253001307390853E-3</v>
      </c>
      <c r="V255" s="9"/>
      <c r="W255" s="1"/>
      <c r="X255" s="1"/>
      <c r="Y255" s="1"/>
      <c r="Z255" s="1"/>
      <c r="AA255" s="1"/>
      <c r="AB255" s="1"/>
      <c r="AC255" s="1"/>
      <c r="AD255" s="1"/>
      <c r="AE255" s="16"/>
    </row>
    <row r="256" spans="1:31" x14ac:dyDescent="0.2">
      <c r="A256" s="4">
        <v>33864</v>
      </c>
      <c r="B256" s="9">
        <f ca="1">Prices!B255*(1+J256/(50*(ABS(O256)+ABS(T256)+0.0001)))</f>
        <v>1.374962866686535</v>
      </c>
      <c r="C256" s="13">
        <f t="shared" ca="1" si="22"/>
        <v>1</v>
      </c>
      <c r="D256" s="9">
        <f ca="1">D255+C256*(Prices!B256-Prices!B255)/Prices!B255</f>
        <v>-0.24522218832530907</v>
      </c>
      <c r="E256" s="9">
        <f t="shared" ca="1" si="23"/>
        <v>0.28134613958405541</v>
      </c>
      <c r="F256" s="9">
        <f t="shared" ca="1" si="24"/>
        <v>3.6123951258746317E-2</v>
      </c>
      <c r="G256" s="13">
        <f ca="1">IF((Prices!B256-Prices!B255)*B256&gt;0,1,0)</f>
        <v>1</v>
      </c>
      <c r="H256" s="9">
        <f>ABS(Prices!B256-Prices!B255)/Prices!B255</f>
        <v>8.4789500847893846E-3</v>
      </c>
      <c r="I256" s="13"/>
      <c r="J256" s="1">
        <f t="shared" ca="1" si="25"/>
        <v>3.4907342752014167E-2</v>
      </c>
      <c r="K256" s="9"/>
      <c r="L256" s="9">
        <f ca="1">L255-O256*Prices!B256</f>
        <v>0.52161476368066473</v>
      </c>
      <c r="M256" s="1">
        <f t="shared" ca="1" si="20"/>
        <v>0.38182688308401247</v>
      </c>
      <c r="N256" s="9">
        <f ca="1">IF(Prices!D255&gt;OFFSET(Prices!D255,-$N$3,0),1,IF(Prices!D255&lt;OFFSET(Prices!D255,-$N$3,0),-1,0))</f>
        <v>1</v>
      </c>
      <c r="O256" s="1">
        <f ca="1">IF(N256=1,O$3*L255/Prices!B255,O$3*M255*N256)</f>
        <v>4.2772136880138471E-2</v>
      </c>
      <c r="P256" s="14"/>
      <c r="Q256" s="9">
        <f ca="1">Q255-T256*Prices!B256</f>
        <v>0.50059551021071769</v>
      </c>
      <c r="R256" s="1">
        <f t="shared" ca="1" si="21"/>
        <v>0.3853749122780909</v>
      </c>
      <c r="S256" s="9">
        <f ca="1">IF(Prices!C255&lt;OFFSET(Prices!C255,-S$3,0),1,IF(Prices!C255&gt;OFFSET(Prices!C255,-S$3,0),-1,0))</f>
        <v>-1</v>
      </c>
      <c r="T256" s="1">
        <f ca="1">IF(S256=1,T$3*Q255/Prices!B255,T$3*R255*S256)</f>
        <v>-7.8647941281243042E-3</v>
      </c>
      <c r="V256" s="9"/>
      <c r="W256" s="1"/>
      <c r="X256" s="1"/>
      <c r="Y256" s="1"/>
      <c r="Z256" s="1"/>
      <c r="AA256" s="1"/>
      <c r="AB256" s="1"/>
      <c r="AC256" s="1"/>
      <c r="AD256" s="1"/>
      <c r="AE256" s="16"/>
    </row>
    <row r="257" spans="1:31" x14ac:dyDescent="0.2">
      <c r="A257" s="4">
        <v>33865</v>
      </c>
      <c r="B257" s="9">
        <f ca="1">Prices!B256*(1+J257/(50*(ABS(O257)+ABS(T257)+0.0001)))</f>
        <v>1.3407943811226029</v>
      </c>
      <c r="C257" s="13">
        <f t="shared" ca="1" si="22"/>
        <v>-1</v>
      </c>
      <c r="D257" s="9">
        <f ca="1">D256+C257*(Prices!B257-Prices!B256)/Prices!B256</f>
        <v>-0.23410945254522433</v>
      </c>
      <c r="E257" s="9">
        <f t="shared" ca="1" si="23"/>
        <v>0.27023340380397065</v>
      </c>
      <c r="F257" s="9">
        <f t="shared" ca="1" si="24"/>
        <v>3.6123951258746317E-2</v>
      </c>
      <c r="G257" s="13">
        <f ca="1">IF((Prices!B257-Prices!B256)*B257&gt;0,1,0)</f>
        <v>0</v>
      </c>
      <c r="H257" s="9">
        <f>ABS(Prices!B257-Prices!B256)/Prices!B256</f>
        <v>1.1112735780084721E-2</v>
      </c>
      <c r="I257" s="13"/>
      <c r="J257" s="1">
        <f t="shared" ca="1" si="25"/>
        <v>-7.7074982455618184E-3</v>
      </c>
      <c r="K257" s="9"/>
      <c r="L257" s="9">
        <f ca="1">L256-O257*Prices!B257</f>
        <v>0.52161476368066473</v>
      </c>
      <c r="M257" s="1">
        <f t="shared" ca="1" si="20"/>
        <v>0.38182688308401247</v>
      </c>
      <c r="N257" s="9">
        <f ca="1">IF(Prices!D256&gt;OFFSET(Prices!D256,-$N$3,0),1,IF(Prices!D256&lt;OFFSET(Prices!D256,-$N$3,0),-1,0))</f>
        <v>0</v>
      </c>
      <c r="O257" s="1">
        <f ca="1">IF(N257=1,O$3*L256/Prices!B256,O$3*M256*N257)</f>
        <v>0</v>
      </c>
      <c r="P257" s="14"/>
      <c r="Q257" s="9">
        <f ca="1">Q256-T257*Prices!B257</f>
        <v>0.51102067233766457</v>
      </c>
      <c r="R257" s="1">
        <f t="shared" ca="1" si="21"/>
        <v>0.37766741403252907</v>
      </c>
      <c r="S257" s="9">
        <f ca="1">IF(Prices!C256&lt;OFFSET(Prices!C256,-S$3,0),1,IF(Prices!C256&gt;OFFSET(Prices!C256,-S$3,0),-1,0))</f>
        <v>-1</v>
      </c>
      <c r="T257" s="1">
        <f ca="1">IF(S257=1,T$3*Q256/Prices!B256,T$3*R256*S257)</f>
        <v>-7.7074982455618184E-3</v>
      </c>
      <c r="V257" s="9"/>
      <c r="W257" s="1"/>
      <c r="X257" s="1"/>
      <c r="Y257" s="1"/>
      <c r="Z257" s="1"/>
      <c r="AA257" s="1"/>
      <c r="AB257" s="1"/>
      <c r="AC257" s="1"/>
      <c r="AD257" s="1"/>
      <c r="AE257" s="16"/>
    </row>
    <row r="258" spans="1:31" x14ac:dyDescent="0.2">
      <c r="A258" s="4">
        <v>33868</v>
      </c>
      <c r="B258" s="9">
        <f ca="1">Prices!B257*(1+J258/(50*(ABS(O258)+ABS(T258)+0.0001)))</f>
        <v>1.3526</v>
      </c>
      <c r="C258" s="13">
        <f t="shared" ca="1" si="22"/>
        <v>0</v>
      </c>
      <c r="D258" s="9">
        <f ca="1">D257+C258*(Prices!B258-Prices!B257)/Prices!B257</f>
        <v>-0.23410945254522433</v>
      </c>
      <c r="E258" s="9">
        <f t="shared" ca="1" si="23"/>
        <v>0.27023340380397065</v>
      </c>
      <c r="F258" s="9">
        <f t="shared" ca="1" si="24"/>
        <v>3.6123951258746317E-2</v>
      </c>
      <c r="G258" s="13">
        <f ca="1">IF((Prices!B258-Prices!B257)*B258&gt;0,1,0)</f>
        <v>1</v>
      </c>
      <c r="H258" s="9">
        <f>ABS(Prices!B258-Prices!B257)/Prices!B257</f>
        <v>7.0974419636256492E-3</v>
      </c>
      <c r="I258" s="13"/>
      <c r="J258" s="1">
        <f t="shared" ca="1" si="25"/>
        <v>0</v>
      </c>
      <c r="K258" s="9"/>
      <c r="L258" s="9">
        <f ca="1">L257-O258*Prices!B258</f>
        <v>0.52161476368066473</v>
      </c>
      <c r="M258" s="1">
        <f t="shared" ca="1" si="20"/>
        <v>0.38182688308401247</v>
      </c>
      <c r="N258" s="9">
        <f ca="1">IF(Prices!D257&gt;OFFSET(Prices!D257,-$N$3,0),1,IF(Prices!D257&lt;OFFSET(Prices!D257,-$N$3,0),-1,0))</f>
        <v>0</v>
      </c>
      <c r="O258" s="1">
        <f ca="1">IF(N258=1,O$3*L257/Prices!B257,O$3*M257*N258)</f>
        <v>0</v>
      </c>
      <c r="P258" s="14"/>
      <c r="Q258" s="9">
        <f ca="1">Q257-T258*Prices!B258</f>
        <v>0.51102067233766457</v>
      </c>
      <c r="R258" s="1">
        <f t="shared" ca="1" si="21"/>
        <v>0.37766741403252907</v>
      </c>
      <c r="S258" s="9">
        <f ca="1">IF(Prices!C257&lt;OFFSET(Prices!C257,-S$3,0),1,IF(Prices!C257&gt;OFFSET(Prices!C257,-S$3,0),-1,0))</f>
        <v>0</v>
      </c>
      <c r="T258" s="1">
        <f ca="1">IF(S258=1,T$3*Q257/Prices!B257,T$3*R257*S258)</f>
        <v>0</v>
      </c>
      <c r="V258" s="9"/>
      <c r="W258" s="1"/>
      <c r="X258" s="1"/>
      <c r="Y258" s="1"/>
      <c r="Z258" s="1"/>
      <c r="AA258" s="1"/>
      <c r="AB258" s="1"/>
      <c r="AC258" s="1"/>
      <c r="AD258" s="1"/>
      <c r="AE258" s="16"/>
    </row>
    <row r="259" spans="1:31" x14ac:dyDescent="0.2">
      <c r="A259" s="4">
        <v>33869</v>
      </c>
      <c r="B259" s="9">
        <f ca="1">Prices!B258*(1+J259/(50*(ABS(O259)+ABS(T259)+0.0001)))</f>
        <v>1.3893846383575736</v>
      </c>
      <c r="C259" s="13">
        <f t="shared" ca="1" si="22"/>
        <v>1</v>
      </c>
      <c r="D259" s="9">
        <f ca="1">D258+C259*(Prices!B259-Prices!B258)/Prices!B258</f>
        <v>-0.23601812968514516</v>
      </c>
      <c r="E259" s="9">
        <f t="shared" ca="1" si="23"/>
        <v>0.27214208094389147</v>
      </c>
      <c r="F259" s="9">
        <f t="shared" ca="1" si="24"/>
        <v>3.6123951258746317E-2</v>
      </c>
      <c r="G259" s="13">
        <f ca="1">IF((Prices!B259-Prices!B258)*B259&gt;0,1,0)</f>
        <v>0</v>
      </c>
      <c r="H259" s="9">
        <f>ABS(Prices!B259-Prices!B258)/Prices!B258</f>
        <v>1.9086771399208322E-3</v>
      </c>
      <c r="I259" s="13"/>
      <c r="J259" s="1">
        <f t="shared" ca="1" si="25"/>
        <v>4.5794956551769031E-2</v>
      </c>
      <c r="K259" s="9"/>
      <c r="L259" s="9">
        <f ca="1">L258-O259*Prices!B259</f>
        <v>0.46955284673012648</v>
      </c>
      <c r="M259" s="1">
        <f t="shared" ca="1" si="20"/>
        <v>0.4201189667487214</v>
      </c>
      <c r="N259" s="9">
        <f ca="1">IF(Prices!D258&gt;OFFSET(Prices!D258,-$N$3,0),1,IF(Prices!D258&lt;OFFSET(Prices!D258,-$N$3,0),-1,0))</f>
        <v>1</v>
      </c>
      <c r="O259" s="1">
        <f ca="1">IF(N259=1,O$3*L258/Prices!B258,O$3*M258*N259)</f>
        <v>3.8292083664708911E-2</v>
      </c>
      <c r="P259" s="14"/>
      <c r="Q259" s="9">
        <f ca="1">Q258-T259*Prices!B259</f>
        <v>0.50081976636041758</v>
      </c>
      <c r="R259" s="1">
        <f t="shared" ca="1" si="21"/>
        <v>0.38517028691958921</v>
      </c>
      <c r="S259" s="9">
        <f ca="1">IF(Prices!C258&lt;OFFSET(Prices!C258,-S$3,0),1,IF(Prices!C258&gt;OFFSET(Prices!C258,-S$3,0),-1,0))</f>
        <v>1</v>
      </c>
      <c r="T259" s="1">
        <f ca="1">IF(S259=1,T$3*Q258/Prices!B258,T$3*R258*S259)</f>
        <v>7.502872887060117E-3</v>
      </c>
      <c r="V259" s="9"/>
      <c r="W259" s="1"/>
      <c r="X259" s="1"/>
      <c r="Y259" s="1"/>
      <c r="Z259" s="1"/>
      <c r="AA259" s="1"/>
      <c r="AB259" s="1"/>
      <c r="AC259" s="1"/>
      <c r="AD259" s="1"/>
      <c r="AE259" s="16"/>
    </row>
    <row r="260" spans="1:31" x14ac:dyDescent="0.2">
      <c r="A260" s="4">
        <v>33870</v>
      </c>
      <c r="B260" s="9">
        <f ca="1">Prices!B259*(1+J260/(50*(ABS(O260)+ABS(T260)+0.0001)))</f>
        <v>1.3867272621764795</v>
      </c>
      <c r="C260" s="13">
        <f t="shared" ca="1" si="22"/>
        <v>1</v>
      </c>
      <c r="D260" s="9">
        <f ca="1">D259+C260*(Prices!B260-Prices!B259)/Prices!B259</f>
        <v>-0.24006343712851072</v>
      </c>
      <c r="E260" s="9">
        <f t="shared" ca="1" si="23"/>
        <v>0.27618738838725704</v>
      </c>
      <c r="F260" s="9">
        <f t="shared" ca="1" si="24"/>
        <v>3.6123951258746317E-2</v>
      </c>
      <c r="G260" s="13">
        <f ca="1">IF((Prices!B260-Prices!B259)*B260&gt;0,1,0)</f>
        <v>0</v>
      </c>
      <c r="H260" s="9">
        <f>ABS(Prices!B260-Prices!B259)/Prices!B259</f>
        <v>4.0453074433655775E-3</v>
      </c>
      <c r="I260" s="13"/>
      <c r="J260" s="1">
        <f t="shared" ca="1" si="25"/>
        <v>4.1903265666535017E-2</v>
      </c>
      <c r="K260" s="9"/>
      <c r="L260" s="9">
        <f ca="1">L259-O260*Prices!B260</f>
        <v>0.42278751061970693</v>
      </c>
      <c r="M260" s="1">
        <f t="shared" ca="1" si="20"/>
        <v>0.45465506903837472</v>
      </c>
      <c r="N260" s="9">
        <f ca="1">IF(Prices!D259&gt;OFFSET(Prices!D259,-$N$3,0),1,IF(Prices!D259&lt;OFFSET(Prices!D259,-$N$3,0),-1,0))</f>
        <v>1</v>
      </c>
      <c r="O260" s="1">
        <f ca="1">IF(N260=1,O$3*L259/Prices!B259,O$3*M259*N260)</f>
        <v>3.4536102289653321E-2</v>
      </c>
      <c r="P260" s="14"/>
      <c r="Q260" s="9">
        <f ca="1">Q259-T260*Prices!B260</f>
        <v>0.49084389043178206</v>
      </c>
      <c r="R260" s="1">
        <f t="shared" ca="1" si="21"/>
        <v>0.39253745029647091</v>
      </c>
      <c r="S260" s="9">
        <f ca="1">IF(Prices!C259&lt;OFFSET(Prices!C259,-S$3,0),1,IF(Prices!C259&gt;OFFSET(Prices!C259,-S$3,0),-1,0))</f>
        <v>1</v>
      </c>
      <c r="T260" s="1">
        <f ca="1">IF(S260=1,T$3*Q259/Prices!B259,T$3*R259*S260)</f>
        <v>7.3671633768816946E-3</v>
      </c>
      <c r="V260" s="9"/>
      <c r="W260" s="1"/>
      <c r="X260" s="1"/>
      <c r="Y260" s="1"/>
      <c r="Z260" s="1"/>
      <c r="AA260" s="1"/>
      <c r="AB260" s="1"/>
      <c r="AC260" s="1"/>
      <c r="AD260" s="1"/>
      <c r="AE260" s="16"/>
    </row>
    <row r="261" spans="1:31" x14ac:dyDescent="0.2">
      <c r="A261" s="4">
        <v>33871</v>
      </c>
      <c r="B261" s="9">
        <f ca="1">Prices!B260*(1+J261/(50*(ABS(O261)+ABS(T261)+0.0001)))</f>
        <v>1.3811117893800449</v>
      </c>
      <c r="C261" s="13">
        <f t="shared" ca="1" si="22"/>
        <v>1</v>
      </c>
      <c r="D261" s="9">
        <f ca="1">D260+C261*(Prices!B261-Prices!B260)/Prices!B260</f>
        <v>-0.23363850543956607</v>
      </c>
      <c r="E261" s="9">
        <f t="shared" ca="1" si="23"/>
        <v>0.26976245669831239</v>
      </c>
      <c r="F261" s="9">
        <f t="shared" ca="1" si="24"/>
        <v>3.6123951258746317E-2</v>
      </c>
      <c r="G261" s="13">
        <f ca="1">IF((Prices!B261-Prices!B260)*B261&gt;0,1,0)</f>
        <v>1</v>
      </c>
      <c r="H261" s="9">
        <f>ABS(Prices!B261-Prices!B260)/Prices!B260</f>
        <v>6.424931688944634E-3</v>
      </c>
      <c r="I261" s="13"/>
      <c r="J261" s="1">
        <f t="shared" ca="1" si="25"/>
        <v>3.8472512274282791E-2</v>
      </c>
      <c r="K261" s="9"/>
      <c r="L261" s="9">
        <f ca="1">L260-O261*Prices!B261</f>
        <v>0.38023712147026917</v>
      </c>
      <c r="M261" s="1">
        <f t="shared" ca="1" si="20"/>
        <v>0.48587783771274934</v>
      </c>
      <c r="N261" s="9">
        <f ca="1">IF(Prices!D260&gt;OFFSET(Prices!D260,-$N$3,0),1,IF(Prices!D260&lt;OFFSET(Prices!D260,-$N$3,0),-1,0))</f>
        <v>1</v>
      </c>
      <c r="O261" s="1">
        <f ca="1">IF(N261=1,O$3*L260/Prices!B260,O$3*M260*N261)</f>
        <v>3.1222768674374634E-2</v>
      </c>
      <c r="P261" s="14"/>
      <c r="Q261" s="9">
        <f ca="1">Q260-T261*Prices!B261</f>
        <v>0.48096393985382724</v>
      </c>
      <c r="R261" s="1">
        <f t="shared" ca="1" si="21"/>
        <v>0.39978719389637907</v>
      </c>
      <c r="S261" s="9">
        <f ca="1">IF(Prices!C260&lt;OFFSET(Prices!C260,-S$3,0),1,IF(Prices!C260&gt;OFFSET(Prices!C260,-S$3,0),-1,0))</f>
        <v>1</v>
      </c>
      <c r="T261" s="1">
        <f ca="1">IF(S261=1,T$3*Q260/Prices!B260,T$3*R260*S261)</f>
        <v>7.2497435999081608E-3</v>
      </c>
      <c r="V261" s="9"/>
      <c r="W261" s="1"/>
      <c r="X261" s="1"/>
      <c r="Y261" s="1"/>
      <c r="Z261" s="1"/>
      <c r="AA261" s="1"/>
      <c r="AB261" s="1"/>
      <c r="AC261" s="1"/>
      <c r="AD261" s="1"/>
      <c r="AE261" s="16"/>
    </row>
    <row r="262" spans="1:31" x14ac:dyDescent="0.2">
      <c r="A262" s="4">
        <v>33872</v>
      </c>
      <c r="B262" s="9">
        <f ca="1">Prices!B261*(1+J262/(50*(ABS(O262)+ABS(T262)+0.0001)))</f>
        <v>1.3424950818517398</v>
      </c>
      <c r="C262" s="13">
        <f t="shared" ca="1" si="22"/>
        <v>-1</v>
      </c>
      <c r="D262" s="9">
        <f ca="1">D261+C262*(Prices!B262-Prices!B261)/Prices!B261</f>
        <v>-0.23980228589157662</v>
      </c>
      <c r="E262" s="9">
        <f t="shared" ca="1" si="23"/>
        <v>0.27592623715032294</v>
      </c>
      <c r="F262" s="9">
        <f t="shared" ca="1" si="24"/>
        <v>3.6123951258746317E-2</v>
      </c>
      <c r="G262" s="13">
        <f ca="1">IF((Prices!B262-Prices!B261)*B262&gt;0,1,0)</f>
        <v>1</v>
      </c>
      <c r="H262" s="9">
        <f>ABS(Prices!B262-Prices!B261)/Prices!B261</f>
        <v>6.163780452010539E-3</v>
      </c>
      <c r="I262" s="13"/>
      <c r="J262" s="1">
        <f t="shared" ca="1" si="25"/>
        <v>-4.1529316793672541E-2</v>
      </c>
      <c r="K262" s="9"/>
      <c r="L262" s="9">
        <f ca="1">L261-O262*Prices!B262</f>
        <v>0.44686069057744138</v>
      </c>
      <c r="M262" s="1">
        <f t="shared" ca="1" si="20"/>
        <v>0.43729005394147441</v>
      </c>
      <c r="N262" s="9">
        <f ca="1">IF(Prices!D261&gt;OFFSET(Prices!D261,-$N$3,0),1,IF(Prices!D261&lt;OFFSET(Prices!D261,-$N$3,0),-1,0))</f>
        <v>-1</v>
      </c>
      <c r="O262" s="1">
        <f ca="1">IF(N262=1,O$3*L261/Prices!B261,O$3*M261*N262)</f>
        <v>-4.8587783771274935E-2</v>
      </c>
      <c r="P262" s="14"/>
      <c r="Q262" s="9">
        <f ca="1">Q261-T262*Prices!B262</f>
        <v>0.47128536993413883</v>
      </c>
      <c r="R262" s="1">
        <f t="shared" ca="1" si="21"/>
        <v>0.40684566087398144</v>
      </c>
      <c r="S262" s="9">
        <f ca="1">IF(Prices!C261&lt;OFFSET(Prices!C261,-S$3,0),1,IF(Prices!C261&gt;OFFSET(Prices!C261,-S$3,0),-1,0))</f>
        <v>1</v>
      </c>
      <c r="T262" s="1">
        <f ca="1">IF(S262=1,T$3*Q261/Prices!B261,T$3*R261*S262)</f>
        <v>7.058466977602396E-3</v>
      </c>
      <c r="V262" s="9"/>
      <c r="W262" s="1"/>
      <c r="X262" s="1"/>
      <c r="Y262" s="1"/>
      <c r="Z262" s="1"/>
      <c r="AA262" s="1"/>
      <c r="AB262" s="1"/>
      <c r="AC262" s="1"/>
      <c r="AD262" s="1"/>
      <c r="AE262" s="16"/>
    </row>
    <row r="263" spans="1:31" x14ac:dyDescent="0.2">
      <c r="A263" s="4">
        <v>33875</v>
      </c>
      <c r="B263" s="9">
        <f ca="1">Prices!B262*(1+J263/(50*(ABS(O263)+ABS(T263)+0.0001)))</f>
        <v>1.3512660938051846</v>
      </c>
      <c r="C263" s="13">
        <f t="shared" ca="1" si="22"/>
        <v>-1</v>
      </c>
      <c r="D263" s="9">
        <f ca="1">D262+C263*(Prices!B263-Prices!B262)/Prices!B262</f>
        <v>-0.25876377947384033</v>
      </c>
      <c r="E263" s="9">
        <f t="shared" ca="1" si="23"/>
        <v>0.29488773073258667</v>
      </c>
      <c r="F263" s="9">
        <f t="shared" ca="1" si="24"/>
        <v>3.6123951258746317E-2</v>
      </c>
      <c r="G263" s="13">
        <f ca="1">IF((Prices!B263-Prices!B262)*B263&gt;0,1,0)</f>
        <v>1</v>
      </c>
      <c r="H263" s="9">
        <f>ABS(Prices!B263-Prices!B262)/Prices!B262</f>
        <v>1.8961493582263726E-2</v>
      </c>
      <c r="I263" s="13"/>
      <c r="J263" s="1">
        <f t="shared" ca="1" si="25"/>
        <v>-3.6854948073054408E-2</v>
      </c>
      <c r="K263" s="9"/>
      <c r="L263" s="9">
        <f ca="1">L262-O263*Prices!B263</f>
        <v>0.50795885691414422</v>
      </c>
      <c r="M263" s="1">
        <f t="shared" ca="1" si="20"/>
        <v>0.39356104854732699</v>
      </c>
      <c r="N263" s="9">
        <f ca="1">IF(Prices!D262&gt;OFFSET(Prices!D262,-$N$3,0),1,IF(Prices!D262&lt;OFFSET(Prices!D262,-$N$3,0),-1,0))</f>
        <v>-1</v>
      </c>
      <c r="O263" s="1">
        <f ca="1">IF(N263=1,O$3*L262/Prices!B262,O$3*M262*N263)</f>
        <v>-4.3729005394147445E-2</v>
      </c>
      <c r="P263" s="14"/>
      <c r="Q263" s="9">
        <f ca="1">Q262-T263*Prices!B263</f>
        <v>0.46168093704510765</v>
      </c>
      <c r="R263" s="1">
        <f t="shared" ca="1" si="21"/>
        <v>0.41371971819507447</v>
      </c>
      <c r="S263" s="9">
        <f ca="1">IF(Prices!C262&lt;OFFSET(Prices!C262,-S$3,0),1,IF(Prices!C262&gt;OFFSET(Prices!C262,-S$3,0),-1,0))</f>
        <v>1</v>
      </c>
      <c r="T263" s="1">
        <f ca="1">IF(S263=1,T$3*Q262/Prices!B262,T$3*R262*S263)</f>
        <v>6.8740573210930396E-3</v>
      </c>
      <c r="V263" s="9"/>
      <c r="W263" s="1"/>
      <c r="X263" s="1"/>
      <c r="Y263" s="1"/>
      <c r="Z263" s="1"/>
      <c r="AA263" s="1"/>
      <c r="AB263" s="1"/>
      <c r="AC263" s="1"/>
      <c r="AD263" s="1"/>
      <c r="AE263" s="16"/>
    </row>
    <row r="264" spans="1:31" x14ac:dyDescent="0.2">
      <c r="A264" s="4">
        <v>33876</v>
      </c>
      <c r="B264" s="9">
        <f ca="1">Prices!B263*(1+J264/(50*(ABS(O264)+ABS(T264)+0.0001)))</f>
        <v>1.3773346075139168</v>
      </c>
      <c r="C264" s="13">
        <f t="shared" ca="1" si="22"/>
        <v>-1</v>
      </c>
      <c r="D264" s="9">
        <f ca="1">D263+C264*(Prices!B264-Prices!B263)/Prices!B263</f>
        <v>-0.27501055874667168</v>
      </c>
      <c r="E264" s="9">
        <f t="shared" ca="1" si="23"/>
        <v>0.31113451000541803</v>
      </c>
      <c r="F264" s="9">
        <f t="shared" ca="1" si="24"/>
        <v>3.6123951258746317E-2</v>
      </c>
      <c r="G264" s="13">
        <f ca="1">IF((Prices!B264-Prices!B263)*B264&gt;0,1,0)</f>
        <v>1</v>
      </c>
      <c r="H264" s="9">
        <f>ABS(Prices!B264-Prices!B263)/Prices!B263</f>
        <v>1.6246779272831337E-2</v>
      </c>
      <c r="I264" s="13"/>
      <c r="J264" s="1">
        <f t="shared" ca="1" si="25"/>
        <v>-3.2747445578392771E-2</v>
      </c>
      <c r="K264" s="9"/>
      <c r="L264" s="9">
        <f ca="1">L263-O264*Prices!B264</f>
        <v>0.5638405901973792</v>
      </c>
      <c r="M264" s="1">
        <f t="shared" ca="1" si="20"/>
        <v>0.35420494369259425</v>
      </c>
      <c r="N264" s="9">
        <f ca="1">IF(Prices!D263&gt;OFFSET(Prices!D263,-$N$3,0),1,IF(Prices!D263&lt;OFFSET(Prices!D263,-$N$3,0),-1,0))</f>
        <v>-1</v>
      </c>
      <c r="O264" s="1">
        <f ca="1">IF(N264=1,O$3*L263/Prices!B263,O$3*M263*N264)</f>
        <v>-3.9356104854732704E-2</v>
      </c>
      <c r="P264" s="14"/>
      <c r="Q264" s="9">
        <f ca="1">Q263-T264*Prices!B264</f>
        <v>0.45229730173863258</v>
      </c>
      <c r="R264" s="1">
        <f t="shared" ca="1" si="21"/>
        <v>0.42032837747141438</v>
      </c>
      <c r="S264" s="9">
        <f ca="1">IF(Prices!C263&lt;OFFSET(Prices!C263,-S$3,0),1,IF(Prices!C263&gt;OFFSET(Prices!C263,-S$3,0),-1,0))</f>
        <v>1</v>
      </c>
      <c r="T264" s="1">
        <f ca="1">IF(S264=1,T$3*Q263/Prices!B263,T$3*R263*S264)</f>
        <v>6.6086592763399321E-3</v>
      </c>
      <c r="V264" s="9"/>
      <c r="W264" s="1"/>
      <c r="X264" s="1"/>
      <c r="Y264" s="1"/>
      <c r="Z264" s="1"/>
      <c r="AA264" s="1"/>
      <c r="AB264" s="1"/>
      <c r="AC264" s="1"/>
      <c r="AD264" s="1"/>
      <c r="AE264" s="16"/>
    </row>
    <row r="265" spans="1:31" x14ac:dyDescent="0.2">
      <c r="A265" s="4">
        <v>33877</v>
      </c>
      <c r="B265" s="9">
        <f ca="1">Prices!B264*(1+J265/(50*(ABS(O265)+ABS(T265)+0.0001)))</f>
        <v>1.4002073254864462</v>
      </c>
      <c r="C265" s="13">
        <f t="shared" ca="1" si="22"/>
        <v>-1</v>
      </c>
      <c r="D265" s="9">
        <f ca="1">D264+C265*(Prices!B265-Prices!B264)/Prices!B264</f>
        <v>-0.28099689581266224</v>
      </c>
      <c r="E265" s="9">
        <f t="shared" ca="1" si="23"/>
        <v>0.31712084707140853</v>
      </c>
      <c r="F265" s="9">
        <f t="shared" ca="1" si="24"/>
        <v>3.6123951258746317E-2</v>
      </c>
      <c r="G265" s="13">
        <f ca="1">IF((Prices!B265-Prices!B264)*B265&gt;0,1,0)</f>
        <v>1</v>
      </c>
      <c r="H265" s="9">
        <f>ABS(Prices!B265-Prices!B264)/Prices!B264</f>
        <v>5.9863370659905294E-3</v>
      </c>
      <c r="I265" s="13"/>
      <c r="J265" s="1">
        <f t="shared" ca="1" si="25"/>
        <v>-2.9049661187505321E-2</v>
      </c>
      <c r="K265" s="9"/>
      <c r="L265" s="9">
        <f ca="1">L264-O265*Prices!B265</f>
        <v>0.61443522435442932</v>
      </c>
      <c r="M265" s="1">
        <f t="shared" ca="1" si="20"/>
        <v>0.31878444932333483</v>
      </c>
      <c r="N265" s="9">
        <f ca="1">IF(Prices!D264&gt;OFFSET(Prices!D264,-$N$3,0),1,IF(Prices!D264&lt;OFFSET(Prices!D264,-$N$3,0),-1,0))</f>
        <v>-1</v>
      </c>
      <c r="O265" s="1">
        <f ca="1">IF(N265=1,O$3*L264/Prices!B264,O$3*M264*N265)</f>
        <v>-3.5420494369259425E-2</v>
      </c>
      <c r="P265" s="14"/>
      <c r="Q265" s="9">
        <f ca="1">Q264-T265*Prices!B265</f>
        <v>0.44319720362181503</v>
      </c>
      <c r="R265" s="1">
        <f t="shared" ca="1" si="21"/>
        <v>0.42669921065316851</v>
      </c>
      <c r="S265" s="9">
        <f ca="1">IF(Prices!C264&lt;OFFSET(Prices!C264,-S$3,0),1,IF(Prices!C264&gt;OFFSET(Prices!C264,-S$3,0),-1,0))</f>
        <v>1</v>
      </c>
      <c r="T265" s="1">
        <f ca="1">IF(S265=1,T$3*Q264/Prices!B264,T$3*R264*S265)</f>
        <v>6.3708331817541042E-3</v>
      </c>
      <c r="V265" s="9"/>
      <c r="W265" s="1"/>
      <c r="X265" s="1"/>
      <c r="Y265" s="1"/>
      <c r="Z265" s="1"/>
      <c r="AA265" s="1"/>
      <c r="AB265" s="1"/>
      <c r="AC265" s="1"/>
      <c r="AD265" s="1"/>
      <c r="AE265" s="16"/>
    </row>
    <row r="266" spans="1:31" x14ac:dyDescent="0.2">
      <c r="A266" s="4">
        <v>33878</v>
      </c>
      <c r="B266" s="9">
        <f ca="1">Prices!B265*(1+J266/(50*(ABS(O266)+ABS(T266)+0.0001)))</f>
        <v>1.4565149356112923</v>
      </c>
      <c r="C266" s="13">
        <f t="shared" ca="1" si="22"/>
        <v>1</v>
      </c>
      <c r="D266" s="9">
        <f ca="1">D265+C266*(Prices!B266-Prices!B265)/Prices!B265</f>
        <v>-0.28610750908625499</v>
      </c>
      <c r="E266" s="9">
        <f t="shared" ca="1" si="23"/>
        <v>0.32223146034500127</v>
      </c>
      <c r="F266" s="9">
        <f t="shared" ca="1" si="24"/>
        <v>3.6123951258746317E-2</v>
      </c>
      <c r="G266" s="13">
        <f ca="1">IF((Prices!B266-Prices!B265)*B266&gt;0,1,0)</f>
        <v>0</v>
      </c>
      <c r="H266" s="9">
        <f>ABS(Prices!B266-Prices!B265)/Prices!B265</f>
        <v>5.1106132735927352E-3</v>
      </c>
      <c r="I266" s="13"/>
      <c r="J266" s="1">
        <f t="shared" ca="1" si="25"/>
        <v>6.2055055113667745E-3</v>
      </c>
      <c r="K266" s="9"/>
      <c r="L266" s="9">
        <f ca="1">L265-O266*Prices!B266</f>
        <v>0.61443522435442932</v>
      </c>
      <c r="M266" s="1">
        <f t="shared" ca="1" si="20"/>
        <v>0.31878444932333483</v>
      </c>
      <c r="N266" s="9">
        <f ca="1">IF(Prices!D265&gt;OFFSET(Prices!D265,-$N$3,0),1,IF(Prices!D265&lt;OFFSET(Prices!D265,-$N$3,0),-1,0))</f>
        <v>0</v>
      </c>
      <c r="O266" s="1">
        <f ca="1">IF(N266=1,O$3*L265/Prices!B265,O$3*M265*N266)</f>
        <v>0</v>
      </c>
      <c r="P266" s="14"/>
      <c r="Q266" s="9">
        <f ca="1">Q265-T266*Prices!B266</f>
        <v>0.4343785597396117</v>
      </c>
      <c r="R266" s="1">
        <f t="shared" ca="1" si="21"/>
        <v>0.4329047161645353</v>
      </c>
      <c r="S266" s="9">
        <f ca="1">IF(Prices!C265&lt;OFFSET(Prices!C265,-S$3,0),1,IF(Prices!C265&gt;OFFSET(Prices!C265,-S$3,0),-1,0))</f>
        <v>1</v>
      </c>
      <c r="T266" s="1">
        <f ca="1">IF(S266=1,T$3*Q265/Prices!B265,T$3*R265*S266)</f>
        <v>6.2055055113667745E-3</v>
      </c>
      <c r="V266" s="9"/>
      <c r="W266" s="1"/>
      <c r="X266" s="1"/>
      <c r="Y266" s="1"/>
      <c r="Z266" s="1"/>
      <c r="AA266" s="1"/>
      <c r="AB266" s="1"/>
      <c r="AC266" s="1"/>
      <c r="AD266" s="1"/>
      <c r="AE266" s="16"/>
    </row>
    <row r="267" spans="1:31" x14ac:dyDescent="0.2">
      <c r="A267" s="4">
        <v>33879</v>
      </c>
      <c r="B267" s="9">
        <f ca="1">Prices!B266*(1+J267/(50*(ABS(O267)+ABS(T267)+0.0001)))</f>
        <v>1.4018754075653415</v>
      </c>
      <c r="C267" s="13">
        <f t="shared" ca="1" si="22"/>
        <v>-1</v>
      </c>
      <c r="D267" s="9">
        <f ca="1">D266+C267*(Prices!B267-Prices!B266)/Prices!B266</f>
        <v>-0.28807781377980218</v>
      </c>
      <c r="E267" s="9">
        <f t="shared" ca="1" si="23"/>
        <v>0.32420176503854847</v>
      </c>
      <c r="F267" s="9">
        <f t="shared" ca="1" si="24"/>
        <v>3.6123951258746317E-2</v>
      </c>
      <c r="G267" s="13">
        <f ca="1">IF((Prices!B267-Prices!B266)*B267&gt;0,1,0)</f>
        <v>1</v>
      </c>
      <c r="H267" s="9">
        <f>ABS(Prices!B267-Prices!B266)/Prices!B266</f>
        <v>1.9703046935471914E-3</v>
      </c>
      <c r="I267" s="13"/>
      <c r="J267" s="1">
        <f t="shared" ca="1" si="25"/>
        <v>-2.5765172682110257E-2</v>
      </c>
      <c r="K267" s="9"/>
      <c r="L267" s="9">
        <f ca="1">L266-O267*Prices!B267</f>
        <v>0.65982694209357895</v>
      </c>
      <c r="M267" s="1">
        <f t="shared" ca="1" si="20"/>
        <v>0.28690600439100133</v>
      </c>
      <c r="N267" s="9">
        <f ca="1">IF(Prices!D266&gt;OFFSET(Prices!D266,-$N$3,0),1,IF(Prices!D266&lt;OFFSET(Prices!D266,-$N$3,0),-1,0))</f>
        <v>-1</v>
      </c>
      <c r="O267" s="1">
        <f ca="1">IF(N267=1,O$3*L266/Prices!B266,O$3*M266*N267)</f>
        <v>-3.1878444932333487E-2</v>
      </c>
      <c r="P267" s="14"/>
      <c r="Q267" s="9">
        <f ca="1">Q266-T267*Prices!B267</f>
        <v>0.42567387138251883</v>
      </c>
      <c r="R267" s="1">
        <f t="shared" ca="1" si="21"/>
        <v>0.43901798841475853</v>
      </c>
      <c r="S267" s="9">
        <f ca="1">IF(Prices!C266&lt;OFFSET(Prices!C266,-S$3,0),1,IF(Prices!C266&gt;OFFSET(Prices!C266,-S$3,0),-1,0))</f>
        <v>1</v>
      </c>
      <c r="T267" s="1">
        <f ca="1">IF(S267=1,T$3*Q266/Prices!B266,T$3*R266*S267)</f>
        <v>6.1132722502232313E-3</v>
      </c>
      <c r="V267" s="9"/>
      <c r="W267" s="1"/>
      <c r="X267" s="1"/>
      <c r="Y267" s="1"/>
      <c r="Z267" s="1"/>
      <c r="AA267" s="1"/>
      <c r="AB267" s="1"/>
      <c r="AC267" s="1"/>
      <c r="AD267" s="1"/>
      <c r="AE267" s="16"/>
    </row>
    <row r="268" spans="1:31" x14ac:dyDescent="0.2">
      <c r="A268" s="4">
        <v>33882</v>
      </c>
      <c r="B268" s="9">
        <f ca="1">Prices!B267*(1+J268/(50*(ABS(O268)+ABS(T268)+0.0001)))</f>
        <v>1.4052980709398843</v>
      </c>
      <c r="C268" s="13">
        <f t="shared" ca="1" si="22"/>
        <v>-1</v>
      </c>
      <c r="D268" s="9">
        <f ca="1">D267+C268*(Prices!B268-Prices!B267)/Prices!B267</f>
        <v>-0.29208090388444441</v>
      </c>
      <c r="E268" s="9">
        <f t="shared" ca="1" si="23"/>
        <v>0.32820485514319075</v>
      </c>
      <c r="F268" s="9">
        <f t="shared" ca="1" si="24"/>
        <v>3.6123951258746317E-2</v>
      </c>
      <c r="G268" s="13">
        <f ca="1">IF((Prices!B268-Prices!B267)*B268&gt;0,1,0)</f>
        <v>1</v>
      </c>
      <c r="H268" s="9">
        <f>ABS(Prices!B268-Prices!B267)/Prices!B267</f>
        <v>4.0030901046422072E-3</v>
      </c>
      <c r="I268" s="13"/>
      <c r="J268" s="1">
        <f t="shared" ca="1" si="25"/>
        <v>-2.2711614957219121E-2</v>
      </c>
      <c r="K268" s="9"/>
      <c r="L268" s="9">
        <f ca="1">L267-O268*Prices!B268</f>
        <v>0.70084302448131652</v>
      </c>
      <c r="M268" s="1">
        <f t="shared" ca="1" si="20"/>
        <v>0.25821540395190118</v>
      </c>
      <c r="N268" s="9">
        <f ca="1">IF(Prices!D267&gt;OFFSET(Prices!D267,-$N$3,0),1,IF(Prices!D267&lt;OFFSET(Prices!D267,-$N$3,0),-1,0))</f>
        <v>-1</v>
      </c>
      <c r="O268" s="1">
        <f ca="1">IF(N268=1,O$3*L267/Prices!B267,O$3*M267*N268)</f>
        <v>-2.8690600439100135E-2</v>
      </c>
      <c r="P268" s="14"/>
      <c r="Q268" s="9">
        <f ca="1">Q267-T268*Prices!B268</f>
        <v>0.41712631373762171</v>
      </c>
      <c r="R268" s="1">
        <f t="shared" ca="1" si="21"/>
        <v>0.44499697389663956</v>
      </c>
      <c r="S268" s="9">
        <f ca="1">IF(Prices!C267&lt;OFFSET(Prices!C267,-S$3,0),1,IF(Prices!C267&gt;OFFSET(Prices!C267,-S$3,0),-1,0))</f>
        <v>1</v>
      </c>
      <c r="T268" s="1">
        <f ca="1">IF(S268=1,T$3*Q267/Prices!B267,T$3*R267*S268)</f>
        <v>5.9789854818810152E-3</v>
      </c>
      <c r="V268" s="9"/>
      <c r="W268" s="1"/>
      <c r="X268" s="1"/>
      <c r="Y268" s="1"/>
      <c r="Z268" s="1"/>
      <c r="AA268" s="1"/>
      <c r="AB268" s="1"/>
      <c r="AC268" s="1"/>
      <c r="AD268" s="1"/>
      <c r="AE268" s="16"/>
    </row>
    <row r="269" spans="1:31" x14ac:dyDescent="0.2">
      <c r="A269" s="4">
        <v>33883</v>
      </c>
      <c r="B269" s="9">
        <f ca="1">Prices!B268*(1+J269/(50*(ABS(O269)+ABS(T269)+0.0001)))</f>
        <v>1.4493715741427562</v>
      </c>
      <c r="C269" s="13">
        <f t="shared" ca="1" si="22"/>
        <v>1</v>
      </c>
      <c r="D269" s="9">
        <f ca="1">D268+C269*(Prices!B269-Prices!B268)/Prices!B268</f>
        <v>-0.31236629840039287</v>
      </c>
      <c r="E269" s="9">
        <f t="shared" ca="1" si="23"/>
        <v>0.34849024965913922</v>
      </c>
      <c r="F269" s="9">
        <f t="shared" ca="1" si="24"/>
        <v>3.6123951258746317E-2</v>
      </c>
      <c r="G269" s="13">
        <f ca="1">IF((Prices!B269-Prices!B268)*B269&gt;0,1,0)</f>
        <v>0</v>
      </c>
      <c r="H269" s="9">
        <f>ABS(Prices!B269-Prices!B268)/Prices!B268</f>
        <v>2.0285394515948459E-2</v>
      </c>
      <c r="I269" s="13"/>
      <c r="J269" s="1">
        <f t="shared" ca="1" si="25"/>
        <v>4.0123775161219177E-2</v>
      </c>
      <c r="K269" s="9"/>
      <c r="L269" s="9">
        <f ca="1">L268-O269*Prices!B269</f>
        <v>0.63218040975772027</v>
      </c>
      <c r="M269" s="1">
        <f t="shared" ca="1" si="20"/>
        <v>0.30723911859105313</v>
      </c>
      <c r="N269" s="9">
        <f ca="1">IF(Prices!D268&gt;OFFSET(Prices!D268,-$N$3,0),1,IF(Prices!D268&lt;OFFSET(Prices!D268,-$N$3,0),-1,0))</f>
        <v>1</v>
      </c>
      <c r="O269" s="1">
        <f ca="1">IF(N269=1,O$3*L268/Prices!B268,O$3*M268*N269)</f>
        <v>4.902371463915197E-2</v>
      </c>
      <c r="P269" s="14"/>
      <c r="Q269" s="9">
        <f ca="1">Q268-T269*Prices!B269</f>
        <v>0.42959156897041439</v>
      </c>
      <c r="R269" s="1">
        <f t="shared" ca="1" si="21"/>
        <v>0.43609703441870679</v>
      </c>
      <c r="S269" s="9">
        <f ca="1">IF(Prices!C268&lt;OFFSET(Prices!C268,-S$3,0),1,IF(Prices!C268&gt;OFFSET(Prices!C268,-S$3,0),-1,0))</f>
        <v>-1</v>
      </c>
      <c r="T269" s="1">
        <f ca="1">IF(S269=1,T$3*Q268/Prices!B268,T$3*R268*S269)</f>
        <v>-8.8999394779327914E-3</v>
      </c>
      <c r="V269" s="9"/>
      <c r="W269" s="1"/>
      <c r="X269" s="1"/>
      <c r="Y269" s="1"/>
      <c r="Z269" s="1"/>
      <c r="AA269" s="1"/>
      <c r="AB269" s="1"/>
      <c r="AC269" s="1"/>
      <c r="AD269" s="1"/>
      <c r="AE269" s="16"/>
    </row>
    <row r="270" spans="1:31" x14ac:dyDescent="0.2">
      <c r="A270" s="4">
        <v>33884</v>
      </c>
      <c r="B270" s="9">
        <f ca="1">Prices!B269*(1+J270/(50*(ABS(O270)+ABS(T270)+0.0001)))</f>
        <v>1.4285574709602695</v>
      </c>
      <c r="C270" s="13">
        <f t="shared" ca="1" si="22"/>
        <v>1</v>
      </c>
      <c r="D270" s="9">
        <f ca="1">D269+C270*(Prices!B270-Prices!B269)/Prices!B269</f>
        <v>-0.3127946862341785</v>
      </c>
      <c r="E270" s="9">
        <f t="shared" ca="1" si="23"/>
        <v>0.34891863749292484</v>
      </c>
      <c r="F270" s="9">
        <f t="shared" ca="1" si="24"/>
        <v>3.6123951258746317E-2</v>
      </c>
      <c r="G270" s="13">
        <f ca="1">IF((Prices!B270-Prices!B269)*B270&gt;0,1,0)</f>
        <v>0</v>
      </c>
      <c r="H270" s="9">
        <f>ABS(Prices!B270-Prices!B269)/Prices!B269</f>
        <v>4.2838783378563181E-4</v>
      </c>
      <c r="I270" s="13"/>
      <c r="J270" s="1">
        <f t="shared" ca="1" si="25"/>
        <v>5.1270792771084053E-2</v>
      </c>
      <c r="K270" s="9"/>
      <c r="L270" s="9">
        <f ca="1">L269-O270*Prices!B270</f>
        <v>0.56898945062157802</v>
      </c>
      <c r="M270" s="1">
        <f t="shared" ca="1" si="20"/>
        <v>0.3523755179740119</v>
      </c>
      <c r="N270" s="9">
        <f ca="1">IF(Prices!D269&gt;OFFSET(Prices!D269,-$N$3,0),1,IF(Prices!D269&lt;OFFSET(Prices!D269,-$N$3,0),-1,0))</f>
        <v>1</v>
      </c>
      <c r="O270" s="1">
        <f ca="1">IF(N270=1,O$3*L269/Prices!B269,O$3*M269*N270)</f>
        <v>4.5136399382958756E-2</v>
      </c>
      <c r="P270" s="14"/>
      <c r="Q270" s="9">
        <f ca="1">Q269-T270*Prices!B270</f>
        <v>0.42100341822703896</v>
      </c>
      <c r="R270" s="1">
        <f t="shared" ca="1" si="21"/>
        <v>0.44223142780683206</v>
      </c>
      <c r="S270" s="9">
        <f ca="1">IF(Prices!C269&lt;OFFSET(Prices!C269,-S$3,0),1,IF(Prices!C269&gt;OFFSET(Prices!C269,-S$3,0),-1,0))</f>
        <v>1</v>
      </c>
      <c r="T270" s="1">
        <f ca="1">IF(S270=1,T$3*Q269/Prices!B269,T$3*R269*S270)</f>
        <v>6.1343933881252951E-3</v>
      </c>
      <c r="V270" s="9"/>
      <c r="W270" s="1"/>
      <c r="X270" s="1"/>
      <c r="Y270" s="1"/>
      <c r="Z270" s="1"/>
      <c r="AA270" s="1"/>
      <c r="AB270" s="1"/>
      <c r="AC270" s="1"/>
      <c r="AD270" s="1"/>
      <c r="AE270" s="16"/>
    </row>
    <row r="271" spans="1:31" x14ac:dyDescent="0.2">
      <c r="A271" s="4">
        <v>33885</v>
      </c>
      <c r="B271" s="9">
        <f ca="1">Prices!B270*(1+J271/(50*(ABS(O271)+ABS(T271)+0.0001)))</f>
        <v>1.4179549904313862</v>
      </c>
      <c r="C271" s="13">
        <f t="shared" ca="1" si="22"/>
        <v>1</v>
      </c>
      <c r="D271" s="9">
        <f ca="1">D270+C271*(Prices!B271-Prices!B270)/Prices!B270</f>
        <v>-0.33522325766274985</v>
      </c>
      <c r="E271" s="9">
        <f t="shared" ca="1" si="23"/>
        <v>0.3713472089214962</v>
      </c>
      <c r="F271" s="9">
        <f t="shared" ca="1" si="24"/>
        <v>3.6123951258746317E-2</v>
      </c>
      <c r="G271" s="13">
        <f ca="1">IF((Prices!B271-Prices!B270)*B271&gt;0,1,0)</f>
        <v>0</v>
      </c>
      <c r="H271" s="9">
        <f>ABS(Prices!B271-Prices!B270)/Prices!B270</f>
        <v>2.2428571428571339E-2</v>
      </c>
      <c r="I271" s="13"/>
      <c r="J271" s="1">
        <f t="shared" ca="1" si="25"/>
        <v>3.1797475059690362E-2</v>
      </c>
      <c r="K271" s="9"/>
      <c r="L271" s="9">
        <f ca="1">L270-O271*Prices!B271</f>
        <v>0.51336666761295713</v>
      </c>
      <c r="M271" s="1">
        <f t="shared" ca="1" si="20"/>
        <v>0.39301762158983888</v>
      </c>
      <c r="N271" s="9">
        <f ca="1">IF(Prices!D270&gt;OFFSET(Prices!D270,-$N$3,0),1,IF(Prices!D270&lt;OFFSET(Prices!D270,-$N$3,0),-1,0))</f>
        <v>1</v>
      </c>
      <c r="O271" s="1">
        <f ca="1">IF(N271=1,O$3*L270/Prices!B270,O$3*M270*N271)</f>
        <v>4.0642103615827006E-2</v>
      </c>
      <c r="P271" s="14"/>
      <c r="Q271" s="9">
        <f ca="1">Q270-T271*Prices!B271</f>
        <v>0.43310817686896758</v>
      </c>
      <c r="R271" s="1">
        <f t="shared" ca="1" si="21"/>
        <v>0.4333867992506954</v>
      </c>
      <c r="S271" s="9">
        <f ca="1">IF(Prices!C270&lt;OFFSET(Prices!C270,-S$3,0),1,IF(Prices!C270&gt;OFFSET(Prices!C270,-S$3,0),-1,0))</f>
        <v>-1</v>
      </c>
      <c r="T271" s="1">
        <f ca="1">IF(S271=1,T$3*Q270/Prices!B270,T$3*R270*S271)</f>
        <v>-8.8446285561366422E-3</v>
      </c>
      <c r="V271" s="9"/>
      <c r="W271" s="1"/>
      <c r="X271" s="1"/>
      <c r="Y271" s="1"/>
      <c r="Z271" s="1"/>
      <c r="AA271" s="1"/>
      <c r="AB271" s="1"/>
      <c r="AC271" s="1"/>
      <c r="AD271" s="1"/>
      <c r="AE271" s="16"/>
    </row>
    <row r="272" spans="1:31" x14ac:dyDescent="0.2">
      <c r="A272" s="4">
        <v>33886</v>
      </c>
      <c r="B272" s="9">
        <f ca="1">Prices!B271*(1+J272/(50*(ABS(O272)+ABS(T272)+0.0001)))</f>
        <v>1.385659479172713</v>
      </c>
      <c r="C272" s="13">
        <f t="shared" ca="1" si="22"/>
        <v>1</v>
      </c>
      <c r="D272" s="9">
        <f ca="1">D271+C272*(Prices!B272-Prices!B271)/Prices!B271</f>
        <v>-0.34084944500748171</v>
      </c>
      <c r="E272" s="9">
        <f t="shared" ca="1" si="23"/>
        <v>0.37697339626622806</v>
      </c>
      <c r="F272" s="9">
        <f t="shared" ca="1" si="24"/>
        <v>3.6123951258746317E-2</v>
      </c>
      <c r="G272" s="13">
        <f ca="1">IF((Prices!B272-Prices!B271)*B272&gt;0,1,0)</f>
        <v>0</v>
      </c>
      <c r="H272" s="9">
        <f>ABS(Prices!B272-Prices!B271)/Prices!B271</f>
        <v>5.6261873447318719E-3</v>
      </c>
      <c r="I272" s="13"/>
      <c r="J272" s="1">
        <f t="shared" ca="1" si="25"/>
        <v>2.8842615294611781E-2</v>
      </c>
      <c r="K272" s="9"/>
      <c r="L272" s="9">
        <f ca="1">L271-O272*Prices!B272</f>
        <v>0.46231883055651452</v>
      </c>
      <c r="M272" s="1">
        <f t="shared" ca="1" si="20"/>
        <v>0.43052797286946459</v>
      </c>
      <c r="N272" s="9">
        <f ca="1">IF(Prices!D271&gt;OFFSET(Prices!D271,-$N$3,0),1,IF(Prices!D271&lt;OFFSET(Prices!D271,-$N$3,0),-1,0))</f>
        <v>1</v>
      </c>
      <c r="O272" s="1">
        <f ca="1">IF(N272=1,O$3*L271/Prices!B271,O$3*M271*N272)</f>
        <v>3.7510351279625688E-2</v>
      </c>
      <c r="P272" s="14"/>
      <c r="Q272" s="9">
        <f ca="1">Q271-T272*Prices!B272</f>
        <v>0.44490409877097298</v>
      </c>
      <c r="R272" s="1">
        <f t="shared" ca="1" si="21"/>
        <v>0.42471906326568148</v>
      </c>
      <c r="S272" s="9">
        <f ca="1">IF(Prices!C271&lt;OFFSET(Prices!C271,-S$3,0),1,IF(Prices!C271&gt;OFFSET(Prices!C271,-S$3,0),-1,0))</f>
        <v>-1</v>
      </c>
      <c r="T272" s="1">
        <f ca="1">IF(S272=1,T$3*Q271/Prices!B271,T$3*R271*S272)</f>
        <v>-8.6677359850139083E-3</v>
      </c>
      <c r="V272" s="9"/>
      <c r="W272" s="1"/>
      <c r="X272" s="1"/>
      <c r="Y272" s="1"/>
      <c r="Z272" s="1"/>
      <c r="AA272" s="1"/>
      <c r="AB272" s="1"/>
      <c r="AC272" s="1"/>
      <c r="AD272" s="1"/>
      <c r="AE272" s="16"/>
    </row>
    <row r="273" spans="1:31" x14ac:dyDescent="0.2">
      <c r="A273" s="4">
        <v>33889</v>
      </c>
      <c r="B273" s="9">
        <f ca="1">Prices!B272*(1+J273/(50*(ABS(O273)+ABS(T273)+0.0001)))</f>
        <v>1.377190905973678</v>
      </c>
      <c r="C273" s="13">
        <f t="shared" ca="1" si="22"/>
        <v>1</v>
      </c>
      <c r="D273" s="9">
        <f ca="1">D272+C273*(Prices!B273-Prices!B272)/Prices!B272</f>
        <v>-0.33864502146423836</v>
      </c>
      <c r="E273" s="9">
        <f t="shared" ca="1" si="23"/>
        <v>0.37476897272298471</v>
      </c>
      <c r="F273" s="9">
        <f t="shared" ca="1" si="24"/>
        <v>3.6123951258746317E-2</v>
      </c>
      <c r="G273" s="13">
        <f ca="1">IF((Prices!B273-Prices!B272)*B273&gt;0,1,0)</f>
        <v>1</v>
      </c>
      <c r="H273" s="9">
        <f>ABS(Prices!B273-Prices!B272)/Prices!B272</f>
        <v>2.2044235432433622E-3</v>
      </c>
      <c r="I273" s="13"/>
      <c r="J273" s="1">
        <f t="shared" ca="1" si="25"/>
        <v>2.5477169220138249E-2</v>
      </c>
      <c r="K273" s="9"/>
      <c r="L273" s="9">
        <f ca="1">L272-O273*Prices!B273</f>
        <v>0.41598503284940669</v>
      </c>
      <c r="M273" s="1">
        <f t="shared" ca="1" si="20"/>
        <v>0.46449952335491645</v>
      </c>
      <c r="N273" s="9">
        <f ca="1">IF(Prices!D272&gt;OFFSET(Prices!D272,-$N$3,0),1,IF(Prices!D272&lt;OFFSET(Prices!D272,-$N$3,0),-1,0))</f>
        <v>1</v>
      </c>
      <c r="O273" s="1">
        <f ca="1">IF(N273=1,O$3*L272/Prices!B272,O$3*M272*N273)</f>
        <v>3.3971550485451876E-2</v>
      </c>
      <c r="P273" s="14"/>
      <c r="Q273" s="9">
        <f ca="1">Q272-T273*Prices!B273</f>
        <v>0.45648958537873424</v>
      </c>
      <c r="R273" s="1">
        <f t="shared" ca="1" si="21"/>
        <v>0.41622468200036783</v>
      </c>
      <c r="S273" s="9">
        <f ca="1">IF(Prices!C272&lt;OFFSET(Prices!C272,-S$3,0),1,IF(Prices!C272&gt;OFFSET(Prices!C272,-S$3,0),-1,0))</f>
        <v>-1</v>
      </c>
      <c r="T273" s="1">
        <f ca="1">IF(S273=1,T$3*Q272/Prices!B272,T$3*R272*S273)</f>
        <v>-8.4943812653136292E-3</v>
      </c>
      <c r="V273" s="9"/>
      <c r="W273" s="1"/>
      <c r="X273" s="1"/>
      <c r="Y273" s="1"/>
      <c r="Z273" s="1"/>
      <c r="AA273" s="1"/>
      <c r="AB273" s="1"/>
      <c r="AC273" s="1"/>
      <c r="AD273" s="1"/>
      <c r="AE273" s="16"/>
    </row>
    <row r="274" spans="1:31" x14ac:dyDescent="0.2">
      <c r="A274" s="4">
        <v>33890</v>
      </c>
      <c r="B274" s="9">
        <f ca="1">Prices!B273*(1+J274/(50*(ABS(O274)+ABS(T274)+0.0001)))</f>
        <v>1.3794403336436734</v>
      </c>
      <c r="C274" s="13">
        <f t="shared" ca="1" si="22"/>
        <v>1</v>
      </c>
      <c r="D274" s="9">
        <f ca="1">D273+C274*(Prices!B274-Prices!B273)/Prices!B273</f>
        <v>-0.33739859577320525</v>
      </c>
      <c r="E274" s="9">
        <f t="shared" ca="1" si="23"/>
        <v>0.37352254703195154</v>
      </c>
      <c r="F274" s="9">
        <f t="shared" ca="1" si="24"/>
        <v>3.6123951258746317E-2</v>
      </c>
      <c r="G274" s="13">
        <f ca="1">IF((Prices!B274-Prices!B273)*B274&gt;0,1,0)</f>
        <v>1</v>
      </c>
      <c r="H274" s="9">
        <f>ABS(Prices!B274-Prices!B273)/Prices!B273</f>
        <v>1.2464256910330925E-3</v>
      </c>
      <c r="I274" s="13"/>
      <c r="J274" s="1">
        <f t="shared" ca="1" si="25"/>
        <v>2.2175178832271165E-2</v>
      </c>
      <c r="K274" s="9"/>
      <c r="L274" s="9">
        <f ca="1">L273-O274*Prices!B274</f>
        <v>0.37433468012126314</v>
      </c>
      <c r="M274" s="1">
        <f t="shared" ref="M274:M337" ca="1" si="26">M273+O274</f>
        <v>0.49499919582719498</v>
      </c>
      <c r="N274" s="9">
        <f ca="1">IF(Prices!D273&gt;OFFSET(Prices!D273,-$N$3,0),1,IF(Prices!D273&lt;OFFSET(Prices!D273,-$N$3,0),-1,0))</f>
        <v>1</v>
      </c>
      <c r="O274" s="1">
        <f ca="1">IF(N274=1,O$3*L273/Prices!B273,O$3*M273*N274)</f>
        <v>3.049967247227852E-2</v>
      </c>
      <c r="P274" s="14"/>
      <c r="Q274" s="9">
        <f ca="1">Q273-T274*Prices!B274</f>
        <v>0.46785751389352831</v>
      </c>
      <c r="R274" s="1">
        <f t="shared" ref="R274:R337" ca="1" si="27">R273+T274</f>
        <v>0.40790018836036046</v>
      </c>
      <c r="S274" s="9">
        <f ca="1">IF(Prices!C273&lt;OFFSET(Prices!C273,-S$3,0),1,IF(Prices!C273&gt;OFFSET(Prices!C273,-S$3,0),-1,0))</f>
        <v>-1</v>
      </c>
      <c r="T274" s="1">
        <f ca="1">IF(S274=1,T$3*Q273/Prices!B273,T$3*R273*S274)</f>
        <v>-8.3244936400073567E-3</v>
      </c>
      <c r="V274" s="9"/>
      <c r="W274" s="1"/>
      <c r="X274" s="1"/>
      <c r="Y274" s="1"/>
      <c r="Z274" s="1"/>
      <c r="AA274" s="1"/>
      <c r="AB274" s="1"/>
      <c r="AC274" s="1"/>
      <c r="AD274" s="1"/>
      <c r="AE274" s="16"/>
    </row>
    <row r="275" spans="1:31" x14ac:dyDescent="0.2">
      <c r="A275" s="4">
        <v>33891</v>
      </c>
      <c r="B275" s="9">
        <f ca="1">Prices!B274*(1+J275/(50*(ABS(O275)+ABS(T275)+0.0001)))</f>
        <v>1.3383352870186735</v>
      </c>
      <c r="C275" s="13">
        <f t="shared" ca="1" si="22"/>
        <v>-1</v>
      </c>
      <c r="D275" s="9">
        <f ca="1">D274+C275*(Prices!B275-Prices!B274)/Prices!B274</f>
        <v>-0.34274423139124865</v>
      </c>
      <c r="E275" s="9">
        <f t="shared" ca="1" si="23"/>
        <v>0.378868182649995</v>
      </c>
      <c r="F275" s="9">
        <f t="shared" ca="1" si="24"/>
        <v>3.6123951258746317E-2</v>
      </c>
      <c r="G275" s="13">
        <f ca="1">IF((Prices!B275-Prices!B274)*B275&gt;0,1,0)</f>
        <v>1</v>
      </c>
      <c r="H275" s="9">
        <f>ABS(Prices!B275-Prices!B274)/Prices!B274</f>
        <v>5.3456356180434129E-3</v>
      </c>
      <c r="I275" s="13"/>
      <c r="J275" s="1">
        <f t="shared" ca="1" si="25"/>
        <v>-5.7657923349926712E-2</v>
      </c>
      <c r="K275" s="9"/>
      <c r="L275" s="9">
        <f ca="1">L274-O275*Prices!B275</f>
        <v>0.44229311971637875</v>
      </c>
      <c r="M275" s="1">
        <f t="shared" ca="1" si="26"/>
        <v>0.4454992762444755</v>
      </c>
      <c r="N275" s="9">
        <f ca="1">IF(Prices!D274&gt;OFFSET(Prices!D274,-$N$3,0),1,IF(Prices!D274&lt;OFFSET(Prices!D274,-$N$3,0),-1,0))</f>
        <v>-1</v>
      </c>
      <c r="O275" s="1">
        <f ca="1">IF(N275=1,O$3*L274/Prices!B274,O$3*M274*N275)</f>
        <v>-4.9499919582719501E-2</v>
      </c>
      <c r="P275" s="14"/>
      <c r="Q275" s="9">
        <f ca="1">Q274-T275*Prices!B275</f>
        <v>0.47905763726552708</v>
      </c>
      <c r="R275" s="1">
        <f t="shared" ca="1" si="27"/>
        <v>0.39974218459315325</v>
      </c>
      <c r="S275" s="9">
        <f ca="1">IF(Prices!C274&lt;OFFSET(Prices!C274,-S$3,0),1,IF(Prices!C274&gt;OFFSET(Prices!C274,-S$3,0),-1,0))</f>
        <v>-1</v>
      </c>
      <c r="T275" s="1">
        <f ca="1">IF(S275=1,T$3*Q274/Prices!B274,T$3*R274*S275)</f>
        <v>-8.1580037672072097E-3</v>
      </c>
      <c r="V275" s="9"/>
      <c r="W275" s="1"/>
      <c r="X275" s="1"/>
      <c r="Y275" s="1"/>
      <c r="Z275" s="1"/>
      <c r="AA275" s="1"/>
      <c r="AB275" s="1"/>
      <c r="AC275" s="1"/>
      <c r="AD275" s="1"/>
      <c r="AE275" s="16"/>
    </row>
    <row r="276" spans="1:31" x14ac:dyDescent="0.2">
      <c r="A276" s="4">
        <v>33892</v>
      </c>
      <c r="B276" s="9">
        <f ca="1">Prices!B275*(1+J276/(50*(ABS(O276)+ABS(T276)+0.0001)))</f>
        <v>1.3529183054419949</v>
      </c>
      <c r="C276" s="13">
        <f t="shared" ca="1" si="22"/>
        <v>-1</v>
      </c>
      <c r="D276" s="9">
        <f ca="1">D275+C276*(Prices!B276-Prices!B275)/Prices!B275</f>
        <v>-0.352868785255332</v>
      </c>
      <c r="E276" s="9">
        <f t="shared" ca="1" si="23"/>
        <v>0.38899273651407829</v>
      </c>
      <c r="F276" s="9">
        <f t="shared" ca="1" si="24"/>
        <v>3.6123951258746317E-2</v>
      </c>
      <c r="G276" s="13">
        <f ca="1">IF((Prices!B276-Prices!B275)*B276&gt;0,1,0)</f>
        <v>1</v>
      </c>
      <c r="H276" s="9">
        <f>ABS(Prices!B276-Prices!B275)/Prices!B275</f>
        <v>1.0124553864083344E-2</v>
      </c>
      <c r="I276" s="13"/>
      <c r="J276" s="1">
        <f t="shared" ca="1" si="25"/>
        <v>-3.7571158052511835E-2</v>
      </c>
      <c r="K276" s="9"/>
      <c r="L276" s="9">
        <f ca="1">L275-O276*Prices!B276</f>
        <v>0.50407495934596258</v>
      </c>
      <c r="M276" s="1">
        <f t="shared" ca="1" si="26"/>
        <v>0.40094934862002796</v>
      </c>
      <c r="N276" s="9">
        <f ca="1">IF(Prices!D275&gt;OFFSET(Prices!D275,-$N$3,0),1,IF(Prices!D275&lt;OFFSET(Prices!D275,-$N$3,0),-1,0))</f>
        <v>-1</v>
      </c>
      <c r="O276" s="1">
        <f ca="1">IF(N276=1,O$3*L275/Prices!B275,O$3*M275*N276)</f>
        <v>-4.4549927624447552E-2</v>
      </c>
      <c r="P276" s="14"/>
      <c r="Q276" s="9">
        <f ca="1">Q275-T276*Prices!B276</f>
        <v>0.46937947962316662</v>
      </c>
      <c r="R276" s="1">
        <f t="shared" ca="1" si="27"/>
        <v>0.40672095416508897</v>
      </c>
      <c r="S276" s="9">
        <f ca="1">IF(Prices!C275&lt;OFFSET(Prices!C275,-S$3,0),1,IF(Prices!C275&gt;OFFSET(Prices!C275,-S$3,0),-1,0))</f>
        <v>1</v>
      </c>
      <c r="T276" s="1">
        <f ca="1">IF(S276=1,T$3*Q275/Prices!B275,T$3*R275*S276)</f>
        <v>6.9787695719357142E-3</v>
      </c>
      <c r="V276" s="9"/>
      <c r="W276" s="1"/>
      <c r="X276" s="1"/>
      <c r="Y276" s="1"/>
      <c r="Z276" s="1"/>
      <c r="AA276" s="1"/>
      <c r="AB276" s="1"/>
      <c r="AC276" s="1"/>
      <c r="AD276" s="1"/>
      <c r="AE276" s="16"/>
    </row>
    <row r="277" spans="1:31" x14ac:dyDescent="0.2">
      <c r="A277" s="4">
        <v>33893</v>
      </c>
      <c r="B277" s="9">
        <f ca="1">Prices!B276*(1+J277/(50*(ABS(O277)+ABS(T277)+0.0001)))</f>
        <v>1.41447182201208</v>
      </c>
      <c r="C277" s="13">
        <f t="shared" ca="1" si="22"/>
        <v>1</v>
      </c>
      <c r="D277" s="9">
        <f ca="1">D276+C277*(Prices!B277-Prices!B276)/Prices!B276</f>
        <v>-0.36656939096632141</v>
      </c>
      <c r="E277" s="9">
        <f t="shared" ca="1" si="23"/>
        <v>0.4026933422250677</v>
      </c>
      <c r="F277" s="9">
        <f t="shared" ca="1" si="24"/>
        <v>3.6123951258746317E-2</v>
      </c>
      <c r="G277" s="13">
        <f ca="1">IF((Prices!B277-Prices!B276)*B277&gt;0,1,0)</f>
        <v>0</v>
      </c>
      <c r="H277" s="9">
        <f>ABS(Prices!B277-Prices!B276)/Prices!B276</f>
        <v>1.3700605710989419E-2</v>
      </c>
      <c r="I277" s="13"/>
      <c r="J277" s="1">
        <f t="shared" ca="1" si="25"/>
        <v>4.3117310013743575E-2</v>
      </c>
      <c r="K277" s="9"/>
      <c r="L277" s="9">
        <f ca="1">L276-O277*Prices!B277</f>
        <v>0.45435807663804451</v>
      </c>
      <c r="M277" s="1">
        <f t="shared" ca="1" si="26"/>
        <v>0.43729741318203852</v>
      </c>
      <c r="N277" s="9">
        <f ca="1">IF(Prices!D276&gt;OFFSET(Prices!D276,-$N$3,0),1,IF(Prices!D276&lt;OFFSET(Prices!D276,-$N$3,0),-1,0))</f>
        <v>1</v>
      </c>
      <c r="O277" s="1">
        <f ca="1">IF(N277=1,O$3*L276/Prices!B276,O$3*M276*N277)</f>
        <v>3.6348064562010569E-2</v>
      </c>
      <c r="P277" s="14"/>
      <c r="Q277" s="9">
        <f ca="1">Q276-T277*Prices!B277</f>
        <v>0.4601205056942862</v>
      </c>
      <c r="R277" s="1">
        <f t="shared" ca="1" si="27"/>
        <v>0.41349019961682199</v>
      </c>
      <c r="S277" s="9">
        <f ca="1">IF(Prices!C276&lt;OFFSET(Prices!C276,-S$3,0),1,IF(Prices!C276&gt;OFFSET(Prices!C276,-S$3,0),-1,0))</f>
        <v>1</v>
      </c>
      <c r="T277" s="1">
        <f ca="1">IF(S277=1,T$3*Q276/Prices!B276,T$3*R276*S277)</f>
        <v>6.7692454517330053E-3</v>
      </c>
      <c r="V277" s="9"/>
      <c r="W277" s="1"/>
      <c r="X277" s="1"/>
      <c r="Y277" s="1"/>
      <c r="Z277" s="1"/>
      <c r="AA277" s="1"/>
      <c r="AB277" s="1"/>
      <c r="AC277" s="1"/>
      <c r="AD277" s="1"/>
      <c r="AE277" s="16"/>
    </row>
    <row r="278" spans="1:31" x14ac:dyDescent="0.2">
      <c r="A278" s="4">
        <v>33896</v>
      </c>
      <c r="B278" s="9">
        <f ca="1">Prices!B277*(1+J278/(50*(ABS(O278)+ABS(T278)+0.0001)))</f>
        <v>1.3950876886566534</v>
      </c>
      <c r="C278" s="13">
        <f t="shared" ca="1" si="22"/>
        <v>1</v>
      </c>
      <c r="D278" s="9">
        <f ca="1">D277+C278*(Prices!B278-Prices!B277)/Prices!B277</f>
        <v>-0.37388040134795614</v>
      </c>
      <c r="E278" s="9">
        <f t="shared" ca="1" si="23"/>
        <v>0.41000435260670243</v>
      </c>
      <c r="F278" s="9">
        <f t="shared" ca="1" si="24"/>
        <v>3.6123951258746317E-2</v>
      </c>
      <c r="G278" s="13">
        <f ca="1">IF((Prices!B278-Prices!B277)*B278&gt;0,1,0)</f>
        <v>0</v>
      </c>
      <c r="H278" s="9">
        <f>ABS(Prices!B278-Prices!B277)/Prices!B277</f>
        <v>7.3110103816347487E-3</v>
      </c>
      <c r="I278" s="13"/>
      <c r="J278" s="1">
        <f t="shared" ca="1" si="25"/>
        <v>3.9946057740671281E-2</v>
      </c>
      <c r="K278" s="9"/>
      <c r="L278" s="9">
        <f ca="1">L277-O278*Prices!B278</f>
        <v>0.4092544506357681</v>
      </c>
      <c r="M278" s="1">
        <f t="shared" ca="1" si="26"/>
        <v>0.47051557933484189</v>
      </c>
      <c r="N278" s="9">
        <f ca="1">IF(Prices!D277&gt;OFFSET(Prices!D277,-$N$3,0),1,IF(Prices!D277&lt;OFFSET(Prices!D277,-$N$3,0),-1,0))</f>
        <v>1</v>
      </c>
      <c r="O278" s="1">
        <f ca="1">IF(N278=1,O$3*L277/Prices!B277,O$3*M277*N278)</f>
        <v>3.3218166152803374E-2</v>
      </c>
      <c r="P278" s="14"/>
      <c r="Q278" s="9">
        <f ca="1">Q277-T278*Prices!B278</f>
        <v>0.45098537449627918</v>
      </c>
      <c r="R278" s="1">
        <f t="shared" ca="1" si="27"/>
        <v>0.42021809120468989</v>
      </c>
      <c r="S278" s="9">
        <f ca="1">IF(Prices!C277&lt;OFFSET(Prices!C277,-S$3,0),1,IF(Prices!C277&gt;OFFSET(Prices!C277,-S$3,0),-1,0))</f>
        <v>1</v>
      </c>
      <c r="T278" s="1">
        <f ca="1">IF(S278=1,T$3*Q277/Prices!B277,T$3*R277*S278)</f>
        <v>6.7278915878679086E-3</v>
      </c>
      <c r="V278" s="9"/>
      <c r="W278" s="1"/>
      <c r="X278" s="1"/>
      <c r="Y278" s="1"/>
      <c r="Z278" s="1"/>
      <c r="AA278" s="1"/>
      <c r="AB278" s="1"/>
      <c r="AC278" s="1"/>
      <c r="AD278" s="1"/>
      <c r="AE278" s="16"/>
    </row>
    <row r="279" spans="1:31" x14ac:dyDescent="0.2">
      <c r="A279" s="4">
        <v>33897</v>
      </c>
      <c r="B279" s="9">
        <f ca="1">Prices!B278*(1+J279/(50*(ABS(O279)+ABS(T279)+0.0001)))</f>
        <v>1.3848823743406522</v>
      </c>
      <c r="C279" s="13">
        <f t="shared" ca="1" si="22"/>
        <v>1</v>
      </c>
      <c r="D279" s="9">
        <f ca="1">D278+C279*(Prices!B279-Prices!B278)/Prices!B278</f>
        <v>-0.39604861463415425</v>
      </c>
      <c r="E279" s="9">
        <f t="shared" ca="1" si="23"/>
        <v>0.43217256589290054</v>
      </c>
      <c r="F279" s="9">
        <f t="shared" ca="1" si="24"/>
        <v>3.6123951258746317E-2</v>
      </c>
      <c r="G279" s="13">
        <f ca="1">IF((Prices!B279-Prices!B278)*B279&gt;0,1,0)</f>
        <v>0</v>
      </c>
      <c r="H279" s="9">
        <f>ABS(Prices!B279-Prices!B278)/Prices!B278</f>
        <v>2.2168213286198113E-2</v>
      </c>
      <c r="I279" s="13"/>
      <c r="J279" s="1">
        <f t="shared" ca="1" si="25"/>
        <v>3.6783880213214319E-2</v>
      </c>
      <c r="K279" s="9"/>
      <c r="L279" s="9">
        <f ca="1">L278-O279*Prices!B279</f>
        <v>0.36923624956719325</v>
      </c>
      <c r="M279" s="1">
        <f t="shared" ca="1" si="26"/>
        <v>0.50065657584653489</v>
      </c>
      <c r="N279" s="9">
        <f ca="1">IF(Prices!D278&gt;OFFSET(Prices!D278,-$N$3,0),1,IF(Prices!D278&lt;OFFSET(Prices!D278,-$N$3,0),-1,0))</f>
        <v>1</v>
      </c>
      <c r="O279" s="1">
        <f ca="1">IF(N279=1,O$3*L278/Prices!B278,O$3*M278*N279)</f>
        <v>3.0140996511693045E-2</v>
      </c>
      <c r="P279" s="14"/>
      <c r="Q279" s="9">
        <f ca="1">Q278-T279*Prices!B279</f>
        <v>0.44216561780576941</v>
      </c>
      <c r="R279" s="1">
        <f t="shared" ca="1" si="27"/>
        <v>0.42686097490621117</v>
      </c>
      <c r="S279" s="9">
        <f ca="1">IF(Prices!C278&lt;OFFSET(Prices!C278,-S$3,0),1,IF(Prices!C278&gt;OFFSET(Prices!C278,-S$3,0),-1,0))</f>
        <v>1</v>
      </c>
      <c r="T279" s="1">
        <f ca="1">IF(S279=1,T$3*Q278/Prices!B278,T$3*R278*S279)</f>
        <v>6.6428837015212738E-3</v>
      </c>
      <c r="V279" s="9"/>
      <c r="W279" s="1"/>
      <c r="X279" s="1"/>
      <c r="Y279" s="1"/>
      <c r="Z279" s="1"/>
      <c r="AA279" s="1"/>
      <c r="AB279" s="1"/>
      <c r="AC279" s="1"/>
      <c r="AD279" s="1"/>
      <c r="AE279" s="16"/>
    </row>
    <row r="280" spans="1:31" x14ac:dyDescent="0.2">
      <c r="A280" s="4">
        <v>33898</v>
      </c>
      <c r="B280" s="9">
        <f ca="1">Prices!B279*(1+J280/(50*(ABS(O280)+ABS(T280)+0.0001)))</f>
        <v>1.3417414586973249</v>
      </c>
      <c r="C280" s="13">
        <f t="shared" ca="1" si="22"/>
        <v>1</v>
      </c>
      <c r="D280" s="9">
        <f ca="1">D279+C280*(Prices!B280-Prices!B279)/Prices!B279</f>
        <v>-0.38776361049165226</v>
      </c>
      <c r="E280" s="9">
        <f t="shared" ca="1" si="23"/>
        <v>0.42388756175039854</v>
      </c>
      <c r="F280" s="9">
        <f t="shared" ca="1" si="24"/>
        <v>3.6123951258746317E-2</v>
      </c>
      <c r="G280" s="13">
        <f ca="1">IF((Prices!B280-Prices!B279)*B280&gt;0,1,0)</f>
        <v>1</v>
      </c>
      <c r="H280" s="9">
        <f>ABS(Prices!B280-Prices!B279)/Prices!B279</f>
        <v>8.2850041425019949E-3</v>
      </c>
      <c r="I280" s="13"/>
      <c r="J280" s="1">
        <f t="shared" ca="1" si="25"/>
        <v>1.9272997385749634E-2</v>
      </c>
      <c r="K280" s="9"/>
      <c r="L280" s="9">
        <f ca="1">L279-O280*Prices!B280</f>
        <v>0.33200671222475131</v>
      </c>
      <c r="M280" s="1">
        <f t="shared" ca="1" si="26"/>
        <v>0.52846679273040875</v>
      </c>
      <c r="N280" s="9">
        <f ca="1">IF(Prices!D279&gt;OFFSET(Prices!D279,-$N$3,0),1,IF(Prices!D279&lt;OFFSET(Prices!D279,-$N$3,0),-1,0))</f>
        <v>1</v>
      </c>
      <c r="O280" s="1">
        <f ca="1">IF(N280=1,O$3*L279/Prices!B279,O$3*M279*N280)</f>
        <v>2.7810216883873858E-2</v>
      </c>
      <c r="P280" s="14"/>
      <c r="Q280" s="9">
        <f ca="1">Q279-T280*Prices!B280</f>
        <v>0.45359439354790831</v>
      </c>
      <c r="R280" s="1">
        <f t="shared" ca="1" si="27"/>
        <v>0.41832375540808692</v>
      </c>
      <c r="S280" s="9">
        <f ca="1">IF(Prices!C279&lt;OFFSET(Prices!C279,-S$3,0),1,IF(Prices!C279&gt;OFFSET(Prices!C279,-S$3,0),-1,0))</f>
        <v>-1</v>
      </c>
      <c r="T280" s="1">
        <f ca="1">IF(S280=1,T$3*Q279/Prices!B279,T$3*R279*S280)</f>
        <v>-8.5372194981242228E-3</v>
      </c>
      <c r="V280" s="9"/>
      <c r="W280" s="1"/>
      <c r="X280" s="1"/>
      <c r="Y280" s="1"/>
      <c r="Z280" s="1"/>
      <c r="AA280" s="1"/>
      <c r="AB280" s="1"/>
      <c r="AC280" s="1"/>
      <c r="AD280" s="1"/>
      <c r="AE280" s="16"/>
    </row>
    <row r="281" spans="1:31" x14ac:dyDescent="0.2">
      <c r="A281" s="4">
        <v>33899</v>
      </c>
      <c r="B281" s="9">
        <f ca="1">Prices!B280*(1+J281/(50*(ABS(O281)+ABS(T281)+0.0001)))</f>
        <v>1.3519265415998716</v>
      </c>
      <c r="C281" s="13">
        <f t="shared" ca="1" si="22"/>
        <v>1</v>
      </c>
      <c r="D281" s="9">
        <f ca="1">D280+C281*(Prices!B281-Prices!B280)/Prices!B280</f>
        <v>-0.39321666195949423</v>
      </c>
      <c r="E281" s="9">
        <f t="shared" ca="1" si="23"/>
        <v>0.42934061321824057</v>
      </c>
      <c r="F281" s="9">
        <f t="shared" ca="1" si="24"/>
        <v>3.6123951258746317E-2</v>
      </c>
      <c r="G281" s="13">
        <f ca="1">IF((Prices!B281-Prices!B280)*B281&gt;0,1,0)</f>
        <v>0</v>
      </c>
      <c r="H281" s="9">
        <f>ABS(Prices!B281-Prices!B280)/Prices!B280</f>
        <v>5.4530514678419991E-3</v>
      </c>
      <c r="I281" s="13"/>
      <c r="J281" s="1">
        <f t="shared" ca="1" si="25"/>
        <v>1.6434205568969157E-2</v>
      </c>
      <c r="K281" s="9"/>
      <c r="L281" s="9">
        <f ca="1">L280-O281*Prices!B281</f>
        <v>0.29898708597121926</v>
      </c>
      <c r="M281" s="1">
        <f t="shared" ca="1" si="26"/>
        <v>0.55326747340753968</v>
      </c>
      <c r="N281" s="9">
        <f ca="1">IF(Prices!D280&gt;OFFSET(Prices!D280,-$N$3,0),1,IF(Prices!D280&lt;OFFSET(Prices!D280,-$N$3,0),-1,0))</f>
        <v>1</v>
      </c>
      <c r="O281" s="1">
        <f ca="1">IF(N281=1,O$3*L280/Prices!B280,O$3*M280*N281)</f>
        <v>2.4800680677130895E-2</v>
      </c>
      <c r="P281" s="14"/>
      <c r="Q281" s="9">
        <f ca="1">Q280-T281*Prices!B281</f>
        <v>0.46473351850691486</v>
      </c>
      <c r="R281" s="1">
        <f t="shared" ca="1" si="27"/>
        <v>0.40995728029992518</v>
      </c>
      <c r="S281" s="9">
        <f ca="1">IF(Prices!C280&lt;OFFSET(Prices!C280,-S$3,0),1,IF(Prices!C280&gt;OFFSET(Prices!C280,-S$3,0),-1,0))</f>
        <v>-1</v>
      </c>
      <c r="T281" s="1">
        <f ca="1">IF(S281=1,T$3*Q280/Prices!B280,T$3*R280*S281)</f>
        <v>-8.3664751081617382E-3</v>
      </c>
      <c r="V281" s="9"/>
      <c r="W281" s="1"/>
      <c r="X281" s="1"/>
      <c r="Y281" s="1"/>
      <c r="Z281" s="1"/>
      <c r="AA281" s="1"/>
      <c r="AB281" s="1"/>
      <c r="AC281" s="1"/>
      <c r="AD281" s="1"/>
      <c r="AE281" s="16"/>
    </row>
    <row r="282" spans="1:31" x14ac:dyDescent="0.2">
      <c r="A282" s="4">
        <v>33900</v>
      </c>
      <c r="B282" s="9">
        <f ca="1">Prices!B281*(1+J282/(50*(ABS(O282)+ABS(T282)+0.0001)))</f>
        <v>1.30481385088612</v>
      </c>
      <c r="C282" s="13">
        <f t="shared" ca="1" si="22"/>
        <v>-1</v>
      </c>
      <c r="D282" s="9">
        <f ca="1">D281+C282*(Prices!B282-Prices!B281)/Prices!B281</f>
        <v>-0.38270141485118719</v>
      </c>
      <c r="E282" s="9">
        <f t="shared" ca="1" si="23"/>
        <v>0.41882536610993348</v>
      </c>
      <c r="F282" s="9">
        <f t="shared" ca="1" si="24"/>
        <v>3.6123951258746317E-2</v>
      </c>
      <c r="G282" s="13">
        <f ca="1">IF((Prices!B282-Prices!B281)*B282&gt;0,1,0)</f>
        <v>0</v>
      </c>
      <c r="H282" s="9">
        <f>ABS(Prices!B282-Prices!B281)/Prices!B281</f>
        <v>1.0515247108307054E-2</v>
      </c>
      <c r="I282" s="13"/>
      <c r="J282" s="1">
        <f t="shared" ca="1" si="25"/>
        <v>-6.3525892946752469E-2</v>
      </c>
      <c r="K282" s="9"/>
      <c r="L282" s="9">
        <f ca="1">L281-O282*Prices!B282</f>
        <v>0.37187454291792854</v>
      </c>
      <c r="M282" s="1">
        <f t="shared" ca="1" si="26"/>
        <v>0.49794072606678569</v>
      </c>
      <c r="N282" s="9">
        <f ca="1">IF(Prices!D281&gt;OFFSET(Prices!D281,-$N$3,0),1,IF(Prices!D281&lt;OFFSET(Prices!D281,-$N$3,0),-1,0))</f>
        <v>-1</v>
      </c>
      <c r="O282" s="1">
        <f ca="1">IF(N282=1,O$3*L281/Prices!B281,O$3*M281*N282)</f>
        <v>-5.5326747340753969E-2</v>
      </c>
      <c r="P282" s="14"/>
      <c r="Q282" s="9">
        <f ca="1">Q281-T282*Prices!B282</f>
        <v>0.47553507292825731</v>
      </c>
      <c r="R282" s="1">
        <f t="shared" ca="1" si="27"/>
        <v>0.40175813469392668</v>
      </c>
      <c r="S282" s="9">
        <f ca="1">IF(Prices!C281&lt;OFFSET(Prices!C281,-S$3,0),1,IF(Prices!C281&gt;OFFSET(Prices!C281,-S$3,0),-1,0))</f>
        <v>-1</v>
      </c>
      <c r="T282" s="1">
        <f ca="1">IF(S282=1,T$3*Q281/Prices!B281,T$3*R281*S282)</f>
        <v>-8.1991456059985028E-3</v>
      </c>
      <c r="V282" s="9"/>
      <c r="W282" s="1"/>
      <c r="X282" s="1"/>
      <c r="Y282" s="1"/>
      <c r="Z282" s="1"/>
      <c r="AA282" s="1"/>
      <c r="AB282" s="1"/>
      <c r="AC282" s="1"/>
      <c r="AD282" s="1"/>
      <c r="AE282" s="16"/>
    </row>
    <row r="283" spans="1:31" x14ac:dyDescent="0.2">
      <c r="A283" s="4">
        <v>33903</v>
      </c>
      <c r="B283" s="9">
        <f ca="1">Prices!B282*(1+J283/(50*(ABS(O283)+ABS(T283)+0.0001)))</f>
        <v>1.3320312870977653</v>
      </c>
      <c r="C283" s="13">
        <f t="shared" ca="1" si="22"/>
        <v>1</v>
      </c>
      <c r="D283" s="9">
        <f ca="1">D282+C283*(Prices!B283-Prices!B282)/Prices!B282</f>
        <v>-0.38368820701757544</v>
      </c>
      <c r="E283" s="9">
        <f t="shared" ca="1" si="23"/>
        <v>0.41981215827632179</v>
      </c>
      <c r="F283" s="9">
        <f t="shared" ca="1" si="24"/>
        <v>3.6123951258746317E-2</v>
      </c>
      <c r="G283" s="13">
        <f ca="1">IF((Prices!B283-Prices!B282)*B283&gt;0,1,0)</f>
        <v>0</v>
      </c>
      <c r="H283" s="9">
        <f>ABS(Prices!B283-Prices!B282)/Prices!B282</f>
        <v>9.8679216638823198E-4</v>
      </c>
      <c r="I283" s="13"/>
      <c r="J283" s="1">
        <f t="shared" ca="1" si="25"/>
        <v>2.019275160078737E-2</v>
      </c>
      <c r="K283" s="9"/>
      <c r="L283" s="9">
        <f ca="1">L282-O283*Prices!B283</f>
        <v>0.33472378491471877</v>
      </c>
      <c r="M283" s="1">
        <f t="shared" ca="1" si="26"/>
        <v>0.52616864036145161</v>
      </c>
      <c r="N283" s="9">
        <f ca="1">IF(Prices!D282&gt;OFFSET(Prices!D282,-$N$3,0),1,IF(Prices!D282&lt;OFFSET(Prices!D282,-$N$3,0),-1,0))</f>
        <v>1</v>
      </c>
      <c r="O283" s="1">
        <f ca="1">IF(N283=1,O$3*L282/Prices!B282,O$3*M282*N283)</f>
        <v>2.8227914294665903E-2</v>
      </c>
      <c r="P283" s="14"/>
      <c r="Q283" s="9">
        <f ca="1">Q282-T283*Prices!B283</f>
        <v>0.48611015054967083</v>
      </c>
      <c r="R283" s="1">
        <f t="shared" ca="1" si="27"/>
        <v>0.39372297200004813</v>
      </c>
      <c r="S283" s="9">
        <f ca="1">IF(Prices!C282&lt;OFFSET(Prices!C282,-S$3,0),1,IF(Prices!C282&gt;OFFSET(Prices!C282,-S$3,0),-1,0))</f>
        <v>-1</v>
      </c>
      <c r="T283" s="1">
        <f ca="1">IF(S283=1,T$3*Q282/Prices!B282,T$3*R282*S283)</f>
        <v>-8.035162693878533E-3</v>
      </c>
      <c r="V283" s="9"/>
      <c r="W283" s="1"/>
      <c r="X283" s="1"/>
      <c r="Y283" s="1"/>
      <c r="Z283" s="1"/>
      <c r="AA283" s="1"/>
      <c r="AB283" s="1"/>
      <c r="AC283" s="1"/>
      <c r="AD283" s="1"/>
      <c r="AE283" s="16"/>
    </row>
    <row r="284" spans="1:31" x14ac:dyDescent="0.2">
      <c r="A284" s="4">
        <v>33904</v>
      </c>
      <c r="B284" s="9">
        <f ca="1">Prices!B283*(1+J284/(50*(ABS(O284)+ABS(T284)+0.0001)))</f>
        <v>1.3423420428586066</v>
      </c>
      <c r="C284" s="13">
        <f t="shared" ca="1" si="22"/>
        <v>1</v>
      </c>
      <c r="D284" s="9">
        <f ca="1">D283+C284*(Prices!B284-Prices!B283)/Prices!B283</f>
        <v>-0.38270044013056087</v>
      </c>
      <c r="E284" s="9">
        <f t="shared" ca="1" si="23"/>
        <v>0.41882439138930716</v>
      </c>
      <c r="F284" s="9">
        <f t="shared" ca="1" si="24"/>
        <v>3.6123951258746317E-2</v>
      </c>
      <c r="G284" s="13">
        <f ca="1">IF((Prices!B284-Prices!B283)*B284&gt;0,1,0)</f>
        <v>1</v>
      </c>
      <c r="H284" s="9">
        <f>ABS(Prices!B284-Prices!B283)/Prices!B283</f>
        <v>9.8776688701455572E-4</v>
      </c>
      <c r="I284" s="13"/>
      <c r="J284" s="1">
        <f t="shared" ca="1" si="25"/>
        <v>3.2820136389685658E-2</v>
      </c>
      <c r="K284" s="9"/>
      <c r="L284" s="9">
        <f ca="1">L283-O284*Prices!B284</f>
        <v>0.30121834351614341</v>
      </c>
      <c r="M284" s="1">
        <f t="shared" ca="1" si="26"/>
        <v>0.55160164582568072</v>
      </c>
      <c r="N284" s="9">
        <f ca="1">IF(Prices!D283&gt;OFFSET(Prices!D283,-$N$3,0),1,IF(Prices!D283&lt;OFFSET(Prices!D283,-$N$3,0),-1,0))</f>
        <v>1</v>
      </c>
      <c r="O284" s="1">
        <f ca="1">IF(N284=1,O$3*L283/Prices!B283,O$3*M283*N284)</f>
        <v>2.543300546422907E-2</v>
      </c>
      <c r="P284" s="14"/>
      <c r="Q284" s="9">
        <f ca="1">Q283-T284*Prices!B284</f>
        <v>0.47637834426847431</v>
      </c>
      <c r="R284" s="1">
        <f t="shared" ca="1" si="27"/>
        <v>0.4011101029255047</v>
      </c>
      <c r="S284" s="9">
        <f ca="1">IF(Prices!C283&lt;OFFSET(Prices!C283,-S$3,0),1,IF(Prices!C283&gt;OFFSET(Prices!C283,-S$3,0),-1,0))</f>
        <v>1</v>
      </c>
      <c r="T284" s="1">
        <f ca="1">IF(S284=1,T$3*Q283/Prices!B283,T$3*R283*S284)</f>
        <v>7.3871309254565885E-3</v>
      </c>
      <c r="V284" s="9"/>
      <c r="W284" s="1"/>
      <c r="X284" s="1"/>
      <c r="Y284" s="1"/>
      <c r="Z284" s="1"/>
      <c r="AA284" s="1"/>
      <c r="AB284" s="1"/>
      <c r="AC284" s="1"/>
      <c r="AD284" s="1"/>
      <c r="AE284" s="16"/>
    </row>
    <row r="285" spans="1:31" x14ac:dyDescent="0.2">
      <c r="A285" s="4">
        <v>33905</v>
      </c>
      <c r="B285" s="9">
        <f ca="1">Prices!B284*(1+J285/(50*(ABS(O285)+ABS(T285)+0.0001)))</f>
        <v>1.2971925597267193</v>
      </c>
      <c r="C285" s="13">
        <f t="shared" ca="1" si="22"/>
        <v>-1</v>
      </c>
      <c r="D285" s="9">
        <f ca="1">D284+C285*(Prices!B285-Prices!B284)/Prices!B284</f>
        <v>-0.37913280691361845</v>
      </c>
      <c r="E285" s="9">
        <f t="shared" ca="1" si="23"/>
        <v>0.41525675817236474</v>
      </c>
      <c r="F285" s="9">
        <f t="shared" ca="1" si="24"/>
        <v>3.6123951258746317E-2</v>
      </c>
      <c r="G285" s="13">
        <f ca="1">IF((Prices!B285-Prices!B284)*B285&gt;0,1,0)</f>
        <v>0</v>
      </c>
      <c r="H285" s="9">
        <f>ABS(Prices!B285-Prices!B284)/Prices!B284</f>
        <v>3.5676332169424069E-3</v>
      </c>
      <c r="I285" s="13"/>
      <c r="J285" s="1">
        <f t="shared" ca="1" si="25"/>
        <v>-4.7928065838549944E-2</v>
      </c>
      <c r="K285" s="9"/>
      <c r="L285" s="9">
        <f ca="1">L284-O285*Prices!B285</f>
        <v>0.37362709156368051</v>
      </c>
      <c r="M285" s="1">
        <f t="shared" ca="1" si="26"/>
        <v>0.49644148124311266</v>
      </c>
      <c r="N285" s="9">
        <f ca="1">IF(Prices!D284&gt;OFFSET(Prices!D284,-$N$3,0),1,IF(Prices!D284&lt;OFFSET(Prices!D284,-$N$3,0),-1,0))</f>
        <v>-1</v>
      </c>
      <c r="O285" s="1">
        <f ca="1">IF(N285=1,O$3*L284/Prices!B284,O$3*M284*N285)</f>
        <v>-5.5160164582568075E-2</v>
      </c>
      <c r="P285" s="14"/>
      <c r="Q285" s="9">
        <f ca="1">Q284-T285*Prices!B285</f>
        <v>0.46688476824720171</v>
      </c>
      <c r="R285" s="1">
        <f t="shared" ca="1" si="27"/>
        <v>0.40834220166952284</v>
      </c>
      <c r="S285" s="9">
        <f ca="1">IF(Prices!C284&lt;OFFSET(Prices!C284,-S$3,0),1,IF(Prices!C284&gt;OFFSET(Prices!C284,-S$3,0),-1,0))</f>
        <v>1</v>
      </c>
      <c r="T285" s="1">
        <f ca="1">IF(S285=1,T$3*Q284/Prices!B284,T$3*R284*S285)</f>
        <v>7.2320987440181311E-3</v>
      </c>
      <c r="V285" s="9"/>
      <c r="W285" s="1"/>
      <c r="X285" s="1"/>
      <c r="Y285" s="1"/>
      <c r="Z285" s="1"/>
      <c r="AA285" s="1"/>
      <c r="AB285" s="1"/>
      <c r="AC285" s="1"/>
      <c r="AD285" s="1"/>
      <c r="AE285" s="16"/>
    </row>
    <row r="286" spans="1:31" x14ac:dyDescent="0.2">
      <c r="A286" s="4">
        <v>33906</v>
      </c>
      <c r="B286" s="9">
        <f ca="1">Prices!B285*(1+J286/(50*(ABS(O286)+ABS(T286)+0.0001)))</f>
        <v>1.2864913350892841</v>
      </c>
      <c r="C286" s="13">
        <f t="shared" ca="1" si="22"/>
        <v>-1</v>
      </c>
      <c r="D286" s="9">
        <f ca="1">D285+C286*(Prices!B286-Prices!B285)/Prices!B285</f>
        <v>-0.38172288842500723</v>
      </c>
      <c r="E286" s="9">
        <f t="shared" ca="1" si="23"/>
        <v>0.41784683968375358</v>
      </c>
      <c r="F286" s="9">
        <f t="shared" ca="1" si="24"/>
        <v>3.6123951258746317E-2</v>
      </c>
      <c r="G286" s="13">
        <f ca="1">IF((Prices!B286-Prices!B285)*B286&gt;0,1,0)</f>
        <v>1</v>
      </c>
      <c r="H286" s="9">
        <f>ABS(Prices!B286-Prices!B285)/Prices!B285</f>
        <v>2.5900815113887939E-3</v>
      </c>
      <c r="I286" s="13"/>
      <c r="J286" s="1">
        <f t="shared" ca="1" si="25"/>
        <v>-5.7810992157701725E-2</v>
      </c>
      <c r="K286" s="9"/>
      <c r="L286" s="9">
        <f ca="1">L285-O286*Prices!B286</f>
        <v>0.43896375491008655</v>
      </c>
      <c r="M286" s="1">
        <f t="shared" ca="1" si="26"/>
        <v>0.44679733311880138</v>
      </c>
      <c r="N286" s="9">
        <f ca="1">IF(Prices!D285&gt;OFFSET(Prices!D285,-$N$3,0),1,IF(Prices!D285&lt;OFFSET(Prices!D285,-$N$3,0),-1,0))</f>
        <v>-1</v>
      </c>
      <c r="O286" s="1">
        <f ca="1">IF(N286=1,O$3*L285/Prices!B285,O$3*M285*N286)</f>
        <v>-4.9644148124311269E-2</v>
      </c>
      <c r="P286" s="14"/>
      <c r="Q286" s="9">
        <f ca="1">Q285-T286*Prices!B286</f>
        <v>0.4776331516795469</v>
      </c>
      <c r="R286" s="1">
        <f t="shared" ca="1" si="27"/>
        <v>0.40017535763613238</v>
      </c>
      <c r="S286" s="9">
        <f ca="1">IF(Prices!C285&lt;OFFSET(Prices!C285,-S$3,0),1,IF(Prices!C285&gt;OFFSET(Prices!C285,-S$3,0),-1,0))</f>
        <v>-1</v>
      </c>
      <c r="T286" s="1">
        <f ca="1">IF(S286=1,T$3*Q285/Prices!B285,T$3*R285*S286)</f>
        <v>-8.1668440333904566E-3</v>
      </c>
      <c r="V286" s="9"/>
      <c r="W286" s="1"/>
      <c r="X286" s="1"/>
      <c r="Y286" s="1"/>
      <c r="Z286" s="1"/>
      <c r="AA286" s="1"/>
      <c r="AB286" s="1"/>
      <c r="AC286" s="1"/>
      <c r="AD286" s="1"/>
      <c r="AE286" s="16"/>
    </row>
    <row r="287" spans="1:31" x14ac:dyDescent="0.2">
      <c r="A287" s="4">
        <v>33907</v>
      </c>
      <c r="B287" s="9">
        <f ca="1">Prices!B286*(1+J287/(50*(ABS(O287)+ABS(T287)+0.0001)))</f>
        <v>1.2898278681016329</v>
      </c>
      <c r="C287" s="13">
        <f t="shared" ca="1" si="22"/>
        <v>-1</v>
      </c>
      <c r="D287" s="9">
        <f ca="1">D286+C287*(Prices!B287-Prices!B286)/Prices!B286</f>
        <v>-0.37807574914987607</v>
      </c>
      <c r="E287" s="9">
        <f t="shared" ca="1" si="23"/>
        <v>0.41419970040862242</v>
      </c>
      <c r="F287" s="9">
        <f t="shared" ca="1" si="24"/>
        <v>3.6123951258746317E-2</v>
      </c>
      <c r="G287" s="13">
        <f ca="1">IF((Prices!B287-Prices!B286)*B287&gt;0,1,0)</f>
        <v>0</v>
      </c>
      <c r="H287" s="9">
        <f>ABS(Prices!B287-Prices!B286)/Prices!B286</f>
        <v>3.6471392751311732E-3</v>
      </c>
      <c r="I287" s="13"/>
      <c r="J287" s="1">
        <f t="shared" ca="1" si="25"/>
        <v>-5.2683240464602786E-2</v>
      </c>
      <c r="K287" s="9"/>
      <c r="L287" s="9">
        <f ca="1">L286-O287*Prices!B287</f>
        <v>0.49755228920195499</v>
      </c>
      <c r="M287" s="1">
        <f t="shared" ca="1" si="26"/>
        <v>0.40211759980692124</v>
      </c>
      <c r="N287" s="9">
        <f ca="1">IF(Prices!D286&gt;OFFSET(Prices!D286,-$N$3,0),1,IF(Prices!D286&lt;OFFSET(Prices!D286,-$N$3,0),-1,0))</f>
        <v>-1</v>
      </c>
      <c r="O287" s="1">
        <f ca="1">IF(N287=1,O$3*L286/Prices!B286,O$3*M286*N287)</f>
        <v>-4.4679733311880139E-2</v>
      </c>
      <c r="P287" s="14"/>
      <c r="Q287" s="9">
        <f ca="1">Q286-T287*Prices!B287</f>
        <v>0.48812815060891213</v>
      </c>
      <c r="R287" s="1">
        <f t="shared" ca="1" si="27"/>
        <v>0.39217185048340975</v>
      </c>
      <c r="S287" s="9">
        <f ca="1">IF(Prices!C286&lt;OFFSET(Prices!C286,-S$3,0),1,IF(Prices!C286&gt;OFFSET(Prices!C286,-S$3,0),-1,0))</f>
        <v>-1</v>
      </c>
      <c r="T287" s="1">
        <f ca="1">IF(S287=1,T$3*Q286/Prices!B286,T$3*R286*S287)</f>
        <v>-8.003507152722647E-3</v>
      </c>
      <c r="V287" s="9"/>
      <c r="W287" s="1"/>
      <c r="X287" s="1"/>
      <c r="Y287" s="1"/>
      <c r="Z287" s="1"/>
      <c r="AA287" s="1"/>
      <c r="AB287" s="1"/>
      <c r="AC287" s="1"/>
      <c r="AD287" s="1"/>
      <c r="AE287" s="16"/>
    </row>
    <row r="288" spans="1:31" x14ac:dyDescent="0.2">
      <c r="A288" s="4">
        <v>33910</v>
      </c>
      <c r="B288" s="9">
        <f ca="1">Prices!B287*(1+J288/(50*(ABS(O288)+ABS(T288)+0.0001)))</f>
        <v>1.3285032333136686</v>
      </c>
      <c r="C288" s="13">
        <f t="shared" ca="1" si="22"/>
        <v>1</v>
      </c>
      <c r="D288" s="9">
        <f ca="1">D287+C288*(Prices!B288-Prices!B287)/Prices!B287</f>
        <v>-0.39340404931002249</v>
      </c>
      <c r="E288" s="9">
        <f t="shared" ca="1" si="23"/>
        <v>0.42952800056876883</v>
      </c>
      <c r="F288" s="9">
        <f t="shared" ca="1" si="24"/>
        <v>3.6123951258746317E-2</v>
      </c>
      <c r="G288" s="13">
        <f ca="1">IF((Prices!B288-Prices!B287)*B288&gt;0,1,0)</f>
        <v>0</v>
      </c>
      <c r="H288" s="9">
        <f>ABS(Prices!B288-Prices!B287)/Prices!B287</f>
        <v>1.5328300160146425E-2</v>
      </c>
      <c r="I288" s="13"/>
      <c r="J288" s="1">
        <f t="shared" ca="1" si="25"/>
        <v>3.00999999766778E-2</v>
      </c>
      <c r="K288" s="9"/>
      <c r="L288" s="9">
        <f ca="1">L287-O288*Prices!B288</f>
        <v>0.44855972336518501</v>
      </c>
      <c r="M288" s="1">
        <f t="shared" ca="1" si="26"/>
        <v>0.44006103679326725</v>
      </c>
      <c r="N288" s="9">
        <f ca="1">IF(Prices!D287&gt;OFFSET(Prices!D287,-$N$3,0),1,IF(Prices!D287&lt;OFFSET(Prices!D287,-$N$3,0),-1,0))</f>
        <v>1</v>
      </c>
      <c r="O288" s="1">
        <f ca="1">IF(N288=1,O$3*L287/Prices!B287,O$3*M287*N288)</f>
        <v>3.7943436986345995E-2</v>
      </c>
      <c r="P288" s="14"/>
      <c r="Q288" s="9">
        <f ca="1">Q287-T288*Prices!B288</f>
        <v>0.4982555964757957</v>
      </c>
      <c r="R288" s="1">
        <f t="shared" ca="1" si="27"/>
        <v>0.38432841347374153</v>
      </c>
      <c r="S288" s="9">
        <f ca="1">IF(Prices!C287&lt;OFFSET(Prices!C287,-S$3,0),1,IF(Prices!C287&gt;OFFSET(Prices!C287,-S$3,0),-1,0))</f>
        <v>-1</v>
      </c>
      <c r="T288" s="1">
        <f ca="1">IF(S288=1,T$3*Q287/Prices!B287,T$3*R287*S288)</f>
        <v>-7.843437009668195E-3</v>
      </c>
      <c r="V288" s="9"/>
      <c r="W288" s="1"/>
      <c r="X288" s="1"/>
      <c r="Y288" s="1"/>
      <c r="Z288" s="1"/>
      <c r="AA288" s="1"/>
      <c r="AB288" s="1"/>
      <c r="AC288" s="1"/>
      <c r="AD288" s="1"/>
      <c r="AE288" s="16"/>
    </row>
    <row r="289" spans="1:31" x14ac:dyDescent="0.2">
      <c r="A289" s="4">
        <v>33911</v>
      </c>
      <c r="B289" s="9">
        <f ca="1">Prices!B288*(1+J289/(50*(ABS(O289)+ABS(T289)+0.0001)))</f>
        <v>1.3076279779056905</v>
      </c>
      <c r="C289" s="13">
        <f t="shared" ca="1" si="22"/>
        <v>1</v>
      </c>
      <c r="D289" s="9">
        <f ca="1">D288+C289*(Prices!B289-Prices!B288)/Prices!B288</f>
        <v>-0.39394618066070397</v>
      </c>
      <c r="E289" s="9">
        <f t="shared" ca="1" si="23"/>
        <v>0.43007013191945032</v>
      </c>
      <c r="F289" s="9">
        <f t="shared" ca="1" si="24"/>
        <v>3.6123951258746317E-2</v>
      </c>
      <c r="G289" s="13">
        <f ca="1">IF((Prices!B289-Prices!B288)*B289&gt;0,1,0)</f>
        <v>0</v>
      </c>
      <c r="H289" s="9">
        <f>ABS(Prices!B289-Prices!B288)/Prices!B288</f>
        <v>5.4213135068147686E-4</v>
      </c>
      <c r="I289" s="13"/>
      <c r="J289" s="1">
        <f t="shared" ca="1" si="25"/>
        <v>2.7053187257568626E-2</v>
      </c>
      <c r="K289" s="9"/>
      <c r="L289" s="9">
        <f ca="1">L288-O289*Prices!B289</f>
        <v>0.40372806885753543</v>
      </c>
      <c r="M289" s="1">
        <f t="shared" ca="1" si="26"/>
        <v>0.47480079232031069</v>
      </c>
      <c r="N289" s="9">
        <f ca="1">IF(Prices!D288&gt;OFFSET(Prices!D288,-$N$3,0),1,IF(Prices!D288&lt;OFFSET(Prices!D288,-$N$3,0),-1,0))</f>
        <v>1</v>
      </c>
      <c r="O289" s="1">
        <f ca="1">IF(N289=1,O$3*L288/Prices!B288,O$3*M288*N289)</f>
        <v>3.4739755527043455E-2</v>
      </c>
      <c r="P289" s="14"/>
      <c r="Q289" s="9">
        <f ca="1">Q288-T289*Prices!B289</f>
        <v>0.50817511282755301</v>
      </c>
      <c r="R289" s="1">
        <f t="shared" ca="1" si="27"/>
        <v>0.37664184520426669</v>
      </c>
      <c r="S289" s="9">
        <f ca="1">IF(Prices!C288&lt;OFFSET(Prices!C288,-S$3,0),1,IF(Prices!C288&gt;OFFSET(Prices!C288,-S$3,0),-1,0))</f>
        <v>-1</v>
      </c>
      <c r="T289" s="1">
        <f ca="1">IF(S289=1,T$3*Q288/Prices!B288,T$3*R288*S289)</f>
        <v>-7.6865682694748309E-3</v>
      </c>
      <c r="V289" s="9"/>
      <c r="W289" s="1"/>
      <c r="X289" s="1"/>
      <c r="Y289" s="1"/>
      <c r="Z289" s="1"/>
      <c r="AA289" s="1"/>
      <c r="AB289" s="1"/>
      <c r="AC289" s="1"/>
      <c r="AD289" s="1"/>
      <c r="AE289" s="16"/>
    </row>
    <row r="290" spans="1:31" x14ac:dyDescent="0.2">
      <c r="A290" s="4">
        <v>33912</v>
      </c>
      <c r="B290" s="9">
        <f ca="1">Prices!B289*(1+J290/(50*(ABS(O290)+ABS(T290)+0.0001)))</f>
        <v>1.316244259214651</v>
      </c>
      <c r="C290" s="13">
        <f t="shared" ca="1" si="22"/>
        <v>1</v>
      </c>
      <c r="D290" s="9">
        <f ca="1">D289+C290*(Prices!B290-Prices!B289)/Prices!B289</f>
        <v>-0.3937912019702739</v>
      </c>
      <c r="E290" s="9">
        <f t="shared" ca="1" si="23"/>
        <v>0.42991515322902019</v>
      </c>
      <c r="F290" s="9">
        <f t="shared" ca="1" si="24"/>
        <v>3.6123951258746317E-2</v>
      </c>
      <c r="G290" s="13">
        <f ca="1">IF((Prices!B290-Prices!B289)*B290&gt;0,1,0)</f>
        <v>1</v>
      </c>
      <c r="H290" s="9">
        <f>ABS(Prices!B290-Prices!B289)/Prices!B289</f>
        <v>1.5497869043004881E-4</v>
      </c>
      <c r="I290" s="13"/>
      <c r="J290" s="1">
        <f t="shared" ca="1" si="25"/>
        <v>3.9160255050216662E-2</v>
      </c>
      <c r="K290" s="9"/>
      <c r="L290" s="9">
        <f ca="1">L289-O290*Prices!B290</f>
        <v>0.36334900504704176</v>
      </c>
      <c r="M290" s="1">
        <f t="shared" ca="1" si="26"/>
        <v>0.50608541602101087</v>
      </c>
      <c r="N290" s="9">
        <f ca="1">IF(Prices!D289&gt;OFFSET(Prices!D289,-$N$3,0),1,IF(Prices!D289&lt;OFFSET(Prices!D289,-$N$3,0),-1,0))</f>
        <v>1</v>
      </c>
      <c r="O290" s="1">
        <f ca="1">IF(N290=1,O$3*L289/Prices!B289,O$3*M289*N290)</f>
        <v>3.1284623700700148E-2</v>
      </c>
      <c r="P290" s="14"/>
      <c r="Q290" s="9">
        <f ca="1">Q289-T290*Prices!B290</f>
        <v>0.49801003544473205</v>
      </c>
      <c r="R290" s="1">
        <f t="shared" ca="1" si="27"/>
        <v>0.38451747655378321</v>
      </c>
      <c r="S290" s="9">
        <f ca="1">IF(Prices!C289&lt;OFFSET(Prices!C289,-S$3,0),1,IF(Prices!C289&gt;OFFSET(Prices!C289,-S$3,0),-1,0))</f>
        <v>1</v>
      </c>
      <c r="T290" s="1">
        <f ca="1">IF(S290=1,T$3*Q289/Prices!B289,T$3*R289*S290)</f>
        <v>7.8756313495165139E-3</v>
      </c>
      <c r="V290" s="9"/>
      <c r="W290" s="1"/>
      <c r="X290" s="1"/>
      <c r="Y290" s="1"/>
      <c r="Z290" s="1"/>
      <c r="AA290" s="1"/>
      <c r="AB290" s="1"/>
      <c r="AC290" s="1"/>
      <c r="AD290" s="1"/>
      <c r="AE290" s="16"/>
    </row>
    <row r="291" spans="1:31" x14ac:dyDescent="0.2">
      <c r="A291" s="4">
        <v>33913</v>
      </c>
      <c r="B291" s="9">
        <f ca="1">Prices!B290*(1+J291/(50*(ABS(O291)+ABS(T291)+0.0001)))</f>
        <v>1.3164422310724584</v>
      </c>
      <c r="C291" s="13">
        <f t="shared" ca="1" si="22"/>
        <v>1</v>
      </c>
      <c r="D291" s="9">
        <f ca="1">D290+C291*(Prices!B291-Prices!B290)/Prices!B290</f>
        <v>-0.40115154906874761</v>
      </c>
      <c r="E291" s="9">
        <f t="shared" ca="1" si="23"/>
        <v>0.43727550032749396</v>
      </c>
      <c r="F291" s="9">
        <f t="shared" ca="1" si="24"/>
        <v>3.6123951258746317E-2</v>
      </c>
      <c r="G291" s="13">
        <f ca="1">IF((Prices!B291-Prices!B290)*B291&gt;0,1,0)</f>
        <v>0</v>
      </c>
      <c r="H291" s="9">
        <f>ABS(Prices!B291-Prices!B290)/Prices!B290</f>
        <v>7.3603470984737462E-3</v>
      </c>
      <c r="I291" s="13"/>
      <c r="J291" s="1">
        <f t="shared" ca="1" si="25"/>
        <v>3.586821198853244E-2</v>
      </c>
      <c r="K291" s="9"/>
      <c r="L291" s="9">
        <f ca="1">L290-O291*Prices!B291</f>
        <v>0.32728154202184073</v>
      </c>
      <c r="M291" s="1">
        <f t="shared" ca="1" si="26"/>
        <v>0.53423672965291924</v>
      </c>
      <c r="N291" s="9">
        <f ca="1">IF(Prices!D290&gt;OFFSET(Prices!D290,-$N$3,0),1,IF(Prices!D290&lt;OFFSET(Prices!D290,-$N$3,0),-1,0))</f>
        <v>1</v>
      </c>
      <c r="O291" s="1">
        <f ca="1">IF(N291=1,O$3*L290/Prices!B290,O$3*M290*N291)</f>
        <v>2.8151313631908405E-2</v>
      </c>
      <c r="P291" s="14"/>
      <c r="Q291" s="9">
        <f ca="1">Q290-T291*Prices!B291</f>
        <v>0.48812314527022532</v>
      </c>
      <c r="R291" s="1">
        <f t="shared" ca="1" si="27"/>
        <v>0.39223437491040725</v>
      </c>
      <c r="S291" s="9">
        <f ca="1">IF(Prices!C290&lt;OFFSET(Prices!C290,-S$3,0),1,IF(Prices!C290&gt;OFFSET(Prices!C290,-S$3,0),-1,0))</f>
        <v>1</v>
      </c>
      <c r="T291" s="1">
        <f ca="1">IF(S291=1,T$3*Q290/Prices!B290,T$3*R290*S291)</f>
        <v>7.7168983566240348E-3</v>
      </c>
      <c r="V291" s="9"/>
      <c r="W291" s="1"/>
      <c r="X291" s="1"/>
      <c r="Y291" s="1"/>
      <c r="Z291" s="1"/>
      <c r="AA291" s="1"/>
      <c r="AB291" s="1"/>
      <c r="AC291" s="1"/>
      <c r="AD291" s="1"/>
      <c r="AE291" s="16"/>
    </row>
    <row r="292" spans="1:31" x14ac:dyDescent="0.2">
      <c r="A292" s="4">
        <v>33914</v>
      </c>
      <c r="B292" s="9">
        <f ca="1">Prices!B291*(1+J292/(50*(ABS(O292)+ABS(T292)+0.0001)))</f>
        <v>1.3064920734683283</v>
      </c>
      <c r="C292" s="13">
        <f t="shared" ca="1" si="22"/>
        <v>1</v>
      </c>
      <c r="D292" s="9">
        <f ca="1">D291+C292*(Prices!B292-Prices!B291)/Prices!B291</f>
        <v>-0.40684933239687737</v>
      </c>
      <c r="E292" s="9">
        <f t="shared" ca="1" si="23"/>
        <v>0.44297328365562372</v>
      </c>
      <c r="F292" s="9">
        <f t="shared" ca="1" si="24"/>
        <v>3.6123951258746317E-2</v>
      </c>
      <c r="G292" s="13">
        <f ca="1">IF((Prices!B292-Prices!B291)*B292&gt;0,1,0)</f>
        <v>0</v>
      </c>
      <c r="H292" s="9">
        <f>ABS(Prices!B292-Prices!B291)/Prices!B291</f>
        <v>5.6977833281297713E-3</v>
      </c>
      <c r="I292" s="13"/>
      <c r="J292" s="1">
        <f t="shared" ca="1" si="25"/>
        <v>7.6197806005342704E-3</v>
      </c>
      <c r="K292" s="9"/>
      <c r="L292" s="9">
        <f ca="1">L291-O292*Prices!B292</f>
        <v>0.32728154202184073</v>
      </c>
      <c r="M292" s="1">
        <f t="shared" ca="1" si="26"/>
        <v>0.53423672965291924</v>
      </c>
      <c r="N292" s="9">
        <f ca="1">IF(Prices!D291&gt;OFFSET(Prices!D291,-$N$3,0),1,IF(Prices!D291&lt;OFFSET(Prices!D291,-$N$3,0),-1,0))</f>
        <v>0</v>
      </c>
      <c r="O292" s="1">
        <f ca="1">IF(N292=1,O$3*L291/Prices!B291,O$3*M291*N292)</f>
        <v>0</v>
      </c>
      <c r="P292" s="14"/>
      <c r="Q292" s="9">
        <f ca="1">Q291-T292*Prices!B292</f>
        <v>0.47841630676320474</v>
      </c>
      <c r="R292" s="1">
        <f t="shared" ca="1" si="27"/>
        <v>0.3998541555109415</v>
      </c>
      <c r="S292" s="9">
        <f ca="1">IF(Prices!C291&lt;OFFSET(Prices!C291,-S$3,0),1,IF(Prices!C291&gt;OFFSET(Prices!C291,-S$3,0),-1,0))</f>
        <v>1</v>
      </c>
      <c r="T292" s="1">
        <f ca="1">IF(S292=1,T$3*Q291/Prices!B291,T$3*R291*S292)</f>
        <v>7.6197806005342704E-3</v>
      </c>
      <c r="V292" s="9"/>
      <c r="W292" s="1"/>
      <c r="X292" s="1"/>
      <c r="Y292" s="1"/>
      <c r="Z292" s="1"/>
      <c r="AA292" s="1"/>
      <c r="AB292" s="1"/>
      <c r="AC292" s="1"/>
      <c r="AD292" s="1"/>
      <c r="AE292" s="16"/>
    </row>
    <row r="293" spans="1:31" x14ac:dyDescent="0.2">
      <c r="A293" s="4">
        <v>33917</v>
      </c>
      <c r="B293" s="9">
        <f ca="1">Prices!B292*(1+J293/(50*(ABS(O293)+ABS(T293)+0.0001)))</f>
        <v>1.2993014949005317</v>
      </c>
      <c r="C293" s="13">
        <f t="shared" ca="1" si="22"/>
        <v>1</v>
      </c>
      <c r="D293" s="9">
        <f ca="1">D292+C293*(Prices!B293-Prices!B292)/Prices!B292</f>
        <v>-0.40480835586810748</v>
      </c>
      <c r="E293" s="9">
        <f t="shared" ca="1" si="23"/>
        <v>0.44093230712685383</v>
      </c>
      <c r="F293" s="9">
        <f t="shared" ca="1" si="24"/>
        <v>3.6123951258746317E-2</v>
      </c>
      <c r="G293" s="13">
        <f ca="1">IF((Prices!B293-Prices!B292)*B293&gt;0,1,0)</f>
        <v>1</v>
      </c>
      <c r="H293" s="9">
        <f>ABS(Prices!B293-Prices!B292)/Prices!B292</f>
        <v>2.0409765287698685E-3</v>
      </c>
      <c r="I293" s="13"/>
      <c r="J293" s="1">
        <f t="shared" ca="1" si="25"/>
        <v>3.3202355237811579E-2</v>
      </c>
      <c r="K293" s="9"/>
      <c r="L293" s="9">
        <f ca="1">L292-O293*Prices!B293</f>
        <v>0.29448659042510006</v>
      </c>
      <c r="M293" s="1">
        <f t="shared" ca="1" si="26"/>
        <v>0.55992803525161938</v>
      </c>
      <c r="N293" s="9">
        <f ca="1">IF(Prices!D292&gt;OFFSET(Prices!D292,-$N$3,0),1,IF(Prices!D292&lt;OFFSET(Prices!D292,-$N$3,0),-1,0))</f>
        <v>1</v>
      </c>
      <c r="O293" s="1">
        <f ca="1">IF(N293=1,O$3*L292/Prices!B292,O$3*M292*N293)</f>
        <v>2.5691305598700115E-2</v>
      </c>
      <c r="P293" s="14"/>
      <c r="Q293" s="9">
        <f ca="1">Q292-T293*Prices!B293</f>
        <v>0.46882845189887895</v>
      </c>
      <c r="R293" s="1">
        <f t="shared" ca="1" si="27"/>
        <v>0.40736520515005298</v>
      </c>
      <c r="S293" s="9">
        <f ca="1">IF(Prices!C292&lt;OFFSET(Prices!C292,-S$3,0),1,IF(Prices!C292&gt;OFFSET(Prices!C292,-S$3,0),-1,0))</f>
        <v>1</v>
      </c>
      <c r="T293" s="1">
        <f ca="1">IF(S293=1,T$3*Q292/Prices!B292,T$3*R292*S293)</f>
        <v>7.5110496391114648E-3</v>
      </c>
      <c r="V293" s="9"/>
      <c r="W293" s="1"/>
      <c r="X293" s="1"/>
      <c r="Y293" s="1"/>
      <c r="Z293" s="1"/>
      <c r="AA293" s="1"/>
      <c r="AB293" s="1"/>
      <c r="AC293" s="1"/>
      <c r="AD293" s="1"/>
      <c r="AE293" s="16"/>
    </row>
    <row r="294" spans="1:31" x14ac:dyDescent="0.2">
      <c r="A294" s="4">
        <v>33918</v>
      </c>
      <c r="B294" s="9">
        <f ca="1">Prices!B293*(1+J294/(50*(ABS(O294)+ABS(T294)+0.0001)))</f>
        <v>1.2886649798881942</v>
      </c>
      <c r="C294" s="13">
        <f t="shared" ca="1" si="22"/>
        <v>1</v>
      </c>
      <c r="D294" s="9">
        <f ca="1">D293+C294*(Prices!B294-Prices!B293)/Prices!B293</f>
        <v>-0.41154552782267068</v>
      </c>
      <c r="E294" s="9">
        <f t="shared" ca="1" si="23"/>
        <v>0.44766947908141697</v>
      </c>
      <c r="F294" s="9">
        <f t="shared" ca="1" si="24"/>
        <v>3.6123951258746317E-2</v>
      </c>
      <c r="G294" s="13">
        <f ca="1">IF((Prices!B294-Prices!B293)*B294&gt;0,1,0)</f>
        <v>0</v>
      </c>
      <c r="H294" s="9">
        <f>ABS(Prices!B294-Prices!B293)/Prices!B293</f>
        <v>6.7371719545632125E-3</v>
      </c>
      <c r="I294" s="13"/>
      <c r="J294" s="1">
        <f t="shared" ca="1" si="25"/>
        <v>1.4922542385451747E-2</v>
      </c>
      <c r="K294" s="9"/>
      <c r="L294" s="9">
        <f ca="1">L293-O294*Prices!B294</f>
        <v>0.26523633206239072</v>
      </c>
      <c r="M294" s="1">
        <f t="shared" ca="1" si="26"/>
        <v>0.58299788174007217</v>
      </c>
      <c r="N294" s="9">
        <f ca="1">IF(Prices!D293&gt;OFFSET(Prices!D293,-$N$3,0),1,IF(Prices!D293&lt;OFFSET(Prices!D293,-$N$3,0),-1,0))</f>
        <v>1</v>
      </c>
      <c r="O294" s="1">
        <f ca="1">IF(N294=1,O$3*L293/Prices!B293,O$3*M293*N294)</f>
        <v>2.3069846488452807E-2</v>
      </c>
      <c r="P294" s="14"/>
      <c r="Q294" s="9">
        <f ca="1">Q293-T294*Prices!B294</f>
        <v>0.47915841877107401</v>
      </c>
      <c r="R294" s="1">
        <f t="shared" ca="1" si="27"/>
        <v>0.3992179010470519</v>
      </c>
      <c r="S294" s="9">
        <f ca="1">IF(Prices!C293&lt;OFFSET(Prices!C293,-S$3,0),1,IF(Prices!C293&gt;OFFSET(Prices!C293,-S$3,0),-1,0))</f>
        <v>-1</v>
      </c>
      <c r="T294" s="1">
        <f ca="1">IF(S294=1,T$3*Q293/Prices!B293,T$3*R293*S294)</f>
        <v>-8.1473041030010601E-3</v>
      </c>
      <c r="V294" s="9"/>
      <c r="W294" s="1"/>
      <c r="X294" s="1"/>
      <c r="Y294" s="1"/>
      <c r="Z294" s="1"/>
      <c r="AA294" s="1"/>
      <c r="AB294" s="1"/>
      <c r="AC294" s="1"/>
      <c r="AD294" s="1"/>
      <c r="AE294" s="16"/>
    </row>
    <row r="295" spans="1:31" x14ac:dyDescent="0.2">
      <c r="A295" s="4">
        <v>33919</v>
      </c>
      <c r="B295" s="9">
        <f ca="1">Prices!B294*(1+J295/(50*(ABS(O295)+ABS(T295)+0.0001)))</f>
        <v>1.2425801988794818</v>
      </c>
      <c r="C295" s="13">
        <f t="shared" ca="1" si="22"/>
        <v>-1</v>
      </c>
      <c r="D295" s="9">
        <f ca="1">D294+C295*(Prices!B295-Prices!B294)/Prices!B294</f>
        <v>-0.4185650088542977</v>
      </c>
      <c r="E295" s="9">
        <f t="shared" ca="1" si="23"/>
        <v>0.45468896011304405</v>
      </c>
      <c r="F295" s="9">
        <f t="shared" ca="1" si="24"/>
        <v>3.6123951258746317E-2</v>
      </c>
      <c r="G295" s="13">
        <f ca="1">IF((Prices!B295-Prices!B294)*B295&gt;0,1,0)</f>
        <v>1</v>
      </c>
      <c r="H295" s="9">
        <f>ABS(Prices!B295-Prices!B294)/Prices!B294</f>
        <v>7.0194810316270275E-3</v>
      </c>
      <c r="I295" s="13"/>
      <c r="J295" s="1">
        <f t="shared" ca="1" si="25"/>
        <v>-6.6284146194948254E-2</v>
      </c>
      <c r="K295" s="9"/>
      <c r="L295" s="9">
        <f ca="1">L294-O295*Prices!B295</f>
        <v>0.33967350160296311</v>
      </c>
      <c r="M295" s="1">
        <f t="shared" ca="1" si="26"/>
        <v>0.524698093566065</v>
      </c>
      <c r="N295" s="9">
        <f ca="1">IF(Prices!D294&gt;OFFSET(Prices!D294,-$N$3,0),1,IF(Prices!D294&lt;OFFSET(Prices!D294,-$N$3,0),-1,0))</f>
        <v>-1</v>
      </c>
      <c r="O295" s="1">
        <f ca="1">IF(N295=1,O$3*L294/Prices!B294,O$3*M294*N295)</f>
        <v>-5.8299788174007217E-2</v>
      </c>
      <c r="P295" s="14"/>
      <c r="Q295" s="9">
        <f ca="1">Q294-T295*Prices!B295</f>
        <v>0.48935284709221155</v>
      </c>
      <c r="R295" s="1">
        <f t="shared" ca="1" si="27"/>
        <v>0.39123354302611085</v>
      </c>
      <c r="S295" s="9">
        <f ca="1">IF(Prices!C294&lt;OFFSET(Prices!C294,-S$3,0),1,IF(Prices!C294&gt;OFFSET(Prices!C294,-S$3,0),-1,0))</f>
        <v>-1</v>
      </c>
      <c r="T295" s="1">
        <f ca="1">IF(S295=1,T$3*Q294/Prices!B294,T$3*R294*S295)</f>
        <v>-7.9843580209410375E-3</v>
      </c>
      <c r="V295" s="9"/>
      <c r="W295" s="1"/>
      <c r="X295" s="1"/>
      <c r="Y295" s="1"/>
      <c r="Z295" s="1"/>
      <c r="AA295" s="1"/>
      <c r="AB295" s="1"/>
      <c r="AC295" s="1"/>
      <c r="AD295" s="1"/>
      <c r="AE295" s="16"/>
    </row>
    <row r="296" spans="1:31" x14ac:dyDescent="0.2">
      <c r="A296" s="4">
        <v>33920</v>
      </c>
      <c r="B296" s="9">
        <f ca="1">Prices!B295*(1+J296/(50*(ABS(O296)+ABS(T296)+0.0001)))</f>
        <v>1.2513062820097269</v>
      </c>
      <c r="C296" s="13">
        <f t="shared" ref="C296:C359" ca="1" si="28">IF(J296&gt;0,1,IF(J296&lt;0,-1,0))</f>
        <v>-1</v>
      </c>
      <c r="D296" s="9">
        <f ca="1">D295+C296*(Prices!B296-Prices!B295)/Prices!B295</f>
        <v>-0.41793844243825767</v>
      </c>
      <c r="E296" s="9">
        <f t="shared" ref="E296:E359" ca="1" si="29">F296-D296</f>
        <v>0.45406239369700396</v>
      </c>
      <c r="F296" s="9">
        <f t="shared" ref="F296:F359" ca="1" si="30">MAX(F295,D296)</f>
        <v>3.6123951258746317E-2</v>
      </c>
      <c r="G296" s="13">
        <f ca="1">IF((Prices!B296-Prices!B295)*B296&gt;0,1,0)</f>
        <v>0</v>
      </c>
      <c r="H296" s="9">
        <f>ABS(Prices!B296-Prices!B295)/Prices!B295</f>
        <v>6.2656641604003126E-4</v>
      </c>
      <c r="I296" s="13"/>
      <c r="J296" s="1">
        <f t="shared" ref="J296:J359" ca="1" si="31">O296+T296</f>
        <v>-6.0294480217128715E-2</v>
      </c>
      <c r="K296" s="9"/>
      <c r="L296" s="9">
        <f ca="1">L295-O296*Prices!B296</f>
        <v>0.40662497834199302</v>
      </c>
      <c r="M296" s="1">
        <f t="shared" ca="1" si="26"/>
        <v>0.4722282842094585</v>
      </c>
      <c r="N296" s="9">
        <f ca="1">IF(Prices!D295&gt;OFFSET(Prices!D295,-$N$3,0),1,IF(Prices!D295&lt;OFFSET(Prices!D295,-$N$3,0),-1,0))</f>
        <v>-1</v>
      </c>
      <c r="O296" s="1">
        <f ca="1">IF(N296=1,O$3*L295/Prices!B295,O$3*M295*N296)</f>
        <v>-5.24698093566065E-2</v>
      </c>
      <c r="P296" s="14"/>
      <c r="Q296" s="9">
        <f ca="1">Q295-T296*Prices!B296</f>
        <v>0.49933712711023792</v>
      </c>
      <c r="R296" s="1">
        <f t="shared" ca="1" si="27"/>
        <v>0.38340887216558861</v>
      </c>
      <c r="S296" s="9">
        <f ca="1">IF(Prices!C295&lt;OFFSET(Prices!C295,-S$3,0),1,IF(Prices!C295&gt;OFFSET(Prices!C295,-S$3,0),-1,0))</f>
        <v>-1</v>
      </c>
      <c r="T296" s="1">
        <f ca="1">IF(S296=1,T$3*Q295/Prices!B295,T$3*R295*S296)</f>
        <v>-7.8246708605222166E-3</v>
      </c>
      <c r="V296" s="9"/>
      <c r="W296" s="1"/>
      <c r="X296" s="1"/>
      <c r="Y296" s="1"/>
      <c r="Z296" s="1"/>
      <c r="AA296" s="1"/>
      <c r="AB296" s="1"/>
      <c r="AC296" s="1"/>
      <c r="AD296" s="1"/>
      <c r="AE296" s="16"/>
    </row>
    <row r="297" spans="1:31" x14ac:dyDescent="0.2">
      <c r="A297" s="4">
        <v>33921</v>
      </c>
      <c r="B297" s="9">
        <f ca="1">Prices!B296*(1+J297/(50*(ABS(O297)+ABS(T297)+0.0001)))</f>
        <v>1.250526407589021</v>
      </c>
      <c r="C297" s="13">
        <f t="shared" ca="1" si="28"/>
        <v>-1</v>
      </c>
      <c r="D297" s="9">
        <f ca="1">D296+C297*(Prices!B297-Prices!B296)/Prices!B296</f>
        <v>-0.42891022927211347</v>
      </c>
      <c r="E297" s="9">
        <f t="shared" ca="1" si="29"/>
        <v>0.46503418053085976</v>
      </c>
      <c r="F297" s="9">
        <f t="shared" ca="1" si="30"/>
        <v>3.6123951258746317E-2</v>
      </c>
      <c r="G297" s="13">
        <f ca="1">IF((Prices!B297-Prices!B296)*B297&gt;0,1,0)</f>
        <v>1</v>
      </c>
      <c r="H297" s="9">
        <f>ABS(Prices!B297-Prices!B296)/Prices!B296</f>
        <v>1.0971786833855808E-2</v>
      </c>
      <c r="I297" s="13"/>
      <c r="J297" s="1">
        <f t="shared" ca="1" si="31"/>
        <v>-5.489100586425763E-2</v>
      </c>
      <c r="K297" s="9"/>
      <c r="L297" s="9">
        <f ca="1">L296-O297*Prices!B297</f>
        <v>0.46754242700501319</v>
      </c>
      <c r="M297" s="1">
        <f t="shared" ca="1" si="26"/>
        <v>0.42500545578851268</v>
      </c>
      <c r="N297" s="9">
        <f ca="1">IF(Prices!D296&gt;OFFSET(Prices!D296,-$N$3,0),1,IF(Prices!D296&lt;OFFSET(Prices!D296,-$N$3,0),-1,0))</f>
        <v>-1</v>
      </c>
      <c r="O297" s="1">
        <f ca="1">IF(N297=1,O$3*L296/Prices!B296,O$3*M296*N297)</f>
        <v>-4.7222828420945856E-2</v>
      </c>
      <c r="P297" s="14"/>
      <c r="Q297" s="9">
        <f ca="1">Q296-T297*Prices!B297</f>
        <v>0.50922907601211009</v>
      </c>
      <c r="R297" s="1">
        <f t="shared" ca="1" si="27"/>
        <v>0.37574069472227684</v>
      </c>
      <c r="S297" s="9">
        <f ca="1">IF(Prices!C296&lt;OFFSET(Prices!C296,-S$3,0),1,IF(Prices!C296&gt;OFFSET(Prices!C296,-S$3,0),-1,0))</f>
        <v>-1</v>
      </c>
      <c r="T297" s="1">
        <f ca="1">IF(S297=1,T$3*Q296/Prices!B296,T$3*R296*S297)</f>
        <v>-7.6681774433117727E-3</v>
      </c>
      <c r="V297" s="9"/>
      <c r="W297" s="1"/>
      <c r="X297" s="1"/>
      <c r="Y297" s="1"/>
      <c r="Z297" s="1"/>
      <c r="AA297" s="1"/>
      <c r="AB297" s="1"/>
      <c r="AC297" s="1"/>
      <c r="AD297" s="1"/>
      <c r="AE297" s="16"/>
    </row>
    <row r="298" spans="1:31" x14ac:dyDescent="0.2">
      <c r="A298" s="4">
        <v>33924</v>
      </c>
      <c r="B298" s="9">
        <f ca="1">Prices!B297*(1+J298/(50*(ABS(O298)+ABS(T298)+0.0001)))</f>
        <v>1.2723187965736984</v>
      </c>
      <c r="C298" s="13">
        <f t="shared" ca="1" si="28"/>
        <v>-1</v>
      </c>
      <c r="D298" s="9">
        <f ca="1">D297+C298*(Prices!B298-Prices!B297)/Prices!B297</f>
        <v>-0.41759239981474916</v>
      </c>
      <c r="E298" s="9">
        <f t="shared" ca="1" si="29"/>
        <v>0.45371635107349551</v>
      </c>
      <c r="F298" s="9">
        <f t="shared" ca="1" si="30"/>
        <v>3.6123951258746317E-2</v>
      </c>
      <c r="G298" s="13">
        <f ca="1">IF((Prices!B298-Prices!B297)*B298&gt;0,1,0)</f>
        <v>0</v>
      </c>
      <c r="H298" s="9">
        <f>ABS(Prices!B298-Prices!B297)/Prices!B297</f>
        <v>1.1317829457364299E-2</v>
      </c>
      <c r="I298" s="13"/>
      <c r="J298" s="1">
        <f t="shared" ca="1" si="31"/>
        <v>-3.4605521144554993E-2</v>
      </c>
      <c r="K298" s="9"/>
      <c r="L298" s="9">
        <f ca="1">L297-O298*Prices!B298</f>
        <v>0.52174762283628007</v>
      </c>
      <c r="M298" s="1">
        <f t="shared" ca="1" si="26"/>
        <v>0.38250491020966138</v>
      </c>
      <c r="N298" s="9">
        <f ca="1">IF(Prices!D297&gt;OFFSET(Prices!D297,-$N$3,0),1,IF(Prices!D297&lt;OFFSET(Prices!D297,-$N$3,0),-1,0))</f>
        <v>-1</v>
      </c>
      <c r="O298" s="1">
        <f ca="1">IF(N298=1,O$3*L297/Prices!B297,O$3*M297*N298)</f>
        <v>-4.2500545578851273E-2</v>
      </c>
      <c r="P298" s="14"/>
      <c r="Q298" s="9">
        <f ca="1">Q297-T298*Prices!B298</f>
        <v>0.49915976184860861</v>
      </c>
      <c r="R298" s="1">
        <f t="shared" ca="1" si="27"/>
        <v>0.38363571915657313</v>
      </c>
      <c r="S298" s="9">
        <f ca="1">IF(Prices!C297&lt;OFFSET(Prices!C297,-S$3,0),1,IF(Prices!C297&gt;OFFSET(Prices!C297,-S$3,0),-1,0))</f>
        <v>1</v>
      </c>
      <c r="T298" s="1">
        <f ca="1">IF(S298=1,T$3*Q297/Prices!B297,T$3*R297*S298)</f>
        <v>7.89502443429628E-3</v>
      </c>
      <c r="V298" s="9"/>
      <c r="W298" s="1"/>
      <c r="X298" s="1"/>
      <c r="Y298" s="1"/>
      <c r="Z298" s="1"/>
      <c r="AA298" s="1"/>
      <c r="AB298" s="1"/>
      <c r="AC298" s="1"/>
      <c r="AD298" s="1"/>
      <c r="AE298" s="16"/>
    </row>
    <row r="299" spans="1:31" x14ac:dyDescent="0.2">
      <c r="A299" s="4">
        <v>33925</v>
      </c>
      <c r="B299" s="9">
        <f ca="1">Prices!B298*(1+J299/(50*(ABS(O299)+ABS(T299)+0.0001)))</f>
        <v>1.2928149067513959</v>
      </c>
      <c r="C299" s="13">
        <f t="shared" ca="1" si="28"/>
        <v>1</v>
      </c>
      <c r="D299" s="9">
        <f ca="1">D298+C299*(Prices!B299-Prices!B298)/Prices!B298</f>
        <v>-0.42621714499273261</v>
      </c>
      <c r="E299" s="9">
        <f t="shared" ca="1" si="29"/>
        <v>0.4623410962514789</v>
      </c>
      <c r="F299" s="9">
        <f t="shared" ca="1" si="30"/>
        <v>3.6123951258746317E-2</v>
      </c>
      <c r="G299" s="13">
        <f ca="1">IF((Prices!B299-Prices!B298)*B299&gt;0,1,0)</f>
        <v>0</v>
      </c>
      <c r="H299" s="9">
        <f>ABS(Prices!B299-Prices!B298)/Prices!B298</f>
        <v>8.6247451779834713E-3</v>
      </c>
      <c r="I299" s="13"/>
      <c r="J299" s="1">
        <f t="shared" ca="1" si="31"/>
        <v>3.3235833745791234E-2</v>
      </c>
      <c r="K299" s="9"/>
      <c r="L299" s="9">
        <f ca="1">L298-O299*Prices!B299</f>
        <v>0.47002285458207022</v>
      </c>
      <c r="M299" s="1">
        <f t="shared" ca="1" si="26"/>
        <v>0.42341345833858407</v>
      </c>
      <c r="N299" s="9">
        <f ca="1">IF(Prices!D298&gt;OFFSET(Prices!D298,-$N$3,0),1,IF(Prices!D298&lt;OFFSET(Prices!D298,-$N$3,0),-1,0))</f>
        <v>1</v>
      </c>
      <c r="O299" s="1">
        <f ca="1">IF(N299=1,O$3*L298/Prices!B298,O$3*M298*N299)</f>
        <v>4.0908548128922695E-2</v>
      </c>
      <c r="P299" s="14"/>
      <c r="Q299" s="9">
        <f ca="1">Q298-T299*Prices!B299</f>
        <v>0.50886114191464005</v>
      </c>
      <c r="R299" s="1">
        <f t="shared" ca="1" si="27"/>
        <v>0.37596300477344169</v>
      </c>
      <c r="S299" s="9">
        <f ca="1">IF(Prices!C298&lt;OFFSET(Prices!C298,-S$3,0),1,IF(Prices!C298&gt;OFFSET(Prices!C298,-S$3,0),-1,0))</f>
        <v>-1</v>
      </c>
      <c r="T299" s="1">
        <f ca="1">IF(S299=1,T$3*Q298/Prices!B298,T$3*R298*S299)</f>
        <v>-7.6727143831314629E-3</v>
      </c>
      <c r="V299" s="9"/>
      <c r="W299" s="1"/>
      <c r="X299" s="1"/>
      <c r="Y299" s="1"/>
      <c r="Z299" s="1"/>
      <c r="AA299" s="1"/>
      <c r="AB299" s="1"/>
      <c r="AC299" s="1"/>
      <c r="AD299" s="1"/>
      <c r="AE299" s="16"/>
    </row>
    <row r="300" spans="1:31" x14ac:dyDescent="0.2">
      <c r="A300" s="4">
        <v>33926</v>
      </c>
      <c r="B300" s="9">
        <f ca="1">Prices!B299*(1+J300/(50*(ABS(O300)+ABS(T300)+0.0001)))</f>
        <v>1.2811414817606193</v>
      </c>
      <c r="C300" s="13">
        <f t="shared" ca="1" si="28"/>
        <v>1</v>
      </c>
      <c r="D300" s="9">
        <f ca="1">D299+C300*(Prices!B300-Prices!B299)/Prices!B299</f>
        <v>-0.41791281092123628</v>
      </c>
      <c r="E300" s="9">
        <f t="shared" ca="1" si="29"/>
        <v>0.45403676217998257</v>
      </c>
      <c r="F300" s="9">
        <f t="shared" ca="1" si="30"/>
        <v>3.6123951258746317E-2</v>
      </c>
      <c r="G300" s="13">
        <f ca="1">IF((Prices!B300-Prices!B299)*B300&gt;0,1,0)</f>
        <v>1</v>
      </c>
      <c r="H300" s="9">
        <f>ABS(Prices!B300-Prices!B299)/Prices!B299</f>
        <v>8.3043340714963262E-3</v>
      </c>
      <c r="I300" s="13"/>
      <c r="J300" s="1">
        <f t="shared" ca="1" si="31"/>
        <v>2.9654328530129892E-2</v>
      </c>
      <c r="K300" s="9"/>
      <c r="L300" s="9">
        <f ca="1">L299-O300*Prices!B300</f>
        <v>0.42263024644329439</v>
      </c>
      <c r="M300" s="1">
        <f t="shared" ca="1" si="26"/>
        <v>0.46058704696418279</v>
      </c>
      <c r="N300" s="9">
        <f ca="1">IF(Prices!D299&gt;OFFSET(Prices!D299,-$N$3,0),1,IF(Prices!D299&lt;OFFSET(Prices!D299,-$N$3,0),-1,0))</f>
        <v>1</v>
      </c>
      <c r="O300" s="1">
        <f ca="1">IF(N300=1,O$3*L299/Prices!B299,O$3*M299*N300)</f>
        <v>3.7173588625598726E-2</v>
      </c>
      <c r="P300" s="14"/>
      <c r="Q300" s="9">
        <f ca="1">Q299-T300*Prices!B300</f>
        <v>0.51844744661035325</v>
      </c>
      <c r="R300" s="1">
        <f t="shared" ca="1" si="27"/>
        <v>0.36844374467797286</v>
      </c>
      <c r="S300" s="9">
        <f ca="1">IF(Prices!C299&lt;OFFSET(Prices!C299,-S$3,0),1,IF(Prices!C299&gt;OFFSET(Prices!C299,-S$3,0),-1,0))</f>
        <v>-1</v>
      </c>
      <c r="T300" s="1">
        <f ca="1">IF(S300=1,T$3*Q299/Prices!B299,T$3*R299*S300)</f>
        <v>-7.5192600954688341E-3</v>
      </c>
      <c r="V300" s="9"/>
      <c r="W300" s="1"/>
      <c r="X300" s="1"/>
      <c r="Y300" s="1"/>
      <c r="Z300" s="1"/>
      <c r="AA300" s="1"/>
      <c r="AB300" s="1"/>
      <c r="AC300" s="1"/>
      <c r="AD300" s="1"/>
      <c r="AE300" s="16"/>
    </row>
    <row r="301" spans="1:31" x14ac:dyDescent="0.2">
      <c r="A301" s="4">
        <v>33927</v>
      </c>
      <c r="B301" s="9">
        <f ca="1">Prices!B300*(1+J301/(50*(ABS(O301)+ABS(T301)+0.0001)))</f>
        <v>1.2570883791770346</v>
      </c>
      <c r="C301" s="13">
        <f t="shared" ca="1" si="28"/>
        <v>-1</v>
      </c>
      <c r="D301" s="9">
        <f ca="1">D300+C301*(Prices!B301-Prices!B300)/Prices!B300</f>
        <v>-0.42442312545570954</v>
      </c>
      <c r="E301" s="9">
        <f t="shared" ca="1" si="29"/>
        <v>0.46054707671445583</v>
      </c>
      <c r="F301" s="9">
        <f t="shared" ca="1" si="30"/>
        <v>3.6123951258746317E-2</v>
      </c>
      <c r="G301" s="13">
        <f ca="1">IF((Prices!B301-Prices!B300)*B301&gt;0,1,0)</f>
        <v>1</v>
      </c>
      <c r="H301" s="9">
        <f>ABS(Prices!B301-Prices!B300)/Prices!B300</f>
        <v>6.5103145344732717E-3</v>
      </c>
      <c r="I301" s="13"/>
      <c r="J301" s="1">
        <f t="shared" ca="1" si="31"/>
        <v>-3.7925557836109972E-2</v>
      </c>
      <c r="K301" s="9"/>
      <c r="L301" s="9">
        <f ca="1">L300-O301*Prices!B301</f>
        <v>0.48173277630973832</v>
      </c>
      <c r="M301" s="1">
        <f t="shared" ca="1" si="26"/>
        <v>0.41452834226776453</v>
      </c>
      <c r="N301" s="9">
        <f ca="1">IF(Prices!D300&gt;OFFSET(Prices!D300,-$N$3,0),1,IF(Prices!D300&lt;OFFSET(Prices!D300,-$N$3,0),-1,0))</f>
        <v>-1</v>
      </c>
      <c r="O301" s="1">
        <f ca="1">IF(N301=1,O$3*L300/Prices!B300,O$3*M300*N301)</f>
        <v>-4.6058704696418283E-2</v>
      </c>
      <c r="P301" s="14"/>
      <c r="Q301" s="9">
        <f ca="1">Q300-T301*Prices!B301</f>
        <v>0.50801099255920568</v>
      </c>
      <c r="R301" s="1">
        <f t="shared" ca="1" si="27"/>
        <v>0.37657689153828117</v>
      </c>
      <c r="S301" s="9">
        <f ca="1">IF(Prices!C300&lt;OFFSET(Prices!C300,-S$3,0),1,IF(Prices!C300&gt;OFFSET(Prices!C300,-S$3,0),-1,0))</f>
        <v>1</v>
      </c>
      <c r="T301" s="1">
        <f ca="1">IF(S301=1,T$3*Q300/Prices!B300,T$3*R300*S301)</f>
        <v>8.1331468603083098E-3</v>
      </c>
      <c r="V301" s="9"/>
      <c r="W301" s="1"/>
      <c r="X301" s="1"/>
      <c r="Y301" s="1"/>
      <c r="Z301" s="1"/>
      <c r="AA301" s="1"/>
      <c r="AB301" s="1"/>
      <c r="AC301" s="1"/>
      <c r="AD301" s="1"/>
      <c r="AE301" s="16"/>
    </row>
    <row r="302" spans="1:31" x14ac:dyDescent="0.2">
      <c r="A302" s="4">
        <v>33928</v>
      </c>
      <c r="B302" s="9">
        <f ca="1">Prices!B301*(1+J302/(50*(ABS(O302)+ABS(T302)+0.0001)))</f>
        <v>1.2658030166520624</v>
      </c>
      <c r="C302" s="13">
        <f t="shared" ca="1" si="28"/>
        <v>-1</v>
      </c>
      <c r="D302" s="9">
        <f ca="1">D301+C302*(Prices!B302-Prices!B301)/Prices!B301</f>
        <v>-0.41179843717640779</v>
      </c>
      <c r="E302" s="9">
        <f t="shared" ca="1" si="29"/>
        <v>0.44792238843515408</v>
      </c>
      <c r="F302" s="9">
        <f t="shared" ca="1" si="30"/>
        <v>3.6123951258746317E-2</v>
      </c>
      <c r="G302" s="13">
        <f ca="1">IF((Prices!B302-Prices!B301)*B302&gt;0,1,0)</f>
        <v>0</v>
      </c>
      <c r="H302" s="9">
        <f>ABS(Prices!B302-Prices!B301)/Prices!B301</f>
        <v>1.262468827930174E-2</v>
      </c>
      <c r="I302" s="13"/>
      <c r="J302" s="1">
        <f t="shared" ca="1" si="31"/>
        <v>-3.3534957160704044E-2</v>
      </c>
      <c r="K302" s="9"/>
      <c r="L302" s="9">
        <f ca="1">L301-O302*Prices!B302</f>
        <v>0.53425351727506409</v>
      </c>
      <c r="M302" s="1">
        <f t="shared" ca="1" si="26"/>
        <v>0.3730755080409881</v>
      </c>
      <c r="N302" s="9">
        <f ca="1">IF(Prices!D301&gt;OFFSET(Prices!D301,-$N$3,0),1,IF(Prices!D301&lt;OFFSET(Prices!D301,-$N$3,0),-1,0))</f>
        <v>-1</v>
      </c>
      <c r="O302" s="1">
        <f ca="1">IF(N302=1,O$3*L301/Prices!B301,O$3*M301*N302)</f>
        <v>-4.1452834226776453E-2</v>
      </c>
      <c r="P302" s="14"/>
      <c r="Q302" s="9">
        <f ca="1">Q301-T302*Prices!B302</f>
        <v>0.49797904231649193</v>
      </c>
      <c r="R302" s="1">
        <f t="shared" ca="1" si="27"/>
        <v>0.38449476860435355</v>
      </c>
      <c r="S302" s="9">
        <f ca="1">IF(Prices!C301&lt;OFFSET(Prices!C301,-S$3,0),1,IF(Prices!C301&gt;OFFSET(Prices!C301,-S$3,0),-1,0))</f>
        <v>1</v>
      </c>
      <c r="T302" s="1">
        <f ca="1">IF(S302=1,T$3*Q301/Prices!B301,T$3*R301*S302)</f>
        <v>7.9178770660724082E-3</v>
      </c>
      <c r="V302" s="9"/>
      <c r="W302" s="1"/>
      <c r="X302" s="1"/>
      <c r="Y302" s="1"/>
      <c r="Z302" s="1"/>
      <c r="AA302" s="1"/>
      <c r="AB302" s="1"/>
      <c r="AC302" s="1"/>
      <c r="AD302" s="1"/>
      <c r="AE302" s="16"/>
    </row>
    <row r="303" spans="1:31" x14ac:dyDescent="0.2">
      <c r="A303" s="4">
        <v>33931</v>
      </c>
      <c r="B303" s="9">
        <f ca="1">Prices!B302*(1+J303/(50*(ABS(O303)+ABS(T303)+0.0001)))</f>
        <v>1.2922894489769843</v>
      </c>
      <c r="C303" s="13">
        <f t="shared" ca="1" si="28"/>
        <v>1</v>
      </c>
      <c r="D303" s="9">
        <f ca="1">D302+C303*(Prices!B303-Prices!B302)/Prices!B302</f>
        <v>-0.41898075761839665</v>
      </c>
      <c r="E303" s="9">
        <f t="shared" ca="1" si="29"/>
        <v>0.45510470887714294</v>
      </c>
      <c r="F303" s="9">
        <f t="shared" ca="1" si="30"/>
        <v>3.6123951258746317E-2</v>
      </c>
      <c r="G303" s="13">
        <f ca="1">IF((Prices!B303-Prices!B302)*B303&gt;0,1,0)</f>
        <v>0</v>
      </c>
      <c r="H303" s="9">
        <f>ABS(Prices!B303-Prices!B302)/Prices!B302</f>
        <v>7.1823204419888612E-3</v>
      </c>
      <c r="I303" s="13"/>
      <c r="J303" s="1">
        <f t="shared" ca="1" si="31"/>
        <v>5.0027571092214881E-2</v>
      </c>
      <c r="K303" s="9"/>
      <c r="L303" s="9">
        <f ca="1">L302-O303*Prices!B303</f>
        <v>0.48121188354339062</v>
      </c>
      <c r="M303" s="1">
        <f t="shared" ca="1" si="26"/>
        <v>0.41524232076988032</v>
      </c>
      <c r="N303" s="9">
        <f ca="1">IF(Prices!D302&gt;OFFSET(Prices!D302,-$N$3,0),1,IF(Prices!D302&lt;OFFSET(Prices!D302,-$N$3,0),-1,0))</f>
        <v>1</v>
      </c>
      <c r="O303" s="1">
        <f ca="1">IF(N303=1,O$3*L302/Prices!B302,O$3*M302*N303)</f>
        <v>4.2166812728892202E-2</v>
      </c>
      <c r="P303" s="14"/>
      <c r="Q303" s="9">
        <f ca="1">Q302-T303*Prices!B303</f>
        <v>0.48809099437126835</v>
      </c>
      <c r="R303" s="1">
        <f t="shared" ca="1" si="27"/>
        <v>0.39235552696767623</v>
      </c>
      <c r="S303" s="9">
        <f ca="1">IF(Prices!C302&lt;OFFSET(Prices!C302,-S$3,0),1,IF(Prices!C302&gt;OFFSET(Prices!C302,-S$3,0),-1,0))</f>
        <v>1</v>
      </c>
      <c r="T303" s="1">
        <f ca="1">IF(S303=1,T$3*Q302/Prices!B302,T$3*R302*S303)</f>
        <v>7.8607583633226834E-3</v>
      </c>
      <c r="V303" s="9"/>
      <c r="W303" s="1"/>
      <c r="X303" s="1"/>
      <c r="Y303" s="1"/>
      <c r="Z303" s="1"/>
      <c r="AA303" s="1"/>
      <c r="AB303" s="1"/>
      <c r="AC303" s="1"/>
      <c r="AD303" s="1"/>
      <c r="AE303" s="16"/>
    </row>
    <row r="304" spans="1:31" x14ac:dyDescent="0.2">
      <c r="A304" s="4">
        <v>33932</v>
      </c>
      <c r="B304" s="9">
        <f ca="1">Prices!B303*(1+J304/(50*(ABS(O304)+ABS(T304)+0.0001)))</f>
        <v>1.2830034457786417</v>
      </c>
      <c r="C304" s="13">
        <f t="shared" ca="1" si="28"/>
        <v>1</v>
      </c>
      <c r="D304" s="9">
        <f ca="1">D303+C304*(Prices!B304-Prices!B303)/Prices!B303</f>
        <v>-0.41953724064566428</v>
      </c>
      <c r="E304" s="9">
        <f t="shared" ca="1" si="29"/>
        <v>0.45566119190441057</v>
      </c>
      <c r="F304" s="9">
        <f t="shared" ca="1" si="30"/>
        <v>3.6123951258746317E-2</v>
      </c>
      <c r="G304" s="13">
        <f ca="1">IF((Prices!B304-Prices!B303)*B304&gt;0,1,0)</f>
        <v>0</v>
      </c>
      <c r="H304" s="9">
        <f>ABS(Prices!B304-Prices!B303)/Prices!B303</f>
        <v>5.5648302726760699E-4</v>
      </c>
      <c r="I304" s="13"/>
      <c r="J304" s="1">
        <f t="shared" ca="1" si="31"/>
        <v>4.6015588076766381E-2</v>
      </c>
      <c r="K304" s="9"/>
      <c r="L304" s="9">
        <f ca="1">L303-O304*Prices!B304</f>
        <v>0.4331174738136227</v>
      </c>
      <c r="M304" s="1">
        <f t="shared" ca="1" si="26"/>
        <v>0.45349749872865214</v>
      </c>
      <c r="N304" s="9">
        <f ca="1">IF(Prices!D303&gt;OFFSET(Prices!D303,-$N$3,0),1,IF(Prices!D303&lt;OFFSET(Prices!D303,-$N$3,0),-1,0))</f>
        <v>1</v>
      </c>
      <c r="O304" s="1">
        <f ca="1">IF(N304=1,O$3*L303/Prices!B303,O$3*M303*N304)</f>
        <v>3.8255177958771813E-2</v>
      </c>
      <c r="P304" s="14"/>
      <c r="Q304" s="9">
        <f ca="1">Q303-T304*Prices!B304</f>
        <v>0.4783346067709256</v>
      </c>
      <c r="R304" s="1">
        <f t="shared" ca="1" si="27"/>
        <v>0.40011593708567078</v>
      </c>
      <c r="S304" s="9">
        <f ca="1">IF(Prices!C303&lt;OFFSET(Prices!C303,-S$3,0),1,IF(Prices!C303&gt;OFFSET(Prices!C303,-S$3,0),-1,0))</f>
        <v>1</v>
      </c>
      <c r="T304" s="1">
        <f ca="1">IF(S304=1,T$3*Q303/Prices!B303,T$3*R303*S304)</f>
        <v>7.7604101179945678E-3</v>
      </c>
      <c r="V304" s="9"/>
      <c r="W304" s="1"/>
      <c r="X304" s="1"/>
      <c r="Y304" s="1"/>
      <c r="Z304" s="1"/>
      <c r="AA304" s="1"/>
      <c r="AB304" s="1"/>
      <c r="AC304" s="1"/>
      <c r="AD304" s="1"/>
      <c r="AE304" s="16"/>
    </row>
    <row r="305" spans="1:31" x14ac:dyDescent="0.2">
      <c r="A305" s="4">
        <v>33933</v>
      </c>
      <c r="B305" s="9">
        <f ca="1">Prices!B304*(1+J305/(50*(ABS(O305)+ABS(T305)+0.0001)))</f>
        <v>1.2321030402748701</v>
      </c>
      <c r="C305" s="13">
        <f t="shared" ca="1" si="28"/>
        <v>-1</v>
      </c>
      <c r="D305" s="9">
        <f ca="1">D304+C305*(Prices!B305-Prices!B304)/Prices!B304</f>
        <v>-0.43011630523363742</v>
      </c>
      <c r="E305" s="9">
        <f t="shared" ca="1" si="29"/>
        <v>0.46624025649238376</v>
      </c>
      <c r="F305" s="9">
        <f t="shared" ca="1" si="30"/>
        <v>3.6123951258746317E-2</v>
      </c>
      <c r="G305" s="13">
        <f ca="1">IF((Prices!B305-Prices!B304)*B305&gt;0,1,0)</f>
        <v>1</v>
      </c>
      <c r="H305" s="9">
        <f>ABS(Prices!B305-Prices!B304)/Prices!B304</f>
        <v>1.0579064587973168E-2</v>
      </c>
      <c r="I305" s="13"/>
      <c r="J305" s="1">
        <f t="shared" ca="1" si="31"/>
        <v>-5.3352068614578634E-2</v>
      </c>
      <c r="K305" s="9"/>
      <c r="L305" s="9">
        <f ca="1">L304-O305*Prices!B305</f>
        <v>0.49073433102709796</v>
      </c>
      <c r="M305" s="1">
        <f t="shared" ca="1" si="26"/>
        <v>0.40814774885578692</v>
      </c>
      <c r="N305" s="9">
        <f ca="1">IF(Prices!D304&gt;OFFSET(Prices!D304,-$N$3,0),1,IF(Prices!D304&lt;OFFSET(Prices!D304,-$N$3,0),-1,0))</f>
        <v>-1</v>
      </c>
      <c r="O305" s="1">
        <f ca="1">IF(N305=1,O$3*L304/Prices!B304,O$3*M304*N305)</f>
        <v>-4.5349749872865219E-2</v>
      </c>
      <c r="P305" s="14"/>
      <c r="Q305" s="9">
        <f ca="1">Q304-T305*Prices!B305</f>
        <v>0.48850155273227247</v>
      </c>
      <c r="R305" s="1">
        <f t="shared" ca="1" si="27"/>
        <v>0.39211361834395736</v>
      </c>
      <c r="S305" s="9">
        <f ca="1">IF(Prices!C304&lt;OFFSET(Prices!C304,-S$3,0),1,IF(Prices!C304&gt;OFFSET(Prices!C304,-S$3,0),-1,0))</f>
        <v>-1</v>
      </c>
      <c r="T305" s="1">
        <f ca="1">IF(S305=1,T$3*Q304/Prices!B304,T$3*R304*S305)</f>
        <v>-8.002318741713416E-3</v>
      </c>
      <c r="V305" s="9"/>
      <c r="W305" s="1"/>
      <c r="X305" s="1"/>
      <c r="Y305" s="1"/>
      <c r="Z305" s="1"/>
      <c r="AA305" s="1"/>
      <c r="AB305" s="1"/>
      <c r="AC305" s="1"/>
      <c r="AD305" s="1"/>
      <c r="AE305" s="16"/>
    </row>
    <row r="306" spans="1:31" x14ac:dyDescent="0.2">
      <c r="A306" s="4">
        <v>33934</v>
      </c>
      <c r="B306" s="9">
        <f ca="1">Prices!B305*(1+J306/(50*(ABS(O306)+ABS(T306)+0.0001)))</f>
        <v>1.245142115543151</v>
      </c>
      <c r="C306" s="13">
        <f t="shared" ca="1" si="28"/>
        <v>-1</v>
      </c>
      <c r="D306" s="9">
        <f ca="1">D305+C306*(Prices!B306-Prices!B305)/Prices!B305</f>
        <v>-0.4257085917350148</v>
      </c>
      <c r="E306" s="9">
        <f t="shared" ca="1" si="29"/>
        <v>0.46183254299376109</v>
      </c>
      <c r="F306" s="9">
        <f t="shared" ca="1" si="30"/>
        <v>3.6123951258746317E-2</v>
      </c>
      <c r="G306" s="13">
        <f ca="1">IF((Prices!B306-Prices!B305)*B306&gt;0,1,0)</f>
        <v>0</v>
      </c>
      <c r="H306" s="9">
        <f>ABS(Prices!B306-Prices!B305)/Prices!B305</f>
        <v>4.4077134986226282E-3</v>
      </c>
      <c r="I306" s="13"/>
      <c r="J306" s="1">
        <f t="shared" ca="1" si="31"/>
        <v>-4.8657047252457841E-2</v>
      </c>
      <c r="K306" s="9"/>
      <c r="L306" s="9">
        <f ca="1">L305-O306*Prices!B306</f>
        <v>0.54236093977986644</v>
      </c>
      <c r="M306" s="1">
        <f t="shared" ca="1" si="26"/>
        <v>0.36733297397020825</v>
      </c>
      <c r="N306" s="9">
        <f ca="1">IF(Prices!D305&gt;OFFSET(Prices!D305,-$N$3,0),1,IF(Prices!D305&lt;OFFSET(Prices!D305,-$N$3,0),-1,0))</f>
        <v>-1</v>
      </c>
      <c r="O306" s="1">
        <f ca="1">IF(N306=1,O$3*L305/Prices!B305,O$3*M305*N306)</f>
        <v>-4.0814774885578692E-2</v>
      </c>
      <c r="P306" s="14"/>
      <c r="Q306" s="9">
        <f ca="1">Q305-T306*Prices!B306</f>
        <v>0.49842124304913793</v>
      </c>
      <c r="R306" s="1">
        <f t="shared" ca="1" si="27"/>
        <v>0.38427134597707824</v>
      </c>
      <c r="S306" s="9">
        <f ca="1">IF(Prices!C305&lt;OFFSET(Prices!C305,-S$3,0),1,IF(Prices!C305&gt;OFFSET(Prices!C305,-S$3,0),-1,0))</f>
        <v>-1</v>
      </c>
      <c r="T306" s="1">
        <f ca="1">IF(S306=1,T$3*Q305/Prices!B305,T$3*R305*S306)</f>
        <v>-7.8422723668791477E-3</v>
      </c>
      <c r="V306" s="9"/>
      <c r="W306" s="1"/>
      <c r="X306" s="1"/>
      <c r="Y306" s="1"/>
      <c r="Z306" s="1"/>
      <c r="AA306" s="1"/>
      <c r="AB306" s="1"/>
      <c r="AC306" s="1"/>
      <c r="AD306" s="1"/>
      <c r="AE306" s="16"/>
    </row>
    <row r="307" spans="1:31" x14ac:dyDescent="0.2">
      <c r="A307" s="4">
        <v>33935</v>
      </c>
      <c r="B307" s="9">
        <f ca="1">Prices!B306*(1+J307/(50*(ABS(O307)+ABS(T307)+0.0001)))</f>
        <v>1.2901482581402381</v>
      </c>
      <c r="C307" s="13">
        <f t="shared" ca="1" si="28"/>
        <v>1</v>
      </c>
      <c r="D307" s="9">
        <f ca="1">D306+C307*(Prices!B307-Prices!B306)/Prices!B306</f>
        <v>-0.43155885657808529</v>
      </c>
      <c r="E307" s="9">
        <f t="shared" ca="1" si="29"/>
        <v>0.46768280783683158</v>
      </c>
      <c r="F307" s="9">
        <f t="shared" ca="1" si="30"/>
        <v>3.6123951258746317E-2</v>
      </c>
      <c r="G307" s="13">
        <f ca="1">IF((Prices!B307-Prices!B306)*B307&gt;0,1,0)</f>
        <v>0</v>
      </c>
      <c r="H307" s="9">
        <f>ABS(Prices!B307-Prices!B306)/Prices!B306</f>
        <v>5.8502648430704815E-3</v>
      </c>
      <c r="I307" s="13"/>
      <c r="J307" s="1">
        <f t="shared" ca="1" si="31"/>
        <v>5.075857288241712E-2</v>
      </c>
      <c r="K307" s="9"/>
      <c r="L307" s="9">
        <f ca="1">L306-O307*Prices!B307</f>
        <v>0.48844214131570468</v>
      </c>
      <c r="M307" s="1">
        <f t="shared" ca="1" si="26"/>
        <v>0.41021074610870667</v>
      </c>
      <c r="N307" s="9">
        <f ca="1">IF(Prices!D306&gt;OFFSET(Prices!D306,-$N$3,0),1,IF(Prices!D306&lt;OFFSET(Prices!D306,-$N$3,0),-1,0))</f>
        <v>1</v>
      </c>
      <c r="O307" s="1">
        <f ca="1">IF(N307=1,O$3*L306/Prices!B306,O$3*M306*N307)</f>
        <v>4.2877772138498423E-2</v>
      </c>
      <c r="P307" s="14"/>
      <c r="Q307" s="9">
        <f ca="1">Q306-T307*Prices!B307</f>
        <v>0.48851113611366015</v>
      </c>
      <c r="R307" s="1">
        <f t="shared" ca="1" si="27"/>
        <v>0.39215214672099696</v>
      </c>
      <c r="S307" s="9">
        <f ca="1">IF(Prices!C306&lt;OFFSET(Prices!C306,-S$3,0),1,IF(Prices!C306&gt;OFFSET(Prices!C306,-S$3,0),-1,0))</f>
        <v>1</v>
      </c>
      <c r="T307" s="1">
        <f ca="1">IF(S307=1,T$3*Q306/Prices!B306,T$3*R306*S307)</f>
        <v>7.8808007439186978E-3</v>
      </c>
      <c r="V307" s="9"/>
      <c r="W307" s="1"/>
      <c r="X307" s="1"/>
      <c r="Y307" s="1"/>
      <c r="Z307" s="1"/>
      <c r="AA307" s="1"/>
      <c r="AB307" s="1"/>
      <c r="AC307" s="1"/>
      <c r="AD307" s="1"/>
      <c r="AE307" s="16"/>
    </row>
    <row r="308" spans="1:31" x14ac:dyDescent="0.2">
      <c r="A308" s="4">
        <v>33938</v>
      </c>
      <c r="B308" s="9">
        <f ca="1">Prices!B307*(1+J308/(50*(ABS(O308)+ABS(T308)+0.0001)))</f>
        <v>1.2741640108624532</v>
      </c>
      <c r="C308" s="13">
        <f t="shared" ca="1" si="28"/>
        <v>1</v>
      </c>
      <c r="D308" s="9">
        <f ca="1">D307+C308*(Prices!B308-Prices!B307)/Prices!B307</f>
        <v>-0.42774175916257839</v>
      </c>
      <c r="E308" s="9">
        <f t="shared" ca="1" si="29"/>
        <v>0.46386571042132474</v>
      </c>
      <c r="F308" s="9">
        <f t="shared" ca="1" si="30"/>
        <v>3.6123951258746317E-2</v>
      </c>
      <c r="G308" s="13">
        <f ca="1">IF((Prices!B308-Prices!B307)*B308&gt;0,1,0)</f>
        <v>1</v>
      </c>
      <c r="H308" s="9">
        <f>ABS(Prices!B308-Prices!B307)/Prices!B307</f>
        <v>3.8170974155068908E-3</v>
      </c>
      <c r="I308" s="13"/>
      <c r="J308" s="1">
        <f t="shared" ca="1" si="31"/>
        <v>3.0999274466431331E-2</v>
      </c>
      <c r="K308" s="9"/>
      <c r="L308" s="9">
        <f ca="1">L307-O308*Prices!B308</f>
        <v>0.43941148406061015</v>
      </c>
      <c r="M308" s="1">
        <f t="shared" ca="1" si="26"/>
        <v>0.44905306350955793</v>
      </c>
      <c r="N308" s="9">
        <f ca="1">IF(Prices!D307&gt;OFFSET(Prices!D307,-$N$3,0),1,IF(Prices!D307&lt;OFFSET(Prices!D307,-$N$3,0),-1,0))</f>
        <v>1</v>
      </c>
      <c r="O308" s="1">
        <f ca="1">IF(N308=1,O$3*L307/Prices!B307,O$3*M307*N308)</f>
        <v>3.884231740085127E-2</v>
      </c>
      <c r="P308" s="14"/>
      <c r="Q308" s="9">
        <f ca="1">Q307-T308*Prices!B308</f>
        <v>0.49841140920977844</v>
      </c>
      <c r="R308" s="1">
        <f t="shared" ca="1" si="27"/>
        <v>0.38430910378657701</v>
      </c>
      <c r="S308" s="9">
        <f ca="1">IF(Prices!C307&lt;OFFSET(Prices!C307,-S$3,0),1,IF(Prices!C307&gt;OFFSET(Prices!C307,-S$3,0),-1,0))</f>
        <v>-1</v>
      </c>
      <c r="T308" s="1">
        <f ca="1">IF(S308=1,T$3*Q307/Prices!B307,T$3*R307*S308)</f>
        <v>-7.8430429344199387E-3</v>
      </c>
      <c r="V308" s="9"/>
      <c r="W308" s="1"/>
      <c r="X308" s="1"/>
      <c r="Y308" s="1"/>
      <c r="Z308" s="1"/>
      <c r="AA308" s="1"/>
      <c r="AB308" s="1"/>
      <c r="AC308" s="1"/>
      <c r="AD308" s="1"/>
      <c r="AE308" s="16"/>
    </row>
    <row r="309" spans="1:31" x14ac:dyDescent="0.2">
      <c r="A309" s="4">
        <v>33939</v>
      </c>
      <c r="B309" s="9">
        <f ca="1">Prices!B308*(1+J309/(50*(ABS(O309)+ABS(T309)+0.0001)))</f>
        <v>1.2783758875615312</v>
      </c>
      <c r="C309" s="13">
        <f t="shared" ca="1" si="28"/>
        <v>1</v>
      </c>
      <c r="D309" s="9">
        <f ca="1">D308+C309*(Prices!B309-Prices!B308)/Prices!B308</f>
        <v>-0.42568202692776896</v>
      </c>
      <c r="E309" s="9">
        <f t="shared" ca="1" si="29"/>
        <v>0.46180597818651525</v>
      </c>
      <c r="F309" s="9">
        <f t="shared" ca="1" si="30"/>
        <v>3.6123951258746317E-2</v>
      </c>
      <c r="G309" s="13">
        <f ca="1">IF((Prices!B309-Prices!B308)*B309&gt;0,1,0)</f>
        <v>1</v>
      </c>
      <c r="H309" s="9">
        <f>ABS(Prices!B309-Prices!B308)/Prices!B308</f>
        <v>2.059732234809424E-3</v>
      </c>
      <c r="I309" s="13"/>
      <c r="J309" s="1">
        <f t="shared" ca="1" si="31"/>
        <v>2.7124202465234171E-2</v>
      </c>
      <c r="K309" s="9"/>
      <c r="L309" s="9">
        <f ca="1">L308-O309*Prices!B309</f>
        <v>0.39537982865474264</v>
      </c>
      <c r="M309" s="1">
        <f t="shared" ca="1" si="26"/>
        <v>0.48386344805052361</v>
      </c>
      <c r="N309" s="9">
        <f ca="1">IF(Prices!D308&gt;OFFSET(Prices!D308,-$N$3,0),1,IF(Prices!D308&lt;OFFSET(Prices!D308,-$N$3,0),-1,0))</f>
        <v>1</v>
      </c>
      <c r="O309" s="1">
        <f ca="1">IF(N309=1,O$3*L308/Prices!B308,O$3*M308*N309)</f>
        <v>3.4810384540965709E-2</v>
      </c>
      <c r="P309" s="14"/>
      <c r="Q309" s="9">
        <f ca="1">Q308-T309*Prices!B309</f>
        <v>0.50813366091737122</v>
      </c>
      <c r="R309" s="1">
        <f t="shared" ca="1" si="27"/>
        <v>0.37662292171084549</v>
      </c>
      <c r="S309" s="9">
        <f ca="1">IF(Prices!C308&lt;OFFSET(Prices!C308,-S$3,0),1,IF(Prices!C308&gt;OFFSET(Prices!C308,-S$3,0),-1,0))</f>
        <v>-1</v>
      </c>
      <c r="T309" s="1">
        <f ca="1">IF(S309=1,T$3*Q308/Prices!B308,T$3*R308*S309)</f>
        <v>-7.6861820757315406E-3</v>
      </c>
      <c r="V309" s="9"/>
      <c r="W309" s="1"/>
      <c r="X309" s="1"/>
      <c r="Y309" s="1"/>
      <c r="Z309" s="1"/>
      <c r="AA309" s="1"/>
      <c r="AB309" s="1"/>
      <c r="AC309" s="1"/>
      <c r="AD309" s="1"/>
      <c r="AE309" s="16"/>
    </row>
    <row r="310" spans="1:31" x14ac:dyDescent="0.2">
      <c r="A310" s="4">
        <v>33940</v>
      </c>
      <c r="B310" s="9">
        <f ca="1">Prices!B309*(1+J310/(50*(ABS(O310)+ABS(T310)+0.0001)))</f>
        <v>1.2803332640085414</v>
      </c>
      <c r="C310" s="13">
        <f t="shared" ca="1" si="28"/>
        <v>1</v>
      </c>
      <c r="D310" s="9">
        <f ca="1">D309+C310*(Prices!B310-Prices!B309)/Prices!B309</f>
        <v>-0.41508830410383024</v>
      </c>
      <c r="E310" s="9">
        <f t="shared" ca="1" si="29"/>
        <v>0.45121225536257659</v>
      </c>
      <c r="F310" s="9">
        <f t="shared" ca="1" si="30"/>
        <v>3.6123951258746317E-2</v>
      </c>
      <c r="G310" s="13">
        <f ca="1">IF((Prices!B310-Prices!B309)*B310&gt;0,1,0)</f>
        <v>1</v>
      </c>
      <c r="H310" s="9">
        <f>ABS(Prices!B310-Prices!B309)/Prices!B309</f>
        <v>1.0593722823938714E-2</v>
      </c>
      <c r="I310" s="13"/>
      <c r="J310" s="1">
        <f t="shared" ca="1" si="31"/>
        <v>2.3725334960892797E-2</v>
      </c>
      <c r="K310" s="9"/>
      <c r="L310" s="9">
        <f ca="1">L309-O310*Prices!B310</f>
        <v>0.35542299135777389</v>
      </c>
      <c r="M310" s="1">
        <f t="shared" ca="1" si="26"/>
        <v>0.51512124144563332</v>
      </c>
      <c r="N310" s="9">
        <f ca="1">IF(Prices!D309&gt;OFFSET(Prices!D309,-$N$3,0),1,IF(Prices!D309&lt;OFFSET(Prices!D309,-$N$3,0),-1,0))</f>
        <v>1</v>
      </c>
      <c r="O310" s="1">
        <f ca="1">IF(N310=1,O$3*L309/Prices!B309,O$3*M309*N310)</f>
        <v>3.1257793395109708E-2</v>
      </c>
      <c r="P310" s="14"/>
      <c r="Q310" s="9">
        <f ca="1">Q309-T310*Prices!B310</f>
        <v>0.51776240253383066</v>
      </c>
      <c r="R310" s="1">
        <f t="shared" ca="1" si="27"/>
        <v>0.36909046327662859</v>
      </c>
      <c r="S310" s="9">
        <f ca="1">IF(Prices!C309&lt;OFFSET(Prices!C309,-S$3,0),1,IF(Prices!C309&gt;OFFSET(Prices!C309,-S$3,0),-1,0))</f>
        <v>-1</v>
      </c>
      <c r="T310" s="1">
        <f ca="1">IF(S310=1,T$3*Q309/Prices!B309,T$3*R309*S310)</f>
        <v>-7.5324584342169104E-3</v>
      </c>
      <c r="V310" s="9"/>
      <c r="W310" s="1"/>
      <c r="X310" s="1"/>
      <c r="Y310" s="1"/>
      <c r="Z310" s="1"/>
      <c r="AA310" s="1"/>
      <c r="AB310" s="1"/>
      <c r="AC310" s="1"/>
      <c r="AD310" s="1"/>
      <c r="AE310" s="16"/>
    </row>
    <row r="311" spans="1:31" x14ac:dyDescent="0.2">
      <c r="A311" s="4">
        <v>33941</v>
      </c>
      <c r="B311" s="9">
        <f ca="1">Prices!B310*(1+J311/(50*(ABS(O311)+ABS(T311)+0.0001)))</f>
        <v>1.2527773366594193</v>
      </c>
      <c r="C311" s="13">
        <f t="shared" ca="1" si="28"/>
        <v>-1</v>
      </c>
      <c r="D311" s="9">
        <f ca="1">D310+C311*(Prices!B311-Prices!B310)/Prices!B310</f>
        <v>-0.41086394362506934</v>
      </c>
      <c r="E311" s="9">
        <f t="shared" ca="1" si="29"/>
        <v>0.44698789488381563</v>
      </c>
      <c r="F311" s="9">
        <f t="shared" ca="1" si="30"/>
        <v>3.6123951258746317E-2</v>
      </c>
      <c r="G311" s="13">
        <f ca="1">IF((Prices!B311-Prices!B310)*B311&gt;0,1,0)</f>
        <v>0</v>
      </c>
      <c r="H311" s="9">
        <f>ABS(Prices!B311-Prices!B310)/Prices!B310</f>
        <v>4.2243604787609102E-3</v>
      </c>
      <c r="I311" s="13"/>
      <c r="J311" s="1">
        <f t="shared" ca="1" si="31"/>
        <v>-5.8893933410095904E-2</v>
      </c>
      <c r="K311" s="9"/>
      <c r="L311" s="9">
        <f ca="1">L310-O311*Prices!B311</f>
        <v>0.42099277418138853</v>
      </c>
      <c r="M311" s="1">
        <f t="shared" ca="1" si="26"/>
        <v>0.46360911730106996</v>
      </c>
      <c r="N311" s="9">
        <f ca="1">IF(Prices!D310&gt;OFFSET(Prices!D310,-$N$3,0),1,IF(Prices!D310&lt;OFFSET(Prices!D310,-$N$3,0),-1,0))</f>
        <v>-1</v>
      </c>
      <c r="O311" s="1">
        <f ca="1">IF(N311=1,O$3*L310/Prices!B310,O$3*M310*N311)</f>
        <v>-5.1512124144563333E-2</v>
      </c>
      <c r="P311" s="14"/>
      <c r="Q311" s="9">
        <f ca="1">Q310-T311*Prices!B311</f>
        <v>0.52715870754792704</v>
      </c>
      <c r="R311" s="1">
        <f t="shared" ca="1" si="27"/>
        <v>0.36170865401109603</v>
      </c>
      <c r="S311" s="9">
        <f ca="1">IF(Prices!C310&lt;OFFSET(Prices!C310,-S$3,0),1,IF(Prices!C310&gt;OFFSET(Prices!C310,-S$3,0),-1,0))</f>
        <v>-1</v>
      </c>
      <c r="T311" s="1">
        <f ca="1">IF(S311=1,T$3*Q310/Prices!B310,T$3*R310*S311)</f>
        <v>-7.3818092655325721E-3</v>
      </c>
      <c r="V311" s="9"/>
      <c r="W311" s="1"/>
      <c r="X311" s="1"/>
      <c r="Y311" s="1"/>
      <c r="Z311" s="1"/>
      <c r="AA311" s="1"/>
      <c r="AB311" s="1"/>
      <c r="AC311" s="1"/>
      <c r="AD311" s="1"/>
      <c r="AE311" s="16"/>
    </row>
    <row r="312" spans="1:31" x14ac:dyDescent="0.2">
      <c r="A312" s="4">
        <v>33942</v>
      </c>
      <c r="B312" s="9">
        <f ca="1">Prices!B311*(1+J312/(50*(ABS(O312)+ABS(T312)+0.0001)))</f>
        <v>1.2474894121608893</v>
      </c>
      <c r="C312" s="13">
        <f t="shared" ca="1" si="28"/>
        <v>-1</v>
      </c>
      <c r="D312" s="9">
        <f ca="1">D311+C312*(Prices!B312-Prices!B311)/Prices!B311</f>
        <v>-0.40363635308378576</v>
      </c>
      <c r="E312" s="9">
        <f t="shared" ca="1" si="29"/>
        <v>0.4397603043425321</v>
      </c>
      <c r="F312" s="9">
        <f t="shared" ca="1" si="30"/>
        <v>3.6123951258746317E-2</v>
      </c>
      <c r="G312" s="13">
        <f ca="1">IF((Prices!B312-Prices!B311)*B312&gt;0,1,0)</f>
        <v>0</v>
      </c>
      <c r="H312" s="9">
        <f>ABS(Prices!B312-Prices!B311)/Prices!B311</f>
        <v>7.2275905412835855E-3</v>
      </c>
      <c r="I312" s="13"/>
      <c r="J312" s="1">
        <f t="shared" ca="1" si="31"/>
        <v>-5.3595084810328923E-2</v>
      </c>
      <c r="K312" s="9"/>
      <c r="L312" s="9">
        <f ca="1">L311-O312*Prices!B312</f>
        <v>0.47957905833472475</v>
      </c>
      <c r="M312" s="1">
        <f t="shared" ca="1" si="26"/>
        <v>0.41724820557096298</v>
      </c>
      <c r="N312" s="9">
        <f ca="1">IF(Prices!D311&gt;OFFSET(Prices!D311,-$N$3,0),1,IF(Prices!D311&lt;OFFSET(Prices!D311,-$N$3,0),-1,0))</f>
        <v>-1</v>
      </c>
      <c r="O312" s="1">
        <f ca="1">IF(N312=1,O$3*L311/Prices!B311,O$3*M311*N312)</f>
        <v>-4.6360911730107E-2</v>
      </c>
      <c r="P312" s="14"/>
      <c r="Q312" s="9">
        <f ca="1">Q311-T312*Prices!B312</f>
        <v>0.53630053206940353</v>
      </c>
      <c r="R312" s="1">
        <f t="shared" ca="1" si="27"/>
        <v>0.35447448093087414</v>
      </c>
      <c r="S312" s="9">
        <f ca="1">IF(Prices!C311&lt;OFFSET(Prices!C311,-S$3,0),1,IF(Prices!C311&gt;OFFSET(Prices!C311,-S$3,0),-1,0))</f>
        <v>-1</v>
      </c>
      <c r="T312" s="1">
        <f ca="1">IF(S312=1,T$3*Q311/Prices!B311,T$3*R311*S312)</f>
        <v>-7.2341730802219211E-3</v>
      </c>
      <c r="V312" s="9"/>
      <c r="W312" s="1"/>
      <c r="X312" s="1"/>
      <c r="Y312" s="1"/>
      <c r="Z312" s="1"/>
      <c r="AA312" s="1"/>
      <c r="AB312" s="1"/>
      <c r="AC312" s="1"/>
      <c r="AD312" s="1"/>
      <c r="AE312" s="16"/>
    </row>
    <row r="313" spans="1:31" x14ac:dyDescent="0.2">
      <c r="A313" s="4">
        <v>33945</v>
      </c>
      <c r="B313" s="9">
        <f ca="1">Prices!B312*(1+J313/(50*(ABS(O313)+ABS(T313)+0.0001)))</f>
        <v>1.238477669950796</v>
      </c>
      <c r="C313" s="13">
        <f t="shared" ca="1" si="28"/>
        <v>-1</v>
      </c>
      <c r="D313" s="9">
        <f ca="1">D312+C313*(Prices!B313-Prices!B312)/Prices!B312</f>
        <v>-0.4153479935047717</v>
      </c>
      <c r="E313" s="9">
        <f t="shared" ca="1" si="29"/>
        <v>0.45147194476351804</v>
      </c>
      <c r="F313" s="9">
        <f t="shared" ca="1" si="30"/>
        <v>3.6123951258746317E-2</v>
      </c>
      <c r="G313" s="13">
        <f ca="1">IF((Prices!B313-Prices!B312)*B313&gt;0,1,0)</f>
        <v>1</v>
      </c>
      <c r="H313" s="9">
        <f>ABS(Prices!B313-Prices!B312)/Prices!B312</f>
        <v>1.1711640420985932E-2</v>
      </c>
      <c r="I313" s="13"/>
      <c r="J313" s="1">
        <f t="shared" ca="1" si="31"/>
        <v>-4.8814310175713783E-2</v>
      </c>
      <c r="K313" s="9"/>
      <c r="L313" s="9">
        <f ca="1">L312-O313*Prices!B313</f>
        <v>0.53292424141697237</v>
      </c>
      <c r="M313" s="1">
        <f t="shared" ca="1" si="26"/>
        <v>0.37552338501386667</v>
      </c>
      <c r="N313" s="9">
        <f ca="1">IF(Prices!D312&gt;OFFSET(Prices!D312,-$N$3,0),1,IF(Prices!D312&lt;OFFSET(Prices!D312,-$N$3,0),-1,0))</f>
        <v>-1</v>
      </c>
      <c r="O313" s="1">
        <f ca="1">IF(N313=1,O$3*L312/Prices!B312,O$3*M312*N313)</f>
        <v>-4.1724820557096302E-2</v>
      </c>
      <c r="P313" s="14"/>
      <c r="Q313" s="9">
        <f ca="1">Q312-T313*Prices!B313</f>
        <v>0.54536444454680599</v>
      </c>
      <c r="R313" s="1">
        <f t="shared" ca="1" si="27"/>
        <v>0.34738499131225664</v>
      </c>
      <c r="S313" s="9">
        <f ca="1">IF(Prices!C312&lt;OFFSET(Prices!C312,-S$3,0),1,IF(Prices!C312&gt;OFFSET(Prices!C312,-S$3,0),-1,0))</f>
        <v>-1</v>
      </c>
      <c r="T313" s="1">
        <f ca="1">IF(S313=1,T$3*Q312/Prices!B312,T$3*R312*S313)</f>
        <v>-7.0894896186174828E-3</v>
      </c>
      <c r="V313" s="9"/>
      <c r="W313" s="1"/>
      <c r="X313" s="1"/>
      <c r="Y313" s="1"/>
      <c r="Z313" s="1"/>
      <c r="AA313" s="1"/>
      <c r="AB313" s="1"/>
      <c r="AC313" s="1"/>
      <c r="AD313" s="1"/>
      <c r="AE313" s="16"/>
    </row>
    <row r="314" spans="1:31" x14ac:dyDescent="0.2">
      <c r="A314" s="4">
        <v>33946</v>
      </c>
      <c r="B314" s="9">
        <f ca="1">Prices!B313*(1+J314/(50*(ABS(O314)+ABS(T314)+0.0001)))</f>
        <v>1.262432248145628</v>
      </c>
      <c r="C314" s="13">
        <f t="shared" ca="1" si="28"/>
        <v>-1</v>
      </c>
      <c r="D314" s="9">
        <f ca="1">D313+C314*(Prices!B314-Prices!B313)/Prices!B313</f>
        <v>-0.42223105959784962</v>
      </c>
      <c r="E314" s="9">
        <f t="shared" ca="1" si="29"/>
        <v>0.45835501085659591</v>
      </c>
      <c r="F314" s="9">
        <f t="shared" ca="1" si="30"/>
        <v>3.6123951258746317E-2</v>
      </c>
      <c r="G314" s="13">
        <f ca="1">IF((Prices!B314-Prices!B313)*B314&gt;0,1,0)</f>
        <v>1</v>
      </c>
      <c r="H314" s="9">
        <f>ABS(Prices!B314-Prices!B313)/Prices!B313</f>
        <v>6.8830660930779362E-3</v>
      </c>
      <c r="I314" s="13"/>
      <c r="J314" s="1">
        <f t="shared" ca="1" si="31"/>
        <v>-2.9021021418135895E-2</v>
      </c>
      <c r="K314" s="9"/>
      <c r="L314" s="9">
        <f ca="1">L313-O314*Prices!B314</f>
        <v>0.58126536676980745</v>
      </c>
      <c r="M314" s="1">
        <f t="shared" ca="1" si="26"/>
        <v>0.33797104651248</v>
      </c>
      <c r="N314" s="9">
        <f ca="1">IF(Prices!D313&gt;OFFSET(Prices!D313,-$N$3,0),1,IF(Prices!D313&lt;OFFSET(Prices!D313,-$N$3,0),-1,0))</f>
        <v>-1</v>
      </c>
      <c r="O314" s="1">
        <f ca="1">IF(N314=1,O$3*L313/Prices!B313,O$3*M313*N314)</f>
        <v>-3.7552338501386673E-2</v>
      </c>
      <c r="P314" s="14"/>
      <c r="Q314" s="9">
        <f ca="1">Q313-T314*Prices!B314</f>
        <v>0.53438208006553722</v>
      </c>
      <c r="R314" s="1">
        <f t="shared" ca="1" si="27"/>
        <v>0.35591630839550742</v>
      </c>
      <c r="S314" s="9">
        <f ca="1">IF(Prices!C313&lt;OFFSET(Prices!C313,-S$3,0),1,IF(Prices!C313&gt;OFFSET(Prices!C313,-S$3,0),-1,0))</f>
        <v>1</v>
      </c>
      <c r="T314" s="1">
        <f ca="1">IF(S314=1,T$3*Q313/Prices!B313,T$3*R313*S314)</f>
        <v>8.5313170832507779E-3</v>
      </c>
      <c r="V314" s="9"/>
      <c r="W314" s="1"/>
      <c r="X314" s="1"/>
      <c r="Y314" s="1"/>
      <c r="Z314" s="1"/>
      <c r="AA314" s="1"/>
      <c r="AB314" s="1"/>
      <c r="AC314" s="1"/>
      <c r="AD314" s="1"/>
      <c r="AE314" s="16"/>
    </row>
    <row r="315" spans="1:31" x14ac:dyDescent="0.2">
      <c r="A315" s="4">
        <v>33947</v>
      </c>
      <c r="B315" s="9">
        <f ca="1">Prices!B314*(1+J315/(50*(ABS(O315)+ABS(T315)+0.0001)))</f>
        <v>1.2717456021955815</v>
      </c>
      <c r="C315" s="13">
        <f t="shared" ca="1" si="28"/>
        <v>-1</v>
      </c>
      <c r="D315" s="9">
        <f ca="1">D314+C315*(Prices!B315-Prices!B314)/Prices!B314</f>
        <v>-0.41508431835649168</v>
      </c>
      <c r="E315" s="9">
        <f t="shared" ca="1" si="29"/>
        <v>0.45120826961523797</v>
      </c>
      <c r="F315" s="9">
        <f t="shared" ca="1" si="30"/>
        <v>3.6123951258746317E-2</v>
      </c>
      <c r="G315" s="13">
        <f ca="1">IF((Prices!B315-Prices!B314)*B315&gt;0,1,0)</f>
        <v>0</v>
      </c>
      <c r="H315" s="9">
        <f>ABS(Prices!B315-Prices!B314)/Prices!B314</f>
        <v>7.1467412413579552E-3</v>
      </c>
      <c r="I315" s="13"/>
      <c r="J315" s="1">
        <f t="shared" ca="1" si="31"/>
        <v>-2.5494734107232818E-2</v>
      </c>
      <c r="K315" s="9"/>
      <c r="L315" s="9">
        <f ca="1">L314-O315*Prices!B315</f>
        <v>0.62446144622456756</v>
      </c>
      <c r="M315" s="1">
        <f t="shared" ca="1" si="26"/>
        <v>0.30417394186123198</v>
      </c>
      <c r="N315" s="9">
        <f ca="1">IF(Prices!D314&gt;OFFSET(Prices!D314,-$N$3,0),1,IF(Prices!D314&lt;OFFSET(Prices!D314,-$N$3,0),-1,0))</f>
        <v>-1</v>
      </c>
      <c r="O315" s="1">
        <f ca="1">IF(N315=1,O$3*L314/Prices!B314,O$3*M314*N315)</f>
        <v>-3.3797104651248001E-2</v>
      </c>
      <c r="P315" s="14"/>
      <c r="Q315" s="9">
        <f ca="1">Q314-T315*Prices!B315</f>
        <v>0.52377082027323141</v>
      </c>
      <c r="R315" s="1">
        <f t="shared" ca="1" si="27"/>
        <v>0.36421867893952259</v>
      </c>
      <c r="S315" s="9">
        <f ca="1">IF(Prices!C314&lt;OFFSET(Prices!C314,-S$3,0),1,IF(Prices!C314&gt;OFFSET(Prices!C314,-S$3,0),-1,0))</f>
        <v>1</v>
      </c>
      <c r="T315" s="1">
        <f ca="1">IF(S315=1,T$3*Q314/Prices!B314,T$3*R314*S315)</f>
        <v>8.3023705440151817E-3</v>
      </c>
      <c r="V315" s="9"/>
      <c r="W315" s="1"/>
      <c r="X315" s="1"/>
      <c r="Y315" s="1"/>
      <c r="Z315" s="1"/>
      <c r="AA315" s="1"/>
      <c r="AB315" s="1"/>
      <c r="AC315" s="1"/>
      <c r="AD315" s="1"/>
      <c r="AE315" s="16"/>
    </row>
    <row r="316" spans="1:31" x14ac:dyDescent="0.2">
      <c r="A316" s="4">
        <v>33948</v>
      </c>
      <c r="B316" s="9">
        <f ca="1">Prices!B315*(1+J316/(50*(ABS(O316)+ABS(T316)+0.0001)))</f>
        <v>1.2634275625931535</v>
      </c>
      <c r="C316" s="13">
        <f t="shared" ca="1" si="28"/>
        <v>-1</v>
      </c>
      <c r="D316" s="9">
        <f ca="1">D315+C316*(Prices!B316-Prices!B315)/Prices!B315</f>
        <v>-0.41406718354700878</v>
      </c>
      <c r="E316" s="9">
        <f t="shared" ca="1" si="29"/>
        <v>0.45019113480575512</v>
      </c>
      <c r="F316" s="9">
        <f t="shared" ca="1" si="30"/>
        <v>3.6123951258746317E-2</v>
      </c>
      <c r="G316" s="13">
        <f ca="1">IF((Prices!B316-Prices!B315)*B316&gt;0,1,0)</f>
        <v>0</v>
      </c>
      <c r="H316" s="9">
        <f>ABS(Prices!B316-Prices!B315)/Prices!B315</f>
        <v>1.0171348094828877E-3</v>
      </c>
      <c r="I316" s="13"/>
      <c r="J316" s="1">
        <f t="shared" ca="1" si="31"/>
        <v>-2.2221309055488171E-2</v>
      </c>
      <c r="K316" s="9"/>
      <c r="L316" s="9">
        <f ca="1">L315-O316*Prices!B316</f>
        <v>0.66329837512140966</v>
      </c>
      <c r="M316" s="1">
        <f t="shared" ca="1" si="26"/>
        <v>0.27375654767510876</v>
      </c>
      <c r="N316" s="9">
        <f ca="1">IF(Prices!D315&gt;OFFSET(Prices!D315,-$N$3,0),1,IF(Prices!D315&lt;OFFSET(Prices!D315,-$N$3,0),-1,0))</f>
        <v>-1</v>
      </c>
      <c r="O316" s="1">
        <f ca="1">IF(N316=1,O$3*L315/Prices!B315,O$3*M315*N316)</f>
        <v>-3.0417394186123201E-2</v>
      </c>
      <c r="P316" s="14"/>
      <c r="Q316" s="9">
        <f ca="1">Q315-T316*Prices!B316</f>
        <v>0.5133060587784366</v>
      </c>
      <c r="R316" s="1">
        <f t="shared" ca="1" si="27"/>
        <v>0.37241476407015761</v>
      </c>
      <c r="S316" s="9">
        <f ca="1">IF(Prices!C315&lt;OFFSET(Prices!C315,-S$3,0),1,IF(Prices!C315&gt;OFFSET(Prices!C315,-S$3,0),-1,0))</f>
        <v>1</v>
      </c>
      <c r="T316" s="1">
        <f ca="1">IF(S316=1,T$3*Q315/Prices!B315,T$3*R315*S316)</f>
        <v>8.1960851306350276E-3</v>
      </c>
      <c r="V316" s="9"/>
      <c r="W316" s="1"/>
      <c r="X316" s="1"/>
      <c r="Y316" s="1"/>
      <c r="Z316" s="1"/>
      <c r="AA316" s="1"/>
      <c r="AB316" s="1"/>
      <c r="AC316" s="1"/>
      <c r="AD316" s="1"/>
      <c r="AE316" s="16"/>
    </row>
    <row r="317" spans="1:31" x14ac:dyDescent="0.2">
      <c r="A317" s="4">
        <v>33949</v>
      </c>
      <c r="B317" s="9">
        <f ca="1">Prices!B316*(1+J317/(50*(ABS(O317)+ABS(T317)+0.0001)))</f>
        <v>1.3022935041468866</v>
      </c>
      <c r="C317" s="13">
        <f t="shared" ca="1" si="28"/>
        <v>1</v>
      </c>
      <c r="D317" s="9">
        <f ca="1">D316+C317*(Prices!B317-Prices!B316)/Prices!B316</f>
        <v>-0.41633848680515406</v>
      </c>
      <c r="E317" s="9">
        <f t="shared" ca="1" si="29"/>
        <v>0.45246243806390041</v>
      </c>
      <c r="F317" s="9">
        <f t="shared" ca="1" si="30"/>
        <v>3.6123951258746317E-2</v>
      </c>
      <c r="G317" s="13">
        <f ca="1">IF((Prices!B317-Prices!B316)*B317&gt;0,1,0)</f>
        <v>0</v>
      </c>
      <c r="H317" s="9">
        <f>ABS(Prices!B317-Prices!B316)/Prices!B316</f>
        <v>2.2713032581452874E-3</v>
      </c>
      <c r="I317" s="13"/>
      <c r="J317" s="1">
        <f t="shared" ca="1" si="31"/>
        <v>5.9990569147642316E-2</v>
      </c>
      <c r="K317" s="9"/>
      <c r="L317" s="9">
        <f ca="1">L316-O317*Prices!B317</f>
        <v>0.59711919278532222</v>
      </c>
      <c r="M317" s="1">
        <f t="shared" ca="1" si="26"/>
        <v>0.32570660838323923</v>
      </c>
      <c r="N317" s="9">
        <f ca="1">IF(Prices!D316&gt;OFFSET(Prices!D316,-$N$3,0),1,IF(Prices!D316&lt;OFFSET(Prices!D316,-$N$3,0),-1,0))</f>
        <v>1</v>
      </c>
      <c r="O317" s="1">
        <f ca="1">IF(N317=1,O$3*L316/Prices!B316,O$3*M316*N317)</f>
        <v>5.1950060708130463E-2</v>
      </c>
      <c r="P317" s="14"/>
      <c r="Q317" s="9">
        <f ca="1">Q316-T317*Prices!B317</f>
        <v>0.5030632550773424</v>
      </c>
      <c r="R317" s="1">
        <f t="shared" ca="1" si="27"/>
        <v>0.38045527250966948</v>
      </c>
      <c r="S317" s="9">
        <f ca="1">IF(Prices!C316&lt;OFFSET(Prices!C316,-S$3,0),1,IF(Prices!C316&gt;OFFSET(Prices!C316,-S$3,0),-1,0))</f>
        <v>1</v>
      </c>
      <c r="T317" s="1">
        <f ca="1">IF(S317=1,T$3*Q316/Prices!B316,T$3*R316*S317)</f>
        <v>8.0405084395118523E-3</v>
      </c>
      <c r="V317" s="9"/>
      <c r="W317" s="1"/>
      <c r="X317" s="1"/>
      <c r="Y317" s="1"/>
      <c r="Z317" s="1"/>
      <c r="AA317" s="1"/>
      <c r="AB317" s="1"/>
      <c r="AC317" s="1"/>
      <c r="AD317" s="1"/>
      <c r="AE317" s="16"/>
    </row>
    <row r="318" spans="1:31" x14ac:dyDescent="0.2">
      <c r="A318" s="4">
        <v>33952</v>
      </c>
      <c r="B318" s="9">
        <f ca="1">Prices!B317*(1+J318/(50*(ABS(O318)+ABS(T318)+0.0001)))</f>
        <v>1.2922277608647914</v>
      </c>
      <c r="C318" s="13">
        <f t="shared" ca="1" si="28"/>
        <v>1</v>
      </c>
      <c r="D318" s="9">
        <f ca="1">D317+C318*(Prices!B318-Prices!B317)/Prices!B317</f>
        <v>-0.41272752833117654</v>
      </c>
      <c r="E318" s="9">
        <f t="shared" ca="1" si="29"/>
        <v>0.44885147958992289</v>
      </c>
      <c r="F318" s="9">
        <f t="shared" ca="1" si="30"/>
        <v>3.6123951258746317E-2</v>
      </c>
      <c r="G318" s="13">
        <f ca="1">IF((Prices!B318-Prices!B317)*B318&gt;0,1,0)</f>
        <v>1</v>
      </c>
      <c r="H318" s="9">
        <f>ABS(Prices!B318-Prices!B317)/Prices!B317</f>
        <v>3.6109584739775001E-3</v>
      </c>
      <c r="I318" s="13"/>
      <c r="J318" s="1">
        <f t="shared" ca="1" si="31"/>
        <v>3.9264212140302117E-2</v>
      </c>
      <c r="K318" s="9"/>
      <c r="L318" s="9">
        <f ca="1">L317-O318*Prices!B318</f>
        <v>0.53719165624587373</v>
      </c>
      <c r="M318" s="1">
        <f t="shared" ca="1" si="26"/>
        <v>0.37257992597373474</v>
      </c>
      <c r="N318" s="9">
        <f ca="1">IF(Prices!D317&gt;OFFSET(Prices!D317,-$N$3,0),1,IF(Prices!D317&lt;OFFSET(Prices!D317,-$N$3,0),-1,0))</f>
        <v>1</v>
      </c>
      <c r="O318" s="1">
        <f ca="1">IF(N318=1,O$3*L317/Prices!B317,O$3*M317*N318)</f>
        <v>4.6873317590495504E-2</v>
      </c>
      <c r="P318" s="14"/>
      <c r="Q318" s="9">
        <f ca="1">Q317-T318*Prices!B318</f>
        <v>0.51279149639541466</v>
      </c>
      <c r="R318" s="1">
        <f t="shared" ca="1" si="27"/>
        <v>0.3728461670594761</v>
      </c>
      <c r="S318" s="9">
        <f ca="1">IF(Prices!C317&lt;OFFSET(Prices!C317,-S$3,0),1,IF(Prices!C317&gt;OFFSET(Prices!C317,-S$3,0),-1,0))</f>
        <v>-1</v>
      </c>
      <c r="T318" s="1">
        <f ca="1">IF(S318=1,T$3*Q317/Prices!B317,T$3*R317*S318)</f>
        <v>-7.6091054501933901E-3</v>
      </c>
      <c r="V318" s="9"/>
      <c r="W318" s="1"/>
      <c r="X318" s="1"/>
      <c r="Y318" s="1"/>
      <c r="Z318" s="1"/>
      <c r="AA318" s="1"/>
      <c r="AB318" s="1"/>
      <c r="AC318" s="1"/>
      <c r="AD318" s="1"/>
      <c r="AE318" s="16"/>
    </row>
    <row r="319" spans="1:31" x14ac:dyDescent="0.2">
      <c r="A319" s="4">
        <v>33953</v>
      </c>
      <c r="B319" s="9">
        <f ca="1">Prices!B318*(1+J319/(50*(ABS(O319)+ABS(T319)+0.0001)))</f>
        <v>1.3040190018817133</v>
      </c>
      <c r="C319" s="13">
        <f t="shared" ca="1" si="28"/>
        <v>1</v>
      </c>
      <c r="D319" s="9">
        <f ca="1">D318+C319*(Prices!B319-Prices!B318)/Prices!B318</f>
        <v>-0.41186714506954175</v>
      </c>
      <c r="E319" s="9">
        <f t="shared" ca="1" si="29"/>
        <v>0.44799109632828804</v>
      </c>
      <c r="F319" s="9">
        <f t="shared" ca="1" si="30"/>
        <v>3.6123951258746317E-2</v>
      </c>
      <c r="G319" s="13">
        <f ca="1">IF((Prices!B319-Prices!B318)*B319&gt;0,1,0)</f>
        <v>1</v>
      </c>
      <c r="H319" s="9">
        <f>ABS(Prices!B319-Prices!B318)/Prices!B318</f>
        <v>8.6038326163480718E-4</v>
      </c>
      <c r="I319" s="13"/>
      <c r="J319" s="1">
        <f t="shared" ca="1" si="31"/>
        <v>5.0039104851384957E-2</v>
      </c>
      <c r="K319" s="9"/>
      <c r="L319" s="9">
        <f ca="1">L318-O319*Prices!B319</f>
        <v>0.483426271550354</v>
      </c>
      <c r="M319" s="1">
        <f t="shared" ca="1" si="26"/>
        <v>0.41459726318498807</v>
      </c>
      <c r="N319" s="9">
        <f ca="1">IF(Prices!D318&gt;OFFSET(Prices!D318,-$N$3,0),1,IF(Prices!D318&lt;OFFSET(Prices!D318,-$N$3,0),-1,0))</f>
        <v>1</v>
      </c>
      <c r="O319" s="1">
        <f ca="1">IF(N319=1,O$3*L318/Prices!B318,O$3*M318*N319)</f>
        <v>4.2017337211253322E-2</v>
      </c>
      <c r="P319" s="14"/>
      <c r="Q319" s="9">
        <f ca="1">Q318-T319*Prices!B319</f>
        <v>0.5025268425231022</v>
      </c>
      <c r="R319" s="1">
        <f t="shared" ca="1" si="27"/>
        <v>0.38086793469960772</v>
      </c>
      <c r="S319" s="9">
        <f ca="1">IF(Prices!C318&lt;OFFSET(Prices!C318,-S$3,0),1,IF(Prices!C318&gt;OFFSET(Prices!C318,-S$3,0),-1,0))</f>
        <v>1</v>
      </c>
      <c r="T319" s="1">
        <f ca="1">IF(S319=1,T$3*Q318/Prices!B318,T$3*R318*S319)</f>
        <v>8.0217676401316326E-3</v>
      </c>
      <c r="V319" s="9"/>
      <c r="W319" s="1"/>
      <c r="X319" s="1"/>
      <c r="Y319" s="1"/>
      <c r="Z319" s="1"/>
      <c r="AA319" s="1"/>
      <c r="AB319" s="1"/>
      <c r="AC319" s="1"/>
      <c r="AD319" s="1"/>
      <c r="AE319" s="16"/>
    </row>
    <row r="320" spans="1:31" x14ac:dyDescent="0.2">
      <c r="A320" s="4">
        <v>33954</v>
      </c>
      <c r="B320" s="9">
        <f ca="1">Prices!B319*(1+J320/(50*(ABS(O320)+ABS(T320)+0.0001)))</f>
        <v>1.2965662126264801</v>
      </c>
      <c r="C320" s="13">
        <f t="shared" ca="1" si="28"/>
        <v>1</v>
      </c>
      <c r="D320" s="9">
        <f ca="1">D319+C320*(Prices!B320-Prices!B319)/Prices!B319</f>
        <v>-0.4042866511651968</v>
      </c>
      <c r="E320" s="9">
        <f t="shared" ca="1" si="29"/>
        <v>0.44041060242394314</v>
      </c>
      <c r="F320" s="9">
        <f t="shared" ca="1" si="30"/>
        <v>3.6123951258746317E-2</v>
      </c>
      <c r="G320" s="13">
        <f ca="1">IF((Prices!B320-Prices!B319)*B320&gt;0,1,0)</f>
        <v>1</v>
      </c>
      <c r="H320" s="9">
        <f>ABS(Prices!B320-Prices!B319)/Prices!B319</f>
        <v>7.5804939043449667E-3</v>
      </c>
      <c r="I320" s="13"/>
      <c r="J320" s="1">
        <f t="shared" ca="1" si="31"/>
        <v>3.0162124859489714E-2</v>
      </c>
      <c r="K320" s="9"/>
      <c r="L320" s="9">
        <f ca="1">L319-O320*Prices!B320</f>
        <v>0.43471718340484983</v>
      </c>
      <c r="M320" s="1">
        <f t="shared" ca="1" si="26"/>
        <v>0.45237674673846995</v>
      </c>
      <c r="N320" s="9">
        <f ca="1">IF(Prices!D319&gt;OFFSET(Prices!D319,-$N$3,0),1,IF(Prices!D319&lt;OFFSET(Prices!D319,-$N$3,0),-1,0))</f>
        <v>1</v>
      </c>
      <c r="O320" s="1">
        <f ca="1">IF(N320=1,O$3*L319/Prices!B319,O$3*M319*N320)</f>
        <v>3.7779483553481867E-2</v>
      </c>
      <c r="P320" s="14"/>
      <c r="Q320" s="9">
        <f ca="1">Q319-T320*Prices!B320</f>
        <v>0.5123479030872663</v>
      </c>
      <c r="R320" s="1">
        <f t="shared" ca="1" si="27"/>
        <v>0.37325057600561556</v>
      </c>
      <c r="S320" s="9">
        <f ca="1">IF(Prices!C319&lt;OFFSET(Prices!C319,-S$3,0),1,IF(Prices!C319&gt;OFFSET(Prices!C319,-S$3,0),-1,0))</f>
        <v>-1</v>
      </c>
      <c r="T320" s="1">
        <f ca="1">IF(S320=1,T$3*Q319/Prices!B319,T$3*R319*S320)</f>
        <v>-7.6173586939921548E-3</v>
      </c>
      <c r="V320" s="9"/>
      <c r="W320" s="1"/>
      <c r="X320" s="1"/>
      <c r="Y320" s="1"/>
      <c r="Z320" s="1"/>
      <c r="AA320" s="1"/>
      <c r="AB320" s="1"/>
      <c r="AC320" s="1"/>
      <c r="AD320" s="1"/>
      <c r="AE320" s="16"/>
    </row>
    <row r="321" spans="1:31" x14ac:dyDescent="0.2">
      <c r="A321" s="4">
        <v>33955</v>
      </c>
      <c r="B321" s="9">
        <f ca="1">Prices!B320*(1+J321/(50*(ABS(O321)+ABS(T321)+0.0001)))</f>
        <v>1.2712545290724948</v>
      </c>
      <c r="C321" s="13">
        <f t="shared" ca="1" si="28"/>
        <v>-1</v>
      </c>
      <c r="D321" s="9">
        <f ca="1">D320+C321*(Prices!B321-Prices!B320)/Prices!B320</f>
        <v>-0.40327835208817836</v>
      </c>
      <c r="E321" s="9">
        <f t="shared" ca="1" si="29"/>
        <v>0.43940230334692465</v>
      </c>
      <c r="F321" s="9">
        <f t="shared" ca="1" si="30"/>
        <v>3.6123951258746317E-2</v>
      </c>
      <c r="G321" s="13">
        <f ca="1">IF((Prices!B321-Prices!B320)*B321&gt;0,1,0)</f>
        <v>0</v>
      </c>
      <c r="H321" s="9">
        <f>ABS(Prices!B321-Prices!B320)/Prices!B320</f>
        <v>1.0082990770184262E-3</v>
      </c>
      <c r="I321" s="13"/>
      <c r="J321" s="1">
        <f t="shared" ca="1" si="31"/>
        <v>-3.7289983630842786E-2</v>
      </c>
      <c r="K321" s="9"/>
      <c r="L321" s="9">
        <f ca="1">L320-O321*Prices!B321</f>
        <v>0.49298330838476478</v>
      </c>
      <c r="M321" s="1">
        <f t="shared" ca="1" si="26"/>
        <v>0.40713907206462296</v>
      </c>
      <c r="N321" s="9">
        <f ca="1">IF(Prices!D320&gt;OFFSET(Prices!D320,-$N$3,0),1,IF(Prices!D320&lt;OFFSET(Prices!D320,-$N$3,0),-1,0))</f>
        <v>-1</v>
      </c>
      <c r="O321" s="1">
        <f ca="1">IF(N321=1,O$3*L320/Prices!B320,O$3*M320*N321)</f>
        <v>-4.5237674673846998E-2</v>
      </c>
      <c r="P321" s="14"/>
      <c r="Q321" s="9">
        <f ca="1">Q320-T321*Prices!B321</f>
        <v>0.50211127702387692</v>
      </c>
      <c r="R321" s="1">
        <f t="shared" ca="1" si="27"/>
        <v>0.38119826704861975</v>
      </c>
      <c r="S321" s="9">
        <f ca="1">IF(Prices!C320&lt;OFFSET(Prices!C320,-S$3,0),1,IF(Prices!C320&gt;OFFSET(Prices!C320,-S$3,0),-1,0))</f>
        <v>1</v>
      </c>
      <c r="T321" s="1">
        <f ca="1">IF(S321=1,T$3*Q320/Prices!B320,T$3*R320*S321)</f>
        <v>7.9476910430042094E-3</v>
      </c>
      <c r="V321" s="9"/>
      <c r="W321" s="1"/>
      <c r="X321" s="1"/>
      <c r="Y321" s="1"/>
      <c r="Z321" s="1"/>
      <c r="AA321" s="1"/>
      <c r="AB321" s="1"/>
      <c r="AC321" s="1"/>
      <c r="AD321" s="1"/>
      <c r="AE321" s="16"/>
    </row>
    <row r="322" spans="1:31" x14ac:dyDescent="0.2">
      <c r="A322" s="4">
        <v>33956</v>
      </c>
      <c r="B322" s="9">
        <f ca="1">Prices!B321*(1+J322/(50*(ABS(O322)+ABS(T322)+0.0001)))</f>
        <v>1.270556385137261</v>
      </c>
      <c r="C322" s="13">
        <f t="shared" ca="1" si="28"/>
        <v>-1</v>
      </c>
      <c r="D322" s="9">
        <f ca="1">D321+C322*(Prices!B322-Prices!B321)/Prices!B321</f>
        <v>-0.39761065022482428</v>
      </c>
      <c r="E322" s="9">
        <f t="shared" ca="1" si="29"/>
        <v>0.43373460148357057</v>
      </c>
      <c r="F322" s="9">
        <f t="shared" ca="1" si="30"/>
        <v>3.6123951258746317E-2</v>
      </c>
      <c r="G322" s="13">
        <f ca="1">IF((Prices!B322-Prices!B321)*B322&gt;0,1,0)</f>
        <v>0</v>
      </c>
      <c r="H322" s="9">
        <f>ABS(Prices!B322-Prices!B321)/Prices!B321</f>
        <v>5.6677018633541024E-3</v>
      </c>
      <c r="I322" s="13"/>
      <c r="J322" s="1">
        <f t="shared" ca="1" si="31"/>
        <v>-3.291714824646421E-2</v>
      </c>
      <c r="K322" s="9"/>
      <c r="L322" s="9">
        <f ca="1">L321-O322*Prices!B322</f>
        <v>0.54512560934408105</v>
      </c>
      <c r="M322" s="1">
        <f t="shared" ca="1" si="26"/>
        <v>0.36642516485816068</v>
      </c>
      <c r="N322" s="9">
        <f ca="1">IF(Prices!D321&gt;OFFSET(Prices!D321,-$N$3,0),1,IF(Prices!D321&lt;OFFSET(Prices!D321,-$N$3,0),-1,0))</f>
        <v>-1</v>
      </c>
      <c r="O322" s="1">
        <f ca="1">IF(N322=1,O$3*L321/Prices!B321,O$3*M321*N322)</f>
        <v>-4.0713907206462299E-2</v>
      </c>
      <c r="P322" s="14"/>
      <c r="Q322" s="9">
        <f ca="1">Q321-T322*Prices!B322</f>
        <v>0.49212596782380735</v>
      </c>
      <c r="R322" s="1">
        <f t="shared" ca="1" si="27"/>
        <v>0.38899502600861785</v>
      </c>
      <c r="S322" s="9">
        <f ca="1">IF(Prices!C321&lt;OFFSET(Prices!C321,-S$3,0),1,IF(Prices!C321&gt;OFFSET(Prices!C321,-S$3,0),-1,0))</f>
        <v>1</v>
      </c>
      <c r="T322" s="1">
        <f ca="1">IF(S322=1,T$3*Q321/Prices!B321,T$3*R321*S322)</f>
        <v>7.796758959998088E-3</v>
      </c>
      <c r="V322" s="9"/>
      <c r="W322" s="1"/>
      <c r="X322" s="1"/>
      <c r="Y322" s="1"/>
      <c r="Z322" s="1"/>
      <c r="AA322" s="1"/>
      <c r="AB322" s="1"/>
      <c r="AC322" s="1"/>
      <c r="AD322" s="1"/>
      <c r="AE322" s="16"/>
    </row>
    <row r="323" spans="1:31" x14ac:dyDescent="0.2">
      <c r="A323" s="4">
        <v>33959</v>
      </c>
      <c r="B323" s="9">
        <f ca="1">Prices!B322*(1+J323/(50*(ABS(O323)+ABS(T323)+0.0001)))</f>
        <v>1.2640052428189446</v>
      </c>
      <c r="C323" s="13">
        <f t="shared" ca="1" si="28"/>
        <v>-1</v>
      </c>
      <c r="D323" s="9">
        <f ca="1">D322+C323*(Prices!B323-Prices!B322)/Prices!B322</f>
        <v>-0.39589283965248107</v>
      </c>
      <c r="E323" s="9">
        <f t="shared" ca="1" si="29"/>
        <v>0.43201679091122736</v>
      </c>
      <c r="F323" s="9">
        <f t="shared" ca="1" si="30"/>
        <v>3.6123951258746317E-2</v>
      </c>
      <c r="G323" s="13">
        <f ca="1">IF((Prices!B323-Prices!B322)*B323&gt;0,1,0)</f>
        <v>0</v>
      </c>
      <c r="H323" s="9">
        <f>ABS(Prices!B323-Prices!B322)/Prices!B322</f>
        <v>1.717810572343234E-3</v>
      </c>
      <c r="I323" s="13"/>
      <c r="J323" s="1">
        <f t="shared" ca="1" si="31"/>
        <v>-2.8957251118067066E-2</v>
      </c>
      <c r="K323" s="9"/>
      <c r="L323" s="9">
        <f ca="1">L322-O323*Prices!B323</f>
        <v>0.59197306667119687</v>
      </c>
      <c r="M323" s="1">
        <f t="shared" ca="1" si="26"/>
        <v>0.32978264837234461</v>
      </c>
      <c r="N323" s="9">
        <f ca="1">IF(Prices!D322&gt;OFFSET(Prices!D322,-$N$3,0),1,IF(Prices!D322&lt;OFFSET(Prices!D322,-$N$3,0),-1,0))</f>
        <v>-1</v>
      </c>
      <c r="O323" s="1">
        <f ca="1">IF(N323=1,O$3*L322/Prices!B322,O$3*M322*N323)</f>
        <v>-3.6642516485816068E-2</v>
      </c>
      <c r="P323" s="14"/>
      <c r="Q323" s="9">
        <f ca="1">Q322-T323*Prices!B323</f>
        <v>0.48230035605114024</v>
      </c>
      <c r="R323" s="1">
        <f t="shared" ca="1" si="27"/>
        <v>0.39668029137636684</v>
      </c>
      <c r="S323" s="9">
        <f ca="1">IF(Prices!C322&lt;OFFSET(Prices!C322,-S$3,0),1,IF(Prices!C322&gt;OFFSET(Prices!C322,-S$3,0),-1,0))</f>
        <v>1</v>
      </c>
      <c r="T323" s="1">
        <f ca="1">IF(S323=1,T$3*Q322/Prices!B322,T$3*R322*S323)</f>
        <v>7.6852653677490015E-3</v>
      </c>
      <c r="V323" s="9"/>
      <c r="W323" s="1"/>
      <c r="X323" s="1"/>
      <c r="Y323" s="1"/>
      <c r="Z323" s="1"/>
      <c r="AA323" s="1"/>
      <c r="AB323" s="1"/>
      <c r="AC323" s="1"/>
      <c r="AD323" s="1"/>
      <c r="AE323" s="16"/>
    </row>
    <row r="324" spans="1:31" x14ac:dyDescent="0.2">
      <c r="A324" s="4">
        <v>33960</v>
      </c>
      <c r="B324" s="9">
        <f ca="1">Prices!B323*(1+J324/(50*(ABS(O324)+ABS(T324)+0.0001)))</f>
        <v>1.2624910076089144</v>
      </c>
      <c r="C324" s="13">
        <f t="shared" ca="1" si="28"/>
        <v>-1</v>
      </c>
      <c r="D324" s="9">
        <f ca="1">D323+C324*(Prices!B324-Prices!B323)/Prices!B323</f>
        <v>-0.38447320727078382</v>
      </c>
      <c r="E324" s="9">
        <f t="shared" ca="1" si="29"/>
        <v>0.42059715852953017</v>
      </c>
      <c r="F324" s="9">
        <f t="shared" ca="1" si="30"/>
        <v>3.6123951258746317E-2</v>
      </c>
      <c r="G324" s="13">
        <f ca="1">IF((Prices!B324-Prices!B323)*B324&gt;0,1,0)</f>
        <v>0</v>
      </c>
      <c r="H324" s="9">
        <f>ABS(Prices!B324-Prices!B323)/Prices!B323</f>
        <v>1.141963238169726E-2</v>
      </c>
      <c r="I324" s="13"/>
      <c r="J324" s="1">
        <f t="shared" ca="1" si="31"/>
        <v>-2.5433480229473178E-2</v>
      </c>
      <c r="K324" s="9"/>
      <c r="L324" s="9">
        <f ca="1">L323-O324*Prices!B324</f>
        <v>0.63365429559897746</v>
      </c>
      <c r="M324" s="1">
        <f t="shared" ca="1" si="26"/>
        <v>0.29680438353511013</v>
      </c>
      <c r="N324" s="9">
        <f ca="1">IF(Prices!D323&gt;OFFSET(Prices!D323,-$N$3,0),1,IF(Prices!D323&lt;OFFSET(Prices!D323,-$N$3,0),-1,0))</f>
        <v>-1</v>
      </c>
      <c r="O324" s="1">
        <f ca="1">IF(N324=1,O$3*L323/Prices!B323,O$3*M323*N324)</f>
        <v>-3.2978264837234463E-2</v>
      </c>
      <c r="P324" s="14"/>
      <c r="Q324" s="9">
        <f ca="1">Q323-T324*Prices!B324</f>
        <v>0.47276450278539073</v>
      </c>
      <c r="R324" s="1">
        <f t="shared" ca="1" si="27"/>
        <v>0.40422507598412816</v>
      </c>
      <c r="S324" s="9">
        <f ca="1">IF(Prices!C323&lt;OFFSET(Prices!C323,-S$3,0),1,IF(Prices!C323&gt;OFFSET(Prices!C323,-S$3,0),-1,0))</f>
        <v>1</v>
      </c>
      <c r="T324" s="1">
        <f ca="1">IF(S324=1,T$3*Q323/Prices!B323,T$3*R323*S324)</f>
        <v>7.5447846077612863E-3</v>
      </c>
      <c r="V324" s="9"/>
      <c r="W324" s="1"/>
      <c r="X324" s="1"/>
      <c r="Y324" s="1"/>
      <c r="Z324" s="1"/>
      <c r="AA324" s="1"/>
      <c r="AB324" s="1"/>
      <c r="AC324" s="1"/>
      <c r="AD324" s="1"/>
      <c r="AE324" s="16"/>
    </row>
    <row r="325" spans="1:31" x14ac:dyDescent="0.2">
      <c r="A325" s="4">
        <v>33961</v>
      </c>
      <c r="B325" s="9">
        <f ca="1">Prices!B324*(1+J325/(50*(ABS(O325)+ABS(T325)+0.0001)))</f>
        <v>1.2386887583259993</v>
      </c>
      <c r="C325" s="13">
        <f t="shared" ca="1" si="28"/>
        <v>-1</v>
      </c>
      <c r="D325" s="9">
        <f ca="1">D324+C325*(Prices!B325-Prices!B324)/Prices!B324</f>
        <v>-0.38083367882707786</v>
      </c>
      <c r="E325" s="9">
        <f t="shared" ca="1" si="29"/>
        <v>0.4169576300858242</v>
      </c>
      <c r="F325" s="9">
        <f t="shared" ca="1" si="30"/>
        <v>3.6123951258746317E-2</v>
      </c>
      <c r="G325" s="13">
        <f ca="1">IF((Prices!B325-Prices!B324)*B325&gt;0,1,0)</f>
        <v>0</v>
      </c>
      <c r="H325" s="9">
        <f>ABS(Prices!B325-Prices!B324)/Prices!B324</f>
        <v>3.63952844370594E-3</v>
      </c>
      <c r="I325" s="13"/>
      <c r="J325" s="1">
        <f t="shared" ca="1" si="31"/>
        <v>-3.7764939873193577E-2</v>
      </c>
      <c r="K325" s="9"/>
      <c r="L325" s="9">
        <f ca="1">L324-O325*Prices!B325</f>
        <v>0.67103087161755393</v>
      </c>
      <c r="M325" s="1">
        <f t="shared" ca="1" si="26"/>
        <v>0.2671239451815991</v>
      </c>
      <c r="N325" s="9">
        <f ca="1">IF(Prices!D324&gt;OFFSET(Prices!D324,-$N$3,0),1,IF(Prices!D324&lt;OFFSET(Prices!D324,-$N$3,0),-1,0))</f>
        <v>-1</v>
      </c>
      <c r="O325" s="1">
        <f ca="1">IF(N325=1,O$3*L324/Prices!B324,O$3*M324*N325)</f>
        <v>-2.9680438353511016E-2</v>
      </c>
      <c r="P325" s="14"/>
      <c r="Q325" s="9">
        <f ca="1">Q324-T325*Prices!B325</f>
        <v>0.48294531554912701</v>
      </c>
      <c r="R325" s="1">
        <f t="shared" ca="1" si="27"/>
        <v>0.39614057446444562</v>
      </c>
      <c r="S325" s="9">
        <f ca="1">IF(Prices!C324&lt;OFFSET(Prices!C324,-S$3,0),1,IF(Prices!C324&gt;OFFSET(Prices!C324,-S$3,0),-1,0))</f>
        <v>-1</v>
      </c>
      <c r="T325" s="1">
        <f ca="1">IF(S325=1,T$3*Q324/Prices!B324,T$3*R324*S325)</f>
        <v>-8.0845015196825635E-3</v>
      </c>
      <c r="V325" s="9"/>
      <c r="W325" s="1"/>
      <c r="X325" s="1"/>
      <c r="Y325" s="1"/>
      <c r="Z325" s="1"/>
      <c r="AA325" s="1"/>
      <c r="AB325" s="1"/>
      <c r="AC325" s="1"/>
      <c r="AD325" s="1"/>
      <c r="AE325" s="16"/>
    </row>
    <row r="326" spans="1:31" x14ac:dyDescent="0.2">
      <c r="A326" s="4">
        <v>33962</v>
      </c>
      <c r="B326" s="9">
        <f ca="1">Prices!B325*(1+J326/(50*(ABS(O326)+ABS(T326)+0.0001)))</f>
        <v>1.2341865085666532</v>
      </c>
      <c r="C326" s="13">
        <f t="shared" ca="1" si="28"/>
        <v>-1</v>
      </c>
      <c r="D326" s="9">
        <f ca="1">D325+C326*(Prices!B326-Prices!B325)/Prices!B325</f>
        <v>-0.3815483615873414</v>
      </c>
      <c r="E326" s="9">
        <f t="shared" ca="1" si="29"/>
        <v>0.41767231284608775</v>
      </c>
      <c r="F326" s="9">
        <f t="shared" ca="1" si="30"/>
        <v>3.6123951258746317E-2</v>
      </c>
      <c r="G326" s="13">
        <f ca="1">IF((Prices!B326-Prices!B325)*B326&gt;0,1,0)</f>
        <v>1</v>
      </c>
      <c r="H326" s="9">
        <f>ABS(Prices!B326-Prices!B325)/Prices!B325</f>
        <v>7.146827602635598E-4</v>
      </c>
      <c r="I326" s="13"/>
      <c r="J326" s="1">
        <f t="shared" ca="1" si="31"/>
        <v>-3.4635206007448821E-2</v>
      </c>
      <c r="K326" s="9"/>
      <c r="L326" s="9">
        <f ca="1">L325-O326*Prices!B326</f>
        <v>0.70469383118933904</v>
      </c>
      <c r="M326" s="1">
        <f t="shared" ca="1" si="26"/>
        <v>0.24041155066343919</v>
      </c>
      <c r="N326" s="9">
        <f ca="1">IF(Prices!D325&gt;OFFSET(Prices!D325,-$N$3,0),1,IF(Prices!D325&lt;OFFSET(Prices!D325,-$N$3,0),-1,0))</f>
        <v>-1</v>
      </c>
      <c r="O326" s="1">
        <f ca="1">IF(N326=1,O$3*L325/Prices!B325,O$3*M325*N326)</f>
        <v>-2.6712394518159911E-2</v>
      </c>
      <c r="P326" s="14"/>
      <c r="Q326" s="9">
        <f ca="1">Q325-T326*Prices!B326</f>
        <v>0.49292964258792887</v>
      </c>
      <c r="R326" s="1">
        <f t="shared" ca="1" si="27"/>
        <v>0.3882177629751567</v>
      </c>
      <c r="S326" s="9">
        <f ca="1">IF(Prices!C325&lt;OFFSET(Prices!C325,-S$3,0),1,IF(Prices!C325&gt;OFFSET(Prices!C325,-S$3,0),-1,0))</f>
        <v>-1</v>
      </c>
      <c r="T326" s="1">
        <f ca="1">IF(S326=1,T$3*Q325/Prices!B325,T$3*R325*S326)</f>
        <v>-7.9228114892889133E-3</v>
      </c>
      <c r="V326" s="9"/>
      <c r="W326" s="1"/>
      <c r="X326" s="1"/>
      <c r="Y326" s="1"/>
      <c r="Z326" s="1"/>
      <c r="AA326" s="1"/>
      <c r="AB326" s="1"/>
      <c r="AC326" s="1"/>
      <c r="AD326" s="1"/>
      <c r="AE326" s="16"/>
    </row>
    <row r="327" spans="1:31" x14ac:dyDescent="0.2">
      <c r="A327" s="4">
        <v>33963</v>
      </c>
      <c r="B327" s="9">
        <f ca="1">Prices!B326*(1+J327/(50*(ABS(O327)+ABS(T327)+0.0001)))</f>
        <v>1.2792283332055152</v>
      </c>
      <c r="C327" s="13">
        <f t="shared" ca="1" si="28"/>
        <v>1</v>
      </c>
      <c r="D327" s="9">
        <f ca="1">D326+C327*(Prices!B327-Prices!B326)/Prices!B326</f>
        <v>-0.3815483615873414</v>
      </c>
      <c r="E327" s="9">
        <f t="shared" ca="1" si="29"/>
        <v>0.41767231284608775</v>
      </c>
      <c r="F327" s="9">
        <f t="shared" ca="1" si="30"/>
        <v>3.6123951258746317E-2</v>
      </c>
      <c r="G327" s="13">
        <f ca="1">IF((Prices!B327-Prices!B326)*B327&gt;0,1,0)</f>
        <v>0</v>
      </c>
      <c r="H327" s="9">
        <f>ABS(Prices!B327-Prices!B326)/Prices!B326</f>
        <v>0</v>
      </c>
      <c r="I327" s="13"/>
      <c r="J327" s="1">
        <f t="shared" ca="1" si="31"/>
        <v>4.8154850516511707E-2</v>
      </c>
      <c r="K327" s="9"/>
      <c r="L327" s="9">
        <f ca="1">L326-O327*Prices!B327</f>
        <v>0.63422444807040512</v>
      </c>
      <c r="M327" s="1">
        <f t="shared" ca="1" si="26"/>
        <v>0.29633075643945406</v>
      </c>
      <c r="N327" s="9">
        <f ca="1">IF(Prices!D326&gt;OFFSET(Prices!D326,-$N$3,0),1,IF(Prices!D326&lt;OFFSET(Prices!D326,-$N$3,0),-1,0))</f>
        <v>1</v>
      </c>
      <c r="O327" s="1">
        <f ca="1">IF(N327=1,O$3*L326/Prices!B326,O$3*M326*N327)</f>
        <v>5.5919205776014842E-2</v>
      </c>
      <c r="P327" s="14"/>
      <c r="Q327" s="9">
        <f ca="1">Q326-T327*Prices!B327</f>
        <v>0.50271428308595467</v>
      </c>
      <c r="R327" s="1">
        <f t="shared" ca="1" si="27"/>
        <v>0.38045340771565356</v>
      </c>
      <c r="S327" s="9">
        <f ca="1">IF(Prices!C326&lt;OFFSET(Prices!C326,-S$3,0),1,IF(Prices!C326&gt;OFFSET(Prices!C326,-S$3,0),-1,0))</f>
        <v>-1</v>
      </c>
      <c r="T327" s="1">
        <f ca="1">IF(S327=1,T$3*Q326/Prices!B326,T$3*R326*S327)</f>
        <v>-7.764355259503134E-3</v>
      </c>
      <c r="V327" s="9"/>
      <c r="W327" s="1"/>
      <c r="X327" s="1"/>
      <c r="Y327" s="1"/>
      <c r="Z327" s="1"/>
      <c r="AA327" s="1"/>
      <c r="AB327" s="1"/>
      <c r="AC327" s="1"/>
      <c r="AD327" s="1"/>
      <c r="AE327" s="16"/>
    </row>
    <row r="328" spans="1:31" x14ac:dyDescent="0.2">
      <c r="A328" s="4">
        <v>33966</v>
      </c>
      <c r="B328" s="9">
        <f ca="1">Prices!B327*(1+J328/(50*(ABS(O328)+ABS(T328)+0.0001)))</f>
        <v>1.2787516470312297</v>
      </c>
      <c r="C328" s="13">
        <f t="shared" ca="1" si="28"/>
        <v>1</v>
      </c>
      <c r="D328" s="9">
        <f ca="1">D327+C328*(Prices!B328-Prices!B327)/Prices!B327</f>
        <v>-0.3815483615873414</v>
      </c>
      <c r="E328" s="9">
        <f t="shared" ca="1" si="29"/>
        <v>0.41767231284608775</v>
      </c>
      <c r="F328" s="9">
        <f t="shared" ca="1" si="30"/>
        <v>3.6123951258746317E-2</v>
      </c>
      <c r="G328" s="13">
        <f ca="1">IF((Prices!B328-Prices!B327)*B328&gt;0,1,0)</f>
        <v>0</v>
      </c>
      <c r="H328" s="9">
        <f>ABS(Prices!B328-Prices!B327)/Prices!B327</f>
        <v>0</v>
      </c>
      <c r="I328" s="13"/>
      <c r="J328" s="1">
        <f t="shared" ca="1" si="31"/>
        <v>4.2718217044100282E-2</v>
      </c>
      <c r="K328" s="9"/>
      <c r="L328" s="9">
        <f ca="1">L327-O328*Prices!B328</f>
        <v>0.57080200326336461</v>
      </c>
      <c r="M328" s="1">
        <f t="shared" ca="1" si="26"/>
        <v>0.3466580416378674</v>
      </c>
      <c r="N328" s="9">
        <f ca="1">IF(Prices!D327&gt;OFFSET(Prices!D327,-$N$3,0),1,IF(Prices!D327&lt;OFFSET(Prices!D327,-$N$3,0),-1,0))</f>
        <v>1</v>
      </c>
      <c r="O328" s="1">
        <f ca="1">IF(N328=1,O$3*L327/Prices!B327,O$3*M327*N328)</f>
        <v>5.0327285198413355E-2</v>
      </c>
      <c r="P328" s="14"/>
      <c r="Q328" s="9">
        <f ca="1">Q327-T328*Prices!B328</f>
        <v>0.51230323077401996</v>
      </c>
      <c r="R328" s="1">
        <f t="shared" ca="1" si="27"/>
        <v>0.3728443395613405</v>
      </c>
      <c r="S328" s="9">
        <f ca="1">IF(Prices!C327&lt;OFFSET(Prices!C327,-S$3,0),1,IF(Prices!C327&gt;OFFSET(Prices!C327,-S$3,0),-1,0))</f>
        <v>-1</v>
      </c>
      <c r="T328" s="1">
        <f ca="1">IF(S328=1,T$3*Q327/Prices!B327,T$3*R327*S328)</f>
        <v>-7.6090681543130711E-3</v>
      </c>
      <c r="V328" s="9"/>
      <c r="W328" s="1"/>
      <c r="X328" s="1"/>
      <c r="Y328" s="1"/>
      <c r="Z328" s="1"/>
      <c r="AA328" s="1"/>
      <c r="AB328" s="1"/>
      <c r="AC328" s="1"/>
      <c r="AD328" s="1"/>
      <c r="AE328" s="16"/>
    </row>
    <row r="329" spans="1:31" x14ac:dyDescent="0.2">
      <c r="A329" s="4">
        <v>33967</v>
      </c>
      <c r="B329" s="9">
        <f ca="1">Prices!B328*(1+J329/(50*(ABS(O329)+ABS(T329)+0.0001)))</f>
        <v>1.2782441738055006</v>
      </c>
      <c r="C329" s="13">
        <f t="shared" ca="1" si="28"/>
        <v>1</v>
      </c>
      <c r="D329" s="9">
        <f ca="1">D328+C329*(Prices!B329-Prices!B328)/Prices!B328</f>
        <v>-0.39979943284587172</v>
      </c>
      <c r="E329" s="9">
        <f t="shared" ca="1" si="29"/>
        <v>0.43592338410461806</v>
      </c>
      <c r="F329" s="9">
        <f t="shared" ca="1" si="30"/>
        <v>3.6123951258746317E-2</v>
      </c>
      <c r="G329" s="13">
        <f ca="1">IF((Prices!B329-Prices!B328)*B329&gt;0,1,0)</f>
        <v>0</v>
      </c>
      <c r="H329" s="9">
        <f>ABS(Prices!B329-Prices!B328)/Prices!B328</f>
        <v>1.8251071258530319E-2</v>
      </c>
      <c r="I329" s="13"/>
      <c r="J329" s="1">
        <f t="shared" ca="1" si="31"/>
        <v>3.7837669887345216E-2</v>
      </c>
      <c r="K329" s="9"/>
      <c r="L329" s="9">
        <f ca="1">L328-O329*Prices!B329</f>
        <v>0.5147635777406353</v>
      </c>
      <c r="M329" s="1">
        <f t="shared" ca="1" si="26"/>
        <v>0.39195259831643942</v>
      </c>
      <c r="N329" s="9">
        <f ca="1">IF(Prices!D328&gt;OFFSET(Prices!D328,-$N$3,0),1,IF(Prices!D328&lt;OFFSET(Prices!D328,-$N$3,0),-1,0))</f>
        <v>1</v>
      </c>
      <c r="O329" s="1">
        <f ca="1">IF(N329=1,O$3*L328/Prices!B328,O$3*M328*N329)</f>
        <v>4.5294556678572025E-2</v>
      </c>
      <c r="P329" s="14"/>
      <c r="Q329" s="9">
        <f ca="1">Q328-T329*Prices!B329</f>
        <v>0.52152889111212575</v>
      </c>
      <c r="R329" s="1">
        <f t="shared" ca="1" si="27"/>
        <v>0.3653874527701137</v>
      </c>
      <c r="S329" s="9">
        <f ca="1">IF(Prices!C328&lt;OFFSET(Prices!C328,-S$3,0),1,IF(Prices!C328&gt;OFFSET(Prices!C328,-S$3,0),-1,0))</f>
        <v>-1</v>
      </c>
      <c r="T329" s="1">
        <f ca="1">IF(S329=1,T$3*Q328/Prices!B328,T$3*R328*S329)</f>
        <v>-7.45688679122681E-3</v>
      </c>
      <c r="V329" s="9"/>
      <c r="W329" s="1"/>
      <c r="X329" s="1"/>
      <c r="Y329" s="1"/>
      <c r="Z329" s="1"/>
      <c r="AA329" s="1"/>
      <c r="AB329" s="1"/>
      <c r="AC329" s="1"/>
      <c r="AD329" s="1"/>
      <c r="AE329" s="16"/>
    </row>
    <row r="330" spans="1:31" x14ac:dyDescent="0.2">
      <c r="A330" s="4">
        <v>33968</v>
      </c>
      <c r="B330" s="9">
        <f ca="1">Prices!B329*(1+J330/(50*(ABS(O330)+ABS(T330)+0.0001)))</f>
        <v>1.2127900285937732</v>
      </c>
      <c r="C330" s="13">
        <f t="shared" ca="1" si="28"/>
        <v>-1</v>
      </c>
      <c r="D330" s="9">
        <f ca="1">D329+C330*(Prices!B330-Prices!B329)/Prices!B329</f>
        <v>-0.4027900568355256</v>
      </c>
      <c r="E330" s="9">
        <f t="shared" ca="1" si="29"/>
        <v>0.43891400809427195</v>
      </c>
      <c r="F330" s="9">
        <f t="shared" ca="1" si="30"/>
        <v>3.6123951258746317E-2</v>
      </c>
      <c r="G330" s="13">
        <f ca="1">IF((Prices!B330-Prices!B329)*B330&gt;0,1,0)</f>
        <v>1</v>
      </c>
      <c r="H330" s="9">
        <f>ABS(Prices!B330-Prices!B329)/Prices!B329</f>
        <v>2.9906239896539074E-3</v>
      </c>
      <c r="I330" s="13"/>
      <c r="J330" s="1">
        <f t="shared" ca="1" si="31"/>
        <v>-7.3077490554022745E-3</v>
      </c>
      <c r="K330" s="9"/>
      <c r="L330" s="9">
        <f ca="1">L329-O330*Prices!B330</f>
        <v>0.5147635777406353</v>
      </c>
      <c r="M330" s="1">
        <f t="shared" ca="1" si="26"/>
        <v>0.39195259831643942</v>
      </c>
      <c r="N330" s="9">
        <f ca="1">IF(Prices!D329&gt;OFFSET(Prices!D329,-$N$3,0),1,IF(Prices!D329&lt;OFFSET(Prices!D329,-$N$3,0),-1,0))</f>
        <v>0</v>
      </c>
      <c r="O330" s="1">
        <f ca="1">IF(N330=1,O$3*L329/Prices!B329,O$3*M329*N330)</f>
        <v>0</v>
      </c>
      <c r="P330" s="14"/>
      <c r="Q330" s="9">
        <f ca="1">Q329-T330*Prices!B330</f>
        <v>0.53059707691497437</v>
      </c>
      <c r="R330" s="1">
        <f t="shared" ca="1" si="27"/>
        <v>0.35807970371471143</v>
      </c>
      <c r="S330" s="9">
        <f ca="1">IF(Prices!C329&lt;OFFSET(Prices!C329,-S$3,0),1,IF(Prices!C329&gt;OFFSET(Prices!C329,-S$3,0),-1,0))</f>
        <v>-1</v>
      </c>
      <c r="T330" s="1">
        <f ca="1">IF(S330=1,T$3*Q329/Prices!B329,T$3*R329*S330)</f>
        <v>-7.3077490554022745E-3</v>
      </c>
      <c r="V330" s="9"/>
      <c r="W330" s="1"/>
      <c r="X330" s="1"/>
      <c r="Y330" s="1"/>
      <c r="Z330" s="1"/>
      <c r="AA330" s="1"/>
      <c r="AB330" s="1"/>
      <c r="AC330" s="1"/>
      <c r="AD330" s="1"/>
      <c r="AE330" s="16"/>
    </row>
    <row r="331" spans="1:31" x14ac:dyDescent="0.2">
      <c r="A331" s="4">
        <v>33969</v>
      </c>
      <c r="B331" s="9">
        <f ca="1">Prices!B330*(1+J331/(50*(ABS(O331)+ABS(T331)+0.0001)))</f>
        <v>1.216135421611481</v>
      </c>
      <c r="C331" s="13">
        <f t="shared" ca="1" si="28"/>
        <v>-1</v>
      </c>
      <c r="D331" s="9">
        <f ca="1">D330+C331*(Prices!B331-Prices!B330)/Prices!B330</f>
        <v>-0.39956658999694089</v>
      </c>
      <c r="E331" s="9">
        <f t="shared" ca="1" si="29"/>
        <v>0.43569054125568718</v>
      </c>
      <c r="F331" s="9">
        <f t="shared" ca="1" si="30"/>
        <v>3.6123951258746317E-2</v>
      </c>
      <c r="G331" s="13">
        <f ca="1">IF((Prices!B331-Prices!B330)*B331&gt;0,1,0)</f>
        <v>0</v>
      </c>
      <c r="H331" s="9">
        <f>ABS(Prices!B331-Prices!B330)/Prices!B330</f>
        <v>3.2234668385847224E-3</v>
      </c>
      <c r="I331" s="13"/>
      <c r="J331" s="1">
        <f t="shared" ca="1" si="31"/>
        <v>-4.6356853905938175E-2</v>
      </c>
      <c r="K331" s="9"/>
      <c r="L331" s="9">
        <f ca="1">L330-O331*Prices!B331</f>
        <v>0.56324419462639574</v>
      </c>
      <c r="M331" s="1">
        <f t="shared" ca="1" si="26"/>
        <v>0.35275733848479546</v>
      </c>
      <c r="N331" s="9">
        <f ca="1">IF(Prices!D330&gt;OFFSET(Prices!D330,-$N$3,0),1,IF(Prices!D330&lt;OFFSET(Prices!D330,-$N$3,0),-1,0))</f>
        <v>-1</v>
      </c>
      <c r="O331" s="1">
        <f ca="1">IF(N331=1,O$3*L330/Prices!B330,O$3*M330*N331)</f>
        <v>-3.9195259831643944E-2</v>
      </c>
      <c r="P331" s="14"/>
      <c r="Q331" s="9">
        <f ca="1">Q330-T331*Prices!B331</f>
        <v>0.5394552526254689</v>
      </c>
      <c r="R331" s="1">
        <f t="shared" ca="1" si="27"/>
        <v>0.3509181096404172</v>
      </c>
      <c r="S331" s="9">
        <f ca="1">IF(Prices!C330&lt;OFFSET(Prices!C330,-S$3,0),1,IF(Prices!C330&gt;OFFSET(Prices!C330,-S$3,0),-1,0))</f>
        <v>-1</v>
      </c>
      <c r="T331" s="1">
        <f ca="1">IF(S331=1,T$3*Q330/Prices!B330,T$3*R330*S331)</f>
        <v>-7.161594074294229E-3</v>
      </c>
      <c r="V331" s="9"/>
      <c r="W331" s="1"/>
      <c r="X331" s="1"/>
      <c r="Y331" s="1"/>
      <c r="Z331" s="1"/>
      <c r="AA331" s="1"/>
      <c r="AB331" s="1"/>
      <c r="AC331" s="1"/>
      <c r="AD331" s="1"/>
      <c r="AE331" s="16"/>
    </row>
    <row r="332" spans="1:31" x14ac:dyDescent="0.2">
      <c r="A332" s="4">
        <v>33970</v>
      </c>
      <c r="B332" s="9">
        <f ca="1">Prices!B331*(1+J332/(50*(ABS(O332)+ABS(T332)+0.0001)))</f>
        <v>1.2549963995665001</v>
      </c>
      <c r="C332" s="13">
        <f t="shared" ca="1" si="28"/>
        <v>1</v>
      </c>
      <c r="D332" s="9">
        <f ca="1">D331+C332*(Prices!B332-Prices!B331)/Prices!B331</f>
        <v>-0.39956658999694089</v>
      </c>
      <c r="E332" s="9">
        <f t="shared" ca="1" si="29"/>
        <v>0.43569054125568718</v>
      </c>
      <c r="F332" s="9">
        <f t="shared" ca="1" si="30"/>
        <v>3.6123951258746317E-2</v>
      </c>
      <c r="G332" s="13">
        <f ca="1">IF((Prices!B332-Prices!B331)*B332&gt;0,1,0)</f>
        <v>0</v>
      </c>
      <c r="H332" s="9">
        <f>ABS(Prices!B332-Prices!B331)/Prices!B331</f>
        <v>0</v>
      </c>
      <c r="I332" s="13"/>
      <c r="J332" s="1">
        <f t="shared" ca="1" si="31"/>
        <v>3.8518398630734037E-2</v>
      </c>
      <c r="K332" s="9"/>
      <c r="L332" s="9">
        <f ca="1">L331-O332*Prices!B332</f>
        <v>0.50691977516375619</v>
      </c>
      <c r="M332" s="1">
        <f t="shared" ca="1" si="26"/>
        <v>0.39829409930833781</v>
      </c>
      <c r="N332" s="9">
        <f ca="1">IF(Prices!D331&gt;OFFSET(Prices!D331,-$N$3,0),1,IF(Prices!D331&lt;OFFSET(Prices!D331,-$N$3,0),-1,0))</f>
        <v>1</v>
      </c>
      <c r="O332" s="1">
        <f ca="1">IF(N332=1,O$3*L331/Prices!B331,O$3*M331*N332)</f>
        <v>4.5536760823542383E-2</v>
      </c>
      <c r="P332" s="14"/>
      <c r="Q332" s="9">
        <f ca="1">Q331-T332*Prices!B332</f>
        <v>0.54813626482175348</v>
      </c>
      <c r="R332" s="1">
        <f t="shared" ca="1" si="27"/>
        <v>0.34389974744760887</v>
      </c>
      <c r="S332" s="9">
        <f ca="1">IF(Prices!C331&lt;OFFSET(Prices!C331,-S$3,0),1,IF(Prices!C331&gt;OFFSET(Prices!C331,-S$3,0),-1,0))</f>
        <v>-1</v>
      </c>
      <c r="T332" s="1">
        <f ca="1">IF(S332=1,T$3*Q331/Prices!B331,T$3*R331*S332)</f>
        <v>-7.0183621928083442E-3</v>
      </c>
      <c r="V332" s="9"/>
      <c r="W332" s="1"/>
      <c r="X332" s="1"/>
      <c r="Y332" s="1"/>
      <c r="Z332" s="1"/>
      <c r="AA332" s="1"/>
      <c r="AB332" s="1"/>
      <c r="AC332" s="1"/>
      <c r="AD332" s="1"/>
      <c r="AE332" s="16"/>
    </row>
    <row r="333" spans="1:31" x14ac:dyDescent="0.2">
      <c r="A333" s="4">
        <v>33973</v>
      </c>
      <c r="B333" s="9">
        <f ca="1">Prices!B332*(1+J333/(50*(ABS(O333)+ABS(T333)+0.0001)))</f>
        <v>1.2615884706567997</v>
      </c>
      <c r="C333" s="13">
        <f t="shared" ca="1" si="28"/>
        <v>1</v>
      </c>
      <c r="D333" s="9">
        <f ca="1">D332+C333*(Prices!B333-Prices!B332)/Prices!B332</f>
        <v>-0.41492757309985956</v>
      </c>
      <c r="E333" s="9">
        <f t="shared" ca="1" si="29"/>
        <v>0.45105152435860585</v>
      </c>
      <c r="F333" s="9">
        <f t="shared" ca="1" si="30"/>
        <v>3.6123951258746317E-2</v>
      </c>
      <c r="G333" s="13">
        <f ca="1">IF((Prices!B333-Prices!B332)*B333&gt;0,1,0)</f>
        <v>0</v>
      </c>
      <c r="H333" s="9">
        <f>ABS(Prices!B333-Prices!B332)/Prices!B332</f>
        <v>1.5360983102918689E-2</v>
      </c>
      <c r="I333" s="13"/>
      <c r="J333" s="1">
        <f t="shared" ca="1" si="31"/>
        <v>4.9846149901213263E-2</v>
      </c>
      <c r="K333" s="9"/>
      <c r="L333" s="9">
        <f ca="1">L332-O333*Prices!B333</f>
        <v>0.45700647625746316</v>
      </c>
      <c r="M333" s="1">
        <f t="shared" ca="1" si="26"/>
        <v>0.43927718404952598</v>
      </c>
      <c r="N333" s="9">
        <f ca="1">IF(Prices!D332&gt;OFFSET(Prices!D332,-$N$3,0),1,IF(Prices!D332&lt;OFFSET(Prices!D332,-$N$3,0),-1,0))</f>
        <v>1</v>
      </c>
      <c r="O333" s="1">
        <f ca="1">IF(N333=1,O$3*L332/Prices!B332,O$3*M332*N333)</f>
        <v>4.0983084741188149E-2</v>
      </c>
      <c r="P333" s="14"/>
      <c r="Q333" s="9">
        <f ca="1">Q332-T333*Prices!B333</f>
        <v>0.53734193776335892</v>
      </c>
      <c r="R333" s="1">
        <f t="shared" ca="1" si="27"/>
        <v>0.35276281260763398</v>
      </c>
      <c r="S333" s="9">
        <f ca="1">IF(Prices!C332&lt;OFFSET(Prices!C332,-S$3,0),1,IF(Prices!C332&gt;OFFSET(Prices!C332,-S$3,0),-1,0))</f>
        <v>1</v>
      </c>
      <c r="T333" s="1">
        <f ca="1">IF(S333=1,T$3*Q332/Prices!B332,T$3*R332*S333)</f>
        <v>8.863065160025118E-3</v>
      </c>
      <c r="V333" s="9"/>
      <c r="W333" s="1"/>
      <c r="X333" s="1"/>
      <c r="Y333" s="1"/>
      <c r="Z333" s="1"/>
      <c r="AA333" s="1"/>
      <c r="AB333" s="1"/>
      <c r="AC333" s="1"/>
      <c r="AD333" s="1"/>
      <c r="AE333" s="16"/>
    </row>
    <row r="334" spans="1:31" x14ac:dyDescent="0.2">
      <c r="A334" s="4">
        <v>33974</v>
      </c>
      <c r="B334" s="9">
        <f ca="1">Prices!B333*(1+J334/(50*(ABS(O334)+ABS(T334)+0.0001)))</f>
        <v>1.1935896832059283</v>
      </c>
      <c r="C334" s="13">
        <f t="shared" ca="1" si="28"/>
        <v>-1</v>
      </c>
      <c r="D334" s="9">
        <f ca="1">D333+C334*(Prices!B334-Prices!B333)/Prices!B333</f>
        <v>-0.41788348080985221</v>
      </c>
      <c r="E334" s="9">
        <f t="shared" ca="1" si="29"/>
        <v>0.4540074320685985</v>
      </c>
      <c r="F334" s="9">
        <f t="shared" ca="1" si="30"/>
        <v>3.6123951258746317E-2</v>
      </c>
      <c r="G334" s="13">
        <f ca="1">IF((Prices!B334-Prices!B333)*B334&gt;0,1,0)</f>
        <v>1</v>
      </c>
      <c r="H334" s="9">
        <f>ABS(Prices!B334-Prices!B333)/Prices!B333</f>
        <v>2.9559077099926495E-3</v>
      </c>
      <c r="I334" s="13"/>
      <c r="J334" s="1">
        <f t="shared" ca="1" si="31"/>
        <v>-5.0982974657105287E-2</v>
      </c>
      <c r="K334" s="9"/>
      <c r="L334" s="9">
        <f ca="1">L333-O334*Prices!B334</f>
        <v>0.51066418428911275</v>
      </c>
      <c r="M334" s="1">
        <f t="shared" ca="1" si="26"/>
        <v>0.39534946564457341</v>
      </c>
      <c r="N334" s="9">
        <f ca="1">IF(Prices!D333&gt;OFFSET(Prices!D333,-$N$3,0),1,IF(Prices!D333&lt;OFFSET(Prices!D333,-$N$3,0),-1,0))</f>
        <v>-1</v>
      </c>
      <c r="O334" s="1">
        <f ca="1">IF(N334=1,O$3*L333/Prices!B333,O$3*M333*N334)</f>
        <v>-4.3927718404952604E-2</v>
      </c>
      <c r="P334" s="14"/>
      <c r="Q334" s="9">
        <f ca="1">Q333-T334*Prices!B334</f>
        <v>0.54595993327536341</v>
      </c>
      <c r="R334" s="1">
        <f t="shared" ca="1" si="27"/>
        <v>0.34570755635548128</v>
      </c>
      <c r="S334" s="9">
        <f ca="1">IF(Prices!C333&lt;OFFSET(Prices!C333,-S$3,0),1,IF(Prices!C333&gt;OFFSET(Prices!C333,-S$3,0),-1,0))</f>
        <v>-1</v>
      </c>
      <c r="T334" s="1">
        <f ca="1">IF(S334=1,T$3*Q333/Prices!B333,T$3*R333*S334)</f>
        <v>-7.05525625215268E-3</v>
      </c>
      <c r="V334" s="9"/>
      <c r="W334" s="1"/>
      <c r="X334" s="1"/>
      <c r="Y334" s="1"/>
      <c r="Z334" s="1"/>
      <c r="AA334" s="1"/>
      <c r="AB334" s="1"/>
      <c r="AC334" s="1"/>
      <c r="AD334" s="1"/>
      <c r="AE334" s="16"/>
    </row>
    <row r="335" spans="1:31" x14ac:dyDescent="0.2">
      <c r="A335" s="4">
        <v>33975</v>
      </c>
      <c r="B335" s="9">
        <f ca="1">Prices!B334*(1+J335/(50*(ABS(O335)+ABS(T335)+0.0001)))</f>
        <v>1.1971224822203039</v>
      </c>
      <c r="C335" s="13">
        <f t="shared" ca="1" si="28"/>
        <v>-1</v>
      </c>
      <c r="D335" s="9">
        <f ca="1">D334+C335*(Prices!B335-Prices!B334)/Prices!B334</f>
        <v>-0.41616428310211584</v>
      </c>
      <c r="E335" s="9">
        <f t="shared" ca="1" si="29"/>
        <v>0.45228823436086218</v>
      </c>
      <c r="F335" s="9">
        <f t="shared" ca="1" si="30"/>
        <v>3.6123951258746317E-2</v>
      </c>
      <c r="G335" s="13">
        <f ca="1">IF((Prices!B335-Prices!B334)*B335&gt;0,1,0)</f>
        <v>0</v>
      </c>
      <c r="H335" s="9">
        <f>ABS(Prices!B335-Prices!B334)/Prices!B334</f>
        <v>1.7191977077363821E-3</v>
      </c>
      <c r="I335" s="13"/>
      <c r="J335" s="1">
        <f t="shared" ca="1" si="31"/>
        <v>-4.6449097691566972E-2</v>
      </c>
      <c r="K335" s="9"/>
      <c r="L335" s="9">
        <f ca="1">L334-O335*Prices!B335</f>
        <v>0.55887309812981201</v>
      </c>
      <c r="M335" s="1">
        <f t="shared" ca="1" si="26"/>
        <v>0.35581451908011608</v>
      </c>
      <c r="N335" s="9">
        <f ca="1">IF(Prices!D334&gt;OFFSET(Prices!D334,-$N$3,0),1,IF(Prices!D334&lt;OFFSET(Prices!D334,-$N$3,0),-1,0))</f>
        <v>-1</v>
      </c>
      <c r="O335" s="1">
        <f ca="1">IF(N335=1,O$3*L334/Prices!B334,O$3*M334*N335)</f>
        <v>-3.9534946564457343E-2</v>
      </c>
      <c r="P335" s="14"/>
      <c r="Q335" s="9">
        <f ca="1">Q334-T335*Prices!B335</f>
        <v>0.5543910491597609</v>
      </c>
      <c r="R335" s="1">
        <f t="shared" ca="1" si="27"/>
        <v>0.33879340522837165</v>
      </c>
      <c r="S335" s="9">
        <f ca="1">IF(Prices!C334&lt;OFFSET(Prices!C334,-S$3,0),1,IF(Prices!C334&gt;OFFSET(Prices!C334,-S$3,0),-1,0))</f>
        <v>-1</v>
      </c>
      <c r="T335" s="1">
        <f ca="1">IF(S335=1,T$3*Q334/Prices!B334,T$3*R334*S335)</f>
        <v>-6.9141511271096261E-3</v>
      </c>
      <c r="V335" s="9"/>
      <c r="W335" s="1"/>
      <c r="X335" s="1"/>
      <c r="Y335" s="1"/>
      <c r="Z335" s="1"/>
      <c r="AA335" s="1"/>
      <c r="AB335" s="1"/>
      <c r="AC335" s="1"/>
      <c r="AD335" s="1"/>
      <c r="AE335" s="16"/>
    </row>
    <row r="336" spans="1:31" x14ac:dyDescent="0.2">
      <c r="A336" s="4">
        <v>33976</v>
      </c>
      <c r="B336" s="9">
        <f ca="1">Prices!B335*(1+J336/(50*(ABS(O336)+ABS(T336)+0.0001)))</f>
        <v>1.2374713009720706</v>
      </c>
      <c r="C336" s="13">
        <f t="shared" ca="1" si="28"/>
        <v>1</v>
      </c>
      <c r="D336" s="9">
        <f ca="1">D335+C336*(Prices!B336-Prices!B335)/Prices!B335</f>
        <v>-0.41444212466353952</v>
      </c>
      <c r="E336" s="9">
        <f t="shared" ca="1" si="29"/>
        <v>0.45056607592228581</v>
      </c>
      <c r="F336" s="9">
        <f t="shared" ca="1" si="30"/>
        <v>3.6123951258746317E-2</v>
      </c>
      <c r="G336" s="13">
        <f ca="1">IF((Prices!B336-Prices!B335)*B336&gt;0,1,0)</f>
        <v>1</v>
      </c>
      <c r="H336" s="9">
        <f>ABS(Prices!B336-Prices!B335)/Prices!B335</f>
        <v>1.7221584385763414E-3</v>
      </c>
      <c r="I336" s="13"/>
      <c r="J336" s="1">
        <f t="shared" ca="1" si="31"/>
        <v>3.9055942468649886E-2</v>
      </c>
      <c r="K336" s="9"/>
      <c r="L336" s="9">
        <f ca="1">L335-O336*Prices!B336</f>
        <v>0.50288954151462706</v>
      </c>
      <c r="M336" s="1">
        <f t="shared" ca="1" si="26"/>
        <v>0.40164632965333341</v>
      </c>
      <c r="N336" s="9">
        <f ca="1">IF(Prices!D335&gt;OFFSET(Prices!D335,-$N$3,0),1,IF(Prices!D335&lt;OFFSET(Prices!D335,-$N$3,0),-1,0))</f>
        <v>1</v>
      </c>
      <c r="O336" s="1">
        <f ca="1">IF(N336=1,O$3*L335/Prices!B335,O$3*M335*N336)</f>
        <v>4.5831810573217321E-2</v>
      </c>
      <c r="P336" s="14"/>
      <c r="Q336" s="9">
        <f ca="1">Q335-T336*Prices!B336</f>
        <v>0.56266777204949003</v>
      </c>
      <c r="R336" s="1">
        <f t="shared" ca="1" si="27"/>
        <v>0.33201753712380422</v>
      </c>
      <c r="S336" s="9">
        <f ca="1">IF(Prices!C335&lt;OFFSET(Prices!C335,-S$3,0),1,IF(Prices!C335&gt;OFFSET(Prices!C335,-S$3,0),-1,0))</f>
        <v>-1</v>
      </c>
      <c r="T336" s="1">
        <f ca="1">IF(S336=1,T$3*Q335/Prices!B335,T$3*R335*S336)</f>
        <v>-6.7758681045674328E-3</v>
      </c>
      <c r="V336" s="9"/>
      <c r="W336" s="1"/>
      <c r="X336" s="1"/>
      <c r="Y336" s="1"/>
      <c r="Z336" s="1"/>
      <c r="AA336" s="1"/>
      <c r="AB336" s="1"/>
      <c r="AC336" s="1"/>
      <c r="AD336" s="1"/>
      <c r="AE336" s="16"/>
    </row>
    <row r="337" spans="1:31" x14ac:dyDescent="0.2">
      <c r="A337" s="4">
        <v>33977</v>
      </c>
      <c r="B337" s="9">
        <f ca="1">Prices!B336*(1+J337/(50*(ABS(O337)+ABS(T337)+0.0001)))</f>
        <v>1.2391070138581755</v>
      </c>
      <c r="C337" s="13">
        <f t="shared" ca="1" si="28"/>
        <v>1</v>
      </c>
      <c r="D337" s="9">
        <f ca="1">D336+C337*(Prices!B337-Prices!B336)/Prices!B336</f>
        <v>-0.41657065515883213</v>
      </c>
      <c r="E337" s="9">
        <f t="shared" ca="1" si="29"/>
        <v>0.45269460641757842</v>
      </c>
      <c r="F337" s="9">
        <f t="shared" ca="1" si="30"/>
        <v>3.6123951258746317E-2</v>
      </c>
      <c r="G337" s="13">
        <f ca="1">IF((Prices!B337-Prices!B336)*B337&gt;0,1,0)</f>
        <v>0</v>
      </c>
      <c r="H337" s="9">
        <f>ABS(Prices!B337-Prices!B336)/Prices!B336</f>
        <v>2.1285304952926203E-3</v>
      </c>
      <c r="I337" s="13"/>
      <c r="J337" s="1">
        <f t="shared" ca="1" si="31"/>
        <v>3.4529484829740623E-2</v>
      </c>
      <c r="K337" s="9"/>
      <c r="L337" s="9">
        <f ca="1">L336-O337*Prices!B337</f>
        <v>0.45270762893565208</v>
      </c>
      <c r="M337" s="1">
        <f t="shared" ca="1" si="26"/>
        <v>0.44281616522555012</v>
      </c>
      <c r="N337" s="9">
        <f ca="1">IF(Prices!D336&gt;OFFSET(Prices!D336,-$N$3,0),1,IF(Prices!D336&lt;OFFSET(Prices!D336,-$N$3,0),-1,0))</f>
        <v>1</v>
      </c>
      <c r="O337" s="1">
        <f ca="1">IF(N337=1,O$3*L336/Prices!B336,O$3*M336*N337)</f>
        <v>4.1169835572216706E-2</v>
      </c>
      <c r="P337" s="14"/>
      <c r="Q337" s="9">
        <f ca="1">Q336-T337*Prices!B337</f>
        <v>0.57076169556949419</v>
      </c>
      <c r="R337" s="1">
        <f t="shared" ca="1" si="27"/>
        <v>0.32537718638132812</v>
      </c>
      <c r="S337" s="9">
        <f ca="1">IF(Prices!C336&lt;OFFSET(Prices!C336,-S$3,0),1,IF(Prices!C336&gt;OFFSET(Prices!C336,-S$3,0),-1,0))</f>
        <v>-1</v>
      </c>
      <c r="T337" s="1">
        <f ca="1">IF(S337=1,T$3*Q336/Prices!B336,T$3*R336*S337)</f>
        <v>-6.6403507424760847E-3</v>
      </c>
      <c r="V337" s="9"/>
      <c r="W337" s="1"/>
      <c r="X337" s="1"/>
      <c r="Y337" s="1"/>
      <c r="Z337" s="1"/>
      <c r="AA337" s="1"/>
      <c r="AB337" s="1"/>
      <c r="AC337" s="1"/>
      <c r="AD337" s="1"/>
      <c r="AE337" s="16"/>
    </row>
    <row r="338" spans="1:31" x14ac:dyDescent="0.2">
      <c r="A338" s="4">
        <v>33980</v>
      </c>
      <c r="B338" s="9">
        <f ca="1">Prices!B337*(1+J338/(50*(ABS(O338)+ABS(T338)+0.0001)))</f>
        <v>1.2359698250287359</v>
      </c>
      <c r="C338" s="13">
        <f t="shared" ca="1" si="28"/>
        <v>1</v>
      </c>
      <c r="D338" s="9">
        <f ca="1">D337+C338*(Prices!B338-Prices!B337)/Prices!B337</f>
        <v>-0.40705387773656626</v>
      </c>
      <c r="E338" s="9">
        <f t="shared" ca="1" si="29"/>
        <v>0.44317782899531255</v>
      </c>
      <c r="F338" s="9">
        <f t="shared" ca="1" si="30"/>
        <v>3.6123951258746317E-2</v>
      </c>
      <c r="G338" s="13">
        <f ca="1">IF((Prices!B338-Prices!B337)*B338&gt;0,1,0)</f>
        <v>1</v>
      </c>
      <c r="H338" s="9">
        <f>ABS(Prices!B338-Prices!B337)/Prices!B337</f>
        <v>9.5167774222658392E-3</v>
      </c>
      <c r="I338" s="13"/>
      <c r="J338" s="1">
        <f t="shared" ca="1" si="31"/>
        <v>3.0633126461531872E-2</v>
      </c>
      <c r="K338" s="9"/>
      <c r="L338" s="9">
        <f ca="1">L337-O338*Prices!B338</f>
        <v>0.40700603426789261</v>
      </c>
      <c r="M338" s="1">
        <f t="shared" ref="M338:M401" ca="1" si="32">M337+O338</f>
        <v>0.47995683541470857</v>
      </c>
      <c r="N338" s="9">
        <f ca="1">IF(Prices!D337&gt;OFFSET(Prices!D337,-$N$3,0),1,IF(Prices!D337&lt;OFFSET(Prices!D337,-$N$3,0),-1,0))</f>
        <v>1</v>
      </c>
      <c r="O338" s="1">
        <f ca="1">IF(N338=1,O$3*L337/Prices!B337,O$3*M337*N338)</f>
        <v>3.7140670189158433E-2</v>
      </c>
      <c r="P338" s="14"/>
      <c r="Q338" s="9">
        <f ca="1">Q337-T338*Prices!B338</f>
        <v>0.57876922812633869</v>
      </c>
      <c r="R338" s="1">
        <f t="shared" ref="R338:R401" ca="1" si="33">R337+T338</f>
        <v>0.31886964265370155</v>
      </c>
      <c r="S338" s="9">
        <f ca="1">IF(Prices!C337&lt;OFFSET(Prices!C337,-S$3,0),1,IF(Prices!C337&gt;OFFSET(Prices!C337,-S$3,0),-1,0))</f>
        <v>-1</v>
      </c>
      <c r="T338" s="1">
        <f ca="1">IF(S338=1,T$3*Q337/Prices!B337,T$3*R337*S338)</f>
        <v>-6.5075437276265625E-3</v>
      </c>
      <c r="V338" s="9"/>
      <c r="W338" s="1"/>
      <c r="X338" s="1"/>
      <c r="Y338" s="1"/>
      <c r="Z338" s="1"/>
      <c r="AA338" s="1"/>
      <c r="AB338" s="1"/>
      <c r="AC338" s="1"/>
      <c r="AD338" s="1"/>
      <c r="AE338" s="16"/>
    </row>
    <row r="339" spans="1:31" x14ac:dyDescent="0.2">
      <c r="A339" s="4">
        <v>33981</v>
      </c>
      <c r="B339" s="9">
        <f ca="1">Prices!B338*(1+J339/(50*(ABS(O339)+ABS(T339)+0.0001)))</f>
        <v>1.2059351782818759</v>
      </c>
      <c r="C339" s="13">
        <f t="shared" ca="1" si="28"/>
        <v>-1</v>
      </c>
      <c r="D339" s="9">
        <f ca="1">D338+C339*(Prices!B339-Prices!B338)/Prices!B338</f>
        <v>-0.40307175664757811</v>
      </c>
      <c r="E339" s="9">
        <f t="shared" ca="1" si="29"/>
        <v>0.43919570790632445</v>
      </c>
      <c r="F339" s="9">
        <f t="shared" ca="1" si="30"/>
        <v>3.6123951258746317E-2</v>
      </c>
      <c r="G339" s="13">
        <f ca="1">IF((Prices!B339-Prices!B338)*B339&gt;0,1,0)</f>
        <v>0</v>
      </c>
      <c r="H339" s="9">
        <f>ABS(Prices!B339-Prices!B338)/Prices!B338</f>
        <v>3.9821210889881388E-3</v>
      </c>
      <c r="I339" s="13"/>
      <c r="J339" s="1">
        <f t="shared" ca="1" si="31"/>
        <v>-5.4373076394544889E-2</v>
      </c>
      <c r="K339" s="9"/>
      <c r="L339" s="9">
        <f ca="1">L338-O339*Prices!B339</f>
        <v>0.46582954401631932</v>
      </c>
      <c r="M339" s="1">
        <f t="shared" ca="1" si="32"/>
        <v>0.43196115187323769</v>
      </c>
      <c r="N339" s="9">
        <f ca="1">IF(Prices!D338&gt;OFFSET(Prices!D338,-$N$3,0),1,IF(Prices!D338&lt;OFFSET(Prices!D338,-$N$3,0),-1,0))</f>
        <v>-1</v>
      </c>
      <c r="O339" s="1">
        <f ca="1">IF(N339=1,O$3*L338/Prices!B338,O$3*M338*N339)</f>
        <v>-4.7995683541470859E-2</v>
      </c>
      <c r="P339" s="14"/>
      <c r="Q339" s="9">
        <f ca="1">Q338-T339*Prices!B339</f>
        <v>0.58658536080706625</v>
      </c>
      <c r="R339" s="1">
        <f t="shared" ca="1" si="33"/>
        <v>0.31249224980062751</v>
      </c>
      <c r="S339" s="9">
        <f ca="1">IF(Prices!C338&lt;OFFSET(Prices!C338,-S$3,0),1,IF(Prices!C338&gt;OFFSET(Prices!C338,-S$3,0),-1,0))</f>
        <v>-1</v>
      </c>
      <c r="T339" s="1">
        <f ca="1">IF(S339=1,T$3*Q338/Prices!B338,T$3*R338*S339)</f>
        <v>-6.3773928530740306E-3</v>
      </c>
      <c r="V339" s="9"/>
      <c r="W339" s="1"/>
      <c r="X339" s="1"/>
      <c r="Y339" s="1"/>
      <c r="Z339" s="1"/>
      <c r="AA339" s="1"/>
      <c r="AB339" s="1"/>
      <c r="AC339" s="1"/>
      <c r="AD339" s="1"/>
      <c r="AE339" s="16"/>
    </row>
    <row r="340" spans="1:31" x14ac:dyDescent="0.2">
      <c r="A340" s="4">
        <v>33982</v>
      </c>
      <c r="B340" s="9">
        <f ca="1">Prices!B339*(1+J340/(50*(ABS(O340)+ABS(T340)+0.0001)))</f>
        <v>1.2011374732565669</v>
      </c>
      <c r="C340" s="13">
        <f t="shared" ca="1" si="28"/>
        <v>-1</v>
      </c>
      <c r="D340" s="9">
        <f ca="1">D339+C340*(Prices!B340-Prices!B339)/Prices!B339</f>
        <v>-0.40282697857969302</v>
      </c>
      <c r="E340" s="9">
        <f t="shared" ca="1" si="29"/>
        <v>0.43895092983843931</v>
      </c>
      <c r="F340" s="9">
        <f t="shared" ca="1" si="30"/>
        <v>3.6123951258746317E-2</v>
      </c>
      <c r="G340" s="13">
        <f ca="1">IF((Prices!B340-Prices!B339)*B340&gt;0,1,0)</f>
        <v>0</v>
      </c>
      <c r="H340" s="9">
        <f>ABS(Prices!B340-Prices!B339)/Prices!B339</f>
        <v>2.4477806788509053E-4</v>
      </c>
      <c r="I340" s="13"/>
      <c r="J340" s="1">
        <f t="shared" ca="1" si="31"/>
        <v>-4.9445960183336322E-2</v>
      </c>
      <c r="K340" s="9"/>
      <c r="L340" s="9">
        <f ca="1">L339-O340*Prices!B340</f>
        <v>0.51875774395534713</v>
      </c>
      <c r="M340" s="1">
        <f t="shared" ca="1" si="32"/>
        <v>0.38876503668591389</v>
      </c>
      <c r="N340" s="9">
        <f ca="1">IF(Prices!D339&gt;OFFSET(Prices!D339,-$N$3,0),1,IF(Prices!D339&lt;OFFSET(Prices!D339,-$N$3,0),-1,0))</f>
        <v>-1</v>
      </c>
      <c r="O340" s="1">
        <f ca="1">IF(N340=1,O$3*L339/Prices!B339,O$3*M339*N340)</f>
        <v>-4.3196115187323775E-2</v>
      </c>
      <c r="P340" s="14"/>
      <c r="Q340" s="9">
        <f ca="1">Q339-T340*Prices!B340</f>
        <v>0.59424329588068048</v>
      </c>
      <c r="R340" s="1">
        <f t="shared" ca="1" si="33"/>
        <v>0.30624240480461495</v>
      </c>
      <c r="S340" s="9">
        <f ca="1">IF(Prices!C339&lt;OFFSET(Prices!C339,-S$3,0),1,IF(Prices!C339&gt;OFFSET(Prices!C339,-S$3,0),-1,0))</f>
        <v>-1</v>
      </c>
      <c r="T340" s="1">
        <f ca="1">IF(S340=1,T$3*Q339/Prices!B339,T$3*R339*S340)</f>
        <v>-6.2498449960125503E-3</v>
      </c>
      <c r="V340" s="9"/>
      <c r="W340" s="1"/>
      <c r="X340" s="1"/>
      <c r="Y340" s="1"/>
      <c r="Z340" s="1"/>
      <c r="AA340" s="1"/>
      <c r="AB340" s="1"/>
      <c r="AC340" s="1"/>
      <c r="AD340" s="1"/>
      <c r="AE340" s="16"/>
    </row>
    <row r="341" spans="1:31" x14ac:dyDescent="0.2">
      <c r="A341" s="4">
        <v>33983</v>
      </c>
      <c r="B341" s="9">
        <f ca="1">Prices!B340*(1+J341/(50*(ABS(O341)+ABS(T341)+0.0001)))</f>
        <v>1.2011876802894097</v>
      </c>
      <c r="C341" s="13">
        <f t="shared" ca="1" si="28"/>
        <v>-1</v>
      </c>
      <c r="D341" s="9">
        <f ca="1">D340+C341*(Prices!B341-Prices!B340)/Prices!B340</f>
        <v>-0.40829502722084204</v>
      </c>
      <c r="E341" s="9">
        <f t="shared" ca="1" si="29"/>
        <v>0.44441897847958833</v>
      </c>
      <c r="F341" s="9">
        <f t="shared" ca="1" si="30"/>
        <v>3.6123951258746317E-2</v>
      </c>
      <c r="G341" s="13">
        <f ca="1">IF((Prices!B341-Prices!B340)*B341&gt;0,1,0)</f>
        <v>1</v>
      </c>
      <c r="H341" s="9">
        <f>ABS(Prices!B341-Prices!B340)/Prices!B340</f>
        <v>5.4680486411490476E-3</v>
      </c>
      <c r="I341" s="13"/>
      <c r="J341" s="1">
        <f t="shared" ca="1" si="31"/>
        <v>-6.1248480960922995E-3</v>
      </c>
      <c r="K341" s="9"/>
      <c r="L341" s="9">
        <f ca="1">L340-O341*Prices!B341</f>
        <v>0.51875774395534713</v>
      </c>
      <c r="M341" s="1">
        <f t="shared" ca="1" si="32"/>
        <v>0.38876503668591389</v>
      </c>
      <c r="N341" s="9">
        <f ca="1">IF(Prices!D340&gt;OFFSET(Prices!D340,-$N$3,0),1,IF(Prices!D340&lt;OFFSET(Prices!D340,-$N$3,0),-1,0))</f>
        <v>0</v>
      </c>
      <c r="O341" s="1">
        <f ca="1">IF(N341=1,O$3*L340/Prices!B340,O$3*M340*N341)</f>
        <v>0</v>
      </c>
      <c r="P341" s="14"/>
      <c r="Q341" s="9">
        <f ca="1">Q340-T341*Prices!B341</f>
        <v>0.60178910873506619</v>
      </c>
      <c r="R341" s="1">
        <f t="shared" ca="1" si="33"/>
        <v>0.30011755670852264</v>
      </c>
      <c r="S341" s="9">
        <f ca="1">IF(Prices!C340&lt;OFFSET(Prices!C340,-S$3,0),1,IF(Prices!C340&gt;OFFSET(Prices!C340,-S$3,0),-1,0))</f>
        <v>-1</v>
      </c>
      <c r="T341" s="1">
        <f ca="1">IF(S341=1,T$3*Q340/Prices!B340,T$3*R340*S341)</f>
        <v>-6.1248480960922995E-3</v>
      </c>
      <c r="V341" s="9"/>
      <c r="W341" s="1"/>
      <c r="X341" s="1"/>
      <c r="Y341" s="1"/>
      <c r="Z341" s="1"/>
      <c r="AA341" s="1"/>
      <c r="AB341" s="1"/>
      <c r="AC341" s="1"/>
      <c r="AD341" s="1"/>
      <c r="AE341" s="16"/>
    </row>
    <row r="342" spans="1:31" x14ac:dyDescent="0.2">
      <c r="A342" s="4">
        <v>33984</v>
      </c>
      <c r="B342" s="9">
        <f ca="1">Prices!B341*(1+J342/(50*(ABS(O342)+ABS(T342)+0.0001)))</f>
        <v>1.2074147812969185</v>
      </c>
      <c r="C342" s="13">
        <f t="shared" ca="1" si="28"/>
        <v>-1</v>
      </c>
      <c r="D342" s="9">
        <f ca="1">D341+C342*(Prices!B342-Prices!B341)/Prices!B341</f>
        <v>-0.40512944280525759</v>
      </c>
      <c r="E342" s="9">
        <f t="shared" ca="1" si="29"/>
        <v>0.44125339406400388</v>
      </c>
      <c r="F342" s="9">
        <f t="shared" ca="1" si="30"/>
        <v>3.6123951258746317E-2</v>
      </c>
      <c r="G342" s="13">
        <f ca="1">IF((Prices!B342-Prices!B341)*B342&gt;0,1,0)</f>
        <v>0</v>
      </c>
      <c r="H342" s="9">
        <f>ABS(Prices!B342-Prices!B341)/Prices!B341</f>
        <v>3.1655844155844275E-3</v>
      </c>
      <c r="I342" s="13"/>
      <c r="J342" s="1">
        <f t="shared" ca="1" si="31"/>
        <v>-4.4878854802761846E-2</v>
      </c>
      <c r="K342" s="9"/>
      <c r="L342" s="9">
        <f ca="1">L341-O342*Prices!B342</f>
        <v>0.56650197811074421</v>
      </c>
      <c r="M342" s="1">
        <f t="shared" ca="1" si="32"/>
        <v>0.34988853301732248</v>
      </c>
      <c r="N342" s="9">
        <f ca="1">IF(Prices!D341&gt;OFFSET(Prices!D341,-$N$3,0),1,IF(Prices!D341&lt;OFFSET(Prices!D341,-$N$3,0),-1,0))</f>
        <v>-1</v>
      </c>
      <c r="O342" s="1">
        <f ca="1">IF(N342=1,O$3*L341/Prices!B341,O$3*M341*N342)</f>
        <v>-3.887650366859139E-2</v>
      </c>
      <c r="P342" s="14"/>
      <c r="Q342" s="9">
        <f ca="1">Q341-T342*Prices!B342</f>
        <v>0.60916059616294094</v>
      </c>
      <c r="R342" s="1">
        <f t="shared" ca="1" si="33"/>
        <v>0.29411520557435217</v>
      </c>
      <c r="S342" s="9">
        <f ca="1">IF(Prices!C341&lt;OFFSET(Prices!C341,-S$3,0),1,IF(Prices!C341&gt;OFFSET(Prices!C341,-S$3,0),-1,0))</f>
        <v>-1</v>
      </c>
      <c r="T342" s="1">
        <f ca="1">IF(S342=1,T$3*Q341/Prices!B341,T$3*R341*S342)</f>
        <v>-6.0023511341704529E-3</v>
      </c>
      <c r="V342" s="9"/>
      <c r="W342" s="1"/>
      <c r="X342" s="1"/>
      <c r="Y342" s="1"/>
      <c r="Z342" s="1"/>
      <c r="AA342" s="1"/>
      <c r="AB342" s="1"/>
      <c r="AC342" s="1"/>
      <c r="AD342" s="1"/>
      <c r="AE342" s="16"/>
    </row>
    <row r="343" spans="1:31" x14ac:dyDescent="0.2">
      <c r="A343" s="4">
        <v>33987</v>
      </c>
      <c r="B343" s="9">
        <f ca="1">Prices!B342*(1+J343/(50*(ABS(O343)+ABS(T343)+0.0001)))</f>
        <v>1.2035979494902043</v>
      </c>
      <c r="C343" s="13">
        <f t="shared" ca="1" si="28"/>
        <v>-1</v>
      </c>
      <c r="D343" s="9">
        <f ca="1">D342+C343*(Prices!B343-Prices!B342)/Prices!B342</f>
        <v>-0.41148071713145257</v>
      </c>
      <c r="E343" s="9">
        <f t="shared" ca="1" si="29"/>
        <v>0.44760466839019886</v>
      </c>
      <c r="F343" s="9">
        <f t="shared" ca="1" si="30"/>
        <v>3.6123951258746317E-2</v>
      </c>
      <c r="G343" s="13">
        <f ca="1">IF((Prices!B343-Prices!B342)*B343&gt;0,1,0)</f>
        <v>1</v>
      </c>
      <c r="H343" s="9">
        <f>ABS(Prices!B343-Prices!B342)/Prices!B342</f>
        <v>6.3512743261949596E-3</v>
      </c>
      <c r="I343" s="13"/>
      <c r="J343" s="1">
        <f t="shared" ca="1" si="31"/>
        <v>-4.0871157413219297E-2</v>
      </c>
      <c r="K343" s="9"/>
      <c r="L343" s="9">
        <f ca="1">L342-O343*Prices!B343</f>
        <v>0.6097447019063551</v>
      </c>
      <c r="M343" s="1">
        <f t="shared" ca="1" si="32"/>
        <v>0.31489967971559024</v>
      </c>
      <c r="N343" s="9">
        <f ca="1">IF(Prices!D342&gt;OFFSET(Prices!D342,-$N$3,0),1,IF(Prices!D342&lt;OFFSET(Prices!D342,-$N$3,0),-1,0))</f>
        <v>-1</v>
      </c>
      <c r="O343" s="1">
        <f ca="1">IF(N343=1,O$3*L342/Prices!B342,O$3*M342*N343)</f>
        <v>-3.4988853301732251E-2</v>
      </c>
      <c r="P343" s="14"/>
      <c r="Q343" s="9">
        <f ca="1">Q342-T343*Prices!B343</f>
        <v>0.61643053581432783</v>
      </c>
      <c r="R343" s="1">
        <f t="shared" ca="1" si="33"/>
        <v>0.28823290146286512</v>
      </c>
      <c r="S343" s="9">
        <f ca="1">IF(Prices!C342&lt;OFFSET(Prices!C342,-S$3,0),1,IF(Prices!C342&gt;OFFSET(Prices!C342,-S$3,0),-1,0))</f>
        <v>-1</v>
      </c>
      <c r="T343" s="1">
        <f ca="1">IF(S343=1,T$3*Q342/Prices!B342,T$3*R342*S343)</f>
        <v>-5.8823041114870432E-3</v>
      </c>
      <c r="V343" s="9"/>
      <c r="W343" s="1"/>
      <c r="X343" s="1"/>
      <c r="Y343" s="1"/>
      <c r="Z343" s="1"/>
      <c r="AA343" s="1"/>
      <c r="AB343" s="1"/>
      <c r="AC343" s="1"/>
      <c r="AD343" s="1"/>
      <c r="AE343" s="16"/>
    </row>
    <row r="344" spans="1:31" x14ac:dyDescent="0.2">
      <c r="A344" s="4">
        <v>33988</v>
      </c>
      <c r="B344" s="9">
        <f ca="1">Prices!B343*(1+J344/(50*(ABS(O344)+ABS(T344)+0.0001)))</f>
        <v>1.2112481711885414</v>
      </c>
      <c r="C344" s="13">
        <f t="shared" ca="1" si="28"/>
        <v>-1</v>
      </c>
      <c r="D344" s="9">
        <f ca="1">D343+C344*(Prices!B344-Prices!B343)/Prices!B343</f>
        <v>-0.41690186770997828</v>
      </c>
      <c r="E344" s="9">
        <f t="shared" ca="1" si="29"/>
        <v>0.45302581896872463</v>
      </c>
      <c r="F344" s="9">
        <f t="shared" ca="1" si="30"/>
        <v>3.6123951258746317E-2</v>
      </c>
      <c r="G344" s="13">
        <f ca="1">IF((Prices!B344-Prices!B343)*B344&gt;0,1,0)</f>
        <v>1</v>
      </c>
      <c r="H344" s="9">
        <f>ABS(Prices!B344-Prices!B343)/Prices!B343</f>
        <v>5.421150578525713E-3</v>
      </c>
      <c r="I344" s="13"/>
      <c r="J344" s="1">
        <f t="shared" ca="1" si="31"/>
        <v>-3.7254626000816332E-2</v>
      </c>
      <c r="K344" s="9"/>
      <c r="L344" s="9">
        <f ca="1">L343-O344*Prices!B344</f>
        <v>0.6488741361078143</v>
      </c>
      <c r="M344" s="1">
        <f t="shared" ca="1" si="32"/>
        <v>0.28340971174403123</v>
      </c>
      <c r="N344" s="9">
        <f ca="1">IF(Prices!D343&gt;OFFSET(Prices!D343,-$N$3,0),1,IF(Prices!D343&lt;OFFSET(Prices!D343,-$N$3,0),-1,0))</f>
        <v>-1</v>
      </c>
      <c r="O344" s="1">
        <f ca="1">IF(N344=1,O$3*L343/Prices!B343,O$3*M343*N344)</f>
        <v>-3.1489967971559028E-2</v>
      </c>
      <c r="P344" s="14"/>
      <c r="Q344" s="9">
        <f ca="1">Q343-T344*Prices!B344</f>
        <v>0.62359369988148294</v>
      </c>
      <c r="R344" s="1">
        <f t="shared" ca="1" si="33"/>
        <v>0.28246824343360782</v>
      </c>
      <c r="S344" s="9">
        <f ca="1">IF(Prices!C343&lt;OFFSET(Prices!C343,-S$3,0),1,IF(Prices!C343&gt;OFFSET(Prices!C343,-S$3,0),-1,0))</f>
        <v>-1</v>
      </c>
      <c r="T344" s="1">
        <f ca="1">IF(S344=1,T$3*Q343/Prices!B343,T$3*R343*S344)</f>
        <v>-5.7646580292573029E-3</v>
      </c>
      <c r="V344" s="9"/>
      <c r="W344" s="1"/>
      <c r="X344" s="1"/>
      <c r="Y344" s="1"/>
      <c r="Z344" s="1"/>
      <c r="AA344" s="1"/>
      <c r="AB344" s="1"/>
      <c r="AC344" s="1"/>
      <c r="AD344" s="1"/>
      <c r="AE344" s="16"/>
    </row>
    <row r="345" spans="1:31" x14ac:dyDescent="0.2">
      <c r="A345" s="4">
        <v>33989</v>
      </c>
      <c r="B345" s="9">
        <f ca="1">Prices!B344*(1+J345/(50*(ABS(O345)+ABS(T345)+0.0001)))</f>
        <v>1.2307778250217074</v>
      </c>
      <c r="C345" s="13">
        <f t="shared" ca="1" si="28"/>
        <v>-1</v>
      </c>
      <c r="D345" s="9">
        <f ca="1">D344+C345*(Prices!B345-Prices!B344)/Prices!B344</f>
        <v>-0.42036235378755754</v>
      </c>
      <c r="E345" s="9">
        <f t="shared" ca="1" si="29"/>
        <v>0.45648630504630383</v>
      </c>
      <c r="F345" s="9">
        <f t="shared" ca="1" si="30"/>
        <v>3.6123951258746317E-2</v>
      </c>
      <c r="G345" s="13">
        <f ca="1">IF((Prices!B345-Prices!B344)*B345&gt;0,1,0)</f>
        <v>1</v>
      </c>
      <c r="H345" s="9">
        <f>ABS(Prices!B345-Prices!B344)/Prices!B344</f>
        <v>3.4604860775792456E-3</v>
      </c>
      <c r="I345" s="13"/>
      <c r="J345" s="1">
        <f t="shared" ca="1" si="31"/>
        <v>-1.8304053423212348E-2</v>
      </c>
      <c r="K345" s="9"/>
      <c r="L345" s="9">
        <f ca="1">L344-O345*Prices!B345</f>
        <v>0.68421249306517751</v>
      </c>
      <c r="M345" s="1">
        <f t="shared" ca="1" si="32"/>
        <v>0.25506874056962814</v>
      </c>
      <c r="N345" s="9">
        <f ca="1">IF(Prices!D344&gt;OFFSET(Prices!D344,-$N$3,0),1,IF(Prices!D344&lt;OFFSET(Prices!D344,-$N$3,0),-1,0))</f>
        <v>-1</v>
      </c>
      <c r="O345" s="1">
        <f ca="1">IF(N345=1,O$3*L344/Prices!B344,O$3*M344*N345)</f>
        <v>-2.8340971174403123E-2</v>
      </c>
      <c r="P345" s="14"/>
      <c r="Q345" s="9">
        <f ca="1">Q344-T345*Prices!B345</f>
        <v>0.61107866713752312</v>
      </c>
      <c r="R345" s="1">
        <f t="shared" ca="1" si="33"/>
        <v>0.29250516118479858</v>
      </c>
      <c r="S345" s="9">
        <f ca="1">IF(Prices!C344&lt;OFFSET(Prices!C344,-S$3,0),1,IF(Prices!C344&gt;OFFSET(Prices!C344,-S$3,0),-1,0))</f>
        <v>1</v>
      </c>
      <c r="T345" s="1">
        <f ca="1">IF(S345=1,T$3*Q344/Prices!B344,T$3*R344*S345)</f>
        <v>1.0036917751190777E-2</v>
      </c>
      <c r="V345" s="9"/>
      <c r="W345" s="1"/>
      <c r="X345" s="1"/>
      <c r="Y345" s="1"/>
      <c r="Z345" s="1"/>
      <c r="AA345" s="1"/>
      <c r="AB345" s="1"/>
      <c r="AC345" s="1"/>
      <c r="AD345" s="1"/>
      <c r="AE345" s="16"/>
    </row>
    <row r="346" spans="1:31" x14ac:dyDescent="0.2">
      <c r="A346" s="4">
        <v>33990</v>
      </c>
      <c r="B346" s="9">
        <f ca="1">Prices!B345*(1+J346/(50*(ABS(O346)+ABS(T346)+0.0001)))</f>
        <v>1.2717995003716469</v>
      </c>
      <c r="C346" s="13">
        <f t="shared" ca="1" si="28"/>
        <v>1</v>
      </c>
      <c r="D346" s="9">
        <f ca="1">D345+C346*(Prices!B346-Prices!B345)/Prices!B345</f>
        <v>-0.42645746967495818</v>
      </c>
      <c r="E346" s="9">
        <f t="shared" ca="1" si="29"/>
        <v>0.46258142093370447</v>
      </c>
      <c r="F346" s="9">
        <f t="shared" ca="1" si="30"/>
        <v>3.6123951258746317E-2</v>
      </c>
      <c r="G346" s="13">
        <f ca="1">IF((Prices!B346-Prices!B345)*B346&gt;0,1,0)</f>
        <v>0</v>
      </c>
      <c r="H346" s="9">
        <f>ABS(Prices!B346-Prices!B345)/Prices!B345</f>
        <v>6.0951158874006173E-3</v>
      </c>
      <c r="I346" s="13"/>
      <c r="J346" s="1">
        <f t="shared" ca="1" si="31"/>
        <v>6.4674651254525803E-2</v>
      </c>
      <c r="K346" s="9"/>
      <c r="L346" s="9">
        <f ca="1">L345-O346*Prices!B346</f>
        <v>0.61620827920234367</v>
      </c>
      <c r="M346" s="1">
        <f t="shared" ca="1" si="32"/>
        <v>0.30994182526488656</v>
      </c>
      <c r="N346" s="9">
        <f ca="1">IF(Prices!D345&gt;OFFSET(Prices!D345,-$N$3,0),1,IF(Prices!D345&lt;OFFSET(Prices!D345,-$N$3,0),-1,0))</f>
        <v>1</v>
      </c>
      <c r="O346" s="1">
        <f ca="1">IF(N346=1,O$3*L345/Prices!B345,O$3*M345*N346)</f>
        <v>5.4873084695258451E-2</v>
      </c>
      <c r="P346" s="14"/>
      <c r="Q346" s="9">
        <f ca="1">Q345-T346*Prices!B346</f>
        <v>0.5989315857006231</v>
      </c>
      <c r="R346" s="1">
        <f t="shared" ca="1" si="33"/>
        <v>0.30230672774406592</v>
      </c>
      <c r="S346" s="9">
        <f ca="1">IF(Prices!C345&lt;OFFSET(Prices!C345,-S$3,0),1,IF(Prices!C345&gt;OFFSET(Prices!C345,-S$3,0),-1,0))</f>
        <v>1</v>
      </c>
      <c r="T346" s="1">
        <f ca="1">IF(S346=1,T$3*Q345/Prices!B345,T$3*R345*S346)</f>
        <v>9.8015665592673541E-3</v>
      </c>
      <c r="V346" s="9"/>
      <c r="W346" s="1"/>
      <c r="X346" s="1"/>
      <c r="Y346" s="1"/>
      <c r="Z346" s="1"/>
      <c r="AA346" s="1"/>
      <c r="AB346" s="1"/>
      <c r="AC346" s="1"/>
      <c r="AD346" s="1"/>
      <c r="AE346" s="16"/>
    </row>
    <row r="347" spans="1:31" x14ac:dyDescent="0.2">
      <c r="A347" s="4">
        <v>33991</v>
      </c>
      <c r="B347" s="9">
        <f ca="1">Prices!B346*(1+J347/(50*(ABS(O347)+ABS(T347)+0.0001)))</f>
        <v>1.2640443344038408</v>
      </c>
      <c r="C347" s="13">
        <f t="shared" ca="1" si="28"/>
        <v>1</v>
      </c>
      <c r="D347" s="9">
        <f ca="1">D346+C347*(Prices!B347-Prices!B346)/Prices!B346</f>
        <v>-0.41854977985005698</v>
      </c>
      <c r="E347" s="9">
        <f t="shared" ca="1" si="29"/>
        <v>0.45467373110880327</v>
      </c>
      <c r="F347" s="9">
        <f t="shared" ca="1" si="30"/>
        <v>3.6123951258746317E-2</v>
      </c>
      <c r="G347" s="13">
        <f ca="1">IF((Prices!B347-Prices!B346)*B347&gt;0,1,0)</f>
        <v>1</v>
      </c>
      <c r="H347" s="9">
        <f>ABS(Prices!B347-Prices!B346)/Prices!B346</f>
        <v>7.9076898249011776E-3</v>
      </c>
      <c r="I347" s="13"/>
      <c r="J347" s="1">
        <f t="shared" ca="1" si="31"/>
        <v>5.9387928374281307E-2</v>
      </c>
      <c r="K347" s="9"/>
      <c r="L347" s="9">
        <f ca="1">L346-O347*Prices!B347</f>
        <v>0.55410017288816249</v>
      </c>
      <c r="M347" s="1">
        <f t="shared" ca="1" si="32"/>
        <v>0.35966411036150109</v>
      </c>
      <c r="N347" s="9">
        <f ca="1">IF(Prices!D346&gt;OFFSET(Prices!D346,-$N$3,0),1,IF(Prices!D346&lt;OFFSET(Prices!D346,-$N$3,0),-1,0))</f>
        <v>1</v>
      </c>
      <c r="O347" s="1">
        <f ca="1">IF(N347=1,O$3*L346/Prices!B346,O$3*M346*N347)</f>
        <v>4.9722285096614513E-2</v>
      </c>
      <c r="P347" s="14"/>
      <c r="Q347" s="9">
        <f ca="1">Q346-T347*Prices!B347</f>
        <v>0.58685823068248955</v>
      </c>
      <c r="R347" s="1">
        <f t="shared" ca="1" si="33"/>
        <v>0.3119723710217327</v>
      </c>
      <c r="S347" s="9">
        <f ca="1">IF(Prices!C346&lt;OFFSET(Prices!C346,-S$3,0),1,IF(Prices!C346&gt;OFFSET(Prices!C346,-S$3,0),-1,0))</f>
        <v>1</v>
      </c>
      <c r="T347" s="1">
        <f ca="1">IF(S347=1,T$3*Q346/Prices!B346,T$3*R346*S347)</f>
        <v>9.6656432776667973E-3</v>
      </c>
      <c r="V347" s="9"/>
      <c r="W347" s="1"/>
      <c r="X347" s="1"/>
      <c r="Y347" s="1"/>
      <c r="Z347" s="1"/>
      <c r="AA347" s="1"/>
      <c r="AB347" s="1"/>
      <c r="AC347" s="1"/>
      <c r="AD347" s="1"/>
      <c r="AE347" s="16"/>
    </row>
    <row r="348" spans="1:31" x14ac:dyDescent="0.2">
      <c r="A348" s="4">
        <v>33994</v>
      </c>
      <c r="B348" s="9">
        <f ca="1">Prices!B347*(1+J348/(50*(ABS(O348)+ABS(T348)+0.0001)))</f>
        <v>1.2344997552193846</v>
      </c>
      <c r="C348" s="13">
        <f t="shared" ca="1" si="28"/>
        <v>-1</v>
      </c>
      <c r="D348" s="9">
        <f ca="1">D347+C348*(Prices!B348-Prices!B347)/Prices!B347</f>
        <v>-0.43720321031999521</v>
      </c>
      <c r="E348" s="9">
        <f t="shared" ca="1" si="29"/>
        <v>0.47332716157874155</v>
      </c>
      <c r="F348" s="9">
        <f t="shared" ca="1" si="30"/>
        <v>3.6123951258746317E-2</v>
      </c>
      <c r="G348" s="13">
        <f ca="1">IF((Prices!B348-Prices!B347)*B348&gt;0,1,0)</f>
        <v>1</v>
      </c>
      <c r="H348" s="9">
        <f>ABS(Prices!B348-Prices!B347)/Prices!B347</f>
        <v>1.8653430469938254E-2</v>
      </c>
      <c r="I348" s="13"/>
      <c r="J348" s="1">
        <f t="shared" ca="1" si="31"/>
        <v>-2.6569913867268681E-2</v>
      </c>
      <c r="K348" s="9"/>
      <c r="L348" s="9">
        <f ca="1">L347-O348*Prices!B348</f>
        <v>0.59986383429055989</v>
      </c>
      <c r="M348" s="1">
        <f t="shared" ca="1" si="32"/>
        <v>0.32369769932535097</v>
      </c>
      <c r="N348" s="9">
        <f ca="1">IF(Prices!D347&gt;OFFSET(Prices!D347,-$N$3,0),1,IF(Prices!D347&lt;OFFSET(Prices!D347,-$N$3,0),-1,0))</f>
        <v>-1</v>
      </c>
      <c r="O348" s="1">
        <f ca="1">IF(N348=1,O$3*L347/Prices!B347,O$3*M347*N348)</f>
        <v>-3.5966411036150107E-2</v>
      </c>
      <c r="P348" s="14"/>
      <c r="Q348" s="9">
        <f ca="1">Q347-T348*Prices!B348</f>
        <v>0.57490212768480486</v>
      </c>
      <c r="R348" s="1">
        <f t="shared" ca="1" si="33"/>
        <v>0.32136886819061411</v>
      </c>
      <c r="S348" s="9">
        <f ca="1">IF(Prices!C347&lt;OFFSET(Prices!C347,-S$3,0),1,IF(Prices!C347&gt;OFFSET(Prices!C347,-S$3,0),-1,0))</f>
        <v>1</v>
      </c>
      <c r="T348" s="1">
        <f ca="1">IF(S348=1,T$3*Q347/Prices!B347,T$3*R347*S348)</f>
        <v>9.3964971688814281E-3</v>
      </c>
      <c r="V348" s="9"/>
      <c r="W348" s="1"/>
      <c r="X348" s="1"/>
      <c r="Y348" s="1"/>
      <c r="Z348" s="1"/>
      <c r="AA348" s="1"/>
      <c r="AB348" s="1"/>
      <c r="AC348" s="1"/>
      <c r="AD348" s="1"/>
      <c r="AE348" s="16"/>
    </row>
    <row r="349" spans="1:31" x14ac:dyDescent="0.2">
      <c r="A349" s="4">
        <v>33995</v>
      </c>
      <c r="B349" s="9">
        <f ca="1">Prices!B348*(1+J349/(50*(ABS(O349)+ABS(T349)+0.0001)))</f>
        <v>1.258094087769029</v>
      </c>
      <c r="C349" s="13">
        <f t="shared" ca="1" si="28"/>
        <v>-1</v>
      </c>
      <c r="D349" s="9">
        <f ca="1">D348+C349*(Prices!B349-Prices!B348)/Prices!B348</f>
        <v>-0.43453109463310424</v>
      </c>
      <c r="E349" s="9">
        <f t="shared" ca="1" si="29"/>
        <v>0.47065504589185059</v>
      </c>
      <c r="F349" s="9">
        <f t="shared" ca="1" si="30"/>
        <v>3.6123951258746317E-2</v>
      </c>
      <c r="G349" s="13">
        <f ca="1">IF((Prices!B349-Prices!B348)*B349&gt;0,1,0)</f>
        <v>0</v>
      </c>
      <c r="H349" s="9">
        <f>ABS(Prices!B349-Prices!B348)/Prices!B348</f>
        <v>2.6721156868909695E-3</v>
      </c>
      <c r="I349" s="13"/>
      <c r="J349" s="1">
        <f t="shared" ca="1" si="31"/>
        <v>-2.3333269968926092E-2</v>
      </c>
      <c r="K349" s="9"/>
      <c r="L349" s="9">
        <f ca="1">L348-O349*Prices!B349</f>
        <v>0.6409410723349469</v>
      </c>
      <c r="M349" s="1">
        <f t="shared" ca="1" si="32"/>
        <v>0.29132792939281588</v>
      </c>
      <c r="N349" s="9">
        <f ca="1">IF(Prices!D348&gt;OFFSET(Prices!D348,-$N$3,0),1,IF(Prices!D348&lt;OFFSET(Prices!D348,-$N$3,0),-1,0))</f>
        <v>-1</v>
      </c>
      <c r="O349" s="1">
        <f ca="1">IF(N349=1,O$3*L348/Prices!B348,O$3*M348*N349)</f>
        <v>-3.2369769932535097E-2</v>
      </c>
      <c r="P349" s="14"/>
      <c r="Q349" s="9">
        <f ca="1">Q348-T349*Prices!B349</f>
        <v>0.56343480923098499</v>
      </c>
      <c r="R349" s="1">
        <f t="shared" ca="1" si="33"/>
        <v>0.33040536815422311</v>
      </c>
      <c r="S349" s="9">
        <f ca="1">IF(Prices!C348&lt;OFFSET(Prices!C348,-S$3,0),1,IF(Prices!C348&gt;OFFSET(Prices!C348,-S$3,0),-1,0))</f>
        <v>1</v>
      </c>
      <c r="T349" s="1">
        <f ca="1">IF(S349=1,T$3*Q348/Prices!B348,T$3*R348*S349)</f>
        <v>9.036499963609005E-3</v>
      </c>
      <c r="V349" s="9"/>
      <c r="W349" s="1"/>
      <c r="X349" s="1"/>
      <c r="Y349" s="1"/>
      <c r="Z349" s="1"/>
      <c r="AA349" s="1"/>
      <c r="AB349" s="1"/>
      <c r="AC349" s="1"/>
      <c r="AD349" s="1"/>
      <c r="AE349" s="16"/>
    </row>
    <row r="350" spans="1:31" x14ac:dyDescent="0.2">
      <c r="A350" s="4">
        <v>33996</v>
      </c>
      <c r="B350" s="9">
        <f ca="1">Prices!B349*(1+J350/(50*(ABS(O350)+ABS(T350)+0.0001)))</f>
        <v>1.255513278755735</v>
      </c>
      <c r="C350" s="13">
        <f t="shared" ca="1" si="28"/>
        <v>-1</v>
      </c>
      <c r="D350" s="9">
        <f ca="1">D349+C350*(Prices!B350-Prices!B349)/Prices!B349</f>
        <v>-0.42925134680016497</v>
      </c>
      <c r="E350" s="9">
        <f t="shared" ca="1" si="29"/>
        <v>0.46537529805891131</v>
      </c>
      <c r="F350" s="9">
        <f t="shared" ca="1" si="30"/>
        <v>3.6123951258746317E-2</v>
      </c>
      <c r="G350" s="13">
        <f ca="1">IF((Prices!B350-Prices!B349)*B350&gt;0,1,0)</f>
        <v>0</v>
      </c>
      <c r="H350" s="9">
        <f>ABS(Prices!B350-Prices!B349)/Prices!B349</f>
        <v>5.2797478329392657E-3</v>
      </c>
      <c r="I350" s="13"/>
      <c r="J350" s="1">
        <f t="shared" ca="1" si="31"/>
        <v>-2.0252811706326743E-2</v>
      </c>
      <c r="K350" s="9"/>
      <c r="L350" s="9">
        <f ca="1">L349-O350*Prices!B350</f>
        <v>0.67771539686220206</v>
      </c>
      <c r="M350" s="1">
        <f t="shared" ca="1" si="32"/>
        <v>0.26219513645353432</v>
      </c>
      <c r="N350" s="9">
        <f ca="1">IF(Prices!D349&gt;OFFSET(Prices!D349,-$N$3,0),1,IF(Prices!D349&lt;OFFSET(Prices!D349,-$N$3,0),-1,0))</f>
        <v>-1</v>
      </c>
      <c r="O350" s="1">
        <f ca="1">IF(N350=1,O$3*L349/Prices!B349,O$3*M349*N350)</f>
        <v>-2.9132792939281588E-2</v>
      </c>
      <c r="P350" s="14"/>
      <c r="Q350" s="9">
        <f ca="1">Q349-T350*Prices!B350</f>
        <v>0.55222560892062611</v>
      </c>
      <c r="R350" s="1">
        <f t="shared" ca="1" si="33"/>
        <v>0.33928534938717797</v>
      </c>
      <c r="S350" s="9">
        <f ca="1">IF(Prices!C349&lt;OFFSET(Prices!C349,-S$3,0),1,IF(Prices!C349&gt;OFFSET(Prices!C349,-S$3,0),-1,0))</f>
        <v>1</v>
      </c>
      <c r="T350" s="1">
        <f ca="1">IF(S350=1,T$3*Q349/Prices!B349,T$3*R349*S350)</f>
        <v>8.8799812329548467E-3</v>
      </c>
      <c r="V350" s="9"/>
      <c r="W350" s="1"/>
      <c r="X350" s="1"/>
      <c r="Y350" s="1"/>
      <c r="Z350" s="1"/>
      <c r="AA350" s="1"/>
      <c r="AB350" s="1"/>
      <c r="AC350" s="1"/>
      <c r="AD350" s="1"/>
      <c r="AE350" s="16"/>
    </row>
    <row r="351" spans="1:31" x14ac:dyDescent="0.2">
      <c r="A351" s="4">
        <v>33997</v>
      </c>
      <c r="B351" s="9">
        <f ca="1">Prices!B350*(1+J351/(50*(ABS(O351)+ABS(T351)+0.0001)))</f>
        <v>1.2872607188137455</v>
      </c>
      <c r="C351" s="13">
        <f t="shared" ca="1" si="28"/>
        <v>1</v>
      </c>
      <c r="D351" s="9">
        <f ca="1">D350+C351*(Prices!B351-Prices!B350)/Prices!B350</f>
        <v>-0.43305392938750548</v>
      </c>
      <c r="E351" s="9">
        <f t="shared" ca="1" si="29"/>
        <v>0.46917788064625177</v>
      </c>
      <c r="F351" s="9">
        <f t="shared" ca="1" si="30"/>
        <v>3.6123951258746317E-2</v>
      </c>
      <c r="G351" s="13">
        <f ca="1">IF((Prices!B351-Prices!B350)*B351&gt;0,1,0)</f>
        <v>0</v>
      </c>
      <c r="H351" s="9">
        <f>ABS(Prices!B351-Prices!B350)/Prices!B350</f>
        <v>3.8025825873405019E-3</v>
      </c>
      <c r="I351" s="13"/>
      <c r="J351" s="1">
        <f t="shared" ca="1" si="31"/>
        <v>8.7495145198546488E-3</v>
      </c>
      <c r="K351" s="9"/>
      <c r="L351" s="9">
        <f ca="1">L350-O351*Prices!B351</f>
        <v>0.67771539686220206</v>
      </c>
      <c r="M351" s="1">
        <f t="shared" ca="1" si="32"/>
        <v>0.26219513645353432</v>
      </c>
      <c r="N351" s="9">
        <f ca="1">IF(Prices!D350&gt;OFFSET(Prices!D350,-$N$3,0),1,IF(Prices!D350&lt;OFFSET(Prices!D350,-$N$3,0),-1,0))</f>
        <v>0</v>
      </c>
      <c r="O351" s="1">
        <f ca="1">IF(N351=1,O$3*L350/Prices!B350,O$3*M350*N351)</f>
        <v>0</v>
      </c>
      <c r="P351" s="14"/>
      <c r="Q351" s="9">
        <f ca="1">Q350-T351*Prices!B351</f>
        <v>0.54122309441190886</v>
      </c>
      <c r="R351" s="1">
        <f t="shared" ca="1" si="33"/>
        <v>0.34803486390703264</v>
      </c>
      <c r="S351" s="9">
        <f ca="1">IF(Prices!C350&lt;OFFSET(Prices!C350,-S$3,0),1,IF(Prices!C350&gt;OFFSET(Prices!C350,-S$3,0),-1,0))</f>
        <v>1</v>
      </c>
      <c r="T351" s="1">
        <f ca="1">IF(S351=1,T$3*Q350/Prices!B350,T$3*R350*S351)</f>
        <v>8.7495145198546488E-3</v>
      </c>
      <c r="V351" s="9"/>
      <c r="W351" s="1"/>
      <c r="X351" s="1"/>
      <c r="Y351" s="1"/>
      <c r="Z351" s="1"/>
      <c r="AA351" s="1"/>
      <c r="AB351" s="1"/>
      <c r="AC351" s="1"/>
      <c r="AD351" s="1"/>
      <c r="AE351" s="16"/>
    </row>
    <row r="352" spans="1:31" x14ac:dyDescent="0.2">
      <c r="A352" s="4">
        <v>33998</v>
      </c>
      <c r="B352" s="9">
        <f ca="1">Prices!B351*(1+J352/(50*(ABS(O352)+ABS(T352)+0.0001)))</f>
        <v>1.2448185213142127</v>
      </c>
      <c r="C352" s="13">
        <f t="shared" ca="1" si="28"/>
        <v>-1</v>
      </c>
      <c r="D352" s="9">
        <f ca="1">D351+C352*(Prices!B352-Prices!B351)/Prices!B351</f>
        <v>-0.41945551984476187</v>
      </c>
      <c r="E352" s="9">
        <f t="shared" ca="1" si="29"/>
        <v>0.45557947110350816</v>
      </c>
      <c r="F352" s="9">
        <f t="shared" ca="1" si="30"/>
        <v>3.6123951258746317E-2</v>
      </c>
      <c r="G352" s="13">
        <f ca="1">IF((Prices!B352-Prices!B351)*B352&gt;0,1,0)</f>
        <v>0</v>
      </c>
      <c r="H352" s="9">
        <f>ABS(Prices!B352-Prices!B351)/Prices!B351</f>
        <v>1.359840954274363E-2</v>
      </c>
      <c r="I352" s="13"/>
      <c r="J352" s="1">
        <f t="shared" ca="1" si="31"/>
        <v>-1.7611591666635201E-2</v>
      </c>
      <c r="K352" s="9"/>
      <c r="L352" s="9">
        <f ca="1">L351-O352*Prices!B352</f>
        <v>0.71023808158789847</v>
      </c>
      <c r="M352" s="1">
        <f t="shared" ca="1" si="32"/>
        <v>0.23597562280818088</v>
      </c>
      <c r="N352" s="9">
        <f ca="1">IF(Prices!D351&gt;OFFSET(Prices!D351,-$N$3,0),1,IF(Prices!D351&lt;OFFSET(Prices!D351,-$N$3,0),-1,0))</f>
        <v>-1</v>
      </c>
      <c r="O352" s="1">
        <f ca="1">IF(N352=1,O$3*L351/Prices!B351,O$3*M351*N352)</f>
        <v>-2.6219513645353434E-2</v>
      </c>
      <c r="P352" s="14"/>
      <c r="Q352" s="9">
        <f ca="1">Q351-T352*Prices!B352</f>
        <v>0.53054582798950678</v>
      </c>
      <c r="R352" s="1">
        <f t="shared" ca="1" si="33"/>
        <v>0.35664278588575088</v>
      </c>
      <c r="S352" s="9">
        <f ca="1">IF(Prices!C351&lt;OFFSET(Prices!C351,-S$3,0),1,IF(Prices!C351&gt;OFFSET(Prices!C351,-S$3,0),-1,0))</f>
        <v>1</v>
      </c>
      <c r="T352" s="1">
        <f ca="1">IF(S352=1,T$3*Q351/Prices!B351,T$3*R351*S352)</f>
        <v>8.6079219787182325E-3</v>
      </c>
      <c r="V352" s="9"/>
      <c r="W352" s="1"/>
      <c r="X352" s="1"/>
      <c r="Y352" s="1"/>
      <c r="Z352" s="1"/>
      <c r="AA352" s="1"/>
      <c r="AB352" s="1"/>
      <c r="AC352" s="1"/>
      <c r="AD352" s="1"/>
      <c r="AE352" s="16"/>
    </row>
    <row r="353" spans="1:31" x14ac:dyDescent="0.2">
      <c r="A353" s="4">
        <v>34001</v>
      </c>
      <c r="B353" s="9">
        <f ca="1">Prices!B352*(1+J353/(50*(ABS(O353)+ABS(T353)+0.0001)))</f>
        <v>1.2156724659865499</v>
      </c>
      <c r="C353" s="13">
        <f t="shared" ca="1" si="28"/>
        <v>-1</v>
      </c>
      <c r="D353" s="9">
        <f ca="1">D352+C353*(Prices!B353-Prices!B352)/Prices!B352</f>
        <v>-0.4042991186838461</v>
      </c>
      <c r="E353" s="9">
        <f t="shared" ca="1" si="29"/>
        <v>0.44042306994259239</v>
      </c>
      <c r="F353" s="9">
        <f t="shared" ca="1" si="30"/>
        <v>3.6123951258746317E-2</v>
      </c>
      <c r="G353" s="13">
        <f ca="1">IF((Prices!B353-Prices!B352)*B353&gt;0,1,0)</f>
        <v>0</v>
      </c>
      <c r="H353" s="9">
        <f>ABS(Prices!B353-Prices!B352)/Prices!B352</f>
        <v>1.5156401160915775E-2</v>
      </c>
      <c r="I353" s="13"/>
      <c r="J353" s="1">
        <f t="shared" ca="1" si="31"/>
        <v>-3.0730417998533106E-2</v>
      </c>
      <c r="K353" s="9"/>
      <c r="L353" s="9">
        <f ca="1">L352-O353*Prices!B353</f>
        <v>0.7390648636701459</v>
      </c>
      <c r="M353" s="1">
        <f t="shared" ca="1" si="32"/>
        <v>0.2123780605273628</v>
      </c>
      <c r="N353" s="9">
        <f ca="1">IF(Prices!D352&gt;OFFSET(Prices!D352,-$N$3,0),1,IF(Prices!D352&lt;OFFSET(Prices!D352,-$N$3,0),-1,0))</f>
        <v>-1</v>
      </c>
      <c r="O353" s="1">
        <f ca="1">IF(N353=1,O$3*L352/Prices!B352,O$3*M352*N353)</f>
        <v>-2.359756228081809E-2</v>
      </c>
      <c r="P353" s="14"/>
      <c r="Q353" s="9">
        <f ca="1">Q352-T353*Prices!B353</f>
        <v>0.53925932453426739</v>
      </c>
      <c r="R353" s="1">
        <f t="shared" ca="1" si="33"/>
        <v>0.34950993016803589</v>
      </c>
      <c r="S353" s="9">
        <f ca="1">IF(Prices!C352&lt;OFFSET(Prices!C352,-S$3,0),1,IF(Prices!C352&gt;OFFSET(Prices!C352,-S$3,0),-1,0))</f>
        <v>-1</v>
      </c>
      <c r="T353" s="1">
        <f ca="1">IF(S353=1,T$3*Q352/Prices!B352,T$3*R352*S353)</f>
        <v>-7.1328557177150181E-3</v>
      </c>
      <c r="V353" s="9"/>
      <c r="W353" s="1"/>
      <c r="X353" s="1"/>
      <c r="Y353" s="1"/>
      <c r="Z353" s="1"/>
      <c r="AA353" s="1"/>
      <c r="AB353" s="1"/>
      <c r="AC353" s="1"/>
      <c r="AD353" s="1"/>
      <c r="AE353" s="16"/>
    </row>
    <row r="354" spans="1:31" x14ac:dyDescent="0.2">
      <c r="A354" s="4">
        <v>34002</v>
      </c>
      <c r="B354" s="9">
        <f ca="1">Prices!B353*(1+J354/(50*(ABS(O354)+ABS(T354)+0.0001)))</f>
        <v>1.1972542468087557</v>
      </c>
      <c r="C354" s="13">
        <f t="shared" ca="1" si="28"/>
        <v>-1</v>
      </c>
      <c r="D354" s="9">
        <f ca="1">D353+C354*(Prices!B354-Prices!B353)/Prices!B353</f>
        <v>-0.39775033020971379</v>
      </c>
      <c r="E354" s="9">
        <f t="shared" ca="1" si="29"/>
        <v>0.43387428146846008</v>
      </c>
      <c r="F354" s="9">
        <f t="shared" ca="1" si="30"/>
        <v>3.6123951258746317E-2</v>
      </c>
      <c r="G354" s="13">
        <f ca="1">IF((Prices!B354-Prices!B353)*B354&gt;0,1,0)</f>
        <v>0</v>
      </c>
      <c r="H354" s="9">
        <f>ABS(Prices!B354-Prices!B353)/Prices!B353</f>
        <v>6.5487884741322914E-3</v>
      </c>
      <c r="I354" s="13"/>
      <c r="J354" s="1">
        <f t="shared" ca="1" si="31"/>
        <v>-2.8228004656097001E-2</v>
      </c>
      <c r="K354" s="9"/>
      <c r="L354" s="9">
        <f ca="1">L353-O354*Prices!B354</f>
        <v>0.76483906509574662</v>
      </c>
      <c r="M354" s="1">
        <f t="shared" ca="1" si="32"/>
        <v>0.19114025447462651</v>
      </c>
      <c r="N354" s="9">
        <f ca="1">IF(Prices!D353&gt;OFFSET(Prices!D353,-$N$3,0),1,IF(Prices!D353&lt;OFFSET(Prices!D353,-$N$3,0),-1,0))</f>
        <v>-1</v>
      </c>
      <c r="O354" s="1">
        <f ca="1">IF(N354=1,O$3*L353/Prices!B353,O$3*M353*N354)</f>
        <v>-2.1237806052736282E-2</v>
      </c>
      <c r="P354" s="14"/>
      <c r="Q354" s="9">
        <f ca="1">Q353-T354*Prices!B354</f>
        <v>0.54774262955930597</v>
      </c>
      <c r="R354" s="1">
        <f t="shared" ca="1" si="33"/>
        <v>0.34251973156467519</v>
      </c>
      <c r="S354" s="9">
        <f ca="1">IF(Prices!C353&lt;OFFSET(Prices!C353,-S$3,0),1,IF(Prices!C353&gt;OFFSET(Prices!C353,-S$3,0),-1,0))</f>
        <v>-1</v>
      </c>
      <c r="T354" s="1">
        <f ca="1">IF(S354=1,T$3*Q353/Prices!B353,T$3*R353*S354)</f>
        <v>-6.9901986033607177E-3</v>
      </c>
      <c r="V354" s="9"/>
      <c r="W354" s="1"/>
      <c r="X354" s="1"/>
      <c r="Y354" s="1"/>
      <c r="Z354" s="1"/>
      <c r="AA354" s="1"/>
      <c r="AB354" s="1"/>
      <c r="AC354" s="1"/>
      <c r="AD354" s="1"/>
      <c r="AE354" s="16"/>
    </row>
    <row r="355" spans="1:31" x14ac:dyDescent="0.2">
      <c r="A355" s="4">
        <v>34003</v>
      </c>
      <c r="B355" s="9">
        <f ca="1">Prices!B354*(1+J355/(50*(ABS(O355)+ABS(T355)+0.0001)))</f>
        <v>1.2330848099650535</v>
      </c>
      <c r="C355" s="13">
        <f t="shared" ca="1" si="28"/>
        <v>1</v>
      </c>
      <c r="D355" s="9">
        <f ca="1">D354+C355*(Prices!B355-Prices!B354)/Prices!B354</f>
        <v>-0.39882152335407772</v>
      </c>
      <c r="E355" s="9">
        <f t="shared" ca="1" si="29"/>
        <v>0.43494547461282407</v>
      </c>
      <c r="F355" s="9">
        <f t="shared" ca="1" si="30"/>
        <v>3.6123951258746317E-2</v>
      </c>
      <c r="G355" s="13">
        <f ca="1">IF((Prices!B355-Prices!B354)*B355&gt;0,1,0)</f>
        <v>0</v>
      </c>
      <c r="H355" s="9">
        <f>ABS(Prices!B355-Prices!B354)/Prices!B354</f>
        <v>1.071193144363941E-3</v>
      </c>
      <c r="I355" s="13"/>
      <c r="J355" s="1">
        <f t="shared" ca="1" si="31"/>
        <v>5.6171940989648041E-2</v>
      </c>
      <c r="K355" s="9"/>
      <c r="L355" s="9">
        <f ca="1">L354-O355*Prices!B355</f>
        <v>0.68843708762247924</v>
      </c>
      <c r="M355" s="1">
        <f t="shared" ca="1" si="32"/>
        <v>0.25416259009556808</v>
      </c>
      <c r="N355" s="9">
        <f ca="1">IF(Prices!D354&gt;OFFSET(Prices!D354,-$N$3,0),1,IF(Prices!D354&lt;OFFSET(Prices!D354,-$N$3,0),-1,0))</f>
        <v>1</v>
      </c>
      <c r="O355" s="1">
        <f ca="1">IF(N355=1,O$3*L354/Prices!B354,O$3*M354*N355)</f>
        <v>6.3022335620941547E-2</v>
      </c>
      <c r="P355" s="14"/>
      <c r="Q355" s="9">
        <f ca="1">Q354-T355*Prices!B355</f>
        <v>0.55604736297082313</v>
      </c>
      <c r="R355" s="1">
        <f t="shared" ca="1" si="33"/>
        <v>0.33566933693338169</v>
      </c>
      <c r="S355" s="9">
        <f ca="1">IF(Prices!C354&lt;OFFSET(Prices!C354,-S$3,0),1,IF(Prices!C354&gt;OFFSET(Prices!C354,-S$3,0),-1,0))</f>
        <v>-1</v>
      </c>
      <c r="T355" s="1">
        <f ca="1">IF(S355=1,T$3*Q354/Prices!B354,T$3*R354*S355)</f>
        <v>-6.8503946312935037E-3</v>
      </c>
      <c r="V355" s="9"/>
      <c r="W355" s="1"/>
      <c r="X355" s="1"/>
      <c r="Y355" s="1"/>
      <c r="Z355" s="1"/>
      <c r="AA355" s="1"/>
      <c r="AB355" s="1"/>
      <c r="AC355" s="1"/>
      <c r="AD355" s="1"/>
      <c r="AE355" s="16"/>
    </row>
    <row r="356" spans="1:31" x14ac:dyDescent="0.2">
      <c r="A356" s="4">
        <v>34004</v>
      </c>
      <c r="B356" s="9">
        <f ca="1">Prices!B355*(1+J356/(50*(ABS(O356)+ABS(T356)+0.0001)))</f>
        <v>1.231389323417893</v>
      </c>
      <c r="C356" s="13">
        <f t="shared" ca="1" si="28"/>
        <v>1</v>
      </c>
      <c r="D356" s="9">
        <f ca="1">D355+C356*(Prices!B356-Prices!B355)/Prices!B355</f>
        <v>-0.40608045266200476</v>
      </c>
      <c r="E356" s="9">
        <f t="shared" ca="1" si="29"/>
        <v>0.44220440392075111</v>
      </c>
      <c r="F356" s="9">
        <f t="shared" ca="1" si="30"/>
        <v>3.6123951258746317E-2</v>
      </c>
      <c r="G356" s="13">
        <f ca="1">IF((Prices!B356-Prices!B355)*B356&gt;0,1,0)</f>
        <v>0</v>
      </c>
      <c r="H356" s="9">
        <f>ABS(Prices!B356-Prices!B355)/Prices!B355</f>
        <v>7.2589293079270145E-3</v>
      </c>
      <c r="I356" s="13"/>
      <c r="J356" s="1">
        <f t="shared" ca="1" si="31"/>
        <v>5.0074296806863934E-2</v>
      </c>
      <c r="K356" s="9"/>
      <c r="L356" s="9">
        <f ca="1">L355-O356*Prices!B356</f>
        <v>0.62009311047543203</v>
      </c>
      <c r="M356" s="1">
        <f t="shared" ca="1" si="32"/>
        <v>0.31095027364109962</v>
      </c>
      <c r="N356" s="9">
        <f ca="1">IF(Prices!D355&gt;OFFSET(Prices!D355,-$N$3,0),1,IF(Prices!D355&lt;OFFSET(Prices!D355,-$N$3,0),-1,0))</f>
        <v>1</v>
      </c>
      <c r="O356" s="1">
        <f ca="1">IF(N356=1,O$3*L355/Prices!B355,O$3*M355*N356)</f>
        <v>5.678768354553157E-2</v>
      </c>
      <c r="P356" s="14"/>
      <c r="Q356" s="9">
        <f ca="1">Q355-T356*Prices!B356</f>
        <v>0.56412692391080965</v>
      </c>
      <c r="R356" s="1">
        <f t="shared" ca="1" si="33"/>
        <v>0.32895595019471408</v>
      </c>
      <c r="S356" s="9">
        <f ca="1">IF(Prices!C355&lt;OFFSET(Prices!C355,-S$3,0),1,IF(Prices!C355&gt;OFFSET(Prices!C355,-S$3,0),-1,0))</f>
        <v>-1</v>
      </c>
      <c r="T356" s="1">
        <f ca="1">IF(S356=1,T$3*Q355/Prices!B355,T$3*R355*S356)</f>
        <v>-6.713386738667634E-3</v>
      </c>
      <c r="V356" s="9"/>
      <c r="W356" s="1"/>
      <c r="X356" s="1"/>
      <c r="Y356" s="1"/>
      <c r="Z356" s="1"/>
      <c r="AA356" s="1"/>
      <c r="AB356" s="1"/>
      <c r="AC356" s="1"/>
      <c r="AD356" s="1"/>
      <c r="AE356" s="16"/>
    </row>
    <row r="357" spans="1:31" x14ac:dyDescent="0.2">
      <c r="A357" s="4">
        <v>34005</v>
      </c>
      <c r="B357" s="9">
        <f ca="1">Prices!B356*(1+J357/(50*(ABS(O357)+ABS(T357)+0.0001)))</f>
        <v>1.1794937208310825</v>
      </c>
      <c r="C357" s="13">
        <f t="shared" ca="1" si="28"/>
        <v>-1</v>
      </c>
      <c r="D357" s="9">
        <f ca="1">D356+C357*(Prices!B357-Prices!B356)/Prices!B356</f>
        <v>-0.41031809287804122</v>
      </c>
      <c r="E357" s="9">
        <f t="shared" ca="1" si="29"/>
        <v>0.44644204413678756</v>
      </c>
      <c r="F357" s="9">
        <f t="shared" ca="1" si="30"/>
        <v>3.6123951258746317E-2</v>
      </c>
      <c r="G357" s="13">
        <f ca="1">IF((Prices!B357-Prices!B356)*B357&gt;0,1,0)</f>
        <v>1</v>
      </c>
      <c r="H357" s="9">
        <f>ABS(Prices!B357-Prices!B356)/Prices!B356</f>
        <v>4.2376402160364621E-3</v>
      </c>
      <c r="I357" s="13"/>
      <c r="J357" s="1">
        <f t="shared" ca="1" si="31"/>
        <v>-3.7674146368004244E-2</v>
      </c>
      <c r="K357" s="9"/>
      <c r="L357" s="9">
        <f ca="1">L356-O357*Prices!B357</f>
        <v>0.65767456054769535</v>
      </c>
      <c r="M357" s="1">
        <f t="shared" ca="1" si="32"/>
        <v>0.27985524627698966</v>
      </c>
      <c r="N357" s="9">
        <f ca="1">IF(Prices!D356&gt;OFFSET(Prices!D356,-$N$3,0),1,IF(Prices!D356&lt;OFFSET(Prices!D356,-$N$3,0),-1,0))</f>
        <v>-1</v>
      </c>
      <c r="O357" s="1">
        <f ca="1">IF(N357=1,O$3*L356/Prices!B356,O$3*M356*N357)</f>
        <v>-3.1095027364109962E-2</v>
      </c>
      <c r="P357" s="14"/>
      <c r="Q357" s="9">
        <f ca="1">Q356-T357*Prices!B357</f>
        <v>0.57207844713891631</v>
      </c>
      <c r="R357" s="1">
        <f t="shared" ca="1" si="33"/>
        <v>0.32237683119081978</v>
      </c>
      <c r="S357" s="9">
        <f ca="1">IF(Prices!C356&lt;OFFSET(Prices!C356,-S$3,0),1,IF(Prices!C356&gt;OFFSET(Prices!C356,-S$3,0),-1,0))</f>
        <v>-1</v>
      </c>
      <c r="T357" s="1">
        <f ca="1">IF(S357=1,T$3*Q356/Prices!B356,T$3*R356*S357)</f>
        <v>-6.5791190038942821E-3</v>
      </c>
      <c r="V357" s="9"/>
      <c r="W357" s="1"/>
      <c r="X357" s="1"/>
      <c r="Y357" s="1"/>
      <c r="Z357" s="1"/>
      <c r="AA357" s="1"/>
      <c r="AB357" s="1"/>
      <c r="AC357" s="1"/>
      <c r="AD357" s="1"/>
      <c r="AE357" s="16"/>
    </row>
    <row r="358" spans="1:31" x14ac:dyDescent="0.2">
      <c r="A358" s="4">
        <v>34008</v>
      </c>
      <c r="B358" s="9">
        <f ca="1">Prices!B357*(1+J358/(50*(ABS(O358)+ABS(T358)+0.0001)))</f>
        <v>1.1966797052780047</v>
      </c>
      <c r="C358" s="13">
        <f t="shared" ca="1" si="28"/>
        <v>-1</v>
      </c>
      <c r="D358" s="9">
        <f ca="1">D357+C358*(Prices!B358-Prices!B357)/Prices!B357</f>
        <v>-0.4076704013341062</v>
      </c>
      <c r="E358" s="9">
        <f t="shared" ca="1" si="29"/>
        <v>0.44379435259285249</v>
      </c>
      <c r="F358" s="9">
        <f t="shared" ca="1" si="30"/>
        <v>3.6123951258746317E-2</v>
      </c>
      <c r="G358" s="13">
        <f ca="1">IF((Prices!B358-Prices!B357)*B358&gt;0,1,0)</f>
        <v>0</v>
      </c>
      <c r="H358" s="9">
        <f>ABS(Prices!B358-Prices!B357)/Prices!B357</f>
        <v>2.647691543935024E-3</v>
      </c>
      <c r="I358" s="13"/>
      <c r="J358" s="1">
        <f t="shared" ca="1" si="31"/>
        <v>-1.8518729209216156E-2</v>
      </c>
      <c r="K358" s="9"/>
      <c r="L358" s="9">
        <f ca="1">L357-O358*Prices!B358</f>
        <v>0.69140831193392371</v>
      </c>
      <c r="M358" s="1">
        <f t="shared" ca="1" si="32"/>
        <v>0.25186972164929067</v>
      </c>
      <c r="N358" s="9">
        <f ca="1">IF(Prices!D357&gt;OFFSET(Prices!D357,-$N$3,0),1,IF(Prices!D357&lt;OFFSET(Prices!D357,-$N$3,0),-1,0))</f>
        <v>-1</v>
      </c>
      <c r="O358" s="1">
        <f ca="1">IF(N358=1,O$3*L357/Prices!B357,O$3*M357*N358)</f>
        <v>-2.7985524627698967E-2</v>
      </c>
      <c r="P358" s="14"/>
      <c r="Q358" s="9">
        <f ca="1">Q357-T358*Prices!B358</f>
        <v>0.56066717194147708</v>
      </c>
      <c r="R358" s="1">
        <f t="shared" ca="1" si="33"/>
        <v>0.33184362660930261</v>
      </c>
      <c r="S358" s="9">
        <f ca="1">IF(Prices!C357&lt;OFFSET(Prices!C357,-S$3,0),1,IF(Prices!C357&gt;OFFSET(Prices!C357,-S$3,0),-1,0))</f>
        <v>1</v>
      </c>
      <c r="T358" s="1">
        <f ca="1">IF(S358=1,T$3*Q357/Prices!B357,T$3*R357*S358)</f>
        <v>9.4667954184828127E-3</v>
      </c>
      <c r="V358" s="9"/>
      <c r="W358" s="1"/>
      <c r="X358" s="1"/>
      <c r="Y358" s="1"/>
      <c r="Z358" s="1"/>
      <c r="AA358" s="1"/>
      <c r="AB358" s="1"/>
      <c r="AC358" s="1"/>
      <c r="AD358" s="1"/>
      <c r="AE358" s="16"/>
    </row>
    <row r="359" spans="1:31" x14ac:dyDescent="0.2">
      <c r="A359" s="4">
        <v>34009</v>
      </c>
      <c r="B359" s="9">
        <f ca="1">Prices!B358*(1+J359/(50*(ABS(O359)+ABS(T359)+0.0001)))</f>
        <v>1.1943290115611731</v>
      </c>
      <c r="C359" s="13">
        <f t="shared" ca="1" si="28"/>
        <v>-1</v>
      </c>
      <c r="D359" s="9">
        <f ca="1">D358+C359*(Prices!B359-Prices!B358)/Prices!B358</f>
        <v>-0.40949552162612546</v>
      </c>
      <c r="E359" s="9">
        <f t="shared" ca="1" si="29"/>
        <v>0.4456194728848718</v>
      </c>
      <c r="F359" s="9">
        <f t="shared" ca="1" si="30"/>
        <v>3.6123951258746317E-2</v>
      </c>
      <c r="G359" s="13">
        <f ca="1">IF((Prices!B359-Prices!B358)*B359&gt;0,1,0)</f>
        <v>1</v>
      </c>
      <c r="H359" s="9">
        <f>ABS(Prices!B359-Prices!B358)/Prices!B358</f>
        <v>1.8251202920192299E-3</v>
      </c>
      <c r="I359" s="13"/>
      <c r="J359" s="1">
        <f t="shared" ca="1" si="31"/>
        <v>-1.5884380959661489E-2</v>
      </c>
      <c r="K359" s="9"/>
      <c r="L359" s="9">
        <f ca="1">L358-O359*Prices!B359</f>
        <v>0.72182409952029203</v>
      </c>
      <c r="M359" s="1">
        <f t="shared" ca="1" si="32"/>
        <v>0.2266827494843616</v>
      </c>
      <c r="N359" s="9">
        <f ca="1">IF(Prices!D358&gt;OFFSET(Prices!D358,-$N$3,0),1,IF(Prices!D358&lt;OFFSET(Prices!D358,-$N$3,0),-1,0))</f>
        <v>-1</v>
      </c>
      <c r="O359" s="1">
        <f ca="1">IF(N359=1,O$3*L358/Prices!B358,O$3*M358*N359)</f>
        <v>-2.5186972164929069E-2</v>
      </c>
      <c r="P359" s="14"/>
      <c r="Q359" s="9">
        <f ca="1">Q358-T359*Prices!B359</f>
        <v>0.54943336280199595</v>
      </c>
      <c r="R359" s="1">
        <f t="shared" ca="1" si="33"/>
        <v>0.34114621781457022</v>
      </c>
      <c r="S359" s="9">
        <f ca="1">IF(Prices!C358&lt;OFFSET(Prices!C358,-S$3,0),1,IF(Prices!C358&gt;OFFSET(Prices!C358,-S$3,0),-1,0))</f>
        <v>1</v>
      </c>
      <c r="T359" s="1">
        <f ca="1">IF(S359=1,T$3*Q358/Prices!B358,T$3*R358*S359)</f>
        <v>9.3025912052675797E-3</v>
      </c>
      <c r="V359" s="9"/>
      <c r="W359" s="1"/>
      <c r="X359" s="1"/>
      <c r="Y359" s="1"/>
      <c r="Z359" s="1"/>
      <c r="AA359" s="1"/>
      <c r="AB359" s="1"/>
      <c r="AC359" s="1"/>
      <c r="AD359" s="1"/>
      <c r="AE359" s="16"/>
    </row>
    <row r="360" spans="1:31" x14ac:dyDescent="0.2">
      <c r="A360" s="4">
        <v>34010</v>
      </c>
      <c r="B360" s="9">
        <f ca="1">Prices!B359*(1+J360/(50*(ABS(O360)+ABS(T360)+0.0001)))</f>
        <v>1.2317169834171298</v>
      </c>
      <c r="C360" s="13">
        <f t="shared" ref="C360:C423" ca="1" si="34">IF(J360&gt;0,1,IF(J360&lt;0,-1,0))</f>
        <v>1</v>
      </c>
      <c r="D360" s="9">
        <f ca="1">D359+C360*(Prices!B360-Prices!B359)/Prices!B359</f>
        <v>-0.41007518376590679</v>
      </c>
      <c r="E360" s="9">
        <f t="shared" ref="E360:E423" ca="1" si="35">F360-D360</f>
        <v>0.44619913502465314</v>
      </c>
      <c r="F360" s="9">
        <f t="shared" ref="F360:F423" ca="1" si="36">MAX(F359,D360)</f>
        <v>3.6123951258746317E-2</v>
      </c>
      <c r="G360" s="13">
        <f ca="1">IF((Prices!B360-Prices!B359)*B360&gt;0,1,0)</f>
        <v>0</v>
      </c>
      <c r="H360" s="9">
        <f>ABS(Prices!B360-Prices!B359)/Prices!B359</f>
        <v>5.7966213978132074E-4</v>
      </c>
      <c r="I360" s="13"/>
      <c r="J360" s="1">
        <f t="shared" ref="J360:J423" ca="1" si="37">O360+T360</f>
        <v>6.8873035117645851E-2</v>
      </c>
      <c r="K360" s="9"/>
      <c r="L360" s="9">
        <f ca="1">L359-O360*Prices!B360</f>
        <v>0.6496835309784702</v>
      </c>
      <c r="M360" s="1">
        <f t="shared" ca="1" si="32"/>
        <v>0.2864561926377478</v>
      </c>
      <c r="N360" s="9">
        <f ca="1">IF(Prices!D359&gt;OFFSET(Prices!D359,-$N$3,0),1,IF(Prices!D359&lt;OFFSET(Prices!D359,-$N$3,0),-1,0))</f>
        <v>1</v>
      </c>
      <c r="O360" s="1">
        <f ca="1">IF(N360=1,O$3*L359/Prices!B359,O$3*M359*N360)</f>
        <v>5.977344315338623E-2</v>
      </c>
      <c r="P360" s="14"/>
      <c r="Q360" s="9">
        <f ca="1">Q359-T360*Prices!B360</f>
        <v>0.53845106526033104</v>
      </c>
      <c r="R360" s="1">
        <f t="shared" ca="1" si="33"/>
        <v>0.35024580977882985</v>
      </c>
      <c r="S360" s="9">
        <f ca="1">IF(Prices!C359&lt;OFFSET(Prices!C359,-S$3,0),1,IF(Prices!C359&gt;OFFSET(Prices!C359,-S$3,0),-1,0))</f>
        <v>1</v>
      </c>
      <c r="T360" s="1">
        <f ca="1">IF(S360=1,T$3*Q359/Prices!B359,T$3*R359*S360)</f>
        <v>9.0995919642596207E-3</v>
      </c>
      <c r="V360" s="9"/>
      <c r="W360" s="1"/>
      <c r="X360" s="1"/>
      <c r="Y360" s="1"/>
      <c r="Z360" s="1"/>
      <c r="AA360" s="1"/>
      <c r="AB360" s="1"/>
      <c r="AC360" s="1"/>
      <c r="AD360" s="1"/>
      <c r="AE360" s="16"/>
    </row>
    <row r="361" spans="1:31" x14ac:dyDescent="0.2">
      <c r="A361" s="4">
        <v>34011</v>
      </c>
      <c r="B361" s="9">
        <f ca="1">Prices!B360*(1+J361/(50*(ABS(O361)+ABS(T361)+0.0001)))</f>
        <v>1.230999596499424</v>
      </c>
      <c r="C361" s="13">
        <f t="shared" ca="1" si="34"/>
        <v>1</v>
      </c>
      <c r="D361" s="9">
        <f ca="1">D360+C361*(Prices!B361-Prices!B360)/Prices!B360</f>
        <v>-0.41454945669655563</v>
      </c>
      <c r="E361" s="9">
        <f t="shared" ca="1" si="35"/>
        <v>0.45067340795530197</v>
      </c>
      <c r="F361" s="9">
        <f t="shared" ca="1" si="36"/>
        <v>3.6123951258746317E-2</v>
      </c>
      <c r="G361" s="13">
        <f ca="1">IF((Prices!B361-Prices!B360)*B361&gt;0,1,0)</f>
        <v>0</v>
      </c>
      <c r="H361" s="9">
        <f>ABS(Prices!B361-Prices!B360)/Prices!B360</f>
        <v>4.4742729306488285E-3</v>
      </c>
      <c r="I361" s="13"/>
      <c r="J361" s="1">
        <f t="shared" ca="1" si="37"/>
        <v>6.2753645209258135E-2</v>
      </c>
      <c r="K361" s="9"/>
      <c r="L361" s="9">
        <f ca="1">L360-O361*Prices!B361</f>
        <v>0.58500586402423771</v>
      </c>
      <c r="M361" s="1">
        <f t="shared" ca="1" si="32"/>
        <v>0.34028695997377151</v>
      </c>
      <c r="N361" s="9">
        <f ca="1">IF(Prices!D360&gt;OFFSET(Prices!D360,-$N$3,0),1,IF(Prices!D360&lt;OFFSET(Prices!D360,-$N$3,0),-1,0))</f>
        <v>1</v>
      </c>
      <c r="O361" s="1">
        <f ca="1">IF(N361=1,O$3*L360/Prices!B360,O$3*M360*N361)</f>
        <v>5.3830767336023717E-2</v>
      </c>
      <c r="P361" s="14"/>
      <c r="Q361" s="9">
        <f ca="1">Q360-T361*Prices!B361</f>
        <v>0.52773022749563991</v>
      </c>
      <c r="R361" s="1">
        <f t="shared" ca="1" si="33"/>
        <v>0.35916868765206428</v>
      </c>
      <c r="S361" s="9">
        <f ca="1">IF(Prices!C360&lt;OFFSET(Prices!C360,-S$3,0),1,IF(Prices!C360&gt;OFFSET(Prices!C360,-S$3,0),-1,0))</f>
        <v>1</v>
      </c>
      <c r="T361" s="1">
        <f ca="1">IF(S361=1,T$3*Q360/Prices!B360,T$3*R360*S361)</f>
        <v>8.922877873234418E-3</v>
      </c>
      <c r="V361" s="9"/>
      <c r="W361" s="1"/>
      <c r="X361" s="1"/>
      <c r="Y361" s="1"/>
      <c r="Z361" s="1"/>
      <c r="AA361" s="1"/>
      <c r="AB361" s="1"/>
      <c r="AC361" s="1"/>
      <c r="AD361" s="1"/>
      <c r="AE361" s="16"/>
    </row>
    <row r="362" spans="1:31" x14ac:dyDescent="0.2">
      <c r="A362" s="4">
        <v>34012</v>
      </c>
      <c r="B362" s="9">
        <f ca="1">Prices!B361*(1+J362/(50*(ABS(O362)+ABS(T362)+0.0001)))</f>
        <v>1.1873640883614516</v>
      </c>
      <c r="C362" s="13">
        <f t="shared" ca="1" si="34"/>
        <v>-1</v>
      </c>
      <c r="D362" s="9">
        <f ca="1">D361+C362*(Prices!B362-Prices!B361)/Prices!B361</f>
        <v>-0.41421653950970588</v>
      </c>
      <c r="E362" s="9">
        <f t="shared" ca="1" si="35"/>
        <v>0.45034049076845217</v>
      </c>
      <c r="F362" s="9">
        <f t="shared" ca="1" si="36"/>
        <v>3.6123951258746317E-2</v>
      </c>
      <c r="G362" s="13">
        <f ca="1">IF((Prices!B362-Prices!B361)*B362&gt;0,1,0)</f>
        <v>0</v>
      </c>
      <c r="H362" s="9">
        <f>ABS(Prices!B362-Prices!B361)/Prices!B361</f>
        <v>3.3291718684973443E-4</v>
      </c>
      <c r="I362" s="13"/>
      <c r="J362" s="1">
        <f t="shared" ca="1" si="37"/>
        <v>-2.5244172859705243E-2</v>
      </c>
      <c r="K362" s="9"/>
      <c r="L362" s="9">
        <f ca="1">L361-O362*Prices!B362</f>
        <v>0.6258777307866874</v>
      </c>
      <c r="M362" s="1">
        <f t="shared" ca="1" si="32"/>
        <v>0.30625826397639433</v>
      </c>
      <c r="N362" s="9">
        <f ca="1">IF(Prices!D361&gt;OFFSET(Prices!D361,-$N$3,0),1,IF(Prices!D361&lt;OFFSET(Prices!D361,-$N$3,0),-1,0))</f>
        <v>-1</v>
      </c>
      <c r="O362" s="1">
        <f ca="1">IF(N362=1,O$3*L361/Prices!B361,O$3*M361*N362)</f>
        <v>-3.4028695997377151E-2</v>
      </c>
      <c r="P362" s="14"/>
      <c r="Q362" s="9">
        <f ca="1">Q361-T362*Prices!B362</f>
        <v>0.51717913675498217</v>
      </c>
      <c r="R362" s="1">
        <f t="shared" ca="1" si="33"/>
        <v>0.3679532107897362</v>
      </c>
      <c r="S362" s="9">
        <f ca="1">IF(Prices!C361&lt;OFFSET(Prices!C361,-S$3,0),1,IF(Prices!C361&gt;OFFSET(Prices!C361,-S$3,0),-1,0))</f>
        <v>1</v>
      </c>
      <c r="T362" s="1">
        <f ca="1">IF(S362=1,T$3*Q361/Prices!B361,T$3*R361*S362)</f>
        <v>8.7845231376719075E-3</v>
      </c>
      <c r="V362" s="9"/>
      <c r="W362" s="1"/>
      <c r="X362" s="1"/>
      <c r="Y362" s="1"/>
      <c r="Z362" s="1"/>
      <c r="AA362" s="1"/>
      <c r="AB362" s="1"/>
      <c r="AC362" s="1"/>
      <c r="AD362" s="1"/>
      <c r="AE362" s="16"/>
    </row>
    <row r="363" spans="1:31" x14ac:dyDescent="0.2">
      <c r="A363" s="4">
        <v>34015</v>
      </c>
      <c r="B363" s="9">
        <f ca="1">Prices!B362*(1+J363/(50*(ABS(O363)+ABS(T363)+0.0001)))</f>
        <v>1.1876568271954999</v>
      </c>
      <c r="C363" s="13">
        <f t="shared" ca="1" si="34"/>
        <v>-1</v>
      </c>
      <c r="D363" s="9">
        <f ca="1">D362+C363*(Prices!B363-Prices!B362)/Prices!B362</f>
        <v>-0.41396676846649549</v>
      </c>
      <c r="E363" s="9">
        <f t="shared" ca="1" si="35"/>
        <v>0.45009071972524184</v>
      </c>
      <c r="F363" s="9">
        <f t="shared" ca="1" si="36"/>
        <v>3.6123951258746317E-2</v>
      </c>
      <c r="G363" s="13">
        <f ca="1">IF((Prices!B363-Prices!B362)*B363&gt;0,1,0)</f>
        <v>0</v>
      </c>
      <c r="H363" s="9">
        <f>ABS(Prices!B363-Prices!B362)/Prices!B362</f>
        <v>2.4977104321036295E-4</v>
      </c>
      <c r="I363" s="13"/>
      <c r="J363" s="1">
        <f t="shared" ca="1" si="37"/>
        <v>-2.2014068230043361E-2</v>
      </c>
      <c r="K363" s="9"/>
      <c r="L363" s="9">
        <f ca="1">L362-O363*Prices!B363</f>
        <v>0.66265322312497288</v>
      </c>
      <c r="M363" s="1">
        <f t="shared" ca="1" si="32"/>
        <v>0.27563243757875489</v>
      </c>
      <c r="N363" s="9">
        <f ca="1">IF(Prices!D362&gt;OFFSET(Prices!D362,-$N$3,0),1,IF(Prices!D362&lt;OFFSET(Prices!D362,-$N$3,0),-1,0))</f>
        <v>-1</v>
      </c>
      <c r="O363" s="1">
        <f ca="1">IF(N363=1,O$3*L362/Prices!B362,O$3*M362*N363)</f>
        <v>-3.0625826397639434E-2</v>
      </c>
      <c r="P363" s="14"/>
      <c r="Q363" s="9">
        <f ca="1">Q362-T363*Prices!B363</f>
        <v>0.50683813754733276</v>
      </c>
      <c r="R363" s="1">
        <f t="shared" ca="1" si="33"/>
        <v>0.37656496895733227</v>
      </c>
      <c r="S363" s="9">
        <f ca="1">IF(Prices!C362&lt;OFFSET(Prices!C362,-S$3,0),1,IF(Prices!C362&gt;OFFSET(Prices!C362,-S$3,0),-1,0))</f>
        <v>1</v>
      </c>
      <c r="T363" s="1">
        <f ca="1">IF(S363=1,T$3*Q362/Prices!B362,T$3*R362*S363)</f>
        <v>8.611758167596073E-3</v>
      </c>
      <c r="V363" s="9"/>
      <c r="W363" s="1"/>
      <c r="X363" s="1"/>
      <c r="Y363" s="1"/>
      <c r="Z363" s="1"/>
      <c r="AA363" s="1"/>
      <c r="AB363" s="1"/>
      <c r="AC363" s="1"/>
      <c r="AD363" s="1"/>
      <c r="AE363" s="16"/>
    </row>
    <row r="364" spans="1:31" x14ac:dyDescent="0.2">
      <c r="A364" s="4">
        <v>34016</v>
      </c>
      <c r="B364" s="9">
        <f ca="1">Prices!B363*(1+J364/(50*(ABS(O364)+ABS(T364)+0.0001)))</f>
        <v>1.1880808573150601</v>
      </c>
      <c r="C364" s="13">
        <f t="shared" ca="1" si="34"/>
        <v>-1</v>
      </c>
      <c r="D364" s="9">
        <f ca="1">D363+C364*(Prices!B364-Prices!B363)/Prices!B363</f>
        <v>-0.42637516287022625</v>
      </c>
      <c r="E364" s="9">
        <f t="shared" ca="1" si="35"/>
        <v>0.4624991141289726</v>
      </c>
      <c r="F364" s="9">
        <f t="shared" ca="1" si="36"/>
        <v>3.6123951258746317E-2</v>
      </c>
      <c r="G364" s="13">
        <f ca="1">IF((Prices!B364-Prices!B363)*B364&gt;0,1,0)</f>
        <v>1</v>
      </c>
      <c r="H364" s="9">
        <f>ABS(Prices!B364-Prices!B363)/Prices!B363</f>
        <v>1.2408394403730772E-2</v>
      </c>
      <c r="I364" s="13"/>
      <c r="J364" s="1">
        <f t="shared" ca="1" si="37"/>
        <v>-1.9121569248426243E-2</v>
      </c>
      <c r="K364" s="9"/>
      <c r="L364" s="9">
        <f ca="1">L363-O364*Prices!B364</f>
        <v>0.6961618585614221</v>
      </c>
      <c r="M364" s="1">
        <f t="shared" ca="1" si="32"/>
        <v>0.24806919382087939</v>
      </c>
      <c r="N364" s="9">
        <f ca="1">IF(Prices!D363&gt;OFFSET(Prices!D363,-$N$3,0),1,IF(Prices!D363&lt;OFFSET(Prices!D363,-$N$3,0),-1,0))</f>
        <v>-1</v>
      </c>
      <c r="O364" s="1">
        <f ca="1">IF(N364=1,O$3*L363/Prices!B363,O$3*M363*N364)</f>
        <v>-2.7563243757875489E-2</v>
      </c>
      <c r="P364" s="14"/>
      <c r="Q364" s="9">
        <f ca="1">Q363-T364*Prices!B364</f>
        <v>0.49657559384619532</v>
      </c>
      <c r="R364" s="1">
        <f t="shared" ca="1" si="33"/>
        <v>0.38500664346678154</v>
      </c>
      <c r="S364" s="9">
        <f ca="1">IF(Prices!C363&lt;OFFSET(Prices!C363,-S$3,0),1,IF(Prices!C363&gt;OFFSET(Prices!C363,-S$3,0),-1,0))</f>
        <v>1</v>
      </c>
      <c r="T364" s="1">
        <f ca="1">IF(S364=1,T$3*Q363/Prices!B363,T$3*R363*S364)</f>
        <v>8.4416745094492464E-3</v>
      </c>
      <c r="V364" s="9"/>
      <c r="W364" s="1"/>
      <c r="X364" s="1"/>
      <c r="Y364" s="1"/>
      <c r="Z364" s="1"/>
      <c r="AA364" s="1"/>
      <c r="AB364" s="1"/>
      <c r="AC364" s="1"/>
      <c r="AD364" s="1"/>
      <c r="AE364" s="16"/>
    </row>
    <row r="365" spans="1:31" x14ac:dyDescent="0.2">
      <c r="A365" s="4">
        <v>34017</v>
      </c>
      <c r="B365" s="9">
        <f ca="1">Prices!B364*(1+J365/(50*(ABS(O365)+ABS(T365)+0.0001)))</f>
        <v>1.2034699367229964</v>
      </c>
      <c r="C365" s="13">
        <f t="shared" ca="1" si="34"/>
        <v>-1</v>
      </c>
      <c r="D365" s="9">
        <f ca="1">D364+C365*(Prices!B365-Prices!B364)/Prices!B364</f>
        <v>-0.42966544830248748</v>
      </c>
      <c r="E365" s="9">
        <f t="shared" ca="1" si="35"/>
        <v>0.46578939956123377</v>
      </c>
      <c r="F365" s="9">
        <f t="shared" ca="1" si="36"/>
        <v>3.6123951258746317E-2</v>
      </c>
      <c r="G365" s="13">
        <f ca="1">IF((Prices!B365-Prices!B364)*B365&gt;0,1,0)</f>
        <v>1</v>
      </c>
      <c r="H365" s="9">
        <f>ABS(Prices!B365-Prices!B364)/Prices!B364</f>
        <v>3.2902854322612515E-3</v>
      </c>
      <c r="I365" s="13"/>
      <c r="J365" s="1">
        <f t="shared" ca="1" si="37"/>
        <v>-1.6637542169844866E-2</v>
      </c>
      <c r="K365" s="9"/>
      <c r="L365" s="9">
        <f ca="1">L364-O365*Prices!B365</f>
        <v>0.72641885813175477</v>
      </c>
      <c r="M365" s="1">
        <f t="shared" ca="1" si="32"/>
        <v>0.22326227443879143</v>
      </c>
      <c r="N365" s="9">
        <f ca="1">IF(Prices!D364&gt;OFFSET(Prices!D364,-$N$3,0),1,IF(Prices!D364&lt;OFFSET(Prices!D364,-$N$3,0),-1,0))</f>
        <v>-1</v>
      </c>
      <c r="O365" s="1">
        <f ca="1">IF(N365=1,O$3*L364/Prices!B364,O$3*M364*N365)</f>
        <v>-2.4806919382087941E-2</v>
      </c>
      <c r="P365" s="14"/>
      <c r="Q365" s="9">
        <f ca="1">Q364-T365*Prices!B365</f>
        <v>0.48661140446042245</v>
      </c>
      <c r="R365" s="1">
        <f t="shared" ca="1" si="33"/>
        <v>0.39317602067902463</v>
      </c>
      <c r="S365" s="9">
        <f ca="1">IF(Prices!C364&lt;OFFSET(Prices!C364,-S$3,0),1,IF(Prices!C364&gt;OFFSET(Prices!C364,-S$3,0),-1,0))</f>
        <v>1</v>
      </c>
      <c r="T365" s="1">
        <f ca="1">IF(S365=1,T$3*Q364/Prices!B364,T$3*R364*S365)</f>
        <v>8.1693772122430758E-3</v>
      </c>
      <c r="V365" s="9"/>
      <c r="W365" s="1"/>
      <c r="X365" s="1"/>
      <c r="Y365" s="1"/>
      <c r="Z365" s="1"/>
      <c r="AA365" s="1"/>
      <c r="AB365" s="1"/>
      <c r="AC365" s="1"/>
      <c r="AD365" s="1"/>
      <c r="AE365" s="16"/>
    </row>
    <row r="366" spans="1:31" x14ac:dyDescent="0.2">
      <c r="A366" s="4">
        <v>34018</v>
      </c>
      <c r="B366" s="9">
        <f ca="1">Prices!B365*(1+J366/(50*(ABS(O366)+ABS(T366)+0.0001)))</f>
        <v>1.2081895072951978</v>
      </c>
      <c r="C366" s="13">
        <f t="shared" ca="1" si="34"/>
        <v>-1</v>
      </c>
      <c r="D366" s="9">
        <f ca="1">D365+C366*(Prices!B366-Prices!B365)/Prices!B365</f>
        <v>-0.4241722942482119</v>
      </c>
      <c r="E366" s="9">
        <f t="shared" ca="1" si="35"/>
        <v>0.46029624550695825</v>
      </c>
      <c r="F366" s="9">
        <f t="shared" ca="1" si="36"/>
        <v>3.6123951258746317E-2</v>
      </c>
      <c r="G366" s="13">
        <f ca="1">IF((Prices!B366-Prices!B365)*B366&gt;0,1,0)</f>
        <v>0</v>
      </c>
      <c r="H366" s="9">
        <f>ABS(Prices!B366-Prices!B365)/Prices!B365</f>
        <v>5.4931540542755824E-3</v>
      </c>
      <c r="I366" s="13"/>
      <c r="J366" s="1">
        <f t="shared" ca="1" si="37"/>
        <v>-1.4347029207256657E-2</v>
      </c>
      <c r="K366" s="9"/>
      <c r="L366" s="9">
        <f ca="1">L365-O366*Prices!B366</f>
        <v>0.75350057202118015</v>
      </c>
      <c r="M366" s="1">
        <f t="shared" ca="1" si="32"/>
        <v>0.2009360469949123</v>
      </c>
      <c r="N366" s="9">
        <f ca="1">IF(Prices!D365&gt;OFFSET(Prices!D365,-$N$3,0),1,IF(Prices!D365&lt;OFFSET(Prices!D365,-$N$3,0),-1,0))</f>
        <v>-1</v>
      </c>
      <c r="O366" s="1">
        <f ca="1">IF(N366=1,O$3*L365/Prices!B365,O$3*M365*N366)</f>
        <v>-2.2326227443879146E-2</v>
      </c>
      <c r="P366" s="14"/>
      <c r="Q366" s="9">
        <f ca="1">Q365-T366*Prices!B366</f>
        <v>0.47693263699939936</v>
      </c>
      <c r="R366" s="1">
        <f t="shared" ca="1" si="33"/>
        <v>0.40115521891564709</v>
      </c>
      <c r="S366" s="9">
        <f ca="1">IF(Prices!C365&lt;OFFSET(Prices!C365,-S$3,0),1,IF(Prices!C365&gt;OFFSET(Prices!C365,-S$3,0),-1,0))</f>
        <v>1</v>
      </c>
      <c r="T366" s="1">
        <f ca="1">IF(S366=1,T$3*Q365/Prices!B365,T$3*R365*S366)</f>
        <v>7.9791982366224888E-3</v>
      </c>
      <c r="V366" s="9"/>
      <c r="W366" s="1"/>
      <c r="X366" s="1"/>
      <c r="Y366" s="1"/>
      <c r="Z366" s="1"/>
      <c r="AA366" s="1"/>
      <c r="AB366" s="1"/>
      <c r="AC366" s="1"/>
      <c r="AD366" s="1"/>
      <c r="AE366" s="16"/>
    </row>
    <row r="367" spans="1:31" x14ac:dyDescent="0.2">
      <c r="A367" s="4">
        <v>34019</v>
      </c>
      <c r="B367" s="9">
        <f ca="1">Prices!B366*(1+J367/(50*(ABS(O367)+ABS(T367)+0.0001)))</f>
        <v>1.2024252875572523</v>
      </c>
      <c r="C367" s="13">
        <f t="shared" ca="1" si="34"/>
        <v>-1</v>
      </c>
      <c r="D367" s="9">
        <f ca="1">D366+C367*(Prices!B367-Prices!B366)/Prices!B366</f>
        <v>-0.42466693563320773</v>
      </c>
      <c r="E367" s="9">
        <f t="shared" ca="1" si="35"/>
        <v>0.46079088689195402</v>
      </c>
      <c r="F367" s="9">
        <f t="shared" ca="1" si="36"/>
        <v>3.6123951258746317E-2</v>
      </c>
      <c r="G367" s="13">
        <f ca="1">IF((Prices!B367-Prices!B366)*B367&gt;0,1,0)</f>
        <v>1</v>
      </c>
      <c r="H367" s="9">
        <f>ABS(Prices!B367-Prices!B366)/Prices!B366</f>
        <v>4.9464138499582351E-4</v>
      </c>
      <c r="I367" s="13"/>
      <c r="J367" s="1">
        <f t="shared" ca="1" si="37"/>
        <v>-1.222991736232059E-2</v>
      </c>
      <c r="K367" s="9"/>
      <c r="L367" s="9">
        <f ca="1">L366-O367*Prices!B367</f>
        <v>0.77788617068448274</v>
      </c>
      <c r="M367" s="1">
        <f t="shared" ca="1" si="32"/>
        <v>0.18084244229542107</v>
      </c>
      <c r="N367" s="9">
        <f ca="1">IF(Prices!D366&gt;OFFSET(Prices!D366,-$N$3,0),1,IF(Prices!D366&lt;OFFSET(Prices!D366,-$N$3,0),-1,0))</f>
        <v>-1</v>
      </c>
      <c r="O367" s="1">
        <f ca="1">IF(N367=1,O$3*L366/Prices!B366,O$3*M366*N367)</f>
        <v>-2.009360469949123E-2</v>
      </c>
      <c r="P367" s="14"/>
      <c r="Q367" s="9">
        <f ca="1">Q366-T367*Prices!B367</f>
        <v>0.46738926604700909</v>
      </c>
      <c r="R367" s="1">
        <f t="shared" ca="1" si="33"/>
        <v>0.40901890625281773</v>
      </c>
      <c r="S367" s="9">
        <f ca="1">IF(Prices!C366&lt;OFFSET(Prices!C366,-S$3,0),1,IF(Prices!C366&gt;OFFSET(Prices!C366,-S$3,0),-1,0))</f>
        <v>1</v>
      </c>
      <c r="T367" s="1">
        <f ca="1">IF(S367=1,T$3*Q366/Prices!B366,T$3*R366*S367)</f>
        <v>7.8636873371706398E-3</v>
      </c>
      <c r="V367" s="9"/>
      <c r="W367" s="1"/>
      <c r="X367" s="1"/>
      <c r="Y367" s="1"/>
      <c r="Z367" s="1"/>
      <c r="AA367" s="1"/>
      <c r="AB367" s="1"/>
      <c r="AC367" s="1"/>
      <c r="AD367" s="1"/>
      <c r="AE367" s="16"/>
    </row>
    <row r="368" spans="1:31" x14ac:dyDescent="0.2">
      <c r="A368" s="4">
        <v>34022</v>
      </c>
      <c r="B368" s="9">
        <f ca="1">Prices!B367*(1+J368/(50*(ABS(O368)+ABS(T368)+0.0001)))</f>
        <v>1.2038658744543107</v>
      </c>
      <c r="C368" s="13">
        <f t="shared" ca="1" si="34"/>
        <v>-1</v>
      </c>
      <c r="D368" s="9">
        <f ca="1">D367+C368*(Prices!B368-Prices!B367)/Prices!B367</f>
        <v>-0.42367814196148718</v>
      </c>
      <c r="E368" s="9">
        <f t="shared" ca="1" si="35"/>
        <v>0.45980209322023347</v>
      </c>
      <c r="F368" s="9">
        <f t="shared" ca="1" si="36"/>
        <v>3.6123951258746317E-2</v>
      </c>
      <c r="G368" s="13">
        <f ca="1">IF((Prices!B368-Prices!B367)*B368&gt;0,1,0)</f>
        <v>0</v>
      </c>
      <c r="H368" s="9">
        <f>ABS(Prices!B368-Prices!B367)/Prices!B367</f>
        <v>9.8879367172057496E-4</v>
      </c>
      <c r="I368" s="13"/>
      <c r="J368" s="1">
        <f t="shared" ca="1" si="37"/>
        <v>-1.0381718421252571E-2</v>
      </c>
      <c r="K368" s="9"/>
      <c r="L368" s="9">
        <f ca="1">L367-O368*Prices!B368</f>
        <v>0.79981150838837956</v>
      </c>
      <c r="M368" s="1">
        <f t="shared" ca="1" si="32"/>
        <v>0.16275819806587896</v>
      </c>
      <c r="N368" s="9">
        <f ca="1">IF(Prices!D367&gt;OFFSET(Prices!D367,-$N$3,0),1,IF(Prices!D367&lt;OFFSET(Prices!D367,-$N$3,0),-1,0))</f>
        <v>-1</v>
      </c>
      <c r="O368" s="1">
        <f ca="1">IF(N368=1,O$3*L367/Prices!B367,O$3*M367*N368)</f>
        <v>-1.8084244229542107E-2</v>
      </c>
      <c r="P368" s="14"/>
      <c r="Q368" s="9">
        <f ca="1">Q367-T368*Prices!B368</f>
        <v>0.45805072375703887</v>
      </c>
      <c r="R368" s="1">
        <f t="shared" ca="1" si="33"/>
        <v>0.41672143206110729</v>
      </c>
      <c r="S368" s="9">
        <f ca="1">IF(Prices!C367&lt;OFFSET(Prices!C367,-S$3,0),1,IF(Prices!C367&gt;OFFSET(Prices!C367,-S$3,0),-1,0))</f>
        <v>1</v>
      </c>
      <c r="T368" s="1">
        <f ca="1">IF(S368=1,T$3*Q367/Prices!B367,T$3*R367*S368)</f>
        <v>7.702525808289536E-3</v>
      </c>
      <c r="V368" s="9"/>
      <c r="W368" s="1"/>
      <c r="X368" s="1"/>
      <c r="Y368" s="1"/>
      <c r="Z368" s="1"/>
      <c r="AA368" s="1"/>
      <c r="AB368" s="1"/>
      <c r="AC368" s="1"/>
      <c r="AD368" s="1"/>
      <c r="AE368" s="16"/>
    </row>
    <row r="369" spans="1:31" x14ac:dyDescent="0.2">
      <c r="A369" s="4">
        <v>34023</v>
      </c>
      <c r="B369" s="9">
        <f ca="1">Prices!B368*(1+J369/(50*(ABS(O369)+ABS(T369)+0.0001)))</f>
        <v>1.2035651133981495</v>
      </c>
      <c r="C369" s="13">
        <f t="shared" ca="1" si="34"/>
        <v>-1</v>
      </c>
      <c r="D369" s="9">
        <f ca="1">D368+C369*(Prices!B369-Prices!B368)/Prices!B368</f>
        <v>-0.4300291812224572</v>
      </c>
      <c r="E369" s="9">
        <f t="shared" ca="1" si="35"/>
        <v>0.46615313248120349</v>
      </c>
      <c r="F369" s="9">
        <f t="shared" ca="1" si="36"/>
        <v>3.6123951258746317E-2</v>
      </c>
      <c r="G369" s="13">
        <f ca="1">IF((Prices!B369-Prices!B368)*B369&gt;0,1,0)</f>
        <v>1</v>
      </c>
      <c r="H369" s="9">
        <f>ABS(Prices!B369-Prices!B368)/Prices!B368</f>
        <v>6.3510392609700105E-3</v>
      </c>
      <c r="I369" s="13"/>
      <c r="J369" s="1">
        <f t="shared" ca="1" si="37"/>
        <v>-8.7197207673757743E-3</v>
      </c>
      <c r="K369" s="9"/>
      <c r="L369" s="9">
        <f ca="1">L368-O369*Prices!B369</f>
        <v>0.81966963613439747</v>
      </c>
      <c r="M369" s="1">
        <f t="shared" ca="1" si="32"/>
        <v>0.14648237825929106</v>
      </c>
      <c r="N369" s="9">
        <f ca="1">IF(Prices!D368&gt;OFFSET(Prices!D368,-$N$3,0),1,IF(Prices!D368&lt;OFFSET(Prices!D368,-$N$3,0),-1,0))</f>
        <v>-1</v>
      </c>
      <c r="O369" s="1">
        <f ca="1">IF(N369=1,O$3*L368/Prices!B368,O$3*M368*N369)</f>
        <v>-1.6275819806587898E-2</v>
      </c>
      <c r="P369" s="14"/>
      <c r="Q369" s="9">
        <f ca="1">Q368-T369*Prices!B369</f>
        <v>0.44883152731929615</v>
      </c>
      <c r="R369" s="1">
        <f t="shared" ca="1" si="33"/>
        <v>0.4242775311003194</v>
      </c>
      <c r="S369" s="9">
        <f ca="1">IF(Prices!C368&lt;OFFSET(Prices!C368,-S$3,0),1,IF(Prices!C368&gt;OFFSET(Prices!C368,-S$3,0),-1,0))</f>
        <v>1</v>
      </c>
      <c r="T369" s="1">
        <f ca="1">IF(S369=1,T$3*Q368/Prices!B368,T$3*R368*S369)</f>
        <v>7.5560990392121233E-3</v>
      </c>
      <c r="V369" s="9"/>
      <c r="W369" s="1"/>
      <c r="X369" s="1"/>
      <c r="Y369" s="1"/>
      <c r="Z369" s="1"/>
      <c r="AA369" s="1"/>
      <c r="AB369" s="1"/>
      <c r="AC369" s="1"/>
      <c r="AD369" s="1"/>
      <c r="AE369" s="16"/>
    </row>
    <row r="370" spans="1:31" x14ac:dyDescent="0.2">
      <c r="A370" s="4">
        <v>34024</v>
      </c>
      <c r="B370" s="9">
        <f ca="1">Prices!B369*(1+J370/(50*(ABS(O370)+ABS(T370)+0.0001)))</f>
        <v>1.2120516202829259</v>
      </c>
      <c r="C370" s="13">
        <f t="shared" ca="1" si="34"/>
        <v>-1</v>
      </c>
      <c r="D370" s="9">
        <f ca="1">D369+C370*(Prices!B370-Prices!B369)/Prices!B369</f>
        <v>-0.42945545775716754</v>
      </c>
      <c r="E370" s="9">
        <f t="shared" ca="1" si="35"/>
        <v>0.46557940901591388</v>
      </c>
      <c r="F370" s="9">
        <f t="shared" ca="1" si="36"/>
        <v>3.6123951258746317E-2</v>
      </c>
      <c r="G370" s="13">
        <f ca="1">IF((Prices!B370-Prices!B369)*B370&gt;0,1,0)</f>
        <v>0</v>
      </c>
      <c r="H370" s="9">
        <f>ABS(Prices!B370-Prices!B369)/Prices!B369</f>
        <v>5.737234652896672E-4</v>
      </c>
      <c r="I370" s="13"/>
      <c r="J370" s="1">
        <f t="shared" ca="1" si="37"/>
        <v>-7.2909469920745661E-3</v>
      </c>
      <c r="K370" s="9"/>
      <c r="L370" s="9">
        <f ca="1">L369-O370*Prices!B370</f>
        <v>0.83753169733933541</v>
      </c>
      <c r="M370" s="1">
        <f t="shared" ca="1" si="32"/>
        <v>0.13183414043336195</v>
      </c>
      <c r="N370" s="9">
        <f ca="1">IF(Prices!D369&gt;OFFSET(Prices!D369,-$N$3,0),1,IF(Prices!D369&lt;OFFSET(Prices!D369,-$N$3,0),-1,0))</f>
        <v>-1</v>
      </c>
      <c r="O370" s="1">
        <f ca="1">IF(N370=1,O$3*L369/Prices!B369,O$3*M369*N370)</f>
        <v>-1.4648237825929106E-2</v>
      </c>
      <c r="P370" s="14"/>
      <c r="Q370" s="9">
        <f ca="1">Q369-T370*Prices!B370</f>
        <v>0.43986004687649394</v>
      </c>
      <c r="R370" s="1">
        <f t="shared" ca="1" si="33"/>
        <v>0.43163482193417396</v>
      </c>
      <c r="S370" s="9">
        <f ca="1">IF(Prices!C369&lt;OFFSET(Prices!C369,-S$3,0),1,IF(Prices!C369&gt;OFFSET(Prices!C369,-S$3,0),-1,0))</f>
        <v>1</v>
      </c>
      <c r="T370" s="1">
        <f ca="1">IF(S370=1,T$3*Q369/Prices!B369,T$3*R369*S370)</f>
        <v>7.3572908338545399E-3</v>
      </c>
      <c r="V370" s="9"/>
      <c r="W370" s="1"/>
      <c r="X370" s="1"/>
      <c r="Y370" s="1"/>
      <c r="Z370" s="1"/>
      <c r="AA370" s="1"/>
      <c r="AB370" s="1"/>
      <c r="AC370" s="1"/>
      <c r="AD370" s="1"/>
      <c r="AE370" s="16"/>
    </row>
    <row r="371" spans="1:31" x14ac:dyDescent="0.2">
      <c r="A371" s="4">
        <v>34025</v>
      </c>
      <c r="B371" s="9">
        <f ca="1">Prices!B370*(1+J371/(50*(ABS(O371)+ABS(T371)+0.0001)))</f>
        <v>1.2122981057977009</v>
      </c>
      <c r="C371" s="13">
        <f t="shared" ca="1" si="34"/>
        <v>-1</v>
      </c>
      <c r="D371" s="9">
        <f ca="1">D370+C371*(Prices!B371-Prices!B370)/Prices!B370</f>
        <v>-0.42264883154755628</v>
      </c>
      <c r="E371" s="9">
        <f t="shared" ca="1" si="35"/>
        <v>0.45877278280630263</v>
      </c>
      <c r="F371" s="9">
        <f t="shared" ca="1" si="36"/>
        <v>3.6123951258746317E-2</v>
      </c>
      <c r="G371" s="13">
        <f ca="1">IF((Prices!B371-Prices!B370)*B371&gt;0,1,0)</f>
        <v>0</v>
      </c>
      <c r="H371" s="9">
        <f>ABS(Prices!B371-Prices!B370)/Prices!B370</f>
        <v>6.8066262096112629E-3</v>
      </c>
      <c r="I371" s="13"/>
      <c r="J371" s="1">
        <f t="shared" ca="1" si="37"/>
        <v>-5.9690455526605528E-3</v>
      </c>
      <c r="K371" s="9"/>
      <c r="L371" s="9">
        <f ca="1">L370-O371*Prices!B371</f>
        <v>0.85349813008721986</v>
      </c>
      <c r="M371" s="1">
        <f t="shared" ca="1" si="32"/>
        <v>0.11865072639002575</v>
      </c>
      <c r="N371" s="9">
        <f ca="1">IF(Prices!D370&gt;OFFSET(Prices!D370,-$N$3,0),1,IF(Prices!D370&lt;OFFSET(Prices!D370,-$N$3,0),-1,0))</f>
        <v>-1</v>
      </c>
      <c r="O371" s="1">
        <f ca="1">IF(N371=1,O$3*L370/Prices!B370,O$3*M370*N371)</f>
        <v>-1.3183414043336195E-2</v>
      </c>
      <c r="P371" s="14"/>
      <c r="Q371" s="9">
        <f ca="1">Q370-T371*Prices!B371</f>
        <v>0.43112272519743666</v>
      </c>
      <c r="R371" s="1">
        <f t="shared" ca="1" si="33"/>
        <v>0.4388491904248496</v>
      </c>
      <c r="S371" s="9">
        <f ca="1">IF(Prices!C370&lt;OFFSET(Prices!C370,-S$3,0),1,IF(Prices!C370&gt;OFFSET(Prices!C370,-S$3,0),-1,0))</f>
        <v>1</v>
      </c>
      <c r="T371" s="1">
        <f ca="1">IF(S371=1,T$3*Q370/Prices!B370,T$3*R370*S371)</f>
        <v>7.2143684906756421E-3</v>
      </c>
      <c r="V371" s="9"/>
      <c r="W371" s="1"/>
      <c r="X371" s="1"/>
      <c r="Y371" s="1"/>
      <c r="Z371" s="1"/>
      <c r="AA371" s="1"/>
      <c r="AB371" s="1"/>
      <c r="AC371" s="1"/>
      <c r="AD371" s="1"/>
      <c r="AE371" s="16"/>
    </row>
    <row r="372" spans="1:31" x14ac:dyDescent="0.2">
      <c r="A372" s="4">
        <v>34026</v>
      </c>
      <c r="B372" s="9">
        <f ca="1">Prices!B371*(1+J372/(50*(ABS(O372)+ABS(T372)+0.0001)))</f>
        <v>1.2352908232424262</v>
      </c>
      <c r="C372" s="13">
        <f t="shared" ca="1" si="34"/>
        <v>1</v>
      </c>
      <c r="D372" s="9">
        <f ca="1">D371+C372*(Prices!B372-Prices!B371)/Prices!B371</f>
        <v>-0.4290066880416526</v>
      </c>
      <c r="E372" s="9">
        <f t="shared" ca="1" si="35"/>
        <v>0.46513063930039888</v>
      </c>
      <c r="F372" s="9">
        <f t="shared" ca="1" si="36"/>
        <v>3.6123951258746317E-2</v>
      </c>
      <c r="G372" s="13">
        <f ca="1">IF((Prices!B372-Prices!B371)*B372&gt;0,1,0)</f>
        <v>0</v>
      </c>
      <c r="H372" s="9">
        <f>ABS(Prices!B372-Prices!B371)/Prices!B371</f>
        <v>6.3578564940963093E-3</v>
      </c>
      <c r="I372" s="13"/>
      <c r="J372" s="1">
        <f t="shared" ca="1" si="37"/>
        <v>7.7592492372777405E-2</v>
      </c>
      <c r="K372" s="9"/>
      <c r="L372" s="9">
        <f ca="1">L371-O372*Prices!B372</f>
        <v>0.76869095894140527</v>
      </c>
      <c r="M372" s="1">
        <f t="shared" ca="1" si="32"/>
        <v>0.18912369559877976</v>
      </c>
      <c r="N372" s="9">
        <f ca="1">IF(Prices!D371&gt;OFFSET(Prices!D371,-$N$3,0),1,IF(Prices!D371&lt;OFFSET(Prices!D371,-$N$3,0),-1,0))</f>
        <v>1</v>
      </c>
      <c r="O372" s="1">
        <f ca="1">IF(N372=1,O$3*L371/Prices!B371,O$3*M371*N372)</f>
        <v>7.047296920875401E-2</v>
      </c>
      <c r="P372" s="14"/>
      <c r="Q372" s="9">
        <f ca="1">Q371-T372*Prices!B372</f>
        <v>0.4225550910218509</v>
      </c>
      <c r="R372" s="1">
        <f t="shared" ca="1" si="33"/>
        <v>0.44596871358887302</v>
      </c>
      <c r="S372" s="9">
        <f ca="1">IF(Prices!C371&lt;OFFSET(Prices!C371,-S$3,0),1,IF(Prices!C371&gt;OFFSET(Prices!C371,-S$3,0),-1,0))</f>
        <v>1</v>
      </c>
      <c r="T372" s="1">
        <f ca="1">IF(S372=1,T$3*Q371/Prices!B371,T$3*R371*S372)</f>
        <v>7.1195231640233947E-3</v>
      </c>
      <c r="V372" s="9"/>
      <c r="W372" s="1"/>
      <c r="X372" s="1"/>
      <c r="Y372" s="1"/>
      <c r="Z372" s="1"/>
      <c r="AA372" s="1"/>
      <c r="AB372" s="1"/>
      <c r="AC372" s="1"/>
      <c r="AD372" s="1"/>
      <c r="AE372" s="16"/>
    </row>
    <row r="373" spans="1:31" x14ac:dyDescent="0.2">
      <c r="A373" s="4">
        <v>34029</v>
      </c>
      <c r="B373" s="9">
        <f ca="1">Prices!B372*(1+J373/(50*(ABS(O373)+ABS(T373)+0.0001)))</f>
        <v>1.2215451787930274</v>
      </c>
      <c r="C373" s="13">
        <f t="shared" ca="1" si="34"/>
        <v>1</v>
      </c>
      <c r="D373" s="9">
        <f ca="1">D372+C373*(Prices!B373-Prices!B372)/Prices!B372</f>
        <v>-0.4290066880416526</v>
      </c>
      <c r="E373" s="9">
        <f t="shared" ca="1" si="35"/>
        <v>0.46513063930039888</v>
      </c>
      <c r="F373" s="9">
        <f t="shared" ca="1" si="36"/>
        <v>3.6123951258746317E-2</v>
      </c>
      <c r="G373" s="13">
        <f ca="1">IF((Prices!B373-Prices!B372)*B373&gt;0,1,0)</f>
        <v>0</v>
      </c>
      <c r="H373" s="9">
        <f>ABS(Prices!B373-Prices!B372)/Prices!B372</f>
        <v>0</v>
      </c>
      <c r="I373" s="13"/>
      <c r="J373" s="1">
        <f t="shared" ca="1" si="37"/>
        <v>5.4957221950709269E-2</v>
      </c>
      <c r="K373" s="9"/>
      <c r="L373" s="9">
        <f ca="1">L372-O373*Prices!B373</f>
        <v>0.69182186304726478</v>
      </c>
      <c r="M373" s="1">
        <f t="shared" ca="1" si="32"/>
        <v>0.25300029182126649</v>
      </c>
      <c r="N373" s="9">
        <f ca="1">IF(Prices!D372&gt;OFFSET(Prices!D372,-$N$3,0),1,IF(Prices!D372&lt;OFFSET(Prices!D372,-$N$3,0),-1,0))</f>
        <v>1</v>
      </c>
      <c r="O373" s="1">
        <f ca="1">IF(N373=1,O$3*L372/Prices!B372,O$3*M372*N373)</f>
        <v>6.3876596222486731E-2</v>
      </c>
      <c r="P373" s="14"/>
      <c r="Q373" s="9">
        <f ca="1">Q372-T373*Prices!B373</f>
        <v>0.43328866602050792</v>
      </c>
      <c r="R373" s="1">
        <f t="shared" ca="1" si="33"/>
        <v>0.43704933931709555</v>
      </c>
      <c r="S373" s="9">
        <f ca="1">IF(Prices!C372&lt;OFFSET(Prices!C372,-S$3,0),1,IF(Prices!C372&gt;OFFSET(Prices!C372,-S$3,0),-1,0))</f>
        <v>-1</v>
      </c>
      <c r="T373" s="1">
        <f ca="1">IF(S373=1,T$3*Q372/Prices!B372,T$3*R372*S373)</f>
        <v>-8.9193742717774607E-3</v>
      </c>
      <c r="V373" s="9"/>
      <c r="W373" s="1"/>
      <c r="X373" s="1"/>
      <c r="Y373" s="1"/>
      <c r="Z373" s="1"/>
      <c r="AA373" s="1"/>
      <c r="AB373" s="1"/>
      <c r="AC373" s="1"/>
      <c r="AD373" s="1"/>
      <c r="AE373" s="16"/>
    </row>
    <row r="374" spans="1:31" x14ac:dyDescent="0.2">
      <c r="A374" s="4">
        <v>34030</v>
      </c>
      <c r="B374" s="9">
        <f ca="1">Prices!B373*(1+J374/(50*(ABS(O374)+ABS(T374)+0.0001)))</f>
        <v>1.1794024958517411</v>
      </c>
      <c r="C374" s="13">
        <f t="shared" ca="1" si="34"/>
        <v>-1</v>
      </c>
      <c r="D374" s="9">
        <f ca="1">D373+C374*(Prices!B374-Prices!B373)/Prices!B373</f>
        <v>-0.43332777828596031</v>
      </c>
      <c r="E374" s="9">
        <f t="shared" ca="1" si="35"/>
        <v>0.4694517295447066</v>
      </c>
      <c r="F374" s="9">
        <f t="shared" ca="1" si="36"/>
        <v>3.6123951258746317E-2</v>
      </c>
      <c r="G374" s="13">
        <f ca="1">IF((Prices!B374-Prices!B373)*B374&gt;0,1,0)</f>
        <v>1</v>
      </c>
      <c r="H374" s="9">
        <f>ABS(Prices!B374-Prices!B373)/Prices!B373</f>
        <v>4.3210902443076874E-3</v>
      </c>
      <c r="I374" s="13"/>
      <c r="J374" s="1">
        <f t="shared" ca="1" si="37"/>
        <v>-3.4041015968468563E-2</v>
      </c>
      <c r="K374" s="9"/>
      <c r="L374" s="9">
        <f ca="1">L373-O374*Prices!B374</f>
        <v>0.72239947831678308</v>
      </c>
      <c r="M374" s="1">
        <f t="shared" ca="1" si="32"/>
        <v>0.22770026263913984</v>
      </c>
      <c r="N374" s="9">
        <f ca="1">IF(Prices!D373&gt;OFFSET(Prices!D373,-$N$3,0),1,IF(Prices!D373&lt;OFFSET(Prices!D373,-$N$3,0),-1,0))</f>
        <v>-1</v>
      </c>
      <c r="O374" s="1">
        <f ca="1">IF(N374=1,O$3*L373/Prices!B373,O$3*M373*N374)</f>
        <v>-2.5300029182126649E-2</v>
      </c>
      <c r="P374" s="14"/>
      <c r="Q374" s="9">
        <f ca="1">Q373-T374*Prices!B374</f>
        <v>0.44385302265048077</v>
      </c>
      <c r="R374" s="1">
        <f t="shared" ca="1" si="33"/>
        <v>0.42830835253075367</v>
      </c>
      <c r="S374" s="9">
        <f ca="1">IF(Prices!C373&lt;OFFSET(Prices!C373,-S$3,0),1,IF(Prices!C373&gt;OFFSET(Prices!C373,-S$3,0),-1,0))</f>
        <v>-1</v>
      </c>
      <c r="T374" s="1">
        <f ca="1">IF(S374=1,T$3*Q373/Prices!B373,T$3*R373*S374)</f>
        <v>-8.7409867863419109E-3</v>
      </c>
      <c r="V374" s="9"/>
      <c r="W374" s="1"/>
      <c r="X374" s="1"/>
      <c r="Y374" s="1"/>
      <c r="Z374" s="1"/>
      <c r="AA374" s="1"/>
      <c r="AB374" s="1"/>
      <c r="AC374" s="1"/>
      <c r="AD374" s="1"/>
      <c r="AE374" s="16"/>
    </row>
    <row r="375" spans="1:31" x14ac:dyDescent="0.2">
      <c r="A375" s="4">
        <v>34031</v>
      </c>
      <c r="B375" s="9">
        <f ca="1">Prices!B374*(1+J375/(50*(ABS(O375)+ABS(T375)+0.0001)))</f>
        <v>1.1845048922615984</v>
      </c>
      <c r="C375" s="13">
        <f t="shared" ca="1" si="34"/>
        <v>-1</v>
      </c>
      <c r="D375" s="9">
        <f ca="1">D374+C375*(Prices!B375-Prices!B374)/Prices!B374</f>
        <v>-0.43142474998875696</v>
      </c>
      <c r="E375" s="9">
        <f t="shared" ca="1" si="35"/>
        <v>0.46754870124750325</v>
      </c>
      <c r="F375" s="9">
        <f t="shared" ca="1" si="36"/>
        <v>3.6123951258746317E-2</v>
      </c>
      <c r="G375" s="13">
        <f ca="1">IF((Prices!B375-Prices!B374)*B375&gt;0,1,0)</f>
        <v>0</v>
      </c>
      <c r="H375" s="9">
        <f>ABS(Prices!B375-Prices!B374)/Prices!B374</f>
        <v>1.90302829720335E-3</v>
      </c>
      <c r="I375" s="13"/>
      <c r="J375" s="1">
        <f t="shared" ca="1" si="37"/>
        <v>-3.1336193314529061E-2</v>
      </c>
      <c r="K375" s="9"/>
      <c r="L375" s="9">
        <f ca="1">L374-O375*Prices!B375</f>
        <v>0.74986696099894257</v>
      </c>
      <c r="M375" s="1">
        <f t="shared" ca="1" si="32"/>
        <v>0.20493023637522584</v>
      </c>
      <c r="N375" s="9">
        <f ca="1">IF(Prices!D374&gt;OFFSET(Prices!D374,-$N$3,0),1,IF(Prices!D374&lt;OFFSET(Prices!D374,-$N$3,0),-1,0))</f>
        <v>-1</v>
      </c>
      <c r="O375" s="1">
        <f ca="1">IF(N375=1,O$3*L374/Prices!B374,O$3*M374*N375)</f>
        <v>-2.2770026263913987E-2</v>
      </c>
      <c r="P375" s="14"/>
      <c r="Q375" s="9">
        <f ca="1">Q374-T375*Prices!B375</f>
        <v>0.45418638996363775</v>
      </c>
      <c r="R375" s="1">
        <f t="shared" ca="1" si="33"/>
        <v>0.41974218548013859</v>
      </c>
      <c r="S375" s="9">
        <f ca="1">IF(Prices!C374&lt;OFFSET(Prices!C374,-S$3,0),1,IF(Prices!C374&gt;OFFSET(Prices!C374,-S$3,0),-1,0))</f>
        <v>-1</v>
      </c>
      <c r="T375" s="1">
        <f ca="1">IF(S375=1,T$3*Q374/Prices!B374,T$3*R374*S375)</f>
        <v>-8.5661670506150742E-3</v>
      </c>
      <c r="V375" s="9"/>
      <c r="W375" s="1"/>
      <c r="X375" s="1"/>
      <c r="Y375" s="1"/>
      <c r="Z375" s="1"/>
      <c r="AA375" s="1"/>
      <c r="AB375" s="1"/>
      <c r="AC375" s="1"/>
      <c r="AD375" s="1"/>
      <c r="AE375" s="16"/>
    </row>
    <row r="376" spans="1:31" x14ac:dyDescent="0.2">
      <c r="A376" s="4">
        <v>34032</v>
      </c>
      <c r="B376" s="9">
        <f ca="1">Prices!B375*(1+J376/(50*(ABS(O376)+ABS(T376)+0.0001)))</f>
        <v>1.1951796640783019</v>
      </c>
      <c r="C376" s="13">
        <f t="shared" ca="1" si="34"/>
        <v>-1</v>
      </c>
      <c r="D376" s="9">
        <f ca="1">D375+C376*(Prices!B376-Prices!B375)/Prices!B375</f>
        <v>-0.43614994272688185</v>
      </c>
      <c r="E376" s="9">
        <f t="shared" ca="1" si="35"/>
        <v>0.47227389398562813</v>
      </c>
      <c r="F376" s="9">
        <f t="shared" ca="1" si="36"/>
        <v>3.6123951258746317E-2</v>
      </c>
      <c r="G376" s="13">
        <f ca="1">IF((Prices!B376-Prices!B375)*B376&gt;0,1,0)</f>
        <v>1</v>
      </c>
      <c r="H376" s="9">
        <f>ABS(Prices!B376-Prices!B375)/Prices!B375</f>
        <v>4.7251927381248768E-3</v>
      </c>
      <c r="I376" s="13"/>
      <c r="J376" s="1">
        <f t="shared" ca="1" si="37"/>
        <v>-1.2962784228360058E-2</v>
      </c>
      <c r="K376" s="9"/>
      <c r="L376" s="9">
        <f ca="1">L375-O376*Prices!B376</f>
        <v>0.77470450564761995</v>
      </c>
      <c r="M376" s="1">
        <f t="shared" ca="1" si="32"/>
        <v>0.18443721273770325</v>
      </c>
      <c r="N376" s="9">
        <f ca="1">IF(Prices!D375&gt;OFFSET(Prices!D375,-$N$3,0),1,IF(Prices!D375&lt;OFFSET(Prices!D375,-$N$3,0),-1,0))</f>
        <v>-1</v>
      </c>
      <c r="O376" s="1">
        <f ca="1">IF(N376=1,O$3*L375/Prices!B375,O$3*M375*N376)</f>
        <v>-2.0493023637522586E-2</v>
      </c>
      <c r="P376" s="14"/>
      <c r="Q376" s="9">
        <f ca="1">Q375-T376*Prices!B376</f>
        <v>0.44505973979973279</v>
      </c>
      <c r="R376" s="1">
        <f t="shared" ca="1" si="33"/>
        <v>0.42727242488930112</v>
      </c>
      <c r="S376" s="9">
        <f ca="1">IF(Prices!C375&lt;OFFSET(Prices!C375,-S$3,0),1,IF(Prices!C375&gt;OFFSET(Prices!C375,-S$3,0),-1,0))</f>
        <v>1</v>
      </c>
      <c r="T376" s="1">
        <f ca="1">IF(S376=1,T$3*Q375/Prices!B375,T$3*R375*S376)</f>
        <v>7.530239409162527E-3</v>
      </c>
      <c r="V376" s="9"/>
      <c r="W376" s="1"/>
      <c r="X376" s="1"/>
      <c r="Y376" s="1"/>
      <c r="Z376" s="1"/>
      <c r="AA376" s="1"/>
      <c r="AB376" s="1"/>
      <c r="AC376" s="1"/>
      <c r="AD376" s="1"/>
      <c r="AE376" s="16"/>
    </row>
    <row r="377" spans="1:31" x14ac:dyDescent="0.2">
      <c r="A377" s="4">
        <v>34033</v>
      </c>
      <c r="B377" s="9">
        <f ca="1">Prices!B376*(1+J377/(50*(ABS(O377)+ABS(T377)+0.0001)))</f>
        <v>1.2016070566765678</v>
      </c>
      <c r="C377" s="13">
        <f t="shared" ca="1" si="34"/>
        <v>-1</v>
      </c>
      <c r="D377" s="9">
        <f ca="1">D376+C377*(Prices!B377-Prices!B376)/Prices!B376</f>
        <v>-0.42179350708331759</v>
      </c>
      <c r="E377" s="9">
        <f t="shared" ca="1" si="35"/>
        <v>0.45791745834206388</v>
      </c>
      <c r="F377" s="9">
        <f t="shared" ca="1" si="36"/>
        <v>3.6123951258746317E-2</v>
      </c>
      <c r="G377" s="13">
        <f ca="1">IF((Prices!B377-Prices!B376)*B377&gt;0,1,0)</f>
        <v>0</v>
      </c>
      <c r="H377" s="9">
        <f>ABS(Prices!B377-Prices!B376)/Prices!B376</f>
        <v>1.4356435643564241E-2</v>
      </c>
      <c r="I377" s="13"/>
      <c r="J377" s="1">
        <f t="shared" ca="1" si="37"/>
        <v>-1.1099501145061863E-2</v>
      </c>
      <c r="K377" s="9"/>
      <c r="L377" s="9">
        <f ca="1">L376-O377*Prices!B377</f>
        <v>0.79673737508126596</v>
      </c>
      <c r="M377" s="1">
        <f t="shared" ca="1" si="32"/>
        <v>0.16599349146393291</v>
      </c>
      <c r="N377" s="9">
        <f ca="1">IF(Prices!D376&gt;OFFSET(Prices!D376,-$N$3,0),1,IF(Prices!D376&lt;OFFSET(Prices!D376,-$N$3,0),-1,0))</f>
        <v>-1</v>
      </c>
      <c r="O377" s="1">
        <f ca="1">IF(N377=1,O$3*L376/Prices!B376,O$3*M376*N377)</f>
        <v>-1.8443721273770326E-2</v>
      </c>
      <c r="P377" s="14"/>
      <c r="Q377" s="9">
        <f ca="1">Q376-T377*Prices!B377</f>
        <v>0.43628633443397768</v>
      </c>
      <c r="R377" s="1">
        <f t="shared" ca="1" si="33"/>
        <v>0.43461664501800956</v>
      </c>
      <c r="S377" s="9">
        <f ca="1">IF(Prices!C376&lt;OFFSET(Prices!C376,-S$3,0),1,IF(Prices!C376&gt;OFFSET(Prices!C376,-S$3,0),-1,0))</f>
        <v>1</v>
      </c>
      <c r="T377" s="1">
        <f ca="1">IF(S377=1,T$3*Q376/Prices!B376,T$3*R376*S377)</f>
        <v>7.3442201287084626E-3</v>
      </c>
      <c r="V377" s="9"/>
      <c r="W377" s="1"/>
      <c r="X377" s="1"/>
      <c r="Y377" s="1"/>
      <c r="Z377" s="1"/>
      <c r="AA377" s="1"/>
      <c r="AB377" s="1"/>
      <c r="AC377" s="1"/>
      <c r="AD377" s="1"/>
      <c r="AE377" s="16"/>
    </row>
    <row r="378" spans="1:31" x14ac:dyDescent="0.2">
      <c r="A378" s="4">
        <v>34036</v>
      </c>
      <c r="B378" s="9">
        <f ca="1">Prices!B377*(1+J378/(50*(ABS(O378)+ABS(T378)+0.0001)))</f>
        <v>1.2184597567441551</v>
      </c>
      <c r="C378" s="13">
        <f t="shared" ca="1" si="34"/>
        <v>1</v>
      </c>
      <c r="D378" s="9">
        <f ca="1">D377+C378*(Prices!B378-Prices!B377)/Prices!B377</f>
        <v>-0.4212075368840878</v>
      </c>
      <c r="E378" s="9">
        <f t="shared" ca="1" si="35"/>
        <v>0.45733148814283409</v>
      </c>
      <c r="F378" s="9">
        <f t="shared" ca="1" si="36"/>
        <v>3.6123951258746317E-2</v>
      </c>
      <c r="G378" s="13">
        <f ca="1">IF((Prices!B378-Prices!B377)*B378&gt;0,1,0)</f>
        <v>1</v>
      </c>
      <c r="H378" s="9">
        <f>ABS(Prices!B378-Prices!B377)/Prices!B377</f>
        <v>5.8597019922980312E-4</v>
      </c>
      <c r="I378" s="13"/>
      <c r="J378" s="1">
        <f t="shared" ca="1" si="37"/>
        <v>7.399921663888008E-2</v>
      </c>
      <c r="K378" s="9"/>
      <c r="L378" s="9">
        <f ca="1">L377-O378*Prices!B378</f>
        <v>0.71701695113729835</v>
      </c>
      <c r="M378" s="1">
        <f t="shared" ca="1" si="32"/>
        <v>0.23268839980825451</v>
      </c>
      <c r="N378" s="9">
        <f ca="1">IF(Prices!D377&gt;OFFSET(Prices!D377,-$N$3,0),1,IF(Prices!D377&lt;OFFSET(Prices!D377,-$N$3,0),-1,0))</f>
        <v>1</v>
      </c>
      <c r="O378" s="1">
        <f ca="1">IF(N378=1,O$3*L377/Prices!B377,O$3*M377*N378)</f>
        <v>6.669490834432161E-2</v>
      </c>
      <c r="P378" s="14"/>
      <c r="Q378" s="9">
        <f ca="1">Q377-T378*Prices!B378</f>
        <v>0.42755549472949195</v>
      </c>
      <c r="R378" s="1">
        <f t="shared" ca="1" si="33"/>
        <v>0.44192095331256803</v>
      </c>
      <c r="S378" s="9">
        <f ca="1">IF(Prices!C377&lt;OFFSET(Prices!C377,-S$3,0),1,IF(Prices!C377&gt;OFFSET(Prices!C377,-S$3,0),-1,0))</f>
        <v>1</v>
      </c>
      <c r="T378" s="1">
        <f ca="1">IF(S378=1,T$3*Q377/Prices!B377,T$3*R377*S378)</f>
        <v>7.3043082945584738E-3</v>
      </c>
      <c r="V378" s="9"/>
      <c r="W378" s="1"/>
      <c r="X378" s="1"/>
      <c r="Y378" s="1"/>
      <c r="Z378" s="1"/>
      <c r="AA378" s="1"/>
      <c r="AB378" s="1"/>
      <c r="AC378" s="1"/>
      <c r="AD378" s="1"/>
      <c r="AE378" s="16"/>
    </row>
    <row r="379" spans="1:31" x14ac:dyDescent="0.2">
      <c r="A379" s="4">
        <v>34037</v>
      </c>
      <c r="B379" s="9">
        <f ca="1">Prices!B378*(1+J379/(50*(ABS(O379)+ABS(T379)+0.0001)))</f>
        <v>1.2191704469184614</v>
      </c>
      <c r="C379" s="13">
        <f t="shared" ca="1" si="34"/>
        <v>1</v>
      </c>
      <c r="D379" s="9">
        <f ca="1">D378+C379*(Prices!B379-Prices!B378)/Prices!B378</f>
        <v>-0.42689648526524743</v>
      </c>
      <c r="E379" s="9">
        <f t="shared" ca="1" si="35"/>
        <v>0.46302043652399372</v>
      </c>
      <c r="F379" s="9">
        <f t="shared" ca="1" si="36"/>
        <v>3.6123951258746317E-2</v>
      </c>
      <c r="G379" s="13">
        <f ca="1">IF((Prices!B379-Prices!B378)*B379&gt;0,1,0)</f>
        <v>0</v>
      </c>
      <c r="H379" s="9">
        <f>ABS(Prices!B379-Prices!B378)/Prices!B378</f>
        <v>5.6889483811596578E-3</v>
      </c>
      <c r="I379" s="13"/>
      <c r="J379" s="1">
        <f t="shared" ca="1" si="37"/>
        <v>6.7140303696410678E-2</v>
      </c>
      <c r="K379" s="9"/>
      <c r="L379" s="9">
        <f ca="1">L378-O379*Prices!B379</f>
        <v>0.64572316326591217</v>
      </c>
      <c r="M379" s="1">
        <f t="shared" ca="1" si="32"/>
        <v>0.29267475897643808</v>
      </c>
      <c r="N379" s="9">
        <f ca="1">IF(Prices!D378&gt;OFFSET(Prices!D378,-$N$3,0),1,IF(Prices!D378&lt;OFFSET(Prices!D378,-$N$3,0),-1,0))</f>
        <v>1</v>
      </c>
      <c r="O379" s="1">
        <f ca="1">IF(N379=1,O$3*L378/Prices!B378,O$3*M378*N379)</f>
        <v>5.9986359168183588E-2</v>
      </c>
      <c r="P379" s="14"/>
      <c r="Q379" s="9">
        <f ca="1">Q378-T379*Prices!B379</f>
        <v>0.41905303165769403</v>
      </c>
      <c r="R379" s="1">
        <f t="shared" ca="1" si="33"/>
        <v>0.44907489784079513</v>
      </c>
      <c r="S379" s="9">
        <f ca="1">IF(Prices!C378&lt;OFFSET(Prices!C378,-S$3,0),1,IF(Prices!C378&gt;OFFSET(Prices!C378,-S$3,0),-1,0))</f>
        <v>1</v>
      </c>
      <c r="T379" s="1">
        <f ca="1">IF(S379=1,T$3*Q378/Prices!B378,T$3*R378*S379)</f>
        <v>7.1539445282270886E-3</v>
      </c>
      <c r="V379" s="9"/>
      <c r="W379" s="1"/>
      <c r="X379" s="1"/>
      <c r="Y379" s="1"/>
      <c r="Z379" s="1"/>
      <c r="AA379" s="1"/>
      <c r="AB379" s="1"/>
      <c r="AC379" s="1"/>
      <c r="AD379" s="1"/>
      <c r="AE379" s="16"/>
    </row>
    <row r="380" spans="1:31" x14ac:dyDescent="0.2">
      <c r="A380" s="4">
        <v>34038</v>
      </c>
      <c r="B380" s="9">
        <f ca="1">Prices!B379*(1+J380/(50*(ABS(O380)+ABS(T380)+0.0001)))</f>
        <v>1.2054991288569727</v>
      </c>
      <c r="C380" s="13">
        <f t="shared" ca="1" si="34"/>
        <v>1</v>
      </c>
      <c r="D380" s="9">
        <f ca="1">D379+C380*(Prices!B380-Prices!B379)/Prices!B379</f>
        <v>-0.42479299346886529</v>
      </c>
      <c r="E380" s="9">
        <f t="shared" ca="1" si="35"/>
        <v>0.46091694472761158</v>
      </c>
      <c r="F380" s="9">
        <f t="shared" ca="1" si="36"/>
        <v>3.6123951258746317E-2</v>
      </c>
      <c r="G380" s="13">
        <f ca="1">IF((Prices!B380-Prices!B379)*B380&gt;0,1,0)</f>
        <v>1</v>
      </c>
      <c r="H380" s="9">
        <f>ABS(Prices!B380-Prices!B379)/Prices!B379</f>
        <v>2.1034917963821363E-3</v>
      </c>
      <c r="I380" s="13"/>
      <c r="J380" s="1">
        <f t="shared" ca="1" si="37"/>
        <v>4.5349437109731196E-2</v>
      </c>
      <c r="K380" s="9"/>
      <c r="L380" s="9">
        <f ca="1">L379-O380*Prices!B380</f>
        <v>0.58101501960165458</v>
      </c>
      <c r="M380" s="1">
        <f t="shared" ca="1" si="32"/>
        <v>0.3470056940429852</v>
      </c>
      <c r="N380" s="9">
        <f ca="1">IF(Prices!D379&gt;OFFSET(Prices!D379,-$N$3,0),1,IF(Prices!D379&lt;OFFSET(Prices!D379,-$N$3,0),-1,0))</f>
        <v>1</v>
      </c>
      <c r="O380" s="1">
        <f ca="1">IF(N380=1,O$3*L379/Prices!B379,O$3*M379*N380)</f>
        <v>5.4330935066547098E-2</v>
      </c>
      <c r="P380" s="14"/>
      <c r="Q380" s="9">
        <f ca="1">Q379-T380*Prices!B380</f>
        <v>0.42974999572426176</v>
      </c>
      <c r="R380" s="1">
        <f t="shared" ca="1" si="33"/>
        <v>0.44009339988397922</v>
      </c>
      <c r="S380" s="9">
        <f ca="1">IF(Prices!C379&lt;OFFSET(Prices!C379,-S$3,0),1,IF(Prices!C379&gt;OFFSET(Prices!C379,-S$3,0),-1,0))</f>
        <v>-1</v>
      </c>
      <c r="T380" s="1">
        <f ca="1">IF(S380=1,T$3*Q379/Prices!B379,T$3*R379*S380)</f>
        <v>-8.9814979568159023E-3</v>
      </c>
      <c r="V380" s="9"/>
      <c r="W380" s="1"/>
      <c r="X380" s="1"/>
      <c r="Y380" s="1"/>
      <c r="Z380" s="1"/>
      <c r="AA380" s="1"/>
      <c r="AB380" s="1"/>
      <c r="AC380" s="1"/>
      <c r="AD380" s="1"/>
      <c r="AE380" s="16"/>
    </row>
    <row r="381" spans="1:31" x14ac:dyDescent="0.2">
      <c r="A381" s="4">
        <v>34039</v>
      </c>
      <c r="B381" s="9">
        <f ca="1">Prices!B380*(1+J381/(50*(ABS(O381)+ABS(T381)+0.0001)))</f>
        <v>1.2075096397386726</v>
      </c>
      <c r="C381" s="13">
        <f t="shared" ca="1" si="34"/>
        <v>1</v>
      </c>
      <c r="D381" s="9">
        <f ca="1">D380+C381*(Prices!B381-Prices!B380)/Prices!B380</f>
        <v>-0.42496091958137577</v>
      </c>
      <c r="E381" s="9">
        <f t="shared" ca="1" si="35"/>
        <v>0.46108487084012206</v>
      </c>
      <c r="F381" s="9">
        <f t="shared" ca="1" si="36"/>
        <v>3.6123951258746317E-2</v>
      </c>
      <c r="G381" s="13">
        <f ca="1">IF((Prices!B381-Prices!B380)*B381&gt;0,1,0)</f>
        <v>0</v>
      </c>
      <c r="H381" s="9">
        <f>ABS(Prices!B381-Prices!B380)/Prices!B380</f>
        <v>1.6792611251047689E-4</v>
      </c>
      <c r="I381" s="13"/>
      <c r="J381" s="1">
        <f t="shared" ca="1" si="37"/>
        <v>3.9981928778277984E-2</v>
      </c>
      <c r="K381" s="9"/>
      <c r="L381" s="9">
        <f ca="1">L380-O381*Prices!B381</f>
        <v>0.5229232744008443</v>
      </c>
      <c r="M381" s="1">
        <f t="shared" ca="1" si="32"/>
        <v>0.39578949081894277</v>
      </c>
      <c r="N381" s="9">
        <f ca="1">IF(Prices!D380&gt;OFFSET(Prices!D380,-$N$3,0),1,IF(Prices!D380&lt;OFFSET(Prices!D380,-$N$3,0),-1,0))</f>
        <v>1</v>
      </c>
      <c r="O381" s="1">
        <f ca="1">IF(N381=1,O$3*L380/Prices!B380,O$3*M380*N381)</f>
        <v>4.8783796775957566E-2</v>
      </c>
      <c r="P381" s="14"/>
      <c r="Q381" s="9">
        <f ca="1">Q380-T381*Prices!B381</f>
        <v>0.44023126013589858</v>
      </c>
      <c r="R381" s="1">
        <f t="shared" ca="1" si="33"/>
        <v>0.43129153188629965</v>
      </c>
      <c r="S381" s="9">
        <f ca="1">IF(Prices!C380&lt;OFFSET(Prices!C380,-S$3,0),1,IF(Prices!C380&gt;OFFSET(Prices!C380,-S$3,0),-1,0))</f>
        <v>-1</v>
      </c>
      <c r="T381" s="1">
        <f ca="1">IF(S381=1,T$3*Q380/Prices!B380,T$3*R380*S381)</f>
        <v>-8.8018679976795845E-3</v>
      </c>
      <c r="V381" s="9"/>
      <c r="W381" s="1"/>
      <c r="X381" s="1"/>
      <c r="Y381" s="1"/>
      <c r="Z381" s="1"/>
      <c r="AA381" s="1"/>
      <c r="AB381" s="1"/>
      <c r="AC381" s="1"/>
      <c r="AD381" s="1"/>
      <c r="AE381" s="16"/>
    </row>
    <row r="382" spans="1:31" x14ac:dyDescent="0.2">
      <c r="A382" s="4">
        <v>34040</v>
      </c>
      <c r="B382" s="9">
        <f ca="1">Prices!B381*(1+J382/(50*(ABS(O382)+ABS(T382)+0.0001)))</f>
        <v>1.2145696721156605</v>
      </c>
      <c r="C382" s="13">
        <f t="shared" ca="1" si="34"/>
        <v>1</v>
      </c>
      <c r="D382" s="9">
        <f ca="1">D381+C382*(Prices!B382-Prices!B381)/Prices!B381</f>
        <v>-0.4269763713784871</v>
      </c>
      <c r="E382" s="9">
        <f t="shared" ca="1" si="35"/>
        <v>0.46310032263723344</v>
      </c>
      <c r="F382" s="9">
        <f t="shared" ca="1" si="36"/>
        <v>3.6123951258746317E-2</v>
      </c>
      <c r="G382" s="13">
        <f ca="1">IF((Prices!B382-Prices!B381)*B382&gt;0,1,0)</f>
        <v>0</v>
      </c>
      <c r="H382" s="9">
        <f>ABS(Prices!B382-Prices!B381)/Prices!B381</f>
        <v>2.0154517971113367E-3</v>
      </c>
      <c r="I382" s="13"/>
      <c r="J382" s="1">
        <f t="shared" ca="1" si="37"/>
        <v>5.1307484584147134E-2</v>
      </c>
      <c r="K382" s="9"/>
      <c r="L382" s="9">
        <f ca="1">L381-O382*Prices!B382</f>
        <v>0.47073633962607409</v>
      </c>
      <c r="M382" s="1">
        <f t="shared" ca="1" si="32"/>
        <v>0.43970310136654472</v>
      </c>
      <c r="N382" s="9">
        <f ca="1">IF(Prices!D381&gt;OFFSET(Prices!D381,-$N$3,0),1,IF(Prices!D381&lt;OFFSET(Prices!D381,-$N$3,0),-1,0))</f>
        <v>1</v>
      </c>
      <c r="O382" s="1">
        <f ca="1">IF(N382=1,O$3*L381/Prices!B381,O$3*M381*N382)</f>
        <v>4.3913610547601976E-2</v>
      </c>
      <c r="P382" s="14"/>
      <c r="Q382" s="9">
        <f ca="1">Q381-T382*Prices!B382</f>
        <v>0.43144438023086834</v>
      </c>
      <c r="R382" s="1">
        <f t="shared" ca="1" si="33"/>
        <v>0.43868540592284483</v>
      </c>
      <c r="S382" s="9">
        <f ca="1">IF(Prices!C381&lt;OFFSET(Prices!C381,-S$3,0),1,IF(Prices!C381&gt;OFFSET(Prices!C381,-S$3,0),-1,0))</f>
        <v>1</v>
      </c>
      <c r="T382" s="1">
        <f ca="1">IF(S382=1,T$3*Q381/Prices!B381,T$3*R381*S382)</f>
        <v>7.3938740365451566E-3</v>
      </c>
      <c r="V382" s="9"/>
      <c r="W382" s="1"/>
      <c r="X382" s="1"/>
      <c r="Y382" s="1"/>
      <c r="Z382" s="1"/>
      <c r="AA382" s="1"/>
      <c r="AB382" s="1"/>
      <c r="AC382" s="1"/>
      <c r="AD382" s="1"/>
      <c r="AE382" s="16"/>
    </row>
    <row r="383" spans="1:31" x14ac:dyDescent="0.2">
      <c r="A383" s="4">
        <v>34043</v>
      </c>
      <c r="B383" s="9">
        <f ca="1">Prices!B382*(1+J383/(50*(ABS(O383)+ABS(T383)+0.0001)))</f>
        <v>1.2035169350273851</v>
      </c>
      <c r="C383" s="13">
        <f t="shared" ca="1" si="34"/>
        <v>1</v>
      </c>
      <c r="D383" s="9">
        <f ca="1">D382+C383*(Prices!B383-Prices!B382)/Prices!B382</f>
        <v>-0.4257983168513918</v>
      </c>
      <c r="E383" s="9">
        <f t="shared" ca="1" si="35"/>
        <v>0.46192226811013815</v>
      </c>
      <c r="F383" s="9">
        <f t="shared" ca="1" si="36"/>
        <v>3.6123951258746317E-2</v>
      </c>
      <c r="G383" s="13">
        <f ca="1">IF((Prices!B383-Prices!B382)*B383&gt;0,1,0)</f>
        <v>1</v>
      </c>
      <c r="H383" s="9">
        <f>ABS(Prices!B383-Prices!B382)/Prices!B382</f>
        <v>1.1780545270953114E-3</v>
      </c>
      <c r="I383" s="13"/>
      <c r="J383" s="1">
        <f t="shared" ca="1" si="37"/>
        <v>3.0837225879024946E-2</v>
      </c>
      <c r="K383" s="9"/>
      <c r="L383" s="9">
        <f ca="1">L382-O383*Prices!B383</f>
        <v>0.42360725035587021</v>
      </c>
      <c r="M383" s="1">
        <f t="shared" ca="1" si="32"/>
        <v>0.47931403536402656</v>
      </c>
      <c r="N383" s="9">
        <f ca="1">IF(Prices!D382&gt;OFFSET(Prices!D382,-$N$3,0),1,IF(Prices!D382&lt;OFFSET(Prices!D382,-$N$3,0),-1,0))</f>
        <v>1</v>
      </c>
      <c r="O383" s="1">
        <f ca="1">IF(N383=1,O$3*L382/Prices!B382,O$3*M382*N383)</f>
        <v>3.9610933997481841E-2</v>
      </c>
      <c r="P383" s="14"/>
      <c r="Q383" s="9">
        <f ca="1">Q382-T383*Prices!B383</f>
        <v>0.44188333815020836</v>
      </c>
      <c r="R383" s="1">
        <f t="shared" ca="1" si="33"/>
        <v>0.42991169780438793</v>
      </c>
      <c r="S383" s="9">
        <f ca="1">IF(Prices!C382&lt;OFFSET(Prices!C382,-S$3,0),1,IF(Prices!C382&gt;OFFSET(Prices!C382,-S$3,0),-1,0))</f>
        <v>-1</v>
      </c>
      <c r="T383" s="1">
        <f ca="1">IF(S383=1,T$3*Q382/Prices!B382,T$3*R382*S383)</f>
        <v>-8.7737081184568969E-3</v>
      </c>
      <c r="V383" s="9"/>
      <c r="W383" s="1"/>
      <c r="X383" s="1"/>
      <c r="Y383" s="1"/>
      <c r="Z383" s="1"/>
      <c r="AA383" s="1"/>
      <c r="AB383" s="1"/>
      <c r="AC383" s="1"/>
      <c r="AD383" s="1"/>
      <c r="AE383" s="16"/>
    </row>
    <row r="384" spans="1:31" x14ac:dyDescent="0.2">
      <c r="A384" s="4">
        <v>34044</v>
      </c>
      <c r="B384" s="9">
        <f ca="1">Prices!B383*(1+J384/(50*(ABS(O384)+ABS(T384)+0.0001)))</f>
        <v>1.2043054100688677</v>
      </c>
      <c r="C384" s="13">
        <f t="shared" ca="1" si="34"/>
        <v>1</v>
      </c>
      <c r="D384" s="9">
        <f ca="1">D383+C384*(Prices!B384-Prices!B383)/Prices!B383</f>
        <v>-0.42394926659084381</v>
      </c>
      <c r="E384" s="9">
        <f t="shared" ca="1" si="35"/>
        <v>0.4600732178495901</v>
      </c>
      <c r="F384" s="9">
        <f t="shared" ca="1" si="36"/>
        <v>3.6123951258746317E-2</v>
      </c>
      <c r="G384" s="13">
        <f ca="1">IF((Prices!B384-Prices!B383)*B384&gt;0,1,0)</f>
        <v>1</v>
      </c>
      <c r="H384" s="9">
        <f>ABS(Prices!B384-Prices!B383)/Prices!B383</f>
        <v>1.8490502605479743E-3</v>
      </c>
      <c r="I384" s="13"/>
      <c r="J384" s="1">
        <f t="shared" ca="1" si="37"/>
        <v>2.7004997709391326E-2</v>
      </c>
      <c r="K384" s="9"/>
      <c r="L384" s="9">
        <f ca="1">L383-O384*Prices!B384</f>
        <v>0.38116819821061915</v>
      </c>
      <c r="M384" s="1">
        <f t="shared" ca="1" si="32"/>
        <v>0.51491726702950569</v>
      </c>
      <c r="N384" s="9">
        <f ca="1">IF(Prices!D383&gt;OFFSET(Prices!D383,-$N$3,0),1,IF(Prices!D383&lt;OFFSET(Prices!D383,-$N$3,0),-1,0))</f>
        <v>1</v>
      </c>
      <c r="O384" s="1">
        <f ca="1">IF(N384=1,O$3*L383/Prices!B383,O$3*M383*N384)</f>
        <v>3.5603231665479088E-2</v>
      </c>
      <c r="P384" s="14"/>
      <c r="Q384" s="9">
        <f ca="1">Q383-T384*Prices!B384</f>
        <v>0.45213243302586498</v>
      </c>
      <c r="R384" s="1">
        <f t="shared" ca="1" si="33"/>
        <v>0.42131346384830015</v>
      </c>
      <c r="S384" s="9">
        <f ca="1">IF(Prices!C383&lt;OFFSET(Prices!C383,-S$3,0),1,IF(Prices!C383&gt;OFFSET(Prices!C383,-S$3,0),-1,0))</f>
        <v>-1</v>
      </c>
      <c r="T384" s="1">
        <f ca="1">IF(S384=1,T$3*Q383/Prices!B383,T$3*R383*S384)</f>
        <v>-8.5982339560877596E-3</v>
      </c>
      <c r="V384" s="9"/>
      <c r="W384" s="1"/>
      <c r="X384" s="1"/>
      <c r="Y384" s="1"/>
      <c r="Z384" s="1"/>
      <c r="AA384" s="1"/>
      <c r="AB384" s="1"/>
      <c r="AC384" s="1"/>
      <c r="AD384" s="1"/>
      <c r="AE384" s="16"/>
    </row>
    <row r="385" spans="1:31" x14ac:dyDescent="0.2">
      <c r="A385" s="4">
        <v>34045</v>
      </c>
      <c r="B385" s="9">
        <f ca="1">Prices!B384*(1+J385/(50*(ABS(O385)+ABS(T385)+0.0001)))</f>
        <v>1.174312470892964</v>
      </c>
      <c r="C385" s="13">
        <f t="shared" ca="1" si="34"/>
        <v>-1</v>
      </c>
      <c r="D385" s="9">
        <f ca="1">D384+C385*(Prices!B385-Prices!B384)/Prices!B384</f>
        <v>-0.42076134712775654</v>
      </c>
      <c r="E385" s="9">
        <f t="shared" ca="1" si="35"/>
        <v>0.45688529838650282</v>
      </c>
      <c r="F385" s="9">
        <f t="shared" ca="1" si="36"/>
        <v>3.6123951258746317E-2</v>
      </c>
      <c r="G385" s="13">
        <f ca="1">IF((Prices!B385-Prices!B384)*B385&gt;0,1,0)</f>
        <v>0</v>
      </c>
      <c r="H385" s="9">
        <f>ABS(Prices!B385-Prices!B384)/Prices!B384</f>
        <v>3.1879194630872699E-3</v>
      </c>
      <c r="I385" s="13"/>
      <c r="J385" s="1">
        <f t="shared" ca="1" si="37"/>
        <v>-4.3905612054865595E-2</v>
      </c>
      <c r="K385" s="9"/>
      <c r="L385" s="9">
        <f ca="1">L384-O385*Prices!B385</f>
        <v>0.44235066787906502</v>
      </c>
      <c r="M385" s="1">
        <f t="shared" ca="1" si="32"/>
        <v>0.46342554032655514</v>
      </c>
      <c r="N385" s="9">
        <f ca="1">IF(Prices!D384&gt;OFFSET(Prices!D384,-$N$3,0),1,IF(Prices!D384&lt;OFFSET(Prices!D384,-$N$3,0),-1,0))</f>
        <v>-1</v>
      </c>
      <c r="O385" s="1">
        <f ca="1">IF(N385=1,O$3*L384/Prices!B384,O$3*M384*N385)</f>
        <v>-5.1491726702950574E-2</v>
      </c>
      <c r="P385" s="14"/>
      <c r="Q385" s="9">
        <f ca="1">Q384-T385*Prices!B385</f>
        <v>0.4431186116010104</v>
      </c>
      <c r="R385" s="1">
        <f t="shared" ca="1" si="33"/>
        <v>0.42889957849638516</v>
      </c>
      <c r="S385" s="9">
        <f ca="1">IF(Prices!C384&lt;OFFSET(Prices!C384,-S$3,0),1,IF(Prices!C384&gt;OFFSET(Prices!C384,-S$3,0),-1,0))</f>
        <v>1</v>
      </c>
      <c r="T385" s="1">
        <f ca="1">IF(S385=1,T$3*Q384/Prices!B384,T$3*R384*S385)</f>
        <v>7.586114648084983E-3</v>
      </c>
      <c r="V385" s="9"/>
      <c r="W385" s="1"/>
      <c r="X385" s="1"/>
      <c r="Y385" s="1"/>
      <c r="Z385" s="1"/>
      <c r="AA385" s="1"/>
      <c r="AB385" s="1"/>
      <c r="AC385" s="1"/>
      <c r="AD385" s="1"/>
      <c r="AE385" s="16"/>
    </row>
    <row r="386" spans="1:31" x14ac:dyDescent="0.2">
      <c r="A386" s="4">
        <v>34046</v>
      </c>
      <c r="B386" s="9">
        <f ca="1">Prices!B385*(1+J386/(50*(ABS(O386)+ABS(T386)+0.0001)))</f>
        <v>1.1710568403265547</v>
      </c>
      <c r="C386" s="13">
        <f t="shared" ca="1" si="34"/>
        <v>-1</v>
      </c>
      <c r="D386" s="9">
        <f ca="1">D385+C386*(Prices!B386-Prices!B385)/Prices!B385</f>
        <v>-0.42463274924861172</v>
      </c>
      <c r="E386" s="9">
        <f t="shared" ca="1" si="35"/>
        <v>0.46075670050735806</v>
      </c>
      <c r="F386" s="9">
        <f t="shared" ca="1" si="36"/>
        <v>3.6123951258746317E-2</v>
      </c>
      <c r="G386" s="13">
        <f ca="1">IF((Prices!B386-Prices!B385)*B386&gt;0,1,0)</f>
        <v>1</v>
      </c>
      <c r="H386" s="9">
        <f>ABS(Prices!B386-Prices!B385)/Prices!B385</f>
        <v>3.8714021208552094E-3</v>
      </c>
      <c r="I386" s="13"/>
      <c r="J386" s="1">
        <f t="shared" ca="1" si="37"/>
        <v>-3.8883900412035918E-2</v>
      </c>
      <c r="K386" s="9"/>
      <c r="L386" s="9">
        <f ca="1">L385-O386*Prices!B386</f>
        <v>0.49762806632921652</v>
      </c>
      <c r="M386" s="1">
        <f t="shared" ca="1" si="32"/>
        <v>0.41708298629389962</v>
      </c>
      <c r="N386" s="9">
        <f ca="1">IF(Prices!D385&gt;OFFSET(Prices!D385,-$N$3,0),1,IF(Prices!D385&lt;OFFSET(Prices!D385,-$N$3,0),-1,0))</f>
        <v>-1</v>
      </c>
      <c r="O386" s="1">
        <f ca="1">IF(N386=1,O$3*L385/Prices!B385,O$3*M385*N386)</f>
        <v>-4.6342554032655518E-2</v>
      </c>
      <c r="P386" s="14"/>
      <c r="Q386" s="9">
        <f ca="1">Q385-T386*Prices!B386</f>
        <v>0.43422192956233535</v>
      </c>
      <c r="R386" s="1">
        <f t="shared" ca="1" si="33"/>
        <v>0.43635823211700475</v>
      </c>
      <c r="S386" s="9">
        <f ca="1">IF(Prices!C385&lt;OFFSET(Prices!C385,-S$3,0),1,IF(Prices!C385&gt;OFFSET(Prices!C385,-S$3,0),-1,0))</f>
        <v>1</v>
      </c>
      <c r="T386" s="1">
        <f ca="1">IF(S386=1,T$3*Q385/Prices!B385,T$3*R385*S386)</f>
        <v>7.4586536206196008E-3</v>
      </c>
      <c r="V386" s="9"/>
      <c r="W386" s="1"/>
      <c r="X386" s="1"/>
      <c r="Y386" s="1"/>
      <c r="Z386" s="1"/>
      <c r="AA386" s="1"/>
      <c r="AB386" s="1"/>
      <c r="AC386" s="1"/>
      <c r="AD386" s="1"/>
      <c r="AE386" s="16"/>
    </row>
    <row r="387" spans="1:31" x14ac:dyDescent="0.2">
      <c r="A387" s="4">
        <v>34047</v>
      </c>
      <c r="B387" s="9">
        <f ca="1">Prices!B386*(1+J387/(50*(ABS(O387)+ABS(T387)+0.0001)))</f>
        <v>1.1760690796746758</v>
      </c>
      <c r="C387" s="13">
        <f t="shared" ca="1" si="34"/>
        <v>-1</v>
      </c>
      <c r="D387" s="9">
        <f ca="1">D386+C387*(Prices!B387-Prices!B386)/Prices!B386</f>
        <v>-0.44190303764566063</v>
      </c>
      <c r="E387" s="9">
        <f t="shared" ca="1" si="35"/>
        <v>0.47802698890440698</v>
      </c>
      <c r="F387" s="9">
        <f t="shared" ca="1" si="36"/>
        <v>3.6123951258746317E-2</v>
      </c>
      <c r="G387" s="13">
        <f ca="1">IF((Prices!B387-Prices!B386)*B387&gt;0,1,0)</f>
        <v>1</v>
      </c>
      <c r="H387" s="9">
        <f>ABS(Prices!B387-Prices!B386)/Prices!B386</f>
        <v>1.727028839704892E-2</v>
      </c>
      <c r="I387" s="13"/>
      <c r="J387" s="1">
        <f t="shared" ca="1" si="37"/>
        <v>-3.4427582171268983E-2</v>
      </c>
      <c r="K387" s="9"/>
      <c r="L387" s="9">
        <f ca="1">L386-O387*Prices!B387</f>
        <v>0.54823691588611834</v>
      </c>
      <c r="M387" s="1">
        <f t="shared" ca="1" si="32"/>
        <v>0.37537468766450965</v>
      </c>
      <c r="N387" s="9">
        <f ca="1">IF(Prices!D386&gt;OFFSET(Prices!D386,-$N$3,0),1,IF(Prices!D386&lt;OFFSET(Prices!D386,-$N$3,0),-1,0))</f>
        <v>-1</v>
      </c>
      <c r="O387" s="1">
        <f ca="1">IF(N387=1,O$3*L386/Prices!B386,O$3*M386*N387)</f>
        <v>-4.1708298629389962E-2</v>
      </c>
      <c r="P387" s="14"/>
      <c r="Q387" s="9">
        <f ca="1">Q386-T387*Prices!B387</f>
        <v>0.42538750821205135</v>
      </c>
      <c r="R387" s="1">
        <f t="shared" ca="1" si="33"/>
        <v>0.44363894857512576</v>
      </c>
      <c r="S387" s="9">
        <f ca="1">IF(Prices!C386&lt;OFFSET(Prices!C386,-S$3,0),1,IF(Prices!C386&gt;OFFSET(Prices!C386,-S$3,0),-1,0))</f>
        <v>1</v>
      </c>
      <c r="T387" s="1">
        <f ca="1">IF(S387=1,T$3*Q386/Prices!B386,T$3*R386*S387)</f>
        <v>7.2807164581209808E-3</v>
      </c>
      <c r="V387" s="9"/>
      <c r="W387" s="1"/>
      <c r="X387" s="1"/>
      <c r="Y387" s="1"/>
      <c r="Z387" s="1"/>
      <c r="AA387" s="1"/>
      <c r="AB387" s="1"/>
      <c r="AC387" s="1"/>
      <c r="AD387" s="1"/>
      <c r="AE387" s="16"/>
    </row>
    <row r="388" spans="1:31" x14ac:dyDescent="0.2">
      <c r="A388" s="4">
        <v>34050</v>
      </c>
      <c r="B388" s="9">
        <f ca="1">Prices!B387*(1+J388/(50*(ABS(O388)+ABS(T388)+0.0001)))</f>
        <v>1.1968082541428664</v>
      </c>
      <c r="C388" s="13">
        <f t="shared" ca="1" si="34"/>
        <v>-1</v>
      </c>
      <c r="D388" s="9">
        <f ca="1">D387+C388*(Prices!B388-Prices!B387)/Prices!B387</f>
        <v>-0.43852410242232126</v>
      </c>
      <c r="E388" s="9">
        <f t="shared" ca="1" si="35"/>
        <v>0.47464805368106755</v>
      </c>
      <c r="F388" s="9">
        <f t="shared" ca="1" si="36"/>
        <v>3.6123951258746317E-2</v>
      </c>
      <c r="G388" s="13">
        <f ca="1">IF((Prices!B388-Prices!B387)*B388&gt;0,1,0)</f>
        <v>0</v>
      </c>
      <c r="H388" s="9">
        <f>ABS(Prices!B388-Prices!B387)/Prices!B387</f>
        <v>3.3789352233393709E-3</v>
      </c>
      <c r="I388" s="13"/>
      <c r="J388" s="1">
        <f t="shared" ca="1" si="37"/>
        <v>-3.0525972010030149E-2</v>
      </c>
      <c r="K388" s="9"/>
      <c r="L388" s="9">
        <f ca="1">L387-O388*Prices!B388</f>
        <v>0.59363097686538746</v>
      </c>
      <c r="M388" s="1">
        <f t="shared" ca="1" si="32"/>
        <v>0.33783721889805868</v>
      </c>
      <c r="N388" s="9">
        <f ca="1">IF(Prices!D387&gt;OFFSET(Prices!D387,-$N$3,0),1,IF(Prices!D387&lt;OFFSET(Prices!D387,-$N$3,0),-1,0))</f>
        <v>-1</v>
      </c>
      <c r="O388" s="1">
        <f ca="1">IF(N388=1,O$3*L387/Prices!B387,O$3*M387*N388)</f>
        <v>-3.753746876645097E-2</v>
      </c>
      <c r="P388" s="14"/>
      <c r="Q388" s="9">
        <f ca="1">Q387-T388*Prices!B388</f>
        <v>0.41690850518451167</v>
      </c>
      <c r="R388" s="1">
        <f t="shared" ca="1" si="33"/>
        <v>0.45065044533154658</v>
      </c>
      <c r="S388" s="9">
        <f ca="1">IF(Prices!C387&lt;OFFSET(Prices!C387,-S$3,0),1,IF(Prices!C387&gt;OFFSET(Prices!C387,-S$3,0),-1,0))</f>
        <v>1</v>
      </c>
      <c r="T388" s="1">
        <f ca="1">IF(S388=1,T$3*Q387/Prices!B387,T$3*R387*S388)</f>
        <v>7.0114967564208226E-3</v>
      </c>
      <c r="V388" s="9"/>
      <c r="W388" s="1"/>
      <c r="X388" s="1"/>
      <c r="Y388" s="1"/>
      <c r="Z388" s="1"/>
      <c r="AA388" s="1"/>
      <c r="AB388" s="1"/>
      <c r="AC388" s="1"/>
      <c r="AD388" s="1"/>
      <c r="AE388" s="16"/>
    </row>
    <row r="389" spans="1:31" x14ac:dyDescent="0.2">
      <c r="A389" s="4">
        <v>34051</v>
      </c>
      <c r="B389" s="9">
        <f ca="1">Prices!B388*(1+J389/(50*(ABS(O389)+ABS(T389)+0.0001)))</f>
        <v>1.2334428752845632</v>
      </c>
      <c r="C389" s="13">
        <f t="shared" ca="1" si="34"/>
        <v>1</v>
      </c>
      <c r="D389" s="9">
        <f ca="1">D388+C389*(Prices!B389-Prices!B388)/Prices!B388</f>
        <v>-0.43761448528844227</v>
      </c>
      <c r="E389" s="9">
        <f t="shared" ca="1" si="35"/>
        <v>0.47373843654718861</v>
      </c>
      <c r="F389" s="9">
        <f t="shared" ca="1" si="36"/>
        <v>3.6123951258746317E-2</v>
      </c>
      <c r="G389" s="13">
        <f ca="1">IF((Prices!B389-Prices!B388)*B389&gt;0,1,0)</f>
        <v>1</v>
      </c>
      <c r="H389" s="9">
        <f>ABS(Prices!B389-Prices!B388)/Prices!B388</f>
        <v>9.0961713387900341E-4</v>
      </c>
      <c r="I389" s="13"/>
      <c r="J389" s="1">
        <f t="shared" ca="1" si="37"/>
        <v>5.5983848333936145E-2</v>
      </c>
      <c r="K389" s="9"/>
      <c r="L389" s="9">
        <f ca="1">L388-O389*Prices!B389</f>
        <v>0.53421388148807292</v>
      </c>
      <c r="M389" s="1">
        <f t="shared" ca="1" si="32"/>
        <v>0.3869260286942538</v>
      </c>
      <c r="N389" s="9">
        <f ca="1">IF(Prices!D388&gt;OFFSET(Prices!D388,-$N$3,0),1,IF(Prices!D388&lt;OFFSET(Prices!D388,-$N$3,0),-1,0))</f>
        <v>1</v>
      </c>
      <c r="O389" s="1">
        <f ca="1">IF(N389=1,O$3*L388/Prices!B388,O$3*M388*N389)</f>
        <v>4.9088809796195107E-2</v>
      </c>
      <c r="P389" s="14"/>
      <c r="Q389" s="9">
        <f ca="1">Q388-T389*Prices!B389</f>
        <v>0.40856275053842994</v>
      </c>
      <c r="R389" s="1">
        <f t="shared" ca="1" si="33"/>
        <v>0.45754548386928762</v>
      </c>
      <c r="S389" s="9">
        <f ca="1">IF(Prices!C388&lt;OFFSET(Prices!C388,-S$3,0),1,IF(Prices!C388&gt;OFFSET(Prices!C388,-S$3,0),-1,0))</f>
        <v>1</v>
      </c>
      <c r="T389" s="1">
        <f ca="1">IF(S389=1,T$3*Q388/Prices!B388,T$3*R388*S389)</f>
        <v>6.8950385377410349E-3</v>
      </c>
      <c r="V389" s="9"/>
      <c r="W389" s="1"/>
      <c r="X389" s="1"/>
      <c r="Y389" s="1"/>
      <c r="Z389" s="1"/>
      <c r="AA389" s="1"/>
      <c r="AB389" s="1"/>
      <c r="AC389" s="1"/>
      <c r="AD389" s="1"/>
      <c r="AE389" s="16"/>
    </row>
    <row r="390" spans="1:31" x14ac:dyDescent="0.2">
      <c r="A390" s="4">
        <v>34052</v>
      </c>
      <c r="B390" s="9">
        <f ca="1">Prices!B389*(1+J390/(50*(ABS(O390)+ABS(T390)+0.0001)))</f>
        <v>1.1934218173143492</v>
      </c>
      <c r="C390" s="13">
        <f t="shared" ca="1" si="34"/>
        <v>-1</v>
      </c>
      <c r="D390" s="9">
        <f ca="1">D389+C390*(Prices!B390-Prices!B389)/Prices!B389</f>
        <v>-0.43967991820318136</v>
      </c>
      <c r="E390" s="9">
        <f t="shared" ca="1" si="35"/>
        <v>0.47580386946192765</v>
      </c>
      <c r="F390" s="9">
        <f t="shared" ca="1" si="36"/>
        <v>3.6123951258746317E-2</v>
      </c>
      <c r="G390" s="13">
        <f ca="1">IF((Prices!B390-Prices!B389)*B390&gt;0,1,0)</f>
        <v>1</v>
      </c>
      <c r="H390" s="9">
        <f>ABS(Prices!B390-Prices!B389)/Prices!B389</f>
        <v>2.0654329147390686E-3</v>
      </c>
      <c r="I390" s="13"/>
      <c r="J390" s="1">
        <f t="shared" ca="1" si="37"/>
        <v>-3.1941731247838639E-2</v>
      </c>
      <c r="K390" s="9"/>
      <c r="L390" s="9">
        <f ca="1">L389-O390*Prices!B390</f>
        <v>0.58114413950839894</v>
      </c>
      <c r="M390" s="1">
        <f t="shared" ca="1" si="32"/>
        <v>0.34823342582482841</v>
      </c>
      <c r="N390" s="9">
        <f ca="1">IF(Prices!D389&gt;OFFSET(Prices!D389,-$N$3,0),1,IF(Prices!D389&lt;OFFSET(Prices!D389,-$N$3,0),-1,0))</f>
        <v>-1</v>
      </c>
      <c r="O390" s="1">
        <f ca="1">IF(N390=1,O$3*L389/Prices!B389,O$3*M389*N390)</f>
        <v>-3.8692602869425385E-2</v>
      </c>
      <c r="P390" s="14"/>
      <c r="Q390" s="9">
        <f ca="1">Q389-T390*Prices!B390</f>
        <v>0.40037461834860738</v>
      </c>
      <c r="R390" s="1">
        <f t="shared" ca="1" si="33"/>
        <v>0.46429635549087439</v>
      </c>
      <c r="S390" s="9">
        <f ca="1">IF(Prices!C389&lt;OFFSET(Prices!C389,-S$3,0),1,IF(Prices!C389&gt;OFFSET(Prices!C389,-S$3,0),-1,0))</f>
        <v>1</v>
      </c>
      <c r="T390" s="1">
        <f ca="1">IF(S390=1,T$3*Q389/Prices!B389,T$3*R389*S390)</f>
        <v>6.7508716215867477E-3</v>
      </c>
      <c r="V390" s="9"/>
      <c r="W390" s="1"/>
      <c r="X390" s="1"/>
      <c r="Y390" s="1"/>
      <c r="Z390" s="1"/>
      <c r="AA390" s="1"/>
      <c r="AB390" s="1"/>
      <c r="AC390" s="1"/>
      <c r="AD390" s="1"/>
      <c r="AE390" s="16"/>
    </row>
    <row r="391" spans="1:31" x14ac:dyDescent="0.2">
      <c r="A391" s="4">
        <v>34053</v>
      </c>
      <c r="B391" s="9">
        <f ca="1">Prices!B390*(1+J391/(50*(ABS(O391)+ABS(T391)+0.0001)))</f>
        <v>1.1886968708453427</v>
      </c>
      <c r="C391" s="13">
        <f t="shared" ca="1" si="34"/>
        <v>-1</v>
      </c>
      <c r="D391" s="9">
        <f ca="1">D390+C391*(Prices!B391-Prices!B390)/Prices!B390</f>
        <v>-0.43192989759142436</v>
      </c>
      <c r="E391" s="9">
        <f t="shared" ca="1" si="35"/>
        <v>0.46805384885017065</v>
      </c>
      <c r="F391" s="9">
        <f t="shared" ca="1" si="36"/>
        <v>3.6123951258746317E-2</v>
      </c>
      <c r="G391" s="13">
        <f ca="1">IF((Prices!B391-Prices!B390)*B391&gt;0,1,0)</f>
        <v>0</v>
      </c>
      <c r="H391" s="9">
        <f>ABS(Prices!B391-Prices!B390)/Prices!B390</f>
        <v>7.7500206117570077E-3</v>
      </c>
      <c r="I391" s="13"/>
      <c r="J391" s="1">
        <f t="shared" ca="1" si="37"/>
        <v>-4.4109269692300328E-2</v>
      </c>
      <c r="K391" s="9"/>
      <c r="L391" s="9">
        <f ca="1">L390-O391*Prices!B391</f>
        <v>0.62305403230641709</v>
      </c>
      <c r="M391" s="1">
        <f t="shared" ca="1" si="32"/>
        <v>0.31341008324234559</v>
      </c>
      <c r="N391" s="9">
        <f ca="1">IF(Prices!D390&gt;OFFSET(Prices!D390,-$N$3,0),1,IF(Prices!D390&lt;OFFSET(Prices!D390,-$N$3,0),-1,0))</f>
        <v>-1</v>
      </c>
      <c r="O391" s="1">
        <f ca="1">IF(N391=1,O$3*L390/Prices!B390,O$3*M390*N391)</f>
        <v>-3.482334258248284E-2</v>
      </c>
      <c r="P391" s="14"/>
      <c r="Q391" s="9">
        <f ca="1">Q390-T391*Prices!B391</f>
        <v>0.41155023162527271</v>
      </c>
      <c r="R391" s="1">
        <f t="shared" ca="1" si="33"/>
        <v>0.45501042838105688</v>
      </c>
      <c r="S391" s="9">
        <f ca="1">IF(Prices!C390&lt;OFFSET(Prices!C390,-S$3,0),1,IF(Prices!C390&gt;OFFSET(Prices!C390,-S$3,0),-1,0))</f>
        <v>-1</v>
      </c>
      <c r="T391" s="1">
        <f ca="1">IF(S391=1,T$3*Q390/Prices!B390,T$3*R390*S391)</f>
        <v>-9.2859271098174878E-3</v>
      </c>
      <c r="V391" s="9"/>
      <c r="W391" s="1"/>
      <c r="X391" s="1"/>
      <c r="Y391" s="1"/>
      <c r="Z391" s="1"/>
      <c r="AA391" s="1"/>
      <c r="AB391" s="1"/>
      <c r="AC391" s="1"/>
      <c r="AD391" s="1"/>
      <c r="AE391" s="16"/>
    </row>
    <row r="392" spans="1:31" x14ac:dyDescent="0.2">
      <c r="A392" s="4">
        <v>34054</v>
      </c>
      <c r="B392" s="9">
        <f ca="1">Prices!B391*(1+J392/(50*(ABS(O392)+ABS(T392)+0.0001)))</f>
        <v>1.2203453274791989</v>
      </c>
      <c r="C392" s="13">
        <f t="shared" ca="1" si="34"/>
        <v>1</v>
      </c>
      <c r="D392" s="9">
        <f ca="1">D391+C392*(Prices!B392-Prices!B391)/Prices!B391</f>
        <v>-0.42569807374431173</v>
      </c>
      <c r="E392" s="9">
        <f t="shared" ca="1" si="35"/>
        <v>0.46182202500305802</v>
      </c>
      <c r="F392" s="9">
        <f t="shared" ca="1" si="36"/>
        <v>3.6123951258746317E-2</v>
      </c>
      <c r="G392" s="13">
        <f ca="1">IF((Prices!B392-Prices!B391)*B392&gt;0,1,0)</f>
        <v>1</v>
      </c>
      <c r="H392" s="9">
        <f>ABS(Prices!B392-Prices!B391)/Prices!B391</f>
        <v>6.2318238471126396E-3</v>
      </c>
      <c r="I392" s="13"/>
      <c r="J392" s="1">
        <f t="shared" ca="1" si="37"/>
        <v>4.2669964453269357E-2</v>
      </c>
      <c r="K392" s="9"/>
      <c r="L392" s="9">
        <f ca="1">L391-O392*Prices!B392</f>
        <v>0.56036035277811869</v>
      </c>
      <c r="M392" s="1">
        <f t="shared" ca="1" si="32"/>
        <v>0.36518025626323608</v>
      </c>
      <c r="N392" s="9">
        <f ca="1">IF(Prices!D391&gt;OFFSET(Prices!D391,-$N$3,0),1,IF(Prices!D391&lt;OFFSET(Prices!D391,-$N$3,0),-1,0))</f>
        <v>1</v>
      </c>
      <c r="O392" s="1">
        <f ca="1">IF(N392=1,O$3*L391/Prices!B391,O$3*M391*N392)</f>
        <v>5.1770173020890493E-2</v>
      </c>
      <c r="P392" s="14"/>
      <c r="Q392" s="9">
        <f ca="1">Q391-T392*Prices!B392</f>
        <v>0.4225705842006619</v>
      </c>
      <c r="R392" s="1">
        <f t="shared" ca="1" si="33"/>
        <v>0.44591021981343576</v>
      </c>
      <c r="S392" s="9">
        <f ca="1">IF(Prices!C391&lt;OFFSET(Prices!C391,-S$3,0),1,IF(Prices!C391&gt;OFFSET(Prices!C391,-S$3,0),-1,0))</f>
        <v>-1</v>
      </c>
      <c r="T392" s="1">
        <f ca="1">IF(S392=1,T$3*Q391/Prices!B391,T$3*R391*S392)</f>
        <v>-9.1002085676211378E-3</v>
      </c>
      <c r="V392" s="9"/>
      <c r="W392" s="1"/>
      <c r="X392" s="1"/>
      <c r="Y392" s="1"/>
      <c r="Z392" s="1"/>
      <c r="AA392" s="1"/>
      <c r="AB392" s="1"/>
      <c r="AC392" s="1"/>
      <c r="AD392" s="1"/>
      <c r="AE392" s="16"/>
    </row>
    <row r="393" spans="1:31" x14ac:dyDescent="0.2">
      <c r="A393" s="4">
        <v>34057</v>
      </c>
      <c r="B393" s="9">
        <f ca="1">Prices!B392*(1+J393/(50*(ABS(O393)+ABS(T393)+0.0001)))</f>
        <v>1.2273629907505239</v>
      </c>
      <c r="C393" s="13">
        <f t="shared" ca="1" si="34"/>
        <v>1</v>
      </c>
      <c r="D393" s="9">
        <f ca="1">D392+C393*(Prices!B393-Prices!B392)/Prices!B392</f>
        <v>-0.4276799069400179</v>
      </c>
      <c r="E393" s="9">
        <f t="shared" ca="1" si="35"/>
        <v>0.46380385819876424</v>
      </c>
      <c r="F393" s="9">
        <f t="shared" ca="1" si="36"/>
        <v>3.6123951258746317E-2</v>
      </c>
      <c r="G393" s="13">
        <f ca="1">IF((Prices!B393-Prices!B392)*B393&gt;0,1,0)</f>
        <v>0</v>
      </c>
      <c r="H393" s="9">
        <f>ABS(Prices!B393-Prices!B392)/Prices!B392</f>
        <v>1.9818331957061762E-3</v>
      </c>
      <c r="I393" s="13"/>
      <c r="J393" s="1">
        <f t="shared" ca="1" si="37"/>
        <v>3.7354326799281953E-2</v>
      </c>
      <c r="K393" s="9"/>
      <c r="L393" s="9">
        <f ca="1">L392-O393*Prices!B393</f>
        <v>0.50443537157517615</v>
      </c>
      <c r="M393" s="1">
        <f t="shared" ca="1" si="32"/>
        <v>0.41145278745878677</v>
      </c>
      <c r="N393" s="9">
        <f ca="1">IF(Prices!D392&gt;OFFSET(Prices!D392,-$N$3,0),1,IF(Prices!D392&lt;OFFSET(Prices!D392,-$N$3,0),-1,0))</f>
        <v>1</v>
      </c>
      <c r="O393" s="1">
        <f ca="1">IF(N393=1,O$3*L392/Prices!B392,O$3*M392*N393)</f>
        <v>4.6272531195550672E-2</v>
      </c>
      <c r="P393" s="14"/>
      <c r="Q393" s="9">
        <f ca="1">Q392-T393*Prices!B393</f>
        <v>0.43334912603399228</v>
      </c>
      <c r="R393" s="1">
        <f t="shared" ca="1" si="33"/>
        <v>0.43699201541716703</v>
      </c>
      <c r="S393" s="9">
        <f ca="1">IF(Prices!C392&lt;OFFSET(Prices!C392,-S$3,0),1,IF(Prices!C392&gt;OFFSET(Prices!C392,-S$3,0),-1,0))</f>
        <v>-1</v>
      </c>
      <c r="T393" s="1">
        <f ca="1">IF(S393=1,T$3*Q392/Prices!B392,T$3*R392*S393)</f>
        <v>-8.9182043962687148E-3</v>
      </c>
      <c r="V393" s="9"/>
      <c r="W393" s="1"/>
      <c r="X393" s="1"/>
      <c r="Y393" s="1"/>
      <c r="Z393" s="1"/>
      <c r="AA393" s="1"/>
      <c r="AB393" s="1"/>
      <c r="AC393" s="1"/>
      <c r="AD393" s="1"/>
      <c r="AE393" s="16"/>
    </row>
    <row r="394" spans="1:31" x14ac:dyDescent="0.2">
      <c r="A394" s="4">
        <v>34058</v>
      </c>
      <c r="B394" s="9">
        <f ca="1">Prices!B393*(1+J394/(50*(ABS(O394)+ABS(T394)+0.0001)))</f>
        <v>1.224370236382641</v>
      </c>
      <c r="C394" s="13">
        <f t="shared" ca="1" si="34"/>
        <v>1</v>
      </c>
      <c r="D394" s="9">
        <f ca="1">D393+C394*(Prices!B394-Prices!B393)/Prices!B393</f>
        <v>-0.42130889916242398</v>
      </c>
      <c r="E394" s="9">
        <f t="shared" ca="1" si="35"/>
        <v>0.45743285042117032</v>
      </c>
      <c r="F394" s="9">
        <f t="shared" ca="1" si="36"/>
        <v>3.6123951258746317E-2</v>
      </c>
      <c r="G394" s="13">
        <f ca="1">IF((Prices!B394-Prices!B393)*B394&gt;0,1,0)</f>
        <v>1</v>
      </c>
      <c r="H394" s="9">
        <f>ABS(Prices!B394-Prices!B393)/Prices!B393</f>
        <v>6.3710077775939438E-3</v>
      </c>
      <c r="I394" s="13"/>
      <c r="J394" s="1">
        <f t="shared" ca="1" si="37"/>
        <v>3.2997324309824473E-2</v>
      </c>
      <c r="K394" s="9"/>
      <c r="L394" s="9">
        <f ca="1">L393-O394*Prices!B394</f>
        <v>0.45367045825009866</v>
      </c>
      <c r="M394" s="1">
        <f t="shared" ca="1" si="32"/>
        <v>0.45318995207695456</v>
      </c>
      <c r="N394" s="9">
        <f ca="1">IF(Prices!D393&gt;OFFSET(Prices!D393,-$N$3,0),1,IF(Prices!D393&lt;OFFSET(Prices!D393,-$N$3,0),-1,0))</f>
        <v>1</v>
      </c>
      <c r="O394" s="1">
        <f ca="1">IF(N394=1,O$3*L393/Prices!B393,O$3*M393*N394)</f>
        <v>4.1737164618167816E-2</v>
      </c>
      <c r="P394" s="14"/>
      <c r="Q394" s="9">
        <f ca="1">Q393-T394*Prices!B394</f>
        <v>0.4439793938010303</v>
      </c>
      <c r="R394" s="1">
        <f t="shared" ca="1" si="33"/>
        <v>0.42825217510882368</v>
      </c>
      <c r="S394" s="9">
        <f ca="1">IF(Prices!C393&lt;OFFSET(Prices!C393,-S$3,0),1,IF(Prices!C393&gt;OFFSET(Prices!C393,-S$3,0),-1,0))</f>
        <v>-1</v>
      </c>
      <c r="T394" s="1">
        <f ca="1">IF(S394=1,T$3*Q393/Prices!B393,T$3*R393*S394)</f>
        <v>-8.7398403083433409E-3</v>
      </c>
      <c r="V394" s="9"/>
      <c r="W394" s="1"/>
      <c r="X394" s="1"/>
      <c r="Y394" s="1"/>
      <c r="Z394" s="1"/>
      <c r="AA394" s="1"/>
      <c r="AB394" s="1"/>
      <c r="AC394" s="1"/>
      <c r="AD394" s="1"/>
      <c r="AE394" s="16"/>
    </row>
    <row r="395" spans="1:31" x14ac:dyDescent="0.2">
      <c r="A395" s="4">
        <v>34059</v>
      </c>
      <c r="B395" s="9">
        <f ca="1">Prices!B394*(1+J395/(50*(ABS(O395)+ABS(T395)+0.0001)))</f>
        <v>1.1987573762620551</v>
      </c>
      <c r="C395" s="13">
        <f t="shared" ca="1" si="34"/>
        <v>-1</v>
      </c>
      <c r="D395" s="9">
        <f ca="1">D394+C395*(Prices!B395-Prices!B394)/Prices!B394</f>
        <v>-0.42788622383561314</v>
      </c>
      <c r="E395" s="9">
        <f t="shared" ca="1" si="35"/>
        <v>0.46401017509435949</v>
      </c>
      <c r="F395" s="9">
        <f t="shared" ca="1" si="36"/>
        <v>3.6123951258746317E-2</v>
      </c>
      <c r="G395" s="13">
        <f ca="1">IF((Prices!B395-Prices!B394)*B395&gt;0,1,0)</f>
        <v>1</v>
      </c>
      <c r="H395" s="9">
        <f>ABS(Prices!B395-Prices!B394)/Prices!B394</f>
        <v>6.5773246731891865E-3</v>
      </c>
      <c r="I395" s="13"/>
      <c r="J395" s="1">
        <f t="shared" ca="1" si="37"/>
        <v>-3.8018503654607731E-2</v>
      </c>
      <c r="K395" s="9"/>
      <c r="L395" s="9">
        <f ca="1">L394-O395*Prices!B395</f>
        <v>0.50915450408288021</v>
      </c>
      <c r="M395" s="1">
        <f t="shared" ca="1" si="32"/>
        <v>0.40787095686925912</v>
      </c>
      <c r="N395" s="9">
        <f ca="1">IF(Prices!D394&gt;OFFSET(Prices!D394,-$N$3,0),1,IF(Prices!D394&lt;OFFSET(Prices!D394,-$N$3,0),-1,0))</f>
        <v>-1</v>
      </c>
      <c r="O395" s="1">
        <f ca="1">IF(N395=1,O$3*L394/Prices!B394,O$3*M394*N395)</f>
        <v>-4.5318995207695459E-2</v>
      </c>
      <c r="P395" s="14"/>
      <c r="Q395" s="9">
        <f ca="1">Q394-T395*Prices!B395</f>
        <v>0.43504140199258501</v>
      </c>
      <c r="R395" s="1">
        <f t="shared" ca="1" si="33"/>
        <v>0.43555266666191139</v>
      </c>
      <c r="S395" s="9">
        <f ca="1">IF(Prices!C394&lt;OFFSET(Prices!C394,-S$3,0),1,IF(Prices!C394&gt;OFFSET(Prices!C394,-S$3,0),-1,0))</f>
        <v>1</v>
      </c>
      <c r="T395" s="1">
        <f ca="1">IF(S395=1,T$3*Q394/Prices!B394,T$3*R394*S395)</f>
        <v>7.3004915530877302E-3</v>
      </c>
      <c r="V395" s="9"/>
      <c r="W395" s="1"/>
      <c r="X395" s="1"/>
      <c r="Y395" s="1"/>
      <c r="Z395" s="1"/>
      <c r="AA395" s="1"/>
      <c r="AB395" s="1"/>
      <c r="AC395" s="1"/>
      <c r="AD395" s="1"/>
      <c r="AE395" s="16"/>
    </row>
    <row r="396" spans="1:31" x14ac:dyDescent="0.2">
      <c r="A396" s="4">
        <v>34060</v>
      </c>
      <c r="B396" s="9">
        <f ca="1">Prices!B395*(1+J396/(50*(ABS(O396)+ABS(T396)+0.0001)))</f>
        <v>1.2071166346125812</v>
      </c>
      <c r="C396" s="13">
        <f t="shared" ca="1" si="34"/>
        <v>-1</v>
      </c>
      <c r="D396" s="9">
        <f ca="1">D395+C396*(Prices!B396-Prices!B395)/Prices!B395</f>
        <v>-0.43172515220284352</v>
      </c>
      <c r="E396" s="9">
        <f t="shared" ca="1" si="35"/>
        <v>0.46784910346158981</v>
      </c>
      <c r="F396" s="9">
        <f t="shared" ca="1" si="36"/>
        <v>3.6123951258746317E-2</v>
      </c>
      <c r="G396" s="13">
        <f ca="1">IF((Prices!B396-Prices!B395)*B396&gt;0,1,0)</f>
        <v>1</v>
      </c>
      <c r="H396" s="9">
        <f>ABS(Prices!B396-Prices!B395)/Prices!B395</f>
        <v>3.8389283672303756E-3</v>
      </c>
      <c r="I396" s="13"/>
      <c r="J396" s="1">
        <f t="shared" ca="1" si="37"/>
        <v>-3.3680317903823975E-2</v>
      </c>
      <c r="K396" s="9"/>
      <c r="L396" s="9">
        <f ca="1">L395-O396*Prices!B396</f>
        <v>0.55928184468211217</v>
      </c>
      <c r="M396" s="1">
        <f t="shared" ca="1" si="32"/>
        <v>0.36708386118233322</v>
      </c>
      <c r="N396" s="9">
        <f ca="1">IF(Prices!D395&gt;OFFSET(Prices!D395,-$N$3,0),1,IF(Prices!D395&lt;OFFSET(Prices!D395,-$N$3,0),-1,0))</f>
        <v>-1</v>
      </c>
      <c r="O396" s="1">
        <f ca="1">IF(N396=1,O$3*L395/Prices!B395,O$3*M395*N396)</f>
        <v>-4.0787095686925914E-2</v>
      </c>
      <c r="P396" s="14"/>
      <c r="Q396" s="9">
        <f ca="1">Q395-T396*Prices!B396</f>
        <v>0.42630717209715274</v>
      </c>
      <c r="R396" s="1">
        <f t="shared" ca="1" si="33"/>
        <v>0.44265944444501332</v>
      </c>
      <c r="S396" s="9">
        <f ca="1">IF(Prices!C395&lt;OFFSET(Prices!C395,-S$3,0),1,IF(Prices!C395&gt;OFFSET(Prices!C395,-S$3,0),-1,0))</f>
        <v>1</v>
      </c>
      <c r="T396" s="1">
        <f ca="1">IF(S396=1,T$3*Q395/Prices!B395,T$3*R395*S396)</f>
        <v>7.1067777831019365E-3</v>
      </c>
      <c r="V396" s="9"/>
      <c r="W396" s="1"/>
      <c r="X396" s="1"/>
      <c r="Y396" s="1"/>
      <c r="Z396" s="1"/>
      <c r="AA396" s="1"/>
      <c r="AB396" s="1"/>
      <c r="AC396" s="1"/>
      <c r="AD396" s="1"/>
      <c r="AE396" s="16"/>
    </row>
    <row r="397" spans="1:31" x14ac:dyDescent="0.2">
      <c r="A397" s="4">
        <v>34061</v>
      </c>
      <c r="B397" s="9">
        <f ca="1">Prices!B396*(1+J397/(50*(ABS(O397)+ABS(T397)+0.0001)))</f>
        <v>1.2535332206305883</v>
      </c>
      <c r="C397" s="13">
        <f t="shared" ca="1" si="34"/>
        <v>1</v>
      </c>
      <c r="D397" s="9">
        <f ca="1">D396+C397*(Prices!B397-Prices!B396)/Prices!B396</f>
        <v>-0.43026054683262399</v>
      </c>
      <c r="E397" s="9">
        <f t="shared" ca="1" si="35"/>
        <v>0.46638449809137028</v>
      </c>
      <c r="F397" s="9">
        <f t="shared" ca="1" si="36"/>
        <v>3.6123951258746317E-2</v>
      </c>
      <c r="G397" s="13">
        <f ca="1">IF((Prices!B397-Prices!B396)*B397&gt;0,1,0)</f>
        <v>1</v>
      </c>
      <c r="H397" s="9">
        <f>ABS(Prices!B397-Prices!B396)/Prices!B396</f>
        <v>1.4646053702195294E-3</v>
      </c>
      <c r="I397" s="13"/>
      <c r="J397" s="1">
        <f t="shared" ca="1" si="37"/>
        <v>5.2444530439507135E-2</v>
      </c>
      <c r="K397" s="9"/>
      <c r="L397" s="9">
        <f ca="1">L396-O397*Prices!B397</f>
        <v>0.50327174749458214</v>
      </c>
      <c r="M397" s="1">
        <f t="shared" ca="1" si="32"/>
        <v>0.41259092747054416</v>
      </c>
      <c r="N397" s="9">
        <f ca="1">IF(Prices!D396&gt;OFFSET(Prices!D396,-$N$3,0),1,IF(Prices!D396&lt;OFFSET(Prices!D396,-$N$3,0),-1,0))</f>
        <v>1</v>
      </c>
      <c r="O397" s="1">
        <f ca="1">IF(N397=1,O$3*L396/Prices!B396,O$3*M396*N397)</f>
        <v>4.5507066288210912E-2</v>
      </c>
      <c r="P397" s="14"/>
      <c r="Q397" s="9">
        <f ca="1">Q396-T397*Prices!B397</f>
        <v>0.41776854121973733</v>
      </c>
      <c r="R397" s="1">
        <f t="shared" ca="1" si="33"/>
        <v>0.44959690859630952</v>
      </c>
      <c r="S397" s="9">
        <f ca="1">IF(Prices!C396&lt;OFFSET(Prices!C396,-S$3,0),1,IF(Prices!C396&gt;OFFSET(Prices!C396,-S$3,0),-1,0))</f>
        <v>1</v>
      </c>
      <c r="T397" s="1">
        <f ca="1">IF(S397=1,T$3*Q396/Prices!B396,T$3*R396*S397)</f>
        <v>6.9374641512962203E-3</v>
      </c>
      <c r="V397" s="9"/>
      <c r="W397" s="1"/>
      <c r="X397" s="1"/>
      <c r="Y397" s="1"/>
      <c r="Z397" s="1"/>
      <c r="AA397" s="1"/>
      <c r="AB397" s="1"/>
      <c r="AC397" s="1"/>
      <c r="AD397" s="1"/>
      <c r="AE397" s="16"/>
    </row>
    <row r="398" spans="1:31" x14ac:dyDescent="0.2">
      <c r="A398" s="4">
        <v>34064</v>
      </c>
      <c r="B398" s="9">
        <f ca="1">Prices!B397*(1+J398/(50*(ABS(O398)+ABS(T398)+0.0001)))</f>
        <v>1.2553644787849727</v>
      </c>
      <c r="C398" s="13">
        <f t="shared" ca="1" si="34"/>
        <v>1</v>
      </c>
      <c r="D398" s="9">
        <f ca="1">D397+C398*(Prices!B398-Prices!B397)/Prices!B397</f>
        <v>-0.42660438823658875</v>
      </c>
      <c r="E398" s="9">
        <f t="shared" ca="1" si="35"/>
        <v>0.46272833949533509</v>
      </c>
      <c r="F398" s="9">
        <f t="shared" ca="1" si="36"/>
        <v>3.6123951258746317E-2</v>
      </c>
      <c r="G398" s="13">
        <f ca="1">IF((Prices!B398-Prices!B397)*B398&gt;0,1,0)</f>
        <v>1</v>
      </c>
      <c r="H398" s="9">
        <f>ABS(Prices!B398-Prices!B397)/Prices!B397</f>
        <v>3.6561585960352382E-3</v>
      </c>
      <c r="I398" s="13"/>
      <c r="J398" s="1">
        <f t="shared" ca="1" si="37"/>
        <v>4.7678376319347557E-2</v>
      </c>
      <c r="K398" s="9"/>
      <c r="L398" s="9">
        <f ca="1">L397-O398*Prices!B398</f>
        <v>0.45276056861254954</v>
      </c>
      <c r="M398" s="1">
        <f t="shared" ca="1" si="32"/>
        <v>0.45348073470929801</v>
      </c>
      <c r="N398" s="9">
        <f ca="1">IF(Prices!D397&gt;OFFSET(Prices!D397,-$N$3,0),1,IF(Prices!D397&lt;OFFSET(Prices!D397,-$N$3,0),-1,0))</f>
        <v>1</v>
      </c>
      <c r="O398" s="1">
        <f ca="1">IF(N398=1,O$3*L397/Prices!B397,O$3*M397*N398)</f>
        <v>4.0889807238753836E-2</v>
      </c>
      <c r="P398" s="14"/>
      <c r="Q398" s="9">
        <f ca="1">Q397-T398*Prices!B398</f>
        <v>0.40938262183447993</v>
      </c>
      <c r="R398" s="1">
        <f t="shared" ca="1" si="33"/>
        <v>0.45638547767690324</v>
      </c>
      <c r="S398" s="9">
        <f ca="1">IF(Prices!C397&lt;OFFSET(Prices!C397,-S$3,0),1,IF(Prices!C397&gt;OFFSET(Prices!C397,-S$3,0),-1,0))</f>
        <v>1</v>
      </c>
      <c r="T398" s="1">
        <f ca="1">IF(S398=1,T$3*Q397/Prices!B397,T$3*R397*S398)</f>
        <v>6.788569080593717E-3</v>
      </c>
      <c r="V398" s="9"/>
      <c r="W398" s="1"/>
      <c r="X398" s="1"/>
      <c r="Y398" s="1"/>
      <c r="Z398" s="1"/>
      <c r="AA398" s="1"/>
      <c r="AB398" s="1"/>
      <c r="AC398" s="1"/>
      <c r="AD398" s="1"/>
      <c r="AE398" s="16"/>
    </row>
    <row r="399" spans="1:31" x14ac:dyDescent="0.2">
      <c r="A399" s="4">
        <v>34065</v>
      </c>
      <c r="B399" s="9">
        <f ca="1">Prices!B398*(1+J399/(50*(ABS(O399)+ABS(T399)+0.0001)))</f>
        <v>1.259949047407928</v>
      </c>
      <c r="C399" s="13">
        <f t="shared" ca="1" si="34"/>
        <v>1</v>
      </c>
      <c r="D399" s="9">
        <f ca="1">D398+C399*(Prices!B399-Prices!B398)/Prices!B398</f>
        <v>-0.43591386771525797</v>
      </c>
      <c r="E399" s="9">
        <f t="shared" ca="1" si="35"/>
        <v>0.47203781897400432</v>
      </c>
      <c r="F399" s="9">
        <f t="shared" ca="1" si="36"/>
        <v>3.6123951258746317E-2</v>
      </c>
      <c r="G399" s="13">
        <f ca="1">IF((Prices!B399-Prices!B398)*B399&gt;0,1,0)</f>
        <v>0</v>
      </c>
      <c r="H399" s="9">
        <f>ABS(Prices!B399-Prices!B398)/Prices!B398</f>
        <v>9.3094794786692022E-3</v>
      </c>
      <c r="I399" s="13"/>
      <c r="J399" s="1">
        <f t="shared" ca="1" si="37"/>
        <v>4.3279939527195464E-2</v>
      </c>
      <c r="K399" s="9"/>
      <c r="L399" s="9">
        <f ca="1">L398-O399*Prices!B399</f>
        <v>0.40790600827351947</v>
      </c>
      <c r="M399" s="1">
        <f t="shared" ca="1" si="32"/>
        <v>0.49013260620711629</v>
      </c>
      <c r="N399" s="9">
        <f ca="1">IF(Prices!D398&gt;OFFSET(Prices!D398,-$N$3,0),1,IF(Prices!D398&lt;OFFSET(Prices!D398,-$N$3,0),-1,0))</f>
        <v>1</v>
      </c>
      <c r="O399" s="1">
        <f ca="1">IF(N399=1,O$3*L398/Prices!B398,O$3*M398*N399)</f>
        <v>3.665187149781831E-2</v>
      </c>
      <c r="P399" s="14"/>
      <c r="Q399" s="9">
        <f ca="1">Q398-T399*Prices!B399</f>
        <v>0.40127119218012819</v>
      </c>
      <c r="R399" s="1">
        <f t="shared" ca="1" si="33"/>
        <v>0.46301354570628039</v>
      </c>
      <c r="S399" s="9">
        <f ca="1">IF(Prices!C398&lt;OFFSET(Prices!C398,-S$3,0),1,IF(Prices!C398&gt;OFFSET(Prices!C398,-S$3,0),-1,0))</f>
        <v>1</v>
      </c>
      <c r="T399" s="1">
        <f ca="1">IF(S399=1,T$3*Q398/Prices!B398,T$3*R398*S399)</f>
        <v>6.6280680293771543E-3</v>
      </c>
      <c r="V399" s="9"/>
      <c r="W399" s="1"/>
      <c r="X399" s="1"/>
      <c r="Y399" s="1"/>
      <c r="Z399" s="1"/>
      <c r="AA399" s="1"/>
      <c r="AB399" s="1"/>
      <c r="AC399" s="1"/>
      <c r="AD399" s="1"/>
      <c r="AE399" s="16"/>
    </row>
    <row r="400" spans="1:31" x14ac:dyDescent="0.2">
      <c r="A400" s="4">
        <v>34066</v>
      </c>
      <c r="B400" s="9">
        <f ca="1">Prices!B399*(1+J400/(50*(ABS(O400)+ABS(T400)+0.0001)))</f>
        <v>1.2051342828676841</v>
      </c>
      <c r="C400" s="13">
        <f t="shared" ca="1" si="34"/>
        <v>-1</v>
      </c>
      <c r="D400" s="9">
        <f ca="1">D399+C400*(Prices!B400-Prices!B399)/Prices!B399</f>
        <v>-0.4333807740725058</v>
      </c>
      <c r="E400" s="9">
        <f t="shared" ca="1" si="35"/>
        <v>0.46950472533125209</v>
      </c>
      <c r="F400" s="9">
        <f t="shared" ca="1" si="36"/>
        <v>3.6123951258746317E-2</v>
      </c>
      <c r="G400" s="13">
        <f ca="1">IF((Prices!B400-Prices!B399)*B400&gt;0,1,0)</f>
        <v>0</v>
      </c>
      <c r="H400" s="9">
        <f>ABS(Prices!B400-Prices!B399)/Prices!B399</f>
        <v>2.5330936427521676E-3</v>
      </c>
      <c r="I400" s="13"/>
      <c r="J400" s="1">
        <f t="shared" ca="1" si="37"/>
        <v>-4.2455470259866263E-2</v>
      </c>
      <c r="K400" s="9"/>
      <c r="L400" s="9">
        <f ca="1">L399-O400*Prices!B400</f>
        <v>0.46773649551322216</v>
      </c>
      <c r="M400" s="1">
        <f t="shared" ca="1" si="32"/>
        <v>0.44111934558640464</v>
      </c>
      <c r="N400" s="9">
        <f ca="1">IF(Prices!D399&gt;OFFSET(Prices!D399,-$N$3,0),1,IF(Prices!D399&lt;OFFSET(Prices!D399,-$N$3,0),-1,0))</f>
        <v>-1</v>
      </c>
      <c r="O400" s="1">
        <f ca="1">IF(N400=1,O$3*L399/Prices!B399,O$3*M399*N400)</f>
        <v>-4.9013260620711631E-2</v>
      </c>
      <c r="P400" s="14"/>
      <c r="Q400" s="9">
        <f ca="1">Q399-T400*Prices!B400</f>
        <v>0.39326609748664426</v>
      </c>
      <c r="R400" s="1">
        <f t="shared" ca="1" si="33"/>
        <v>0.46957133606712576</v>
      </c>
      <c r="S400" s="9">
        <f ca="1">IF(Prices!C399&lt;OFFSET(Prices!C399,-S$3,0),1,IF(Prices!C399&gt;OFFSET(Prices!C399,-S$3,0),-1,0))</f>
        <v>1</v>
      </c>
      <c r="T400" s="1">
        <f ca="1">IF(S400=1,T$3*Q399/Prices!B399,T$3*R399*S400)</f>
        <v>6.5577903608453692E-3</v>
      </c>
      <c r="V400" s="9"/>
      <c r="W400" s="1"/>
      <c r="X400" s="1"/>
      <c r="Y400" s="1"/>
      <c r="Z400" s="1"/>
      <c r="AA400" s="1"/>
      <c r="AB400" s="1"/>
      <c r="AC400" s="1"/>
      <c r="AD400" s="1"/>
      <c r="AE400" s="16"/>
    </row>
    <row r="401" spans="1:31" x14ac:dyDescent="0.2">
      <c r="A401" s="4">
        <v>34067</v>
      </c>
      <c r="B401" s="9">
        <f ca="1">Prices!B400*(1+J401/(50*(ABS(O401)+ABS(T401)+0.0001)))</f>
        <v>1.202545063932547</v>
      </c>
      <c r="C401" s="13">
        <f t="shared" ca="1" si="34"/>
        <v>-1</v>
      </c>
      <c r="D401" s="9">
        <f ca="1">D400+C401*(Prices!B401-Prices!B400)/Prices!B400</f>
        <v>-0.44067167273720648</v>
      </c>
      <c r="E401" s="9">
        <f t="shared" ca="1" si="35"/>
        <v>0.47679562399595277</v>
      </c>
      <c r="F401" s="9">
        <f t="shared" ca="1" si="36"/>
        <v>3.6123951258746317E-2</v>
      </c>
      <c r="G401" s="13">
        <f ca="1">IF((Prices!B401-Prices!B400)*B401&gt;0,1,0)</f>
        <v>1</v>
      </c>
      <c r="H401" s="9">
        <f>ABS(Prices!B401-Prices!B400)/Prices!B400</f>
        <v>7.2908986647006891E-3</v>
      </c>
      <c r="I401" s="13"/>
      <c r="J401" s="1">
        <f t="shared" ca="1" si="37"/>
        <v>-3.7668646322601404E-2</v>
      </c>
      <c r="K401" s="9"/>
      <c r="L401" s="9">
        <f ca="1">L400-O401*Prices!B401</f>
        <v>0.52197653024652646</v>
      </c>
      <c r="M401" s="1">
        <f t="shared" ca="1" si="32"/>
        <v>0.39700741102776416</v>
      </c>
      <c r="N401" s="9">
        <f ca="1">IF(Prices!D400&gt;OFFSET(Prices!D400,-$N$3,0),1,IF(Prices!D400&lt;OFFSET(Prices!D400,-$N$3,0),-1,0))</f>
        <v>-1</v>
      </c>
      <c r="O401" s="1">
        <f ca="1">IF(N401=1,O$3*L400/Prices!B400,O$3*M400*N401)</f>
        <v>-4.4111934558640466E-2</v>
      </c>
      <c r="P401" s="14"/>
      <c r="Q401" s="9">
        <f ca="1">Q400-T401*Prices!B401</f>
        <v>0.38534343027161061</v>
      </c>
      <c r="R401" s="1">
        <f t="shared" ca="1" si="33"/>
        <v>0.47601462430316482</v>
      </c>
      <c r="S401" s="9">
        <f ca="1">IF(Prices!C400&lt;OFFSET(Prices!C400,-S$3,0),1,IF(Prices!C400&gt;OFFSET(Prices!C400,-S$3,0),-1,0))</f>
        <v>1</v>
      </c>
      <c r="T401" s="1">
        <f ca="1">IF(S401=1,T$3*Q400/Prices!B400,T$3*R400*S401)</f>
        <v>6.4432882360390652E-3</v>
      </c>
      <c r="V401" s="9"/>
      <c r="W401" s="1"/>
      <c r="X401" s="1"/>
      <c r="Y401" s="1"/>
      <c r="Z401" s="1"/>
      <c r="AA401" s="1"/>
      <c r="AB401" s="1"/>
      <c r="AC401" s="1"/>
      <c r="AD401" s="1"/>
      <c r="AE401" s="16"/>
    </row>
    <row r="402" spans="1:31" x14ac:dyDescent="0.2">
      <c r="A402" s="4">
        <v>34068</v>
      </c>
      <c r="B402" s="9">
        <f ca="1">Prices!B401*(1+J402/(50*(ABS(O402)+ABS(T402)+0.0001)))</f>
        <v>1.2117530376553101</v>
      </c>
      <c r="C402" s="13">
        <f t="shared" ca="1" si="34"/>
        <v>-1</v>
      </c>
      <c r="D402" s="9">
        <f ca="1">D401+C402*(Prices!B402-Prices!B401)/Prices!B401</f>
        <v>-0.44067167273720648</v>
      </c>
      <c r="E402" s="9">
        <f t="shared" ca="1" si="35"/>
        <v>0.47679562399595277</v>
      </c>
      <c r="F402" s="9">
        <f t="shared" ca="1" si="36"/>
        <v>3.6123951258746317E-2</v>
      </c>
      <c r="G402" s="13">
        <f ca="1">IF((Prices!B402-Prices!B401)*B402&gt;0,1,0)</f>
        <v>0</v>
      </c>
      <c r="H402" s="9">
        <f>ABS(Prices!B402-Prices!B401)/Prices!B401</f>
        <v>0</v>
      </c>
      <c r="I402" s="13"/>
      <c r="J402" s="1">
        <f t="shared" ca="1" si="37"/>
        <v>-3.3432955964981838E-2</v>
      </c>
      <c r="K402" s="9"/>
      <c r="L402" s="9">
        <f ca="1">L401-O402*Prices!B402</f>
        <v>0.57079256150650037</v>
      </c>
      <c r="M402" s="1">
        <f t="shared" ref="M402:M465" ca="1" si="38">M401+O402</f>
        <v>0.35730666992498772</v>
      </c>
      <c r="N402" s="9">
        <f ca="1">IF(Prices!D401&gt;OFFSET(Prices!D401,-$N$3,0),1,IF(Prices!D401&lt;OFFSET(Prices!D401,-$N$3,0),-1,0))</f>
        <v>-1</v>
      </c>
      <c r="O402" s="1">
        <f ca="1">IF(N402=1,O$3*L401/Prices!B401,O$3*M401*N402)</f>
        <v>-3.9700741102776417E-2</v>
      </c>
      <c r="P402" s="14"/>
      <c r="Q402" s="9">
        <f ca="1">Q401-T402*Prices!B402</f>
        <v>0.37763656166617837</v>
      </c>
      <c r="R402" s="1">
        <f t="shared" ref="R402:R465" ca="1" si="39">R401+T402</f>
        <v>0.4822824094409594</v>
      </c>
      <c r="S402" s="9">
        <f ca="1">IF(Prices!C401&lt;OFFSET(Prices!C401,-S$3,0),1,IF(Prices!C401&gt;OFFSET(Prices!C401,-S$3,0),-1,0))</f>
        <v>1</v>
      </c>
      <c r="T402" s="1">
        <f ca="1">IF(S402=1,T$3*Q401/Prices!B401,T$3*R401*S402)</f>
        <v>6.2677851377945775E-3</v>
      </c>
      <c r="V402" s="9"/>
      <c r="W402" s="1"/>
      <c r="X402" s="1"/>
      <c r="Y402" s="1"/>
      <c r="Z402" s="1"/>
      <c r="AA402" s="1"/>
      <c r="AB402" s="1"/>
      <c r="AC402" s="1"/>
      <c r="AD402" s="1"/>
      <c r="AE402" s="16"/>
    </row>
    <row r="403" spans="1:31" x14ac:dyDescent="0.2">
      <c r="A403" s="4">
        <v>34071</v>
      </c>
      <c r="B403" s="9">
        <f ca="1">Prices!B402*(1+J403/(50*(ABS(O403)+ABS(T403)+0.0001)))</f>
        <v>1.2122642778364172</v>
      </c>
      <c r="C403" s="13">
        <f t="shared" ca="1" si="34"/>
        <v>-1</v>
      </c>
      <c r="D403" s="9">
        <f ca="1">D402+C403*(Prices!B403-Prices!B402)/Prices!B402</f>
        <v>-0.44067167273720648</v>
      </c>
      <c r="E403" s="9">
        <f t="shared" ca="1" si="35"/>
        <v>0.47679562399595277</v>
      </c>
      <c r="F403" s="9">
        <f t="shared" ca="1" si="36"/>
        <v>3.6123951258746317E-2</v>
      </c>
      <c r="G403" s="13">
        <f ca="1">IF((Prices!B403-Prices!B402)*B403&gt;0,1,0)</f>
        <v>0</v>
      </c>
      <c r="H403" s="9">
        <f>ABS(Prices!B403-Prices!B402)/Prices!B402</f>
        <v>0</v>
      </c>
      <c r="I403" s="13"/>
      <c r="J403" s="1">
        <f t="shared" ca="1" si="37"/>
        <v>-2.9588237557460088E-2</v>
      </c>
      <c r="K403" s="9"/>
      <c r="L403" s="9">
        <f ca="1">L402-O403*Prices!B403</f>
        <v>0.6147269896404769</v>
      </c>
      <c r="M403" s="1">
        <f t="shared" ca="1" si="38"/>
        <v>0.32157600293248895</v>
      </c>
      <c r="N403" s="9">
        <f ca="1">IF(Prices!D402&gt;OFFSET(Prices!D402,-$N$3,0),1,IF(Prices!D402&lt;OFFSET(Prices!D402,-$N$3,0),-1,0))</f>
        <v>-1</v>
      </c>
      <c r="O403" s="1">
        <f ca="1">IF(N403=1,O$3*L402/Prices!B402,O$3*M402*N403)</f>
        <v>-3.5730666992498772E-2</v>
      </c>
      <c r="P403" s="14"/>
      <c r="Q403" s="9">
        <f ca="1">Q402-T403*Prices!B403</f>
        <v>0.37008383043285481</v>
      </c>
      <c r="R403" s="1">
        <f t="shared" ca="1" si="39"/>
        <v>0.48842483887599808</v>
      </c>
      <c r="S403" s="9">
        <f ca="1">IF(Prices!C402&lt;OFFSET(Prices!C402,-S$3,0),1,IF(Prices!C402&gt;OFFSET(Prices!C402,-S$3,0),-1,0))</f>
        <v>1</v>
      </c>
      <c r="T403" s="1">
        <f ca="1">IF(S403=1,T$3*Q402/Prices!B402,T$3*R402*S403)</f>
        <v>6.1424294350386852E-3</v>
      </c>
      <c r="V403" s="9"/>
      <c r="W403" s="1"/>
      <c r="X403" s="1"/>
      <c r="Y403" s="1"/>
      <c r="Z403" s="1"/>
      <c r="AA403" s="1"/>
      <c r="AB403" s="1"/>
      <c r="AC403" s="1"/>
      <c r="AD403" s="1"/>
      <c r="AE403" s="16"/>
    </row>
    <row r="404" spans="1:31" x14ac:dyDescent="0.2">
      <c r="A404" s="4">
        <v>34072</v>
      </c>
      <c r="B404" s="9">
        <f ca="1">Prices!B403*(1+J404/(50*(ABS(O404)+ABS(T404)+0.0001)))</f>
        <v>1.2128070660612555</v>
      </c>
      <c r="C404" s="13">
        <f t="shared" ca="1" si="34"/>
        <v>-1</v>
      </c>
      <c r="D404" s="9">
        <f ca="1">D403+C404*(Prices!B404-Prices!B403)/Prices!B403</f>
        <v>-0.4599462335699977</v>
      </c>
      <c r="E404" s="9">
        <f t="shared" ca="1" si="35"/>
        <v>0.49607018482874399</v>
      </c>
      <c r="F404" s="9">
        <f t="shared" ca="1" si="36"/>
        <v>3.6123951258746317E-2</v>
      </c>
      <c r="G404" s="13">
        <f ca="1">IF((Prices!B404-Prices!B403)*B404&gt;0,1,0)</f>
        <v>1</v>
      </c>
      <c r="H404" s="9">
        <f>ABS(Prices!B404-Prices!B403)/Prices!B403</f>
        <v>1.9274560832791197E-2</v>
      </c>
      <c r="I404" s="13"/>
      <c r="J404" s="1">
        <f t="shared" ca="1" si="37"/>
        <v>-2.6138019446910986E-2</v>
      </c>
      <c r="K404" s="9"/>
      <c r="L404" s="9">
        <f ca="1">L403-O404*Prices!B404</f>
        <v>0.65503011008800571</v>
      </c>
      <c r="M404" s="1">
        <f t="shared" ca="1" si="38"/>
        <v>0.28941840263924007</v>
      </c>
      <c r="N404" s="9">
        <f ca="1">IF(Prices!D403&gt;OFFSET(Prices!D403,-$N$3,0),1,IF(Prices!D403&lt;OFFSET(Prices!D403,-$N$3,0),-1,0))</f>
        <v>-1</v>
      </c>
      <c r="O404" s="1">
        <f ca="1">IF(N404=1,O$3*L403/Prices!B403,O$3*M403*N404)</f>
        <v>-3.2157600293248899E-2</v>
      </c>
      <c r="P404" s="14"/>
      <c r="Q404" s="9">
        <f ca="1">Q403-T404*Prices!B404</f>
        <v>0.36253948975813949</v>
      </c>
      <c r="R404" s="1">
        <f t="shared" ca="1" si="39"/>
        <v>0.49444441972233599</v>
      </c>
      <c r="S404" s="9">
        <f ca="1">IF(Prices!C403&lt;OFFSET(Prices!C403,-S$3,0),1,IF(Prices!C403&gt;OFFSET(Prices!C403,-S$3,0),-1,0))</f>
        <v>1</v>
      </c>
      <c r="T404" s="1">
        <f ca="1">IF(S404=1,T$3*Q403/Prices!B403,T$3*R403*S404)</f>
        <v>6.0195808463379113E-3</v>
      </c>
      <c r="V404" s="9"/>
      <c r="W404" s="1"/>
      <c r="X404" s="1"/>
      <c r="Y404" s="1"/>
      <c r="Z404" s="1"/>
      <c r="AA404" s="1"/>
      <c r="AB404" s="1"/>
      <c r="AC404" s="1"/>
      <c r="AD404" s="1"/>
      <c r="AE404" s="16"/>
    </row>
    <row r="405" spans="1:31" x14ac:dyDescent="0.2">
      <c r="A405" s="4">
        <v>34073</v>
      </c>
      <c r="B405" s="9">
        <f ca="1">Prices!B404*(1+J405/(50*(ABS(O405)+ABS(T405)+0.0001)))</f>
        <v>1.2366337048937486</v>
      </c>
      <c r="C405" s="13">
        <f t="shared" ca="1" si="34"/>
        <v>-1</v>
      </c>
      <c r="D405" s="9">
        <f ca="1">D404+C405*(Prices!B405-Prices!B404)/Prices!B404</f>
        <v>-0.45372266379420578</v>
      </c>
      <c r="E405" s="9">
        <f t="shared" ca="1" si="35"/>
        <v>0.48984661505295213</v>
      </c>
      <c r="F405" s="9">
        <f t="shared" ca="1" si="36"/>
        <v>3.6123951258746317E-2</v>
      </c>
      <c r="G405" s="13">
        <f ca="1">IF((Prices!B405-Prices!B404)*B405&gt;0,1,0)</f>
        <v>0</v>
      </c>
      <c r="H405" s="9">
        <f>ABS(Prices!B405-Prices!B404)/Prices!B404</f>
        <v>6.2235697757919324E-3</v>
      </c>
      <c r="I405" s="13"/>
      <c r="J405" s="1">
        <f t="shared" ca="1" si="37"/>
        <v>-2.3156481774206629E-2</v>
      </c>
      <c r="K405" s="9"/>
      <c r="L405" s="9">
        <f ca="1">L404-O405*Prices!B405</f>
        <v>0.69107717213672304</v>
      </c>
      <c r="M405" s="1">
        <f t="shared" ca="1" si="38"/>
        <v>0.26047656237531608</v>
      </c>
      <c r="N405" s="9">
        <f ca="1">IF(Prices!D404&gt;OFFSET(Prices!D404,-$N$3,0),1,IF(Prices!D404&lt;OFFSET(Prices!D404,-$N$3,0),-1,0))</f>
        <v>-1</v>
      </c>
      <c r="O405" s="1">
        <f ca="1">IF(N405=1,O$3*L404/Prices!B404,O$3*M404*N405)</f>
        <v>-2.8941840263924008E-2</v>
      </c>
      <c r="P405" s="14"/>
      <c r="Q405" s="9">
        <f ca="1">Q404-T405*Prices!B405</f>
        <v>0.35533382575919648</v>
      </c>
      <c r="R405" s="1">
        <f t="shared" ca="1" si="39"/>
        <v>0.50022977821205339</v>
      </c>
      <c r="S405" s="9">
        <f ca="1">IF(Prices!C404&lt;OFFSET(Prices!C404,-S$3,0),1,IF(Prices!C404&gt;OFFSET(Prices!C404,-S$3,0),-1,0))</f>
        <v>1</v>
      </c>
      <c r="T405" s="1">
        <f ca="1">IF(S405=1,T$3*Q404/Prices!B404,T$3*R404*S405)</f>
        <v>5.7853584897173778E-3</v>
      </c>
      <c r="V405" s="9"/>
      <c r="W405" s="1"/>
      <c r="X405" s="1"/>
      <c r="Y405" s="1"/>
      <c r="Z405" s="1"/>
      <c r="AA405" s="1"/>
      <c r="AB405" s="1"/>
      <c r="AC405" s="1"/>
      <c r="AD405" s="1"/>
      <c r="AE405" s="16"/>
    </row>
    <row r="406" spans="1:31" x14ac:dyDescent="0.2">
      <c r="A406" s="4">
        <v>34074</v>
      </c>
      <c r="B406" s="9">
        <f ca="1">Prices!B405*(1+J406/(50*(ABS(O406)+ABS(T406)+0.0001)))</f>
        <v>1.2206589030385619</v>
      </c>
      <c r="C406" s="13">
        <f t="shared" ca="1" si="34"/>
        <v>-1</v>
      </c>
      <c r="D406" s="9">
        <f ca="1">D405+C406*(Prices!B406-Prices!B405)/Prices!B405</f>
        <v>-0.44962792272636148</v>
      </c>
      <c r="E406" s="9">
        <f t="shared" ca="1" si="35"/>
        <v>0.48575187398510777</v>
      </c>
      <c r="F406" s="9">
        <f t="shared" ca="1" si="36"/>
        <v>3.6123951258746317E-2</v>
      </c>
      <c r="G406" s="13">
        <f ca="1">IF((Prices!B406-Prices!B405)*B406&gt;0,1,0)</f>
        <v>0</v>
      </c>
      <c r="H406" s="9">
        <f>ABS(Prices!B406-Prices!B405)/Prices!B405</f>
        <v>4.0947410678443229E-3</v>
      </c>
      <c r="I406" s="13"/>
      <c r="J406" s="1">
        <f t="shared" ca="1" si="37"/>
        <v>-3.6052251801772676E-2</v>
      </c>
      <c r="K406" s="9"/>
      <c r="L406" s="9">
        <f ca="1">L405-O406*Prices!B406</f>
        <v>0.72338668493375724</v>
      </c>
      <c r="M406" s="1">
        <f t="shared" ca="1" si="38"/>
        <v>0.23442890613778447</v>
      </c>
      <c r="N406" s="9">
        <f ca="1">IF(Prices!D405&gt;OFFSET(Prices!D405,-$N$3,0),1,IF(Prices!D405&lt;OFFSET(Prices!D405,-$N$3,0),-1,0))</f>
        <v>-1</v>
      </c>
      <c r="O406" s="1">
        <f ca="1">IF(N406=1,O$3*L405/Prices!B405,O$3*M405*N406)</f>
        <v>-2.6047656237531608E-2</v>
      </c>
      <c r="P406" s="14"/>
      <c r="Q406" s="9">
        <f ca="1">Q405-T406*Prices!B406</f>
        <v>0.36774352609708111</v>
      </c>
      <c r="R406" s="1">
        <f t="shared" ca="1" si="39"/>
        <v>0.49022518264781234</v>
      </c>
      <c r="S406" s="9">
        <f ca="1">IF(Prices!C405&lt;OFFSET(Prices!C405,-S$3,0),1,IF(Prices!C405&gt;OFFSET(Prices!C405,-S$3,0),-1,0))</f>
        <v>-1</v>
      </c>
      <c r="T406" s="1">
        <f ca="1">IF(S406=1,T$3*Q405/Prices!B405,T$3*R405*S406)</f>
        <v>-1.0004595564241069E-2</v>
      </c>
      <c r="V406" s="9"/>
      <c r="W406" s="1"/>
      <c r="X406" s="1"/>
      <c r="Y406" s="1"/>
      <c r="Z406" s="1"/>
      <c r="AA406" s="1"/>
      <c r="AB406" s="1"/>
      <c r="AC406" s="1"/>
      <c r="AD406" s="1"/>
      <c r="AE406" s="16"/>
    </row>
    <row r="407" spans="1:31" x14ac:dyDescent="0.2">
      <c r="A407" s="4">
        <v>34075</v>
      </c>
      <c r="B407" s="9">
        <f ca="1">Prices!B406*(1+J407/(50*(ABS(O407)+ABS(T407)+0.0001)))</f>
        <v>1.225658244179612</v>
      </c>
      <c r="C407" s="13">
        <f t="shared" ca="1" si="34"/>
        <v>-1</v>
      </c>
      <c r="D407" s="9">
        <f ca="1">D406+C407*(Prices!B407-Prices!B406)/Prices!B406</f>
        <v>-0.43955052833745473</v>
      </c>
      <c r="E407" s="9">
        <f t="shared" ca="1" si="35"/>
        <v>0.47567447959620102</v>
      </c>
      <c r="F407" s="9">
        <f t="shared" ca="1" si="36"/>
        <v>3.6123951258746317E-2</v>
      </c>
      <c r="G407" s="13">
        <f ca="1">IF((Prices!B407-Prices!B406)*B407&gt;0,1,0)</f>
        <v>0</v>
      </c>
      <c r="H407" s="9">
        <f>ABS(Prices!B407-Prices!B406)/Prices!B406</f>
        <v>1.007739438890677E-2</v>
      </c>
      <c r="I407" s="13"/>
      <c r="J407" s="1">
        <f t="shared" ca="1" si="37"/>
        <v>-1.7513456139462404E-2</v>
      </c>
      <c r="K407" s="9"/>
      <c r="L407" s="9">
        <f ca="1">L406-O407*Prices!B407</f>
        <v>0.75217221031841575</v>
      </c>
      <c r="M407" s="1">
        <f t="shared" ca="1" si="38"/>
        <v>0.21098601552400603</v>
      </c>
      <c r="N407" s="9">
        <f ca="1">IF(Prices!D406&gt;OFFSET(Prices!D406,-$N$3,0),1,IF(Prices!D406&lt;OFFSET(Prices!D406,-$N$3,0),-1,0))</f>
        <v>-1</v>
      </c>
      <c r="O407" s="1">
        <f ca="1">IF(N407=1,O$3*L406/Prices!B406,O$3*M406*N407)</f>
        <v>-2.3442890613778449E-2</v>
      </c>
      <c r="P407" s="14"/>
      <c r="Q407" s="9">
        <f ca="1">Q406-T407*Prices!B407</f>
        <v>0.36046277350606842</v>
      </c>
      <c r="R407" s="1">
        <f t="shared" ca="1" si="39"/>
        <v>0.49615461712212838</v>
      </c>
      <c r="S407" s="9">
        <f ca="1">IF(Prices!C406&lt;OFFSET(Prices!C406,-S$3,0),1,IF(Prices!C406&gt;OFFSET(Prices!C406,-S$3,0),-1,0))</f>
        <v>1</v>
      </c>
      <c r="T407" s="1">
        <f ca="1">IF(S407=1,T$3*Q406/Prices!B406,T$3*R406*S407)</f>
        <v>5.9294344743160456E-3</v>
      </c>
      <c r="V407" s="9"/>
      <c r="W407" s="1"/>
      <c r="X407" s="1"/>
      <c r="Y407" s="1"/>
      <c r="Z407" s="1"/>
      <c r="AA407" s="1"/>
      <c r="AB407" s="1"/>
      <c r="AC407" s="1"/>
      <c r="AD407" s="1"/>
      <c r="AE407" s="16"/>
    </row>
    <row r="408" spans="1:31" x14ac:dyDescent="0.2">
      <c r="A408" s="4">
        <v>34078</v>
      </c>
      <c r="B408" s="9">
        <f ca="1">Prices!B407*(1+J408/(50*(ABS(O408)+ABS(T408)+0.0001)))</f>
        <v>1.2140855564159008</v>
      </c>
      <c r="C408" s="13">
        <f t="shared" ca="1" si="34"/>
        <v>-1</v>
      </c>
      <c r="D408" s="9">
        <f ca="1">D407+C408*(Prices!B408-Prices!B407)/Prices!B407</f>
        <v>-0.44981195027735205</v>
      </c>
      <c r="E408" s="9">
        <f t="shared" ca="1" si="35"/>
        <v>0.48593590153609834</v>
      </c>
      <c r="F408" s="9">
        <f t="shared" ca="1" si="36"/>
        <v>3.6123951258746317E-2</v>
      </c>
      <c r="G408" s="13">
        <f ca="1">IF((Prices!B408-Prices!B407)*B408&gt;0,1,0)</f>
        <v>1</v>
      </c>
      <c r="H408" s="9">
        <f>ABS(Prices!B408-Prices!B407)/Prices!B407</f>
        <v>1.026142193989734E-2</v>
      </c>
      <c r="I408" s="13"/>
      <c r="J408" s="1">
        <f t="shared" ca="1" si="37"/>
        <v>-1.522739423085865E-2</v>
      </c>
      <c r="K408" s="9"/>
      <c r="L408" s="9">
        <f ca="1">L407-O408*Prices!B408</f>
        <v>0.77834502554416873</v>
      </c>
      <c r="M408" s="1">
        <f t="shared" ca="1" si="38"/>
        <v>0.18988741397160541</v>
      </c>
      <c r="N408" s="9">
        <f ca="1">IF(Prices!D407&gt;OFFSET(Prices!D407,-$N$3,0),1,IF(Prices!D407&lt;OFFSET(Prices!D407,-$N$3,0),-1,0))</f>
        <v>-1</v>
      </c>
      <c r="O408" s="1">
        <f ca="1">IF(N408=1,O$3*L407/Prices!B407,O$3*M407*N408)</f>
        <v>-2.1098601552400606E-2</v>
      </c>
      <c r="P408" s="14"/>
      <c r="Q408" s="9">
        <f ca="1">Q407-T408*Prices!B408</f>
        <v>0.35317954082369563</v>
      </c>
      <c r="R408" s="1">
        <f t="shared" ca="1" si="39"/>
        <v>0.50202582444367039</v>
      </c>
      <c r="S408" s="9">
        <f ca="1">IF(Prices!C407&lt;OFFSET(Prices!C407,-S$3,0),1,IF(Prices!C407&gt;OFFSET(Prices!C407,-S$3,0),-1,0))</f>
        <v>1</v>
      </c>
      <c r="T408" s="1">
        <f ca="1">IF(S408=1,T$3*Q407/Prices!B407,T$3*R407*S408)</f>
        <v>5.8712073215419569E-3</v>
      </c>
      <c r="V408" s="9"/>
      <c r="W408" s="1"/>
      <c r="X408" s="1"/>
      <c r="Y408" s="1"/>
      <c r="Z408" s="1"/>
      <c r="AA408" s="1"/>
      <c r="AB408" s="1"/>
      <c r="AC408" s="1"/>
      <c r="AD408" s="1"/>
      <c r="AE408" s="16"/>
    </row>
    <row r="409" spans="1:31" x14ac:dyDescent="0.2">
      <c r="A409" s="4">
        <v>34079</v>
      </c>
      <c r="B409" s="9">
        <f ca="1">Prices!B408*(1+J409/(50*(ABS(O409)+ABS(T409)+0.0001)))</f>
        <v>1.2271908636010385</v>
      </c>
      <c r="C409" s="13">
        <f t="shared" ca="1" si="34"/>
        <v>-1</v>
      </c>
      <c r="D409" s="9">
        <f ca="1">D408+C409*(Prices!B409-Prices!B408)/Prices!B408</f>
        <v>-0.45069868949540937</v>
      </c>
      <c r="E409" s="9">
        <f t="shared" ca="1" si="35"/>
        <v>0.48682264075415571</v>
      </c>
      <c r="F409" s="9">
        <f t="shared" ca="1" si="36"/>
        <v>3.6123951258746317E-2</v>
      </c>
      <c r="G409" s="13">
        <f ca="1">IF((Prices!B409-Prices!B408)*B409&gt;0,1,0)</f>
        <v>1</v>
      </c>
      <c r="H409" s="9">
        <f>ABS(Prices!B409-Prices!B408)/Prices!B408</f>
        <v>8.8673921805731634E-4</v>
      </c>
      <c r="I409" s="13"/>
      <c r="J409" s="1">
        <f t="shared" ca="1" si="37"/>
        <v>-1.3294593217818413E-2</v>
      </c>
      <c r="K409" s="9"/>
      <c r="L409" s="9">
        <f ca="1">L408-O409*Prices!B409</f>
        <v>0.80192144686288325</v>
      </c>
      <c r="M409" s="1">
        <f t="shared" ca="1" si="38"/>
        <v>0.17089867257444485</v>
      </c>
      <c r="N409" s="9">
        <f ca="1">IF(Prices!D408&gt;OFFSET(Prices!D408,-$N$3,0),1,IF(Prices!D408&lt;OFFSET(Prices!D408,-$N$3,0),-1,0))</f>
        <v>-1</v>
      </c>
      <c r="O409" s="1">
        <f ca="1">IF(N409=1,O$3*L408/Prices!B408,O$3*M408*N409)</f>
        <v>-1.8988741397160544E-2</v>
      </c>
      <c r="P409" s="14"/>
      <c r="Q409" s="9">
        <f ca="1">Q408-T409*Prices!B409</f>
        <v>0.34610968644422446</v>
      </c>
      <c r="R409" s="1">
        <f t="shared" ca="1" si="39"/>
        <v>0.50771997262301249</v>
      </c>
      <c r="S409" s="9">
        <f ca="1">IF(Prices!C408&lt;OFFSET(Prices!C408,-S$3,0),1,IF(Prices!C408&gt;OFFSET(Prices!C408,-S$3,0),-1,0))</f>
        <v>1</v>
      </c>
      <c r="T409" s="1">
        <f ca="1">IF(S409=1,T$3*Q408/Prices!B408,T$3*R408*S409)</f>
        <v>5.6941481793421301E-3</v>
      </c>
      <c r="V409" s="9"/>
      <c r="W409" s="1"/>
      <c r="X409" s="1"/>
      <c r="Y409" s="1"/>
      <c r="Z409" s="1"/>
      <c r="AA409" s="1"/>
      <c r="AB409" s="1"/>
      <c r="AC409" s="1"/>
      <c r="AD409" s="1"/>
      <c r="AE409" s="16"/>
    </row>
    <row r="410" spans="1:31" x14ac:dyDescent="0.2">
      <c r="A410" s="4">
        <v>34080</v>
      </c>
      <c r="B410" s="9">
        <f ca="1">Prices!B409*(1+J410/(50*(ABS(O410)+ABS(T410)+0.0001)))</f>
        <v>1.2290399030370565</v>
      </c>
      <c r="C410" s="13">
        <f t="shared" ca="1" si="34"/>
        <v>-1</v>
      </c>
      <c r="D410" s="9">
        <f ca="1">D409+C410*(Prices!B410-Prices!B409)/Prices!B409</f>
        <v>-0.44739649877375987</v>
      </c>
      <c r="E410" s="9">
        <f t="shared" ca="1" si="35"/>
        <v>0.48352045003250621</v>
      </c>
      <c r="F410" s="9">
        <f t="shared" ca="1" si="36"/>
        <v>3.6123951258746317E-2</v>
      </c>
      <c r="G410" s="13">
        <f ca="1">IF((Prices!B410-Prices!B409)*B410&gt;0,1,0)</f>
        <v>0</v>
      </c>
      <c r="H410" s="9">
        <f>ABS(Prices!B410-Prices!B409)/Prices!B409</f>
        <v>3.3021907216494784E-3</v>
      </c>
      <c r="I410" s="13"/>
      <c r="J410" s="1">
        <f t="shared" ca="1" si="37"/>
        <v>-1.1514646792814583E-2</v>
      </c>
      <c r="K410" s="9"/>
      <c r="L410" s="9">
        <f ca="1">L409-O410*Prices!B410</f>
        <v>0.82307015759397084</v>
      </c>
      <c r="M410" s="1">
        <f t="shared" ca="1" si="38"/>
        <v>0.15380880531700036</v>
      </c>
      <c r="N410" s="9">
        <f ca="1">IF(Prices!D409&gt;OFFSET(Prices!D409,-$N$3,0),1,IF(Prices!D409&lt;OFFSET(Prices!D409,-$N$3,0),-1,0))</f>
        <v>-1</v>
      </c>
      <c r="O410" s="1">
        <f ca="1">IF(N410=1,O$3*L409/Prices!B409,O$3*M409*N410)</f>
        <v>-1.7089867257444488E-2</v>
      </c>
      <c r="P410" s="14"/>
      <c r="Q410" s="9">
        <f ca="1">Q409-T410*Prices!B410</f>
        <v>0.33921035111924497</v>
      </c>
      <c r="R410" s="1">
        <f t="shared" ca="1" si="39"/>
        <v>0.51329519308764238</v>
      </c>
      <c r="S410" s="9">
        <f ca="1">IF(Prices!C409&lt;OFFSET(Prices!C409,-S$3,0),1,IF(Prices!C409&gt;OFFSET(Prices!C409,-S$3,0),-1,0))</f>
        <v>1</v>
      </c>
      <c r="T410" s="1">
        <f ca="1">IF(S410=1,T$3*Q409/Prices!B409,T$3*R409*S410)</f>
        <v>5.5752204646299045E-3</v>
      </c>
      <c r="V410" s="9"/>
      <c r="W410" s="1"/>
      <c r="X410" s="1"/>
      <c r="Y410" s="1"/>
      <c r="Z410" s="1"/>
      <c r="AA410" s="1"/>
      <c r="AB410" s="1"/>
      <c r="AC410" s="1"/>
      <c r="AD410" s="1"/>
      <c r="AE410" s="16"/>
    </row>
    <row r="411" spans="1:31" x14ac:dyDescent="0.2">
      <c r="A411" s="4">
        <v>34081</v>
      </c>
      <c r="B411" s="9">
        <f ca="1">Prices!B410*(1+J411/(50*(ABS(O411)+ABS(T411)+0.0001)))</f>
        <v>1.2258131299089845</v>
      </c>
      <c r="C411" s="13">
        <f t="shared" ca="1" si="34"/>
        <v>-1</v>
      </c>
      <c r="D411" s="9">
        <f ca="1">D410+C411*(Prices!B411-Prices!B410)/Prices!B410</f>
        <v>-0.44529548867274982</v>
      </c>
      <c r="E411" s="9">
        <f t="shared" ca="1" si="35"/>
        <v>0.48141943993149616</v>
      </c>
      <c r="F411" s="9">
        <f t="shared" ca="1" si="36"/>
        <v>3.6123951258746317E-2</v>
      </c>
      <c r="G411" s="13">
        <f ca="1">IF((Prices!B411-Prices!B410)*B411&gt;0,1,0)</f>
        <v>0</v>
      </c>
      <c r="H411" s="9">
        <f>ABS(Prices!B411-Prices!B410)/Prices!B410</f>
        <v>2.1010101010100488E-3</v>
      </c>
      <c r="I411" s="13"/>
      <c r="J411" s="1">
        <f t="shared" ca="1" si="37"/>
        <v>-9.898693038863756E-3</v>
      </c>
      <c r="K411" s="9"/>
      <c r="L411" s="9">
        <f ca="1">L410-O411*Prices!B411</f>
        <v>0.84206400696256722</v>
      </c>
      <c r="M411" s="1">
        <f t="shared" ca="1" si="38"/>
        <v>0.13842792478530033</v>
      </c>
      <c r="N411" s="9">
        <f ca="1">IF(Prices!D410&gt;OFFSET(Prices!D410,-$N$3,0),1,IF(Prices!D410&lt;OFFSET(Prices!D410,-$N$3,0),-1,0))</f>
        <v>-1</v>
      </c>
      <c r="O411" s="1">
        <f ca="1">IF(N411=1,O$3*L410/Prices!B410,O$3*M410*N411)</f>
        <v>-1.5380880531700038E-2</v>
      </c>
      <c r="P411" s="14"/>
      <c r="Q411" s="9">
        <f ca="1">Q410-T411*Prices!B411</f>
        <v>0.33244039778434142</v>
      </c>
      <c r="R411" s="1">
        <f t="shared" ca="1" si="39"/>
        <v>0.51877738058047862</v>
      </c>
      <c r="S411" s="9">
        <f ca="1">IF(Prices!C410&lt;OFFSET(Prices!C410,-S$3,0),1,IF(Prices!C410&gt;OFFSET(Prices!C410,-S$3,0),-1,0))</f>
        <v>1</v>
      </c>
      <c r="T411" s="1">
        <f ca="1">IF(S411=1,T$3*Q410/Prices!B410,T$3*R410*S411)</f>
        <v>5.4821874928362825E-3</v>
      </c>
      <c r="V411" s="9"/>
      <c r="W411" s="1"/>
      <c r="X411" s="1"/>
      <c r="Y411" s="1"/>
      <c r="Z411" s="1"/>
      <c r="AA411" s="1"/>
      <c r="AB411" s="1"/>
      <c r="AC411" s="1"/>
      <c r="AD411" s="1"/>
      <c r="AE411" s="16"/>
    </row>
    <row r="412" spans="1:31" x14ac:dyDescent="0.2">
      <c r="A412" s="4">
        <v>34082</v>
      </c>
      <c r="B412" s="9">
        <f ca="1">Prices!B411*(1+J412/(50*(ABS(O412)+ABS(T412)+0.0001)))</f>
        <v>1.2240905395688935</v>
      </c>
      <c r="C412" s="13">
        <f t="shared" ca="1" si="34"/>
        <v>-1</v>
      </c>
      <c r="D412" s="9">
        <f ca="1">D411+C412*(Prices!B412-Prices!B411)/Prices!B411</f>
        <v>-0.4627058052975776</v>
      </c>
      <c r="E412" s="9">
        <f t="shared" ca="1" si="35"/>
        <v>0.49882975655632389</v>
      </c>
      <c r="F412" s="9">
        <f t="shared" ca="1" si="36"/>
        <v>3.6123951258746317E-2</v>
      </c>
      <c r="G412" s="13">
        <f ca="1">IF((Prices!B412-Prices!B411)*B412&gt;0,1,0)</f>
        <v>1</v>
      </c>
      <c r="H412" s="9">
        <f>ABS(Prices!B412-Prices!B411)/Prices!B411</f>
        <v>1.7410316624827799E-2</v>
      </c>
      <c r="I412" s="13"/>
      <c r="J412" s="1">
        <f t="shared" ca="1" si="37"/>
        <v>-8.4587063535913123E-3</v>
      </c>
      <c r="K412" s="9"/>
      <c r="L412" s="9">
        <f ca="1">L411-O412*Prices!B412</f>
        <v>0.85945609143259238</v>
      </c>
      <c r="M412" s="1">
        <f t="shared" ca="1" si="38"/>
        <v>0.12458513230677029</v>
      </c>
      <c r="N412" s="9">
        <f ca="1">IF(Prices!D411&gt;OFFSET(Prices!D411,-$N$3,0),1,IF(Prices!D411&lt;OFFSET(Prices!D411,-$N$3,0),-1,0))</f>
        <v>-1</v>
      </c>
      <c r="O412" s="1">
        <f ca="1">IF(N412=1,O$3*L411/Prices!B411,O$3*M411*N412)</f>
        <v>-1.3842792478530035E-2</v>
      </c>
      <c r="P412" s="14"/>
      <c r="Q412" s="9">
        <f ca="1">Q411-T412*Prices!B412</f>
        <v>0.32567583197696842</v>
      </c>
      <c r="R412" s="1">
        <f t="shared" ca="1" si="39"/>
        <v>0.5241614667054173</v>
      </c>
      <c r="S412" s="9">
        <f ca="1">IF(Prices!C411&lt;OFFSET(Prices!C411,-S$3,0),1,IF(Prices!C411&gt;OFFSET(Prices!C411,-S$3,0),-1,0))</f>
        <v>1</v>
      </c>
      <c r="T412" s="1">
        <f ca="1">IF(S412=1,T$3*Q411/Prices!B411,T$3*R411*S412)</f>
        <v>5.3840861249387223E-3</v>
      </c>
      <c r="V412" s="9"/>
      <c r="W412" s="1"/>
      <c r="X412" s="1"/>
      <c r="Y412" s="1"/>
      <c r="Z412" s="1"/>
      <c r="AA412" s="1"/>
      <c r="AB412" s="1"/>
      <c r="AC412" s="1"/>
      <c r="AD412" s="1"/>
      <c r="AE412" s="16"/>
    </row>
    <row r="413" spans="1:31" x14ac:dyDescent="0.2">
      <c r="A413" s="4">
        <v>34085</v>
      </c>
      <c r="B413" s="9">
        <f ca="1">Prices!B412*(1+J413/(50*(ABS(O413)+ABS(T413)+0.0001)))</f>
        <v>1.2814939006328601</v>
      </c>
      <c r="C413" s="13">
        <f t="shared" ca="1" si="34"/>
        <v>1</v>
      </c>
      <c r="D413" s="9">
        <f ca="1">D412+C413*(Prices!B413-Prices!B412)/Prices!B412</f>
        <v>-0.45355266935361066</v>
      </c>
      <c r="E413" s="9">
        <f t="shared" ca="1" si="35"/>
        <v>0.48967662061235695</v>
      </c>
      <c r="F413" s="9">
        <f t="shared" ca="1" si="36"/>
        <v>3.6123951258746317E-2</v>
      </c>
      <c r="G413" s="13">
        <f ca="1">IF((Prices!B413-Prices!B412)*B413&gt;0,1,0)</f>
        <v>1</v>
      </c>
      <c r="H413" s="9">
        <f>ABS(Prices!B413-Prices!B412)/Prices!B412</f>
        <v>9.1531359439669426E-3</v>
      </c>
      <c r="I413" s="13"/>
      <c r="J413" s="1">
        <f t="shared" ca="1" si="37"/>
        <v>7.3590517178286061E-2</v>
      </c>
      <c r="K413" s="9"/>
      <c r="L413" s="9">
        <f ca="1">L412-O413*Prices!B413</f>
        <v>0.77272381044505789</v>
      </c>
      <c r="M413" s="1">
        <f t="shared" ca="1" si="38"/>
        <v>0.19299137963505686</v>
      </c>
      <c r="N413" s="9">
        <f ca="1">IF(Prices!D412&gt;OFFSET(Prices!D412,-$N$3,0),1,IF(Prices!D412&lt;OFFSET(Prices!D412,-$N$3,0),-1,0))</f>
        <v>1</v>
      </c>
      <c r="O413" s="1">
        <f ca="1">IF(N413=1,O$3*L412/Prices!B412,O$3*M412*N413)</f>
        <v>6.8406247328286568E-2</v>
      </c>
      <c r="P413" s="14"/>
      <c r="Q413" s="9">
        <f ca="1">Q412-T413*Prices!B413</f>
        <v>0.31910269623415405</v>
      </c>
      <c r="R413" s="1">
        <f t="shared" ca="1" si="39"/>
        <v>0.52934573655541683</v>
      </c>
      <c r="S413" s="9">
        <f ca="1">IF(Prices!C412&lt;OFFSET(Prices!C412,-S$3,0),1,IF(Prices!C412&gt;OFFSET(Prices!C412,-S$3,0),-1,0))</f>
        <v>1</v>
      </c>
      <c r="T413" s="1">
        <f ca="1">IF(S413=1,T$3*Q412/Prices!B412,T$3*R412*S413)</f>
        <v>5.1842698499994979E-3</v>
      </c>
      <c r="V413" s="9"/>
      <c r="W413" s="1"/>
      <c r="X413" s="1"/>
      <c r="Y413" s="1"/>
      <c r="Z413" s="1"/>
      <c r="AA413" s="1"/>
      <c r="AB413" s="1"/>
      <c r="AC413" s="1"/>
      <c r="AD413" s="1"/>
      <c r="AE413" s="16"/>
    </row>
    <row r="414" spans="1:31" x14ac:dyDescent="0.2">
      <c r="A414" s="4">
        <v>34086</v>
      </c>
      <c r="B414" s="9">
        <f ca="1">Prices!B413*(1+J414/(50*(ABS(O414)+ABS(T414)+0.0001)))</f>
        <v>1.285726992497999</v>
      </c>
      <c r="C414" s="13">
        <f t="shared" ca="1" si="34"/>
        <v>1</v>
      </c>
      <c r="D414" s="9">
        <f ca="1">D413+C414*(Prices!B414-Prices!B413)/Prices!B413</f>
        <v>-0.45970457407795801</v>
      </c>
      <c r="E414" s="9">
        <f t="shared" ca="1" si="35"/>
        <v>0.4958285253367043</v>
      </c>
      <c r="F414" s="9">
        <f t="shared" ca="1" si="36"/>
        <v>3.6123951258746317E-2</v>
      </c>
      <c r="G414" s="13">
        <f ca="1">IF((Prices!B414-Prices!B413)*B414&gt;0,1,0)</f>
        <v>0</v>
      </c>
      <c r="H414" s="9">
        <f>ABS(Prices!B414-Prices!B413)/Prices!B413</f>
        <v>6.1519047243473691E-3</v>
      </c>
      <c r="I414" s="13"/>
      <c r="J414" s="1">
        <f t="shared" ca="1" si="37"/>
        <v>5.035825527007929E-2</v>
      </c>
      <c r="K414" s="9"/>
      <c r="L414" s="9">
        <f ca="1">L413-O414*Prices!B414</f>
        <v>0.69592680172656141</v>
      </c>
      <c r="M414" s="1">
        <f t="shared" ca="1" si="38"/>
        <v>0.25393654963624446</v>
      </c>
      <c r="N414" s="9">
        <f ca="1">IF(Prices!D413&gt;OFFSET(Prices!D413,-$N$3,0),1,IF(Prices!D413&lt;OFFSET(Prices!D413,-$N$3,0),-1,0))</f>
        <v>1</v>
      </c>
      <c r="O414" s="1">
        <f ca="1">IF(N414=1,O$3*L413/Prices!B413,O$3*M413*N414)</f>
        <v>6.0945170001187626E-2</v>
      </c>
      <c r="P414" s="14"/>
      <c r="Q414" s="9">
        <f ca="1">Q413-T414*Prices!B414</f>
        <v>0.33244326748682368</v>
      </c>
      <c r="R414" s="1">
        <f t="shared" ca="1" si="39"/>
        <v>0.51875882182430855</v>
      </c>
      <c r="S414" s="9">
        <f ca="1">IF(Prices!C413&lt;OFFSET(Prices!C413,-S$3,0),1,IF(Prices!C413&gt;OFFSET(Prices!C413,-S$3,0),-1,0))</f>
        <v>-1</v>
      </c>
      <c r="T414" s="1">
        <f ca="1">IF(S414=1,T$3*Q413/Prices!B413,T$3*R413*S414)</f>
        <v>-1.0586914731108336E-2</v>
      </c>
      <c r="V414" s="9"/>
      <c r="W414" s="1"/>
      <c r="X414" s="1"/>
      <c r="Y414" s="1"/>
      <c r="Z414" s="1"/>
      <c r="AA414" s="1"/>
      <c r="AB414" s="1"/>
      <c r="AC414" s="1"/>
      <c r="AD414" s="1"/>
      <c r="AE414" s="16"/>
    </row>
    <row r="415" spans="1:31" x14ac:dyDescent="0.2">
      <c r="A415" s="4">
        <v>34087</v>
      </c>
      <c r="B415" s="9">
        <f ca="1">Prices!B414*(1+J415/(50*(ABS(O415)+ABS(T415)+0.0001)))</f>
        <v>1.2773043444846846</v>
      </c>
      <c r="C415" s="13">
        <f t="shared" ca="1" si="34"/>
        <v>1</v>
      </c>
      <c r="D415" s="9">
        <f ca="1">D414+C415*(Prices!B415-Prices!B414)/Prices!B414</f>
        <v>-0.46351379556831585</v>
      </c>
      <c r="E415" s="9">
        <f t="shared" ca="1" si="35"/>
        <v>0.49963774682706219</v>
      </c>
      <c r="F415" s="9">
        <f t="shared" ca="1" si="36"/>
        <v>3.6123951258746317E-2</v>
      </c>
      <c r="G415" s="13">
        <f ca="1">IF((Prices!B415-Prices!B414)*B415&gt;0,1,0)</f>
        <v>0</v>
      </c>
      <c r="H415" s="9">
        <f>ABS(Prices!B415-Prices!B414)/Prices!B414</f>
        <v>3.8092214903578409E-3</v>
      </c>
      <c r="I415" s="13"/>
      <c r="J415" s="1">
        <f t="shared" ca="1" si="37"/>
        <v>4.4852726247948511E-2</v>
      </c>
      <c r="K415" s="9"/>
      <c r="L415" s="9">
        <f ca="1">L414-O415*Prices!B415</f>
        <v>0.62659921548679054</v>
      </c>
      <c r="M415" s="1">
        <f t="shared" ca="1" si="38"/>
        <v>0.30916445232067913</v>
      </c>
      <c r="N415" s="9">
        <f ca="1">IF(Prices!D414&gt;OFFSET(Prices!D414,-$N$3,0),1,IF(Prices!D414&lt;OFFSET(Prices!D414,-$N$3,0),-1,0))</f>
        <v>1</v>
      </c>
      <c r="O415" s="1">
        <f ca="1">IF(N415=1,O$3*L414/Prices!B414,O$3*M414*N415)</f>
        <v>5.5227902684434685E-2</v>
      </c>
      <c r="P415" s="14"/>
      <c r="Q415" s="9">
        <f ca="1">Q414-T415*Prices!B415</f>
        <v>0.3454672264675448</v>
      </c>
      <c r="R415" s="1">
        <f t="shared" ca="1" si="39"/>
        <v>0.50838364538782232</v>
      </c>
      <c r="S415" s="9">
        <f ca="1">IF(Prices!C414&lt;OFFSET(Prices!C414,-S$3,0),1,IF(Prices!C414&gt;OFFSET(Prices!C414,-S$3,0),-1,0))</f>
        <v>-1</v>
      </c>
      <c r="T415" s="1">
        <f ca="1">IF(S415=1,T$3*Q414/Prices!B414,T$3*R414*S415)</f>
        <v>-1.0375176436486172E-2</v>
      </c>
      <c r="V415" s="9"/>
      <c r="W415" s="1"/>
      <c r="X415" s="1"/>
      <c r="Y415" s="1"/>
      <c r="Z415" s="1"/>
      <c r="AA415" s="1"/>
      <c r="AB415" s="1"/>
      <c r="AC415" s="1"/>
      <c r="AD415" s="1"/>
      <c r="AE415" s="16"/>
    </row>
    <row r="416" spans="1:31" x14ac:dyDescent="0.2">
      <c r="A416" s="4">
        <v>34088</v>
      </c>
      <c r="B416" s="9">
        <f ca="1">Prices!B415*(1+J416/(50*(ABS(O416)+ABS(T416)+0.0001)))</f>
        <v>1.2718813075596618</v>
      </c>
      <c r="C416" s="13">
        <f t="shared" ca="1" si="34"/>
        <v>1</v>
      </c>
      <c r="D416" s="9">
        <f ca="1">D415+C416*(Prices!B416-Prices!B415)/Prices!B415</f>
        <v>-0.4576984526224066</v>
      </c>
      <c r="E416" s="9">
        <f t="shared" ca="1" si="35"/>
        <v>0.49382240388115295</v>
      </c>
      <c r="F416" s="9">
        <f t="shared" ca="1" si="36"/>
        <v>3.6123951258746317E-2</v>
      </c>
      <c r="G416" s="13">
        <f ca="1">IF((Prices!B416-Prices!B415)*B416&gt;0,1,0)</f>
        <v>1</v>
      </c>
      <c r="H416" s="9">
        <f>ABS(Prices!B416-Prices!B415)/Prices!B415</f>
        <v>5.815342945909234E-3</v>
      </c>
      <c r="I416" s="13"/>
      <c r="J416" s="1">
        <f t="shared" ca="1" si="37"/>
        <v>3.9748619252427612E-2</v>
      </c>
      <c r="K416" s="9"/>
      <c r="L416" s="9">
        <f ca="1">L415-O416*Prices!B416</f>
        <v>0.56357490500534213</v>
      </c>
      <c r="M416" s="1">
        <f t="shared" ca="1" si="38"/>
        <v>0.35908074448086319</v>
      </c>
      <c r="N416" s="9">
        <f ca="1">IF(Prices!D415&gt;OFFSET(Prices!D415,-$N$3,0),1,IF(Prices!D415&lt;OFFSET(Prices!D415,-$N$3,0),-1,0))</f>
        <v>1</v>
      </c>
      <c r="O416" s="1">
        <f ca="1">IF(N416=1,O$3*L415/Prices!B415,O$3*M415*N416)</f>
        <v>4.9916292160184061E-2</v>
      </c>
      <c r="P416" s="14"/>
      <c r="Q416" s="9">
        <f ca="1">Q415-T416*Prices!B416</f>
        <v>0.35830493028087806</v>
      </c>
      <c r="R416" s="1">
        <f t="shared" ca="1" si="39"/>
        <v>0.49821597248006588</v>
      </c>
      <c r="S416" s="9">
        <f ca="1">IF(Prices!C415&lt;OFFSET(Prices!C415,-S$3,0),1,IF(Prices!C415&gt;OFFSET(Prices!C415,-S$3,0),-1,0))</f>
        <v>-1</v>
      </c>
      <c r="T416" s="1">
        <f ca="1">IF(S416=1,T$3*Q415/Prices!B415,T$3*R415*S416)</f>
        <v>-1.0167672907756447E-2</v>
      </c>
      <c r="W416" s="1"/>
      <c r="X416" s="1"/>
      <c r="Y416" s="1"/>
      <c r="Z416" s="1"/>
      <c r="AA416" s="1"/>
      <c r="AB416" s="1"/>
      <c r="AC416" s="1"/>
      <c r="AD416" s="1"/>
      <c r="AE416" s="16"/>
    </row>
    <row r="417" spans="1:31" x14ac:dyDescent="0.2">
      <c r="A417" s="4">
        <v>34089</v>
      </c>
      <c r="B417" s="9">
        <f ca="1">Prices!B416*(1+J417/(50*(ABS(O417)+ABS(T417)+0.0001)))</f>
        <v>1.2374029286166306</v>
      </c>
      <c r="C417" s="13">
        <f t="shared" ca="1" si="34"/>
        <v>-1</v>
      </c>
      <c r="D417" s="9">
        <f ca="1">D416+C417*(Prices!B417-Prices!B416)/Prices!B416</f>
        <v>-0.45049110270952852</v>
      </c>
      <c r="E417" s="9">
        <f t="shared" ca="1" si="35"/>
        <v>0.48661505396827487</v>
      </c>
      <c r="F417" s="9">
        <f t="shared" ca="1" si="36"/>
        <v>3.6123951258746317E-2</v>
      </c>
      <c r="G417" s="13">
        <f ca="1">IF((Prices!B417-Prices!B416)*B417&gt;0,1,0)</f>
        <v>0</v>
      </c>
      <c r="H417" s="9">
        <f>ABS(Prices!B417-Prices!B416)/Prices!B416</f>
        <v>7.2073499128780978E-3</v>
      </c>
      <c r="I417" s="13"/>
      <c r="J417" s="1">
        <f t="shared" ca="1" si="37"/>
        <v>-4.5872393897687644E-2</v>
      </c>
      <c r="K417" s="9"/>
      <c r="L417" s="9">
        <f ca="1">L416-O417*Prices!B417</f>
        <v>0.60858567632601834</v>
      </c>
      <c r="M417" s="1">
        <f t="shared" ca="1" si="38"/>
        <v>0.32317267003277689</v>
      </c>
      <c r="N417" s="9">
        <f ca="1">IF(Prices!D416&gt;OFFSET(Prices!D416,-$N$3,0),1,IF(Prices!D416&lt;OFFSET(Prices!D416,-$N$3,0),-1,0))</f>
        <v>-1</v>
      </c>
      <c r="O417" s="1">
        <f ca="1">IF(N417=1,O$3*L416/Prices!B416,O$3*M416*N417)</f>
        <v>-3.5908074448086323E-2</v>
      </c>
      <c r="P417" s="14"/>
      <c r="Q417" s="9">
        <f ca="1">Q416-T417*Prices!B417</f>
        <v>0.37079520471095334</v>
      </c>
      <c r="R417" s="1">
        <f t="shared" ca="1" si="39"/>
        <v>0.48825165303046458</v>
      </c>
      <c r="S417" s="9">
        <f ca="1">IF(Prices!C416&lt;OFFSET(Prices!C416,-S$3,0),1,IF(Prices!C416&gt;OFFSET(Prices!C416,-S$3,0),-1,0))</f>
        <v>-1</v>
      </c>
      <c r="T417" s="1">
        <f ca="1">IF(S417=1,T$3*Q416/Prices!B416,T$3*R416*S417)</f>
        <v>-9.9643194496013172E-3</v>
      </c>
      <c r="W417" s="1"/>
      <c r="X417" s="1"/>
      <c r="Y417" s="1"/>
      <c r="Z417" s="1"/>
      <c r="AA417" s="1"/>
      <c r="AB417" s="1"/>
      <c r="AC417" s="1"/>
      <c r="AD417" s="1"/>
      <c r="AE417" s="16"/>
    </row>
    <row r="418" spans="1:31" x14ac:dyDescent="0.2">
      <c r="A418" s="4">
        <v>34092</v>
      </c>
      <c r="B418" s="9">
        <f ca="1">Prices!B417*(1+J418/(50*(ABS(O418)+ABS(T418)+0.0001)))</f>
        <v>1.2701454891766633</v>
      </c>
      <c r="C418" s="13">
        <f t="shared" ca="1" si="34"/>
        <v>1</v>
      </c>
      <c r="D418" s="9">
        <f ca="1">D417+C418*(Prices!B418-Prices!B417)/Prices!B417</f>
        <v>-0.45049110270952852</v>
      </c>
      <c r="E418" s="9">
        <f t="shared" ca="1" si="35"/>
        <v>0.48661505396827487</v>
      </c>
      <c r="F418" s="9">
        <f t="shared" ca="1" si="36"/>
        <v>3.6123951258746317E-2</v>
      </c>
      <c r="G418" s="13">
        <f ca="1">IF((Prices!B418-Prices!B417)*B418&gt;0,1,0)</f>
        <v>0</v>
      </c>
      <c r="H418" s="9">
        <f>ABS(Prices!B418-Prices!B417)/Prices!B417</f>
        <v>0</v>
      </c>
      <c r="I418" s="13"/>
      <c r="J418" s="1">
        <f t="shared" ca="1" si="37"/>
        <v>3.8785878493121734E-2</v>
      </c>
      <c r="K418" s="9"/>
      <c r="L418" s="9">
        <f ca="1">L417-O418*Prices!B418</f>
        <v>0.54772710869341645</v>
      </c>
      <c r="M418" s="1">
        <f t="shared" ca="1" si="38"/>
        <v>0.37172358158650792</v>
      </c>
      <c r="N418" s="9">
        <f ca="1">IF(Prices!D417&gt;OFFSET(Prices!D417,-$N$3,0),1,IF(Prices!D417&lt;OFFSET(Prices!D417,-$N$3,0),-1,0))</f>
        <v>1</v>
      </c>
      <c r="O418" s="1">
        <f ca="1">IF(N418=1,O$3*L417/Prices!B417,O$3*M417*N418)</f>
        <v>4.8550911553731022E-2</v>
      </c>
      <c r="P418" s="14"/>
      <c r="Q418" s="9">
        <f ca="1">Q417-T418*Prices!B418</f>
        <v>0.38303567365242708</v>
      </c>
      <c r="R418" s="1">
        <f t="shared" ca="1" si="39"/>
        <v>0.47848661996985531</v>
      </c>
      <c r="S418" s="9">
        <f ca="1">IF(Prices!C417&lt;OFFSET(Prices!C417,-S$3,0),1,IF(Prices!C417&gt;OFFSET(Prices!C417,-S$3,0),-1,0))</f>
        <v>-1</v>
      </c>
      <c r="T418" s="1">
        <f ca="1">IF(S418=1,T$3*Q417/Prices!B417,T$3*R417*S418)</f>
        <v>-9.7650330606092912E-3</v>
      </c>
      <c r="W418" s="1"/>
      <c r="X418" s="1"/>
      <c r="Y418" s="1"/>
      <c r="Z418" s="1"/>
      <c r="AA418" s="1"/>
      <c r="AB418" s="1"/>
      <c r="AC418" s="1"/>
      <c r="AD418" s="1"/>
      <c r="AE418" s="16"/>
    </row>
    <row r="419" spans="1:31" x14ac:dyDescent="0.2">
      <c r="A419" s="4">
        <v>34093</v>
      </c>
      <c r="B419" s="9">
        <f ca="1">Prices!B418*(1+J419/(50*(ABS(O419)+ABS(T419)+0.0001)))</f>
        <v>1.2355509856885238</v>
      </c>
      <c r="C419" s="13">
        <f t="shared" ca="1" si="34"/>
        <v>-1</v>
      </c>
      <c r="D419" s="9">
        <f ca="1">D418+C419*(Prices!B419-Prices!B418)/Prices!B418</f>
        <v>-0.46110139389421129</v>
      </c>
      <c r="E419" s="9">
        <f t="shared" ca="1" si="35"/>
        <v>0.49722534515295758</v>
      </c>
      <c r="F419" s="9">
        <f t="shared" ca="1" si="36"/>
        <v>3.6123951258746317E-2</v>
      </c>
      <c r="G419" s="13">
        <f ca="1">IF((Prices!B419-Prices!B418)*B419&gt;0,1,0)</f>
        <v>1</v>
      </c>
      <c r="H419" s="9">
        <f>ABS(Prices!B419-Prices!B418)/Prices!B418</f>
        <v>1.0610291184682782E-2</v>
      </c>
      <c r="I419" s="13"/>
      <c r="J419" s="1">
        <f t="shared" ca="1" si="37"/>
        <v>-3.1060899464555432E-2</v>
      </c>
      <c r="K419" s="9"/>
      <c r="L419" s="9">
        <f ca="1">L418-O419*Prices!B419</f>
        <v>0.59481705200879531</v>
      </c>
      <c r="M419" s="1">
        <f t="shared" ca="1" si="38"/>
        <v>0.33455122342785715</v>
      </c>
      <c r="N419" s="9">
        <f ca="1">IF(Prices!D418&gt;OFFSET(Prices!D418,-$N$3,0),1,IF(Prices!D418&lt;OFFSET(Prices!D418,-$N$3,0),-1,0))</f>
        <v>-1</v>
      </c>
      <c r="O419" s="1">
        <f ca="1">IF(N419=1,O$3*L418/Prices!B418,O$3*M418*N419)</f>
        <v>-3.7172358158650796E-2</v>
      </c>
      <c r="P419" s="14"/>
      <c r="Q419" s="9">
        <f ca="1">Q418-T419*Prices!B419</f>
        <v>0.37529367777874706</v>
      </c>
      <c r="R419" s="1">
        <f t="shared" ca="1" si="39"/>
        <v>0.48459807866395066</v>
      </c>
      <c r="S419" s="9">
        <f ca="1">IF(Prices!C418&lt;OFFSET(Prices!C418,-S$3,0),1,IF(Prices!C418&gt;OFFSET(Prices!C418,-S$3,0),-1,0))</f>
        <v>1</v>
      </c>
      <c r="T419" s="1">
        <f ca="1">IF(S419=1,T$3*Q418/Prices!B418,T$3*R418*S419)</f>
        <v>6.1114586940953664E-3</v>
      </c>
      <c r="W419" s="1"/>
      <c r="X419" s="1"/>
      <c r="Y419" s="1"/>
      <c r="Z419" s="1"/>
      <c r="AA419" s="1"/>
      <c r="AB419" s="1"/>
      <c r="AC419" s="1"/>
      <c r="AD419" s="1"/>
      <c r="AE419" s="16"/>
    </row>
    <row r="420" spans="1:31" x14ac:dyDescent="0.2">
      <c r="A420" s="4">
        <v>34094</v>
      </c>
      <c r="B420" s="9">
        <f ca="1">Prices!B419*(1+J420/(50*(ABS(O420)+ABS(T420)+0.0001)))</f>
        <v>1.2491328728006166</v>
      </c>
      <c r="C420" s="13">
        <f t="shared" ca="1" si="34"/>
        <v>-1</v>
      </c>
      <c r="D420" s="9">
        <f ca="1">D419+C420*(Prices!B420-Prices!B419)/Prices!B419</f>
        <v>-0.45707550188284418</v>
      </c>
      <c r="E420" s="9">
        <f t="shared" ca="1" si="35"/>
        <v>0.49319945314159053</v>
      </c>
      <c r="F420" s="9">
        <f t="shared" ca="1" si="36"/>
        <v>3.6123951258746317E-2</v>
      </c>
      <c r="G420" s="13">
        <f ca="1">IF((Prices!B420-Prices!B419)*B420&gt;0,1,0)</f>
        <v>0</v>
      </c>
      <c r="H420" s="9">
        <f>ABS(Prices!B420-Prices!B419)/Prices!B419</f>
        <v>4.0258920113671317E-3</v>
      </c>
      <c r="I420" s="13"/>
      <c r="J420" s="1">
        <f t="shared" ca="1" si="37"/>
        <v>-2.7530056384801074E-2</v>
      </c>
      <c r="K420" s="9"/>
      <c r="L420" s="9">
        <f ca="1">L419-O420*Prices!B420</f>
        <v>0.63702737986868807</v>
      </c>
      <c r="M420" s="1">
        <f t="shared" ca="1" si="38"/>
        <v>0.30109610108507145</v>
      </c>
      <c r="N420" s="9">
        <f ca="1">IF(Prices!D419&gt;OFFSET(Prices!D419,-$N$3,0),1,IF(Prices!D419&lt;OFFSET(Prices!D419,-$N$3,0),-1,0))</f>
        <v>-1</v>
      </c>
      <c r="O420" s="1">
        <f ca="1">IF(N420=1,O$3*L419/Prices!B419,O$3*M419*N420)</f>
        <v>-3.3455122342785713E-2</v>
      </c>
      <c r="P420" s="14"/>
      <c r="Q420" s="9">
        <f ca="1">Q419-T420*Prices!B420</f>
        <v>0.36781802205955783</v>
      </c>
      <c r="R420" s="1">
        <f t="shared" ca="1" si="39"/>
        <v>0.4905231446219353</v>
      </c>
      <c r="S420" s="9">
        <f ca="1">IF(Prices!C419&lt;OFFSET(Prices!C419,-S$3,0),1,IF(Prices!C419&gt;OFFSET(Prices!C419,-S$3,0),-1,0))</f>
        <v>1</v>
      </c>
      <c r="T420" s="1">
        <f ca="1">IF(S420=1,T$3*Q419/Prices!B419,T$3*R419*S420)</f>
        <v>5.9250659579846397E-3</v>
      </c>
      <c r="W420" s="1"/>
      <c r="X420" s="1"/>
      <c r="Y420" s="1"/>
      <c r="Z420" s="1"/>
      <c r="AA420" s="1"/>
      <c r="AB420" s="1"/>
      <c r="AC420" s="1"/>
      <c r="AD420" s="1"/>
      <c r="AE420" s="16"/>
    </row>
    <row r="421" spans="1:31" x14ac:dyDescent="0.2">
      <c r="A421" s="4">
        <v>34095</v>
      </c>
      <c r="B421" s="9">
        <f ca="1">Prices!B420*(1+J421/(50*(ABS(O421)+ABS(T421)+0.0001)))</f>
        <v>1.2447006501000215</v>
      </c>
      <c r="C421" s="13">
        <f t="shared" ca="1" si="34"/>
        <v>-1</v>
      </c>
      <c r="D421" s="9">
        <f ca="1">D420+C421*(Prices!B421-Prices!B420)/Prices!B420</f>
        <v>-0.45731327631416696</v>
      </c>
      <c r="E421" s="9">
        <f t="shared" ca="1" si="35"/>
        <v>0.49343722757291331</v>
      </c>
      <c r="F421" s="9">
        <f t="shared" ca="1" si="36"/>
        <v>3.6123951258746317E-2</v>
      </c>
      <c r="G421" s="13">
        <f ca="1">IF((Prices!B421-Prices!B420)*B421&gt;0,1,0)</f>
        <v>1</v>
      </c>
      <c r="H421" s="9">
        <f>ABS(Prices!B421-Prices!B420)/Prices!B420</f>
        <v>2.3777443132279221E-4</v>
      </c>
      <c r="I421" s="13"/>
      <c r="J421" s="1">
        <f t="shared" ca="1" si="37"/>
        <v>-2.4279095373474131E-2</v>
      </c>
      <c r="K421" s="9"/>
      <c r="L421" s="9">
        <f ca="1">L420-O421*Prices!B421</f>
        <v>0.6750257078256241</v>
      </c>
      <c r="M421" s="1">
        <f t="shared" ca="1" si="38"/>
        <v>0.2709864909765643</v>
      </c>
      <c r="N421" s="9">
        <f ca="1">IF(Prices!D420&gt;OFFSET(Prices!D420,-$N$3,0),1,IF(Prices!D420&lt;OFFSET(Prices!D420,-$N$3,0),-1,0))</f>
        <v>-1</v>
      </c>
      <c r="O421" s="1">
        <f ca="1">IF(N421=1,O$3*L420/Prices!B420,O$3*M420*N421)</f>
        <v>-3.0109610108507146E-2</v>
      </c>
      <c r="P421" s="14"/>
      <c r="Q421" s="9">
        <f ca="1">Q420-T421*Prices!B421</f>
        <v>0.36045991246394615</v>
      </c>
      <c r="R421" s="1">
        <f t="shared" ca="1" si="39"/>
        <v>0.49635365935696835</v>
      </c>
      <c r="S421" s="9">
        <f ca="1">IF(Prices!C420&lt;OFFSET(Prices!C420,-S$3,0),1,IF(Prices!C420&gt;OFFSET(Prices!C420,-S$3,0),-1,0))</f>
        <v>1</v>
      </c>
      <c r="T421" s="1">
        <f ca="1">IF(S421=1,T$3*Q420/Prices!B420,T$3*R420*S421)</f>
        <v>5.8305147350330164E-3</v>
      </c>
      <c r="W421" s="1"/>
      <c r="X421" s="1"/>
      <c r="Y421" s="1"/>
      <c r="Z421" s="1"/>
      <c r="AA421" s="1"/>
      <c r="AB421" s="1"/>
      <c r="AC421" s="1"/>
      <c r="AD421" s="1"/>
      <c r="AE421" s="16"/>
    </row>
    <row r="422" spans="1:31" x14ac:dyDescent="0.2">
      <c r="A422" s="4">
        <v>34096</v>
      </c>
      <c r="B422" s="9">
        <f ca="1">Prices!B421*(1+J422/(50*(ABS(O422)+ABS(T422)+0.0001)))</f>
        <v>1.2455986998058459</v>
      </c>
      <c r="C422" s="13">
        <f t="shared" ca="1" si="34"/>
        <v>-1</v>
      </c>
      <c r="D422" s="9">
        <f ca="1">D421+C422*(Prices!B422-Prices!B421)/Prices!B421</f>
        <v>-0.45881882306535554</v>
      </c>
      <c r="E422" s="9">
        <f t="shared" ca="1" si="35"/>
        <v>0.49494277432410183</v>
      </c>
      <c r="F422" s="9">
        <f t="shared" ca="1" si="36"/>
        <v>3.6123951258746317E-2</v>
      </c>
      <c r="G422" s="13">
        <f ca="1">IF((Prices!B422-Prices!B421)*B422&gt;0,1,0)</f>
        <v>1</v>
      </c>
      <c r="H422" s="9">
        <f>ABS(Prices!B422-Prices!B421)/Prices!B421</f>
        <v>1.5055467511885996E-3</v>
      </c>
      <c r="I422" s="13"/>
      <c r="J422" s="1">
        <f t="shared" ca="1" si="37"/>
        <v>-2.1386130675089932E-2</v>
      </c>
      <c r="K422" s="9"/>
      <c r="L422" s="9">
        <f ca="1">L421-O422*Prices!B422</f>
        <v>0.70927569042015204</v>
      </c>
      <c r="M422" s="1">
        <f t="shared" ca="1" si="38"/>
        <v>0.24388784187890786</v>
      </c>
      <c r="N422" s="9">
        <f ca="1">IF(Prices!D421&gt;OFFSET(Prices!D421,-$N$3,0),1,IF(Prices!D421&lt;OFFSET(Prices!D421,-$N$3,0),-1,0))</f>
        <v>-1</v>
      </c>
      <c r="O422" s="1">
        <f ca="1">IF(N422=1,O$3*L421/Prices!B421,O$3*M421*N422)</f>
        <v>-2.7098649097656431E-2</v>
      </c>
      <c r="P422" s="14"/>
      <c r="Q422" s="9">
        <f ca="1">Q421-T422*Prices!B422</f>
        <v>0.35323986042966438</v>
      </c>
      <c r="R422" s="1">
        <f t="shared" ca="1" si="39"/>
        <v>0.50206617777953488</v>
      </c>
      <c r="S422" s="9">
        <f ca="1">IF(Prices!C421&lt;OFFSET(Prices!C421,-S$3,0),1,IF(Prices!C421&gt;OFFSET(Prices!C421,-S$3,0),-1,0))</f>
        <v>1</v>
      </c>
      <c r="T422" s="1">
        <f ca="1">IF(S422=1,T$3*Q421/Prices!B421,T$3*R421*S422)</f>
        <v>5.7125184225664998E-3</v>
      </c>
      <c r="W422" s="1"/>
      <c r="X422" s="1"/>
      <c r="Y422" s="1"/>
      <c r="Z422" s="1"/>
      <c r="AA422" s="1"/>
      <c r="AB422" s="1"/>
      <c r="AC422" s="1"/>
      <c r="AD422" s="1"/>
      <c r="AE422" s="16"/>
    </row>
    <row r="423" spans="1:31" x14ac:dyDescent="0.2">
      <c r="A423" s="4">
        <v>34099</v>
      </c>
      <c r="B423" s="9">
        <f ca="1">Prices!B422*(1+J423/(50*(ABS(O423)+ABS(T423)+0.0001)))</f>
        <v>1.2481011968645159</v>
      </c>
      <c r="C423" s="13">
        <f t="shared" ca="1" si="34"/>
        <v>-1</v>
      </c>
      <c r="D423" s="9">
        <f ca="1">D422+C423*(Prices!B423-Prices!B422)/Prices!B422</f>
        <v>-0.44386510837273752</v>
      </c>
      <c r="E423" s="9">
        <f t="shared" ca="1" si="35"/>
        <v>0.47998905963148386</v>
      </c>
      <c r="F423" s="9">
        <f t="shared" ca="1" si="36"/>
        <v>3.6123951258746317E-2</v>
      </c>
      <c r="G423" s="13">
        <f ca="1">IF((Prices!B423-Prices!B422)*B423&gt;0,1,0)</f>
        <v>0</v>
      </c>
      <c r="H423" s="9">
        <f>ABS(Prices!B423-Prices!B422)/Prices!B422</f>
        <v>1.495371469261802E-2</v>
      </c>
      <c r="I423" s="13"/>
      <c r="J423" s="1">
        <f t="shared" ca="1" si="37"/>
        <v>-1.879910366839297E-2</v>
      </c>
      <c r="K423" s="9"/>
      <c r="L423" s="9">
        <f ca="1">L422-O423*Prices!B423</f>
        <v>0.73963972673407608</v>
      </c>
      <c r="M423" s="1">
        <f t="shared" ca="1" si="38"/>
        <v>0.21949905769101707</v>
      </c>
      <c r="N423" s="9">
        <f ca="1">IF(Prices!D422&gt;OFFSET(Prices!D422,-$N$3,0),1,IF(Prices!D422&lt;OFFSET(Prices!D422,-$N$3,0),-1,0))</f>
        <v>-1</v>
      </c>
      <c r="O423" s="1">
        <f ca="1">IF(N423=1,O$3*L422/Prices!B422,O$3*M422*N423)</f>
        <v>-2.4388784187890786E-2</v>
      </c>
      <c r="P423" s="14"/>
      <c r="Q423" s="9">
        <f ca="1">Q422-T423*Prices!B423</f>
        <v>0.34628070818288958</v>
      </c>
      <c r="R423" s="1">
        <f t="shared" ca="1" si="39"/>
        <v>0.5076558582990327</v>
      </c>
      <c r="S423" s="9">
        <f ca="1">IF(Prices!C422&lt;OFFSET(Prices!C422,-S$3,0),1,IF(Prices!C422&gt;OFFSET(Prices!C422,-S$3,0),-1,0))</f>
        <v>1</v>
      </c>
      <c r="T423" s="1">
        <f ca="1">IF(S423=1,T$3*Q422/Prices!B422,T$3*R422*S423)</f>
        <v>5.5896805194978142E-3</v>
      </c>
      <c r="W423" s="1"/>
      <c r="X423" s="1"/>
      <c r="Y423" s="1"/>
      <c r="Z423" s="1"/>
      <c r="AA423" s="1"/>
      <c r="AB423" s="1"/>
      <c r="AC423" s="1"/>
      <c r="AD423" s="1"/>
      <c r="AE423" s="16"/>
    </row>
    <row r="424" spans="1:31" x14ac:dyDescent="0.2">
      <c r="A424" s="4">
        <v>34100</v>
      </c>
      <c r="B424" s="9">
        <f ca="1">Prices!B423*(1+J424/(50*(ABS(O424)+ABS(T424)+0.0001)))</f>
        <v>1.2203428529743385</v>
      </c>
      <c r="C424" s="13">
        <f t="shared" ref="C424:C487" ca="1" si="40">IF(J424&gt;0,1,IF(J424&lt;0,-1,0))</f>
        <v>-1</v>
      </c>
      <c r="D424" s="9">
        <f ca="1">D423+C424*(Prices!B424-Prices!B423)/Prices!B423</f>
        <v>-0.44017032925627153</v>
      </c>
      <c r="E424" s="9">
        <f t="shared" ref="E424:E487" ca="1" si="41">F424-D424</f>
        <v>0.47629428051501788</v>
      </c>
      <c r="F424" s="9">
        <f t="shared" ref="F424:F487" ca="1" si="42">MAX(F423,D424)</f>
        <v>3.6123951258746317E-2</v>
      </c>
      <c r="G424" s="13">
        <f ca="1">IF((Prices!B424-Prices!B423)*B424&gt;0,1,0)</f>
        <v>0</v>
      </c>
      <c r="H424" s="9">
        <f>ABS(Prices!B424-Prices!B423)/Prices!B423</f>
        <v>3.6947791164659914E-3</v>
      </c>
      <c r="I424" s="13"/>
      <c r="J424" s="1">
        <f t="shared" ref="J424:J487" ca="1" si="43">O424+T424</f>
        <v>-1.0153117165980654E-2</v>
      </c>
      <c r="K424" s="9"/>
      <c r="L424" s="9">
        <f ca="1">L423-O424*Prices!B424</f>
        <v>0.73963972673407608</v>
      </c>
      <c r="M424" s="1">
        <f t="shared" ca="1" si="38"/>
        <v>0.21949905769101707</v>
      </c>
      <c r="N424" s="9">
        <f ca="1">IF(Prices!D423&gt;OFFSET(Prices!D423,-$N$3,0),1,IF(Prices!D423&lt;OFFSET(Prices!D423,-$N$3,0),-1,0))</f>
        <v>0</v>
      </c>
      <c r="O424" s="1">
        <f ca="1">IF(N424=1,O$3*L423/Prices!B423,O$3*M423*N424)</f>
        <v>0</v>
      </c>
      <c r="P424" s="14"/>
      <c r="Q424" s="9">
        <f ca="1">Q423-T424*Prices!B424</f>
        <v>0.35887463471557202</v>
      </c>
      <c r="R424" s="1">
        <f t="shared" ca="1" si="39"/>
        <v>0.49750274113305204</v>
      </c>
      <c r="S424" s="9">
        <f ca="1">IF(Prices!C423&lt;OFFSET(Prices!C423,-S$3,0),1,IF(Prices!C423&gt;OFFSET(Prices!C423,-S$3,0),-1,0))</f>
        <v>-1</v>
      </c>
      <c r="T424" s="1">
        <f ca="1">IF(S424=1,T$3*Q423/Prices!B423,T$3*R423*S424)</f>
        <v>-1.0153117165980654E-2</v>
      </c>
      <c r="W424" s="1"/>
      <c r="X424" s="1"/>
      <c r="Y424" s="1"/>
      <c r="Z424" s="1"/>
      <c r="AA424" s="1"/>
      <c r="AB424" s="1"/>
      <c r="AC424" s="1"/>
      <c r="AD424" s="1"/>
      <c r="AE424" s="16"/>
    </row>
    <row r="425" spans="1:31" x14ac:dyDescent="0.2">
      <c r="A425" s="4">
        <v>34101</v>
      </c>
      <c r="B425" s="9">
        <f ca="1">Prices!B424*(1+J425/(50*(ABS(O425)+ABS(T425)+0.0001)))</f>
        <v>1.2156695250954725</v>
      </c>
      <c r="C425" s="13">
        <f t="shared" ca="1" si="40"/>
        <v>-1</v>
      </c>
      <c r="D425" s="9">
        <f ca="1">D424+C425*(Prices!B425-Prices!B424)/Prices!B424</f>
        <v>-0.4399284717909378</v>
      </c>
      <c r="E425" s="9">
        <f t="shared" ca="1" si="41"/>
        <v>0.47605242304968409</v>
      </c>
      <c r="F425" s="9">
        <f t="shared" ca="1" si="42"/>
        <v>3.6123951258746317E-2</v>
      </c>
      <c r="G425" s="13">
        <f ca="1">IF((Prices!B425-Prices!B424)*B425&gt;0,1,0)</f>
        <v>0</v>
      </c>
      <c r="H425" s="9">
        <f>ABS(Prices!B425-Prices!B424)/Prices!B424</f>
        <v>2.4185746533373668E-4</v>
      </c>
      <c r="I425" s="13"/>
      <c r="J425" s="1">
        <f t="shared" ca="1" si="43"/>
        <v>-3.1899960591762748E-2</v>
      </c>
      <c r="K425" s="9"/>
      <c r="L425" s="9">
        <f ca="1">L424-O425*Prices!B425</f>
        <v>0.76685980487833905</v>
      </c>
      <c r="M425" s="1">
        <f t="shared" ca="1" si="38"/>
        <v>0.19754915192191536</v>
      </c>
      <c r="N425" s="9">
        <f ca="1">IF(Prices!D424&gt;OFFSET(Prices!D424,-$N$3,0),1,IF(Prices!D424&lt;OFFSET(Prices!D424,-$N$3,0),-1,0))</f>
        <v>-1</v>
      </c>
      <c r="O425" s="1">
        <f ca="1">IF(N425=1,O$3*L424/Prices!B424,O$3*M424*N425)</f>
        <v>-2.1949905769101708E-2</v>
      </c>
      <c r="P425" s="14"/>
      <c r="Q425" s="9">
        <f ca="1">Q424-T425*Prices!B425</f>
        <v>0.37121369770115398</v>
      </c>
      <c r="R425" s="1">
        <f t="shared" ca="1" si="39"/>
        <v>0.487552686310391</v>
      </c>
      <c r="S425" s="9">
        <f ca="1">IF(Prices!C424&lt;OFFSET(Prices!C424,-S$3,0),1,IF(Prices!C424&gt;OFFSET(Prices!C424,-S$3,0),-1,0))</f>
        <v>-1</v>
      </c>
      <c r="T425" s="1">
        <f ca="1">IF(S425=1,T$3*Q424/Prices!B424,T$3*R424*S425)</f>
        <v>-9.9500548226610416E-3</v>
      </c>
      <c r="W425" s="1"/>
      <c r="X425" s="1"/>
      <c r="Y425" s="1"/>
      <c r="Z425" s="1"/>
      <c r="AA425" s="1"/>
      <c r="AB425" s="1"/>
      <c r="AC425" s="1"/>
      <c r="AD425" s="1"/>
      <c r="AE425" s="16"/>
    </row>
    <row r="426" spans="1:31" x14ac:dyDescent="0.2">
      <c r="A426" s="4">
        <v>34102</v>
      </c>
      <c r="B426" s="9">
        <f ca="1">Prices!B425*(1+J426/(50*(ABS(O426)+ABS(T426)+0.0001)))</f>
        <v>1.2581203821207538</v>
      </c>
      <c r="C426" s="13">
        <f t="shared" ca="1" si="40"/>
        <v>1</v>
      </c>
      <c r="D426" s="9">
        <f ca="1">D425+C426*(Prices!B426-Prices!B425)/Prices!B425</f>
        <v>-0.44686339639379236</v>
      </c>
      <c r="E426" s="9">
        <f t="shared" ca="1" si="41"/>
        <v>0.4829873476525387</v>
      </c>
      <c r="F426" s="9">
        <f t="shared" ca="1" si="42"/>
        <v>3.6123951258746317E-2</v>
      </c>
      <c r="G426" s="13">
        <f ca="1">IF((Prices!B426-Prices!B425)*B426&gt;0,1,0)</f>
        <v>0</v>
      </c>
      <c r="H426" s="9">
        <f>ABS(Prices!B426-Prices!B425)/Prices!B425</f>
        <v>6.9349246028545608E-3</v>
      </c>
      <c r="I426" s="13"/>
      <c r="J426" s="1">
        <f t="shared" ca="1" si="43"/>
        <v>5.2087491945781467E-2</v>
      </c>
      <c r="K426" s="9"/>
      <c r="L426" s="9">
        <f ca="1">L425-O426*Prices!B426</f>
        <v>0.69070563588328426</v>
      </c>
      <c r="M426" s="1">
        <f t="shared" ca="1" si="38"/>
        <v>0.25938769759390462</v>
      </c>
      <c r="N426" s="9">
        <f ca="1">IF(Prices!D425&gt;OFFSET(Prices!D425,-$N$3,0),1,IF(Prices!D425&lt;OFFSET(Prices!D425,-$N$3,0),-1,0))</f>
        <v>1</v>
      </c>
      <c r="O426" s="1">
        <f ca="1">IF(N426=1,O$3*L425/Prices!B425,O$3*M425*N426)</f>
        <v>6.1838545671989285E-2</v>
      </c>
      <c r="P426" s="14"/>
      <c r="Q426" s="9">
        <f ca="1">Q425-T426*Prices!B426</f>
        <v>0.38322212036497894</v>
      </c>
      <c r="R426" s="1">
        <f t="shared" ca="1" si="39"/>
        <v>0.47780163258418318</v>
      </c>
      <c r="S426" s="9">
        <f ca="1">IF(Prices!C425&lt;OFFSET(Prices!C425,-S$3,0),1,IF(Prices!C425&gt;OFFSET(Prices!C425,-S$3,0),-1,0))</f>
        <v>-1</v>
      </c>
      <c r="T426" s="1">
        <f ca="1">IF(S426=1,T$3*Q425/Prices!B425,T$3*R425*S426)</f>
        <v>-9.7510537262078204E-3</v>
      </c>
      <c r="W426" s="1"/>
      <c r="X426" s="1"/>
      <c r="Y426" s="1"/>
      <c r="Z426" s="1"/>
      <c r="AA426" s="1"/>
      <c r="AB426" s="1"/>
      <c r="AC426" s="1"/>
      <c r="AD426" s="1"/>
      <c r="AE426" s="16"/>
    </row>
    <row r="427" spans="1:31" x14ac:dyDescent="0.2">
      <c r="A427" s="4">
        <v>34103</v>
      </c>
      <c r="B427" s="9">
        <f ca="1">Prices!B426*(1+J427/(50*(ABS(O427)+ABS(T427)+0.0001)))</f>
        <v>1.2489323317274201</v>
      </c>
      <c r="C427" s="13">
        <f t="shared" ca="1" si="40"/>
        <v>1</v>
      </c>
      <c r="D427" s="9">
        <f ca="1">D426+C427*(Prices!B427-Prices!B426)/Prices!B426</f>
        <v>-0.44191008742099497</v>
      </c>
      <c r="E427" s="9">
        <f t="shared" ca="1" si="41"/>
        <v>0.47803403867974126</v>
      </c>
      <c r="F427" s="9">
        <f t="shared" ca="1" si="42"/>
        <v>3.6123951258746317E-2</v>
      </c>
      <c r="G427" s="13">
        <f ca="1">IF((Prices!B427-Prices!B426)*B427&gt;0,1,0)</f>
        <v>1</v>
      </c>
      <c r="H427" s="9">
        <f>ABS(Prices!B427-Prices!B426)/Prices!B426</f>
        <v>4.9533089727973965E-3</v>
      </c>
      <c r="I427" s="13"/>
      <c r="J427" s="1">
        <f t="shared" ca="1" si="43"/>
        <v>4.6530498885732845E-2</v>
      </c>
      <c r="K427" s="9"/>
      <c r="L427" s="9">
        <f ca="1">L426-O427*Prices!B427</f>
        <v>0.62129294445257754</v>
      </c>
      <c r="M427" s="1">
        <f t="shared" ca="1" si="38"/>
        <v>0.31547422913132112</v>
      </c>
      <c r="N427" s="9">
        <f ca="1">IF(Prices!D426&gt;OFFSET(Prices!D426,-$N$3,0),1,IF(Prices!D426&lt;OFFSET(Prices!D426,-$N$3,0),-1,0))</f>
        <v>1</v>
      </c>
      <c r="O427" s="1">
        <f ca="1">IF(N427=1,O$3*L426/Prices!B426,O$3*M426*N427)</f>
        <v>5.6086531537416509E-2</v>
      </c>
      <c r="P427" s="14"/>
      <c r="Q427" s="9">
        <f ca="1">Q426-T427*Prices!B427</f>
        <v>0.39504866637470265</v>
      </c>
      <c r="R427" s="1">
        <f t="shared" ca="1" si="39"/>
        <v>0.46824559993249953</v>
      </c>
      <c r="S427" s="9">
        <f ca="1">IF(Prices!C426&lt;OFFSET(Prices!C426,-S$3,0),1,IF(Prices!C426&gt;OFFSET(Prices!C426,-S$3,0),-1,0))</f>
        <v>-1</v>
      </c>
      <c r="T427" s="1">
        <f ca="1">IF(S427=1,T$3*Q426/Prices!B426,T$3*R426*S427)</f>
        <v>-9.5560326516836644E-3</v>
      </c>
      <c r="W427" s="9"/>
      <c r="X427" s="1"/>
      <c r="Y427" s="9"/>
      <c r="Z427" s="1"/>
      <c r="AA427" s="17"/>
      <c r="AB427" s="16"/>
      <c r="AC427" s="16"/>
      <c r="AD427" s="1"/>
      <c r="AE427" s="16"/>
    </row>
    <row r="428" spans="1:31" x14ac:dyDescent="0.2">
      <c r="A428" s="4">
        <v>34106</v>
      </c>
      <c r="B428" s="9">
        <f ca="1">Prices!B427*(1+J428/(50*(ABS(O428)+ABS(T428)+0.0001)))</f>
        <v>1.2623083345453248</v>
      </c>
      <c r="C428" s="13">
        <f t="shared" ca="1" si="40"/>
        <v>1</v>
      </c>
      <c r="D428" s="9">
        <f ca="1">D427+C428*(Prices!B428-Prices!B427)/Prices!B427</f>
        <v>-0.44360692000018048</v>
      </c>
      <c r="E428" s="9">
        <f t="shared" ca="1" si="41"/>
        <v>0.47973087125892677</v>
      </c>
      <c r="F428" s="9">
        <f t="shared" ca="1" si="42"/>
        <v>3.6123951258746317E-2</v>
      </c>
      <c r="G428" s="13">
        <f ca="1">IF((Prices!B428-Prices!B427)*B428&gt;0,1,0)</f>
        <v>0</v>
      </c>
      <c r="H428" s="9">
        <f>ABS(Prices!B428-Prices!B427)/Prices!B427</f>
        <v>1.6968325791855128E-3</v>
      </c>
      <c r="I428" s="13"/>
      <c r="J428" s="1">
        <f t="shared" ca="1" si="43"/>
        <v>5.6585542802805269E-2</v>
      </c>
      <c r="K428" s="9"/>
      <c r="L428" s="9">
        <f ca="1">L427-O428*Prices!B428</f>
        <v>0.55926907301825635</v>
      </c>
      <c r="M428" s="1">
        <f t="shared" ca="1" si="38"/>
        <v>0.36567566291061793</v>
      </c>
      <c r="N428" s="9">
        <f ca="1">IF(Prices!D427&gt;OFFSET(Prices!D427,-$N$3,0),1,IF(Prices!D427&lt;OFFSET(Prices!D427,-$N$3,0),-1,0))</f>
        <v>1</v>
      </c>
      <c r="O428" s="1">
        <f ca="1">IF(N428=1,O$3*L427/Prices!B427,O$3*M427*N428)</f>
        <v>5.0201433779296825E-2</v>
      </c>
      <c r="P428" s="14"/>
      <c r="Q428" s="9">
        <f ca="1">Q427-T428*Prices!B428</f>
        <v>0.38716109967615797</v>
      </c>
      <c r="R428" s="1">
        <f t="shared" ca="1" si="39"/>
        <v>0.47462970895600798</v>
      </c>
      <c r="S428" s="9">
        <f ca="1">IF(Prices!C427&lt;OFFSET(Prices!C427,-S$3,0),1,IF(Prices!C427&gt;OFFSET(Prices!C427,-S$3,0),-1,0))</f>
        <v>1</v>
      </c>
      <c r="T428" s="1">
        <f ca="1">IF(S428=1,T$3*Q427/Prices!B427,T$3*R427*S428)</f>
        <v>6.3841090235084458E-3</v>
      </c>
      <c r="W428" s="9"/>
      <c r="X428" s="1"/>
      <c r="Y428" s="9"/>
      <c r="Z428" s="1"/>
      <c r="AA428" s="1"/>
      <c r="AB428" s="1"/>
      <c r="AC428" s="1"/>
      <c r="AD428" s="16"/>
      <c r="AE428" s="16"/>
    </row>
    <row r="429" spans="1:31" x14ac:dyDescent="0.2">
      <c r="A429" s="4">
        <v>34107</v>
      </c>
      <c r="B429" s="9">
        <f ca="1">Prices!B428*(1+J429/(50*(ABS(O429)+ABS(T429)+0.0001)))</f>
        <v>1.2601621438403661</v>
      </c>
      <c r="C429" s="13">
        <f t="shared" ca="1" si="40"/>
        <v>1</v>
      </c>
      <c r="D429" s="9">
        <f ca="1">D428+C429*(Prices!B429-Prices!B428)/Prices!B428</f>
        <v>-0.45008203129115582</v>
      </c>
      <c r="E429" s="9">
        <f t="shared" ca="1" si="41"/>
        <v>0.4862059825499021</v>
      </c>
      <c r="F429" s="9">
        <f t="shared" ca="1" si="42"/>
        <v>3.6123951258746317E-2</v>
      </c>
      <c r="G429" s="13">
        <f ca="1">IF((Prices!B429-Prices!B428)*B429&gt;0,1,0)</f>
        <v>0</v>
      </c>
      <c r="H429" s="9">
        <f>ABS(Prices!B429-Prices!B428)/Prices!B428</f>
        <v>6.4751112909753189E-3</v>
      </c>
      <c r="I429" s="13"/>
      <c r="J429" s="1">
        <f t="shared" ca="1" si="43"/>
        <v>5.1533896637271384E-2</v>
      </c>
      <c r="K429" s="9"/>
      <c r="L429" s="9">
        <f ca="1">L428-O429*Prices!B429</f>
        <v>0.50370429866537014</v>
      </c>
      <c r="M429" s="1">
        <f t="shared" ca="1" si="38"/>
        <v>0.41094228152804052</v>
      </c>
      <c r="N429" s="9">
        <f ca="1">IF(Prices!D428&gt;OFFSET(Prices!D428,-$N$3,0),1,IF(Prices!D428&lt;OFFSET(Prices!D428,-$N$3,0),-1,0))</f>
        <v>1</v>
      </c>
      <c r="O429" s="1">
        <f ca="1">IF(N429=1,O$3*L428/Prices!B428,O$3*M428*N429)</f>
        <v>4.5266618617422615E-2</v>
      </c>
      <c r="P429" s="14"/>
      <c r="Q429" s="9">
        <f ca="1">Q428-T429*Prices!B429</f>
        <v>0.37946801590679358</v>
      </c>
      <c r="R429" s="1">
        <f t="shared" ca="1" si="39"/>
        <v>0.48089698697585676</v>
      </c>
      <c r="S429" s="9">
        <f ca="1">IF(Prices!C428&lt;OFFSET(Prices!C428,-S$3,0),1,IF(Prices!C428&gt;OFFSET(Prices!C428,-S$3,0),-1,0))</f>
        <v>1</v>
      </c>
      <c r="T429" s="1">
        <f ca="1">IF(S429=1,T$3*Q428/Prices!B428,T$3*R428*S429)</f>
        <v>6.2672780198487731E-3</v>
      </c>
    </row>
    <row r="430" spans="1:31" x14ac:dyDescent="0.2">
      <c r="A430" s="4">
        <v>34108</v>
      </c>
      <c r="B430" s="9">
        <f ca="1">Prices!B429*(1+J430/(50*(ABS(O430)+ABS(T430)+0.0001)))</f>
        <v>1.251998116723366</v>
      </c>
      <c r="C430" s="13">
        <f t="shared" ca="1" si="40"/>
        <v>1</v>
      </c>
      <c r="D430" s="9">
        <f ca="1">D429+C430*(Prices!B430-Prices!B429)/Prices!B429</f>
        <v>-0.44934883373514772</v>
      </c>
      <c r="E430" s="9">
        <f t="shared" ca="1" si="41"/>
        <v>0.48547278499389401</v>
      </c>
      <c r="F430" s="9">
        <f t="shared" ca="1" si="42"/>
        <v>3.6123951258746317E-2</v>
      </c>
      <c r="G430" s="13">
        <f ca="1">IF((Prices!B430-Prices!B429)*B430&gt;0,1,0)</f>
        <v>1</v>
      </c>
      <c r="H430" s="9">
        <f>ABS(Prices!B430-Prices!B429)/Prices!B429</f>
        <v>7.3319755600806586E-4</v>
      </c>
      <c r="I430" s="13"/>
      <c r="J430" s="1">
        <f t="shared" ca="1" si="43"/>
        <v>4.7217751677941254E-2</v>
      </c>
      <c r="K430" s="9"/>
      <c r="L430" s="9">
        <f ca="1">L429-O430*Prices!B430</f>
        <v>0.45329693732275989</v>
      </c>
      <c r="M430" s="1">
        <f t="shared" ca="1" si="38"/>
        <v>0.45197725494273461</v>
      </c>
      <c r="N430" s="9">
        <f ca="1">IF(Prices!D429&gt;OFFSET(Prices!D429,-$N$3,0),1,IF(Prices!D429&lt;OFFSET(Prices!D429,-$N$3,0),-1,0))</f>
        <v>1</v>
      </c>
      <c r="O430" s="1">
        <f ca="1">IF(N430=1,O$3*L429/Prices!B429,O$3*M429*N430)</f>
        <v>4.1034973414694108E-2</v>
      </c>
      <c r="P430" s="14"/>
      <c r="Q430" s="9">
        <f ca="1">Q429-T430*Prices!B430</f>
        <v>0.37187309108822081</v>
      </c>
      <c r="R430" s="1">
        <f t="shared" ca="1" si="39"/>
        <v>0.4870797652391039</v>
      </c>
      <c r="S430" s="9">
        <f ca="1">IF(Prices!C429&lt;OFFSET(Prices!C429,-S$3,0),1,IF(Prices!C429&gt;OFFSET(Prices!C429,-S$3,0),-1,0))</f>
        <v>1</v>
      </c>
      <c r="T430" s="1">
        <f ca="1">IF(S430=1,T$3*Q429/Prices!B429,T$3*R429*S430)</f>
        <v>6.1827782632471462E-3</v>
      </c>
    </row>
    <row r="431" spans="1:31" x14ac:dyDescent="0.2">
      <c r="A431" s="4">
        <v>34109</v>
      </c>
      <c r="B431" s="9">
        <f ca="1">Prices!B430*(1+J431/(50*(ABS(O431)+ABS(T431)+0.0001)))</f>
        <v>1.2529109394332825</v>
      </c>
      <c r="C431" s="13">
        <f t="shared" ca="1" si="40"/>
        <v>1</v>
      </c>
      <c r="D431" s="9">
        <f ca="1">D430+C431*(Prices!B431-Prices!B430)/Prices!B430</f>
        <v>-0.4445458379682965</v>
      </c>
      <c r="E431" s="9">
        <f t="shared" ca="1" si="41"/>
        <v>0.48066978922704284</v>
      </c>
      <c r="F431" s="9">
        <f t="shared" ca="1" si="42"/>
        <v>3.6123951258746317E-2</v>
      </c>
      <c r="G431" s="13">
        <f ca="1">IF((Prices!B431-Prices!B430)*B431&gt;0,1,0)</f>
        <v>1</v>
      </c>
      <c r="H431" s="9">
        <f>ABS(Prices!B431-Prices!B430)/Prices!B430</f>
        <v>4.8029957668512023E-3</v>
      </c>
      <c r="I431" s="13"/>
      <c r="J431" s="1">
        <f t="shared" ca="1" si="43"/>
        <v>4.2956004195734629E-2</v>
      </c>
      <c r="K431" s="9"/>
      <c r="L431" s="9">
        <f ca="1">L430-O431*Prices!B431</f>
        <v>0.4077495252633751</v>
      </c>
      <c r="M431" s="1">
        <f t="shared" ca="1" si="38"/>
        <v>0.48887866631710453</v>
      </c>
      <c r="N431" s="9">
        <f ca="1">IF(Prices!D430&gt;OFFSET(Prices!D430,-$N$3,0),1,IF(Prices!D430&lt;OFFSET(Prices!D430,-$N$3,0),-1,0))</f>
        <v>1</v>
      </c>
      <c r="O431" s="1">
        <f ca="1">IF(N431=1,O$3*L430/Prices!B430,O$3*M430*N431)</f>
        <v>3.6901411374369912E-2</v>
      </c>
      <c r="P431" s="14"/>
      <c r="Q431" s="9">
        <f ca="1">Q430-T431*Prices!B431</f>
        <v>0.36439990716881032</v>
      </c>
      <c r="R431" s="1">
        <f t="shared" ca="1" si="39"/>
        <v>0.49313435806046862</v>
      </c>
      <c r="S431" s="9">
        <f ca="1">IF(Prices!C430&lt;OFFSET(Prices!C430,-S$3,0),1,IF(Prices!C430&gt;OFFSET(Prices!C430,-S$3,0),-1,0))</f>
        <v>1</v>
      </c>
      <c r="T431" s="1">
        <f ca="1">IF(S431=1,T$3*Q430/Prices!B430,T$3*R430*S431)</f>
        <v>6.054592821364716E-3</v>
      </c>
      <c r="Y431" s="9"/>
      <c r="Z431" s="9"/>
    </row>
    <row r="432" spans="1:31" x14ac:dyDescent="0.2">
      <c r="A432" s="4">
        <v>34110</v>
      </c>
      <c r="B432" s="9">
        <f ca="1">Prices!B431*(1+J432/(50*(ABS(O432)+ABS(T432)+0.0001)))</f>
        <v>1.2096559469289734</v>
      </c>
      <c r="C432" s="13">
        <f t="shared" ca="1" si="40"/>
        <v>-1</v>
      </c>
      <c r="D432" s="9">
        <f ca="1">D431+C432*(Prices!B432-Prices!B431)/Prices!B431</f>
        <v>-0.43676815021005294</v>
      </c>
      <c r="E432" s="9">
        <f t="shared" ca="1" si="41"/>
        <v>0.47289210146879923</v>
      </c>
      <c r="F432" s="9">
        <f t="shared" ca="1" si="42"/>
        <v>3.6123951258746317E-2</v>
      </c>
      <c r="G432" s="13">
        <f ca="1">IF((Prices!B432-Prices!B431)*B432&gt;0,1,0)</f>
        <v>0</v>
      </c>
      <c r="H432" s="9">
        <f>ABS(Prices!B432-Prices!B431)/Prices!B431</f>
        <v>7.7776877582435818E-3</v>
      </c>
      <c r="I432" s="13"/>
      <c r="J432" s="1">
        <f t="shared" ca="1" si="43"/>
        <v>-5.8750553792919831E-2</v>
      </c>
      <c r="K432" s="9"/>
      <c r="L432" s="9">
        <f ca="1">L431-O432*Prices!B432</f>
        <v>0.4676224955272309</v>
      </c>
      <c r="M432" s="1">
        <f t="shared" ca="1" si="38"/>
        <v>0.43999079968539406</v>
      </c>
      <c r="N432" s="9">
        <f ca="1">IF(Prices!D431&gt;OFFSET(Prices!D431,-$N$3,0),1,IF(Prices!D431&lt;OFFSET(Prices!D431,-$N$3,0),-1,0))</f>
        <v>-1</v>
      </c>
      <c r="O432" s="1">
        <f ca="1">IF(N432=1,O$3*L431/Prices!B431,O$3*M431*N432)</f>
        <v>-4.8887866631710457E-2</v>
      </c>
      <c r="P432" s="14"/>
      <c r="Q432" s="9">
        <f ca="1">Q431-T432*Prices!B432</f>
        <v>0.37647874013514343</v>
      </c>
      <c r="R432" s="1">
        <f t="shared" ca="1" si="39"/>
        <v>0.48327167089925926</v>
      </c>
      <c r="S432" s="9">
        <f ca="1">IF(Prices!C431&lt;OFFSET(Prices!C431,-S$3,0),1,IF(Prices!C431&gt;OFFSET(Prices!C431,-S$3,0),-1,0))</f>
        <v>-1</v>
      </c>
      <c r="T432" s="1">
        <f ca="1">IF(S432=1,T$3*Q431/Prices!B431,T$3*R431*S432)</f>
        <v>-9.8626871612093724E-3</v>
      </c>
    </row>
    <row r="433" spans="1:20" x14ac:dyDescent="0.2">
      <c r="A433" s="4">
        <v>34113</v>
      </c>
      <c r="B433" s="9">
        <f ca="1">Prices!B432*(1+J433/(50*(ABS(O433)+ABS(T433)+0.0001)))</f>
        <v>1.2491388714677725</v>
      </c>
      <c r="C433" s="13">
        <f t="shared" ca="1" si="40"/>
        <v>1</v>
      </c>
      <c r="D433" s="9">
        <f ca="1">D432+C433*(Prices!B433-Prices!B432)/Prices!B432</f>
        <v>-0.44060582474259147</v>
      </c>
      <c r="E433" s="9">
        <f t="shared" ca="1" si="41"/>
        <v>0.47672977600133781</v>
      </c>
      <c r="F433" s="9">
        <f t="shared" ca="1" si="42"/>
        <v>3.6123951258746317E-2</v>
      </c>
      <c r="G433" s="13">
        <f ca="1">IF((Prices!B433-Prices!B432)*B433&gt;0,1,0)</f>
        <v>0</v>
      </c>
      <c r="H433" s="9">
        <f>ABS(Prices!B433-Prices!B432)/Prices!B432</f>
        <v>3.8376745325385212E-3</v>
      </c>
      <c r="I433" s="13"/>
      <c r="J433" s="1">
        <f t="shared" ca="1" si="43"/>
        <v>4.4330713117845977E-2</v>
      </c>
      <c r="K433" s="9"/>
      <c r="L433" s="9">
        <f ca="1">L432-O433*Prices!B433</f>
        <v>0.42103970426870052</v>
      </c>
      <c r="M433" s="1">
        <f t="shared" ca="1" si="38"/>
        <v>0.47817341547107473</v>
      </c>
      <c r="N433" s="9">
        <f ca="1">IF(Prices!D432&gt;OFFSET(Prices!D432,-$N$3,0),1,IF(Prices!D432&lt;OFFSET(Prices!D432,-$N$3,0),-1,0))</f>
        <v>1</v>
      </c>
      <c r="O433" s="1">
        <f ca="1">IF(N433=1,O$3*L432/Prices!B432,O$3*M432*N433)</f>
        <v>3.8182615785680656E-2</v>
      </c>
      <c r="P433" s="14"/>
      <c r="Q433" s="9">
        <f ca="1">Q432-T433*Prices!B433</f>
        <v>0.36897806138990175</v>
      </c>
      <c r="R433" s="1">
        <f t="shared" ca="1" si="39"/>
        <v>0.48941976823142458</v>
      </c>
      <c r="S433" s="9">
        <f ca="1">IF(Prices!C432&lt;OFFSET(Prices!C432,-S$3,0),1,IF(Prices!C432&gt;OFFSET(Prices!C432,-S$3,0),-1,0))</f>
        <v>1</v>
      </c>
      <c r="T433" s="1">
        <f ca="1">IF(S433=1,T$3*Q432/Prices!B432,T$3*R432*S433)</f>
        <v>6.1480973321653212E-3</v>
      </c>
    </row>
    <row r="434" spans="1:20" x14ac:dyDescent="0.2">
      <c r="A434" s="4">
        <v>34114</v>
      </c>
      <c r="B434" s="9">
        <f ca="1">Prices!B433*(1+J434/(50*(ABS(O434)+ABS(T434)+0.0001)))</f>
        <v>1.2443399905635379</v>
      </c>
      <c r="C434" s="13">
        <f t="shared" ca="1" si="40"/>
        <v>1</v>
      </c>
      <c r="D434" s="9">
        <f ca="1">D433+C434*(Prices!B434-Prices!B433)/Prices!B433</f>
        <v>-0.43626156244750941</v>
      </c>
      <c r="E434" s="9">
        <f t="shared" ca="1" si="41"/>
        <v>0.4723855137062557</v>
      </c>
      <c r="F434" s="9">
        <f t="shared" ca="1" si="42"/>
        <v>3.6123951258746317E-2</v>
      </c>
      <c r="G434" s="13">
        <f ca="1">IF((Prices!B434-Prices!B433)*B434&gt;0,1,0)</f>
        <v>1</v>
      </c>
      <c r="H434" s="9">
        <f>ABS(Prices!B434-Prices!B433)/Prices!B433</f>
        <v>4.344262295082035E-3</v>
      </c>
      <c r="I434" s="13"/>
      <c r="J434" s="1">
        <f t="shared" ca="1" si="43"/>
        <v>4.0560271848088601E-2</v>
      </c>
      <c r="K434" s="9"/>
      <c r="L434" s="9">
        <f ca="1">L433-O434*Prices!B434</f>
        <v>0.37875282315063175</v>
      </c>
      <c r="M434" s="1">
        <f t="shared" ca="1" si="38"/>
        <v>0.51268486664064039</v>
      </c>
      <c r="N434" s="9">
        <f ca="1">IF(Prices!D433&gt;OFFSET(Prices!D433,-$N$3,0),1,IF(Prices!D433&lt;OFFSET(Prices!D433,-$N$3,0),-1,0))</f>
        <v>1</v>
      </c>
      <c r="O434" s="1">
        <f ca="1">IF(N434=1,O$3*L433/Prices!B433,O$3*M433*N434)</f>
        <v>3.4511451169565624E-2</v>
      </c>
      <c r="P434" s="14"/>
      <c r="Q434" s="9">
        <f ca="1">Q433-T434*Prices!B434</f>
        <v>0.36156644141250754</v>
      </c>
      <c r="R434" s="1">
        <f t="shared" ca="1" si="39"/>
        <v>0.49546858890994755</v>
      </c>
      <c r="S434" s="9">
        <f ca="1">IF(Prices!C433&lt;OFFSET(Prices!C433,-S$3,0),1,IF(Prices!C433&gt;OFFSET(Prices!C433,-S$3,0),-1,0))</f>
        <v>1</v>
      </c>
      <c r="T434" s="1">
        <f ca="1">IF(S434=1,T$3*Q433/Prices!B433,T$3*R433*S434)</f>
        <v>6.0488206785229799E-3</v>
      </c>
    </row>
    <row r="435" spans="1:20" x14ac:dyDescent="0.2">
      <c r="A435" s="4">
        <v>34115</v>
      </c>
      <c r="B435" s="9">
        <f ca="1">Prices!B434*(1+J435/(50*(ABS(O435)+ABS(T435)+0.0001)))</f>
        <v>1.2497396109396708</v>
      </c>
      <c r="C435" s="13">
        <f t="shared" ca="1" si="40"/>
        <v>1</v>
      </c>
      <c r="D435" s="9">
        <f ca="1">D434+C435*(Prices!B435-Prices!B434)/Prices!B434</f>
        <v>-0.43960768176522752</v>
      </c>
      <c r="E435" s="9">
        <f t="shared" ca="1" si="41"/>
        <v>0.47573163302397381</v>
      </c>
      <c r="F435" s="9">
        <f t="shared" ca="1" si="42"/>
        <v>3.6123951258746317E-2</v>
      </c>
      <c r="G435" s="13">
        <f ca="1">IF((Prices!B435-Prices!B434)*B435&gt;0,1,0)</f>
        <v>0</v>
      </c>
      <c r="H435" s="9">
        <f>ABS(Prices!B435-Prices!B434)/Prices!B434</f>
        <v>3.3461193177181038E-3</v>
      </c>
      <c r="I435" s="13"/>
      <c r="J435" s="1">
        <f t="shared" ca="1" si="43"/>
        <v>3.6812708025229193E-2</v>
      </c>
      <c r="K435" s="9"/>
      <c r="L435" s="9">
        <f ca="1">L434-O435*Prices!B435</f>
        <v>0.34100427604938705</v>
      </c>
      <c r="M435" s="1">
        <f t="shared" ca="1" si="38"/>
        <v>0.54359589440124034</v>
      </c>
      <c r="N435" s="9">
        <f ca="1">IF(Prices!D434&gt;OFFSET(Prices!D434,-$N$3,0),1,IF(Prices!D434&lt;OFFSET(Prices!D434,-$N$3,0),-1,0))</f>
        <v>1</v>
      </c>
      <c r="O435" s="1">
        <f ca="1">IF(N435=1,O$3*L434/Prices!B434,O$3*M434*N435)</f>
        <v>3.09110277606E-2</v>
      </c>
      <c r="P435" s="14"/>
      <c r="Q435" s="9">
        <f ca="1">Q434-T435*Prices!B435</f>
        <v>0.35435930947334238</v>
      </c>
      <c r="R435" s="1">
        <f t="shared" ca="1" si="39"/>
        <v>0.50137026917457672</v>
      </c>
      <c r="S435" s="9">
        <f ca="1">IF(Prices!C434&lt;OFFSET(Prices!C434,-S$3,0),1,IF(Prices!C434&gt;OFFSET(Prices!C434,-S$3,0),-1,0))</f>
        <v>1</v>
      </c>
      <c r="T435" s="1">
        <f ca="1">IF(S435=1,T$3*Q434/Prices!B434,T$3*R434*S435)</f>
        <v>5.9016802646291939E-3</v>
      </c>
    </row>
    <row r="436" spans="1:20" x14ac:dyDescent="0.2">
      <c r="A436" s="4">
        <v>34116</v>
      </c>
      <c r="B436" s="9">
        <f ca="1">Prices!B435*(1+J436/(50*(ABS(O436)+ABS(T436)+0.0001)))</f>
        <v>1.2015206959120279</v>
      </c>
      <c r="C436" s="13">
        <f t="shared" ca="1" si="40"/>
        <v>-1</v>
      </c>
      <c r="D436" s="9">
        <f ca="1">D435+C436*(Prices!B436-Prices!B435)/Prices!B435</f>
        <v>-0.44771446198140835</v>
      </c>
      <c r="E436" s="9">
        <f t="shared" ca="1" si="41"/>
        <v>0.48383841324015464</v>
      </c>
      <c r="F436" s="9">
        <f t="shared" ca="1" si="42"/>
        <v>3.6123951258746317E-2</v>
      </c>
      <c r="G436" s="13">
        <f ca="1">IF((Prices!B436-Prices!B435)*B436&gt;0,1,0)</f>
        <v>1</v>
      </c>
      <c r="H436" s="9">
        <f>ABS(Prices!B436-Prices!B435)/Prices!B435</f>
        <v>8.1067802161808224E-3</v>
      </c>
      <c r="I436" s="13"/>
      <c r="J436" s="1">
        <f t="shared" ca="1" si="43"/>
        <v>-4.8556128754350329E-2</v>
      </c>
      <c r="K436" s="9"/>
      <c r="L436" s="9">
        <f ca="1">L435-O436*Prices!B436</f>
        <v>0.40792636660912374</v>
      </c>
      <c r="M436" s="1">
        <f t="shared" ca="1" si="38"/>
        <v>0.48923630496111631</v>
      </c>
      <c r="N436" s="9">
        <f ca="1">IF(Prices!D435&gt;OFFSET(Prices!D435,-$N$3,0),1,IF(Prices!D435&lt;OFFSET(Prices!D435,-$N$3,0),-1,0))</f>
        <v>-1</v>
      </c>
      <c r="O436" s="1">
        <f ca="1">IF(N436=1,O$3*L435/Prices!B435,O$3*M435*N436)</f>
        <v>-5.4359589440124034E-2</v>
      </c>
      <c r="P436" s="14"/>
      <c r="Q436" s="9">
        <f ca="1">Q435-T436*Prices!B436</f>
        <v>0.3472146690230864</v>
      </c>
      <c r="R436" s="1">
        <f t="shared" ca="1" si="39"/>
        <v>0.50717372986035048</v>
      </c>
      <c r="S436" s="9">
        <f ca="1">IF(Prices!C435&lt;OFFSET(Prices!C435,-S$3,0),1,IF(Prices!C435&gt;OFFSET(Prices!C435,-S$3,0),-1,0))</f>
        <v>1</v>
      </c>
      <c r="T436" s="1">
        <f ca="1">IF(S436=1,T$3*Q435/Prices!B435,T$3*R435*S436)</f>
        <v>5.8034606857737033E-3</v>
      </c>
    </row>
    <row r="437" spans="1:20" x14ac:dyDescent="0.2">
      <c r="A437" s="4">
        <v>34117</v>
      </c>
      <c r="B437" s="9">
        <f ca="1">Prices!B436*(1+J437/(50*(ABS(O437)+ABS(T437)+0.0001)))</f>
        <v>1.2116044474969678</v>
      </c>
      <c r="C437" s="13">
        <f t="shared" ca="1" si="40"/>
        <v>-1</v>
      </c>
      <c r="D437" s="9">
        <f ca="1">D436+C437*(Prices!B437-Prices!B436)/Prices!B436</f>
        <v>-0.46241676073861737</v>
      </c>
      <c r="E437" s="9">
        <f t="shared" ca="1" si="41"/>
        <v>0.49854071199736372</v>
      </c>
      <c r="F437" s="9">
        <f t="shared" ca="1" si="42"/>
        <v>3.6123951258746317E-2</v>
      </c>
      <c r="G437" s="13">
        <f ca="1">IF((Prices!B437-Prices!B436)*B437&gt;0,1,0)</f>
        <v>1</v>
      </c>
      <c r="H437" s="9">
        <f>ABS(Prices!B437-Prices!B436)/Prices!B436</f>
        <v>1.4702298757209003E-2</v>
      </c>
      <c r="I437" s="13"/>
      <c r="J437" s="1">
        <f t="shared" ca="1" si="43"/>
        <v>-4.328290806863886E-2</v>
      </c>
      <c r="K437" s="9"/>
      <c r="L437" s="9">
        <f ca="1">L436-O437*Prices!B437</f>
        <v>0.4690417658248664</v>
      </c>
      <c r="M437" s="1">
        <f t="shared" ca="1" si="38"/>
        <v>0.44031267446500466</v>
      </c>
      <c r="N437" s="9">
        <f ca="1">IF(Prices!D436&gt;OFFSET(Prices!D436,-$N$3,0),1,IF(Prices!D436&lt;OFFSET(Prices!D436,-$N$3,0),-1,0))</f>
        <v>-1</v>
      </c>
      <c r="O437" s="1">
        <f ca="1">IF(N437=1,O$3*L436/Prices!B436,O$3*M436*N437)</f>
        <v>-4.8923630496111634E-2</v>
      </c>
      <c r="P437" s="14"/>
      <c r="Q437" s="9">
        <f ca="1">Q436-T437*Prices!B437</f>
        <v>0.34016827856668741</v>
      </c>
      <c r="R437" s="1">
        <f t="shared" ca="1" si="39"/>
        <v>0.5128144522878233</v>
      </c>
      <c r="S437" s="9">
        <f ca="1">IF(Prices!C436&lt;OFFSET(Prices!C436,-S$3,0),1,IF(Prices!C436&gt;OFFSET(Prices!C436,-S$3,0),-1,0))</f>
        <v>1</v>
      </c>
      <c r="T437" s="1">
        <f ca="1">IF(S437=1,T$3*Q436/Prices!B436,T$3*R436*S437)</f>
        <v>5.6407224274727706E-3</v>
      </c>
    </row>
    <row r="438" spans="1:20" x14ac:dyDescent="0.2">
      <c r="A438" s="4">
        <v>34120</v>
      </c>
      <c r="B438" s="9">
        <f ca="1">Prices!B437*(1+J438/(50*(ABS(O438)+ABS(T438)+0.0001)))</f>
        <v>1.2741260238058019</v>
      </c>
      <c r="C438" s="13">
        <f t="shared" ca="1" si="40"/>
        <v>1</v>
      </c>
      <c r="D438" s="9">
        <f ca="1">D437+C438*(Prices!B438-Prices!B437)/Prices!B437</f>
        <v>-0.46241676073861737</v>
      </c>
      <c r="E438" s="9">
        <f t="shared" ca="1" si="41"/>
        <v>0.49854071199736372</v>
      </c>
      <c r="F438" s="9">
        <f t="shared" ca="1" si="42"/>
        <v>3.6123951258746317E-2</v>
      </c>
      <c r="G438" s="13">
        <f ca="1">IF((Prices!B438-Prices!B437)*B438&gt;0,1,0)</f>
        <v>0</v>
      </c>
      <c r="H438" s="9">
        <f>ABS(Prices!B438-Prices!B437)/Prices!B437</f>
        <v>0</v>
      </c>
      <c r="I438" s="13"/>
      <c r="J438" s="1">
        <f t="shared" ca="1" si="43"/>
        <v>4.2993549594796981E-2</v>
      </c>
      <c r="K438" s="9"/>
      <c r="L438" s="9">
        <f ca="1">L437-O438*Prices!B438</f>
        <v>0.42213758924237976</v>
      </c>
      <c r="M438" s="1">
        <f t="shared" ca="1" si="38"/>
        <v>0.47786004604880761</v>
      </c>
      <c r="N438" s="9">
        <f ca="1">IF(Prices!D437&gt;OFFSET(Prices!D437,-$N$3,0),1,IF(Prices!D437&lt;OFFSET(Prices!D437,-$N$3,0),-1,0))</f>
        <v>1</v>
      </c>
      <c r="O438" s="1">
        <f ca="1">IF(N438=1,O$3*L437/Prices!B437,O$3*M437*N438)</f>
        <v>3.7547371583802946E-2</v>
      </c>
      <c r="P438" s="14"/>
      <c r="Q438" s="9">
        <f ca="1">Q437-T438*Prices!B438</f>
        <v>0.33336491299535365</v>
      </c>
      <c r="R438" s="1">
        <f t="shared" ca="1" si="39"/>
        <v>0.5182606302988173</v>
      </c>
      <c r="S438" s="9">
        <f ca="1">IF(Prices!C437&lt;OFFSET(Prices!C437,-S$3,0),1,IF(Prices!C437&gt;OFFSET(Prices!C437,-S$3,0),-1,0))</f>
        <v>1</v>
      </c>
      <c r="T438" s="1">
        <f ca="1">IF(S438=1,T$3*Q437/Prices!B437,T$3*R437*S438)</f>
        <v>5.4461780109940341E-3</v>
      </c>
    </row>
    <row r="439" spans="1:20" x14ac:dyDescent="0.2">
      <c r="A439" s="4">
        <v>34121</v>
      </c>
      <c r="B439" s="9">
        <f ca="1">Prices!B438*(1+J439/(50*(ABS(O439)+ABS(T439)+0.0001)))</f>
        <v>1.2741203138649746</v>
      </c>
      <c r="C439" s="13">
        <f t="shared" ca="1" si="40"/>
        <v>1</v>
      </c>
      <c r="D439" s="9">
        <f ca="1">D438+C439*(Prices!B439-Prices!B438)/Prices!B438</f>
        <v>-0.46465819525670904</v>
      </c>
      <c r="E439" s="9">
        <f t="shared" ca="1" si="41"/>
        <v>0.50078214651545538</v>
      </c>
      <c r="F439" s="9">
        <f t="shared" ca="1" si="42"/>
        <v>3.6123951258746317E-2</v>
      </c>
      <c r="G439" s="13">
        <f ca="1">IF((Prices!B439-Prices!B438)*B439&gt;0,1,0)</f>
        <v>0</v>
      </c>
      <c r="H439" s="9">
        <f>ABS(Prices!B439-Prices!B438)/Prices!B438</f>
        <v>2.2414345180916872E-3</v>
      </c>
      <c r="I439" s="13"/>
      <c r="J439" s="1">
        <f t="shared" ca="1" si="43"/>
        <v>3.9129888876196804E-2</v>
      </c>
      <c r="K439" s="9"/>
      <c r="L439" s="9">
        <f ca="1">L438-O439*Prices!B439</f>
        <v>0.38001844969453297</v>
      </c>
      <c r="M439" s="1">
        <f t="shared" ca="1" si="38"/>
        <v>0.51165268047423029</v>
      </c>
      <c r="N439" s="9">
        <f ca="1">IF(Prices!D438&gt;OFFSET(Prices!D438,-$N$3,0),1,IF(Prices!D438&lt;OFFSET(Prices!D438,-$N$3,0),-1,0))</f>
        <v>1</v>
      </c>
      <c r="O439" s="1">
        <f ca="1">IF(N439=1,O$3*L438/Prices!B438,O$3*M438*N439)</f>
        <v>3.379263442542265E-2</v>
      </c>
      <c r="P439" s="14"/>
      <c r="Q439" s="9">
        <f ca="1">Q438-T439*Prices!B439</f>
        <v>0.32671255904790875</v>
      </c>
      <c r="R439" s="1">
        <f t="shared" ca="1" si="39"/>
        <v>0.52359788474959146</v>
      </c>
      <c r="S439" s="9">
        <f ca="1">IF(Prices!C438&lt;OFFSET(Prices!C438,-S$3,0),1,IF(Prices!C438&gt;OFFSET(Prices!C438,-S$3,0),-1,0))</f>
        <v>1</v>
      </c>
      <c r="T439" s="1">
        <f ca="1">IF(S439=1,T$3*Q438/Prices!B438,T$3*R438*S439)</f>
        <v>5.3372544507741529E-3</v>
      </c>
    </row>
    <row r="440" spans="1:20" x14ac:dyDescent="0.2">
      <c r="A440" s="4">
        <v>34122</v>
      </c>
      <c r="B440" s="9">
        <f ca="1">Prices!B439*(1+J440/(50*(ABS(O440)+ABS(T440)+0.0001)))</f>
        <v>1.2261414969457178</v>
      </c>
      <c r="C440" s="13">
        <f t="shared" ca="1" si="40"/>
        <v>-1</v>
      </c>
      <c r="D440" s="9">
        <f ca="1">D439+C440*(Prices!B440-Prices!B439)/Prices!B439</f>
        <v>-0.46369542247108653</v>
      </c>
      <c r="E440" s="9">
        <f t="shared" ca="1" si="41"/>
        <v>0.49981937372983287</v>
      </c>
      <c r="F440" s="9">
        <f t="shared" ca="1" si="42"/>
        <v>3.6123951258746317E-2</v>
      </c>
      <c r="G440" s="13">
        <f ca="1">IF((Prices!B440-Prices!B439)*B440&gt;0,1,0)</f>
        <v>0</v>
      </c>
      <c r="H440" s="9">
        <f>ABS(Prices!B440-Prices!B439)/Prices!B439</f>
        <v>9.6277278562248707E-4</v>
      </c>
      <c r="I440" s="13"/>
      <c r="J440" s="1">
        <f t="shared" ca="1" si="43"/>
        <v>-4.5922768704549012E-2</v>
      </c>
      <c r="K440" s="9"/>
      <c r="L440" s="9">
        <f ca="1">L439-O440*Prices!B440</f>
        <v>0.44372944146718413</v>
      </c>
      <c r="M440" s="1">
        <f t="shared" ca="1" si="38"/>
        <v>0.46048741242680724</v>
      </c>
      <c r="N440" s="9">
        <f ca="1">IF(Prices!D439&gt;OFFSET(Prices!D439,-$N$3,0),1,IF(Prices!D439&lt;OFFSET(Prices!D439,-$N$3,0),-1,0))</f>
        <v>-1</v>
      </c>
      <c r="O440" s="1">
        <f ca="1">IF(N440=1,O$3*L439/Prices!B439,O$3*M439*N440)</f>
        <v>-5.1165268047423031E-2</v>
      </c>
      <c r="P440" s="14"/>
      <c r="Q440" s="9">
        <f ca="1">Q439-T440*Prices!B440</f>
        <v>0.32018459886616202</v>
      </c>
      <c r="R440" s="1">
        <f t="shared" ca="1" si="39"/>
        <v>0.52884038409246548</v>
      </c>
      <c r="S440" s="9">
        <f ca="1">IF(Prices!C439&lt;OFFSET(Prices!C439,-S$3,0),1,IF(Prices!C439&gt;OFFSET(Prices!C439,-S$3,0),-1,0))</f>
        <v>1</v>
      </c>
      <c r="T440" s="1">
        <f ca="1">IF(S440=1,T$3*Q439/Prices!B439,T$3*R439*S440)</f>
        <v>5.2424993428740177E-3</v>
      </c>
    </row>
    <row r="441" spans="1:20" x14ac:dyDescent="0.2">
      <c r="A441" s="4">
        <v>34123</v>
      </c>
      <c r="B441" s="9">
        <f ca="1">Prices!B440*(1+J441/(50*(ABS(O441)+ABS(T441)+0.0001)))</f>
        <v>1.225338519082743</v>
      </c>
      <c r="C441" s="13">
        <f t="shared" ca="1" si="40"/>
        <v>-1</v>
      </c>
      <c r="D441" s="9">
        <f ca="1">D440+C441*(Prices!B441-Prices!B440)/Prices!B440</f>
        <v>-0.46072401225586002</v>
      </c>
      <c r="E441" s="9">
        <f t="shared" ca="1" si="41"/>
        <v>0.49684796351460636</v>
      </c>
      <c r="F441" s="9">
        <f t="shared" ca="1" si="42"/>
        <v>3.6123951258746317E-2</v>
      </c>
      <c r="G441" s="13">
        <f ca="1">IF((Prices!B441-Prices!B440)*B441&gt;0,1,0)</f>
        <v>0</v>
      </c>
      <c r="H441" s="9">
        <f>ABS(Prices!B441-Prices!B440)/Prices!B440</f>
        <v>2.9714102152264988E-3</v>
      </c>
      <c r="I441" s="13"/>
      <c r="J441" s="1">
        <f t="shared" ca="1" si="43"/>
        <v>-4.0906039686847737E-2</v>
      </c>
      <c r="K441" s="9"/>
      <c r="L441" s="9">
        <f ca="1">L440-O441*Prices!B441</f>
        <v>0.50089895371997228</v>
      </c>
      <c r="M441" s="1">
        <f t="shared" ca="1" si="38"/>
        <v>0.41443867118412653</v>
      </c>
      <c r="N441" s="9">
        <f ca="1">IF(Prices!D440&gt;OFFSET(Prices!D440,-$N$3,0),1,IF(Prices!D440&lt;OFFSET(Prices!D440,-$N$3,0),-1,0))</f>
        <v>-1</v>
      </c>
      <c r="O441" s="1">
        <f ca="1">IF(N441=1,O$3*L440/Prices!B440,O$3*M440*N441)</f>
        <v>-4.6048741242680727E-2</v>
      </c>
      <c r="P441" s="14"/>
      <c r="Q441" s="9">
        <f ca="1">Q440-T441*Prices!B441</f>
        <v>0.31379993488459534</v>
      </c>
      <c r="R441" s="1">
        <f t="shared" ca="1" si="39"/>
        <v>0.53398308564829844</v>
      </c>
      <c r="S441" s="9">
        <f ca="1">IF(Prices!C440&lt;OFFSET(Prices!C440,-S$3,0),1,IF(Prices!C440&gt;OFFSET(Prices!C440,-S$3,0),-1,0))</f>
        <v>1</v>
      </c>
      <c r="T441" s="1">
        <f ca="1">IF(S441=1,T$3*Q440/Prices!B440,T$3*R440*S441)</f>
        <v>5.1427015558329903E-3</v>
      </c>
    </row>
    <row r="442" spans="1:20" x14ac:dyDescent="0.2">
      <c r="A442" s="4">
        <v>34124</v>
      </c>
      <c r="B442" s="9">
        <f ca="1">Prices!B441*(1+J442/(50*(ABS(O442)+ABS(T442)+0.0001)))</f>
        <v>1.216717545618911</v>
      </c>
      <c r="C442" s="13">
        <f t="shared" ca="1" si="40"/>
        <v>-1</v>
      </c>
      <c r="D442" s="9">
        <f ca="1">D441+C442*(Prices!B442-Prices!B441)/Prices!B441</f>
        <v>-0.44928623537305695</v>
      </c>
      <c r="E442" s="9">
        <f t="shared" ca="1" si="41"/>
        <v>0.48541018663180324</v>
      </c>
      <c r="F442" s="9">
        <f t="shared" ca="1" si="42"/>
        <v>3.6123951258746317E-2</v>
      </c>
      <c r="G442" s="13">
        <f ca="1">IF((Prices!B442-Prices!B441)*B442&gt;0,1,0)</f>
        <v>0</v>
      </c>
      <c r="H442" s="9">
        <f>ABS(Prices!B442-Prices!B441)/Prices!B441</f>
        <v>1.1437776882803053E-2</v>
      </c>
      <c r="I442" s="13"/>
      <c r="J442" s="1">
        <f t="shared" ca="1" si="43"/>
        <v>-5.2123528831378628E-2</v>
      </c>
      <c r="K442" s="9"/>
      <c r="L442" s="9">
        <f ca="1">L441-O442*Prices!B442</f>
        <v>0.55176301183440013</v>
      </c>
      <c r="M442" s="1">
        <f t="shared" ca="1" si="38"/>
        <v>0.37299480406571389</v>
      </c>
      <c r="N442" s="9">
        <f ca="1">IF(Prices!D441&gt;OFFSET(Prices!D441,-$N$3,0),1,IF(Prices!D441&lt;OFFSET(Prices!D441,-$N$3,0),-1,0))</f>
        <v>-1</v>
      </c>
      <c r="O442" s="1">
        <f ca="1">IF(N442=1,O$3*L441/Prices!B441,O$3*M441*N442)</f>
        <v>-4.1443867118412657E-2</v>
      </c>
      <c r="P442" s="14"/>
      <c r="Q442" s="9">
        <f ca="1">Q441-T442*Prices!B442</f>
        <v>0.3269070837049185</v>
      </c>
      <c r="R442" s="1">
        <f t="shared" ca="1" si="39"/>
        <v>0.52330342393533247</v>
      </c>
      <c r="S442" s="9">
        <f ca="1">IF(Prices!C441&lt;OFFSET(Prices!C441,-S$3,0),1,IF(Prices!C441&gt;OFFSET(Prices!C441,-S$3,0),-1,0))</f>
        <v>-1</v>
      </c>
      <c r="T442" s="1">
        <f ca="1">IF(S442=1,T$3*Q441/Prices!B441,T$3*R441*S442)</f>
        <v>-1.0679661712965969E-2</v>
      </c>
    </row>
    <row r="443" spans="1:20" x14ac:dyDescent="0.2">
      <c r="A443" s="4">
        <v>34127</v>
      </c>
      <c r="B443" s="9">
        <f ca="1">Prices!B442*(1+J443/(50*(ABS(O443)+ABS(T443)+0.0001)))</f>
        <v>1.2425480542793026</v>
      </c>
      <c r="C443" s="13">
        <f t="shared" ca="1" si="40"/>
        <v>1</v>
      </c>
      <c r="D443" s="9">
        <f ca="1">D442+C443*(Prices!B443-Prices!B442)/Prices!B442</f>
        <v>-0.44790108096908071</v>
      </c>
      <c r="E443" s="9">
        <f t="shared" ca="1" si="41"/>
        <v>0.484025032227827</v>
      </c>
      <c r="F443" s="9">
        <f t="shared" ca="1" si="42"/>
        <v>3.6123951258746317E-2</v>
      </c>
      <c r="G443" s="13">
        <f ca="1">IF((Prices!B443-Prices!B442)*B443&gt;0,1,0)</f>
        <v>1</v>
      </c>
      <c r="H443" s="9">
        <f>ABS(Prices!B443-Prices!B442)/Prices!B442</f>
        <v>1.3851544039762363E-3</v>
      </c>
      <c r="I443" s="13"/>
      <c r="J443" s="1">
        <f t="shared" ca="1" si="43"/>
        <v>3.4491400097387229E-2</v>
      </c>
      <c r="K443" s="9"/>
      <c r="L443" s="9">
        <f ca="1">L442-O443*Prices!B443</f>
        <v>0.49651028295438077</v>
      </c>
      <c r="M443" s="1">
        <f t="shared" ca="1" si="38"/>
        <v>0.41795227264180779</v>
      </c>
      <c r="N443" s="9">
        <f ca="1">IF(Prices!D442&gt;OFFSET(Prices!D442,-$N$3,0),1,IF(Prices!D442&lt;OFFSET(Prices!D442,-$N$3,0),-1,0))</f>
        <v>1</v>
      </c>
      <c r="O443" s="1">
        <f ca="1">IF(N443=1,O$3*L442/Prices!B442,O$3*M442*N443)</f>
        <v>4.4957468576093874E-2</v>
      </c>
      <c r="P443" s="14"/>
      <c r="Q443" s="9">
        <f ca="1">Q442-T443*Prices!B443</f>
        <v>0.33976988186524898</v>
      </c>
      <c r="R443" s="1">
        <f t="shared" ca="1" si="39"/>
        <v>0.51283735545662579</v>
      </c>
      <c r="S443" s="9">
        <f ca="1">IF(Prices!C442&lt;OFFSET(Prices!C442,-S$3,0),1,IF(Prices!C442&gt;OFFSET(Prices!C442,-S$3,0),-1,0))</f>
        <v>-1</v>
      </c>
      <c r="T443" s="1">
        <f ca="1">IF(S443=1,T$3*Q442/Prices!B442,T$3*R442*S443)</f>
        <v>-1.0466068478706649E-2</v>
      </c>
    </row>
    <row r="444" spans="1:20" x14ac:dyDescent="0.2">
      <c r="A444" s="4">
        <v>34128</v>
      </c>
      <c r="B444" s="9">
        <f ca="1">Prices!B443*(1+J444/(50*(ABS(O444)+ABS(T444)+0.0001)))</f>
        <v>1.2435973994505956</v>
      </c>
      <c r="C444" s="13">
        <f t="shared" ca="1" si="40"/>
        <v>1</v>
      </c>
      <c r="D444" s="9">
        <f ca="1">D443+C444*(Prices!B444-Prices!B443)/Prices!B443</f>
        <v>-0.44790108096908071</v>
      </c>
      <c r="E444" s="9">
        <f t="shared" ca="1" si="41"/>
        <v>0.484025032227827</v>
      </c>
      <c r="F444" s="9">
        <f t="shared" ca="1" si="42"/>
        <v>3.6123951258746317E-2</v>
      </c>
      <c r="G444" s="13">
        <f ca="1">IF((Prices!B444-Prices!B443)*B444&gt;0,1,0)</f>
        <v>0</v>
      </c>
      <c r="H444" s="9">
        <f>ABS(Prices!B444-Prices!B443)/Prices!B443</f>
        <v>0</v>
      </c>
      <c r="I444" s="13"/>
      <c r="J444" s="1">
        <f t="shared" ca="1" si="43"/>
        <v>3.0142787712216606E-2</v>
      </c>
      <c r="K444" s="9"/>
      <c r="L444" s="9">
        <f ca="1">L443-O444*Prices!B444</f>
        <v>0.44685925465894272</v>
      </c>
      <c r="M444" s="1">
        <f t="shared" ca="1" si="38"/>
        <v>0.4583518074631569</v>
      </c>
      <c r="N444" s="9">
        <f ca="1">IF(Prices!D443&gt;OFFSET(Prices!D443,-$N$3,0),1,IF(Prices!D443&lt;OFFSET(Prices!D443,-$N$3,0),-1,0))</f>
        <v>1</v>
      </c>
      <c r="O444" s="1">
        <f ca="1">IF(N444=1,O$3*L443/Prices!B443,O$3*M443*N444)</f>
        <v>4.0399534821349121E-2</v>
      </c>
      <c r="P444" s="14"/>
      <c r="Q444" s="9">
        <f ca="1">Q443-T444*Prices!B444</f>
        <v>0.35237542406237282</v>
      </c>
      <c r="R444" s="1">
        <f t="shared" ca="1" si="39"/>
        <v>0.5025806083474933</v>
      </c>
      <c r="S444" s="9">
        <f ca="1">IF(Prices!C443&lt;OFFSET(Prices!C443,-S$3,0),1,IF(Prices!C443&gt;OFFSET(Prices!C443,-S$3,0),-1,0))</f>
        <v>-1</v>
      </c>
      <c r="T444" s="1">
        <f ca="1">IF(S444=1,T$3*Q443/Prices!B443,T$3*R443*S444)</f>
        <v>-1.0256747109132516E-2</v>
      </c>
    </row>
    <row r="445" spans="1:20" x14ac:dyDescent="0.2">
      <c r="A445" s="4">
        <v>34129</v>
      </c>
      <c r="B445" s="9">
        <f ca="1">Prices!B444*(1+J445/(50*(ABS(O445)+ABS(T445)+0.0001)))</f>
        <v>1.2099234053819135</v>
      </c>
      <c r="C445" s="13">
        <f t="shared" ca="1" si="40"/>
        <v>-1</v>
      </c>
      <c r="D445" s="9">
        <f ca="1">D444+C445*(Prices!B445-Prices!B444)/Prices!B444</f>
        <v>-0.43838114606265266</v>
      </c>
      <c r="E445" s="9">
        <f t="shared" ca="1" si="41"/>
        <v>0.47450509732139901</v>
      </c>
      <c r="F445" s="9">
        <f t="shared" ca="1" si="42"/>
        <v>3.6123951258746317E-2</v>
      </c>
      <c r="G445" s="13">
        <f ca="1">IF((Prices!B445-Prices!B444)*B445&gt;0,1,0)</f>
        <v>0</v>
      </c>
      <c r="H445" s="9">
        <f>ABS(Prices!B445-Prices!B444)/Prices!B444</f>
        <v>9.5199349064280254E-3</v>
      </c>
      <c r="I445" s="13"/>
      <c r="J445" s="1">
        <f t="shared" ca="1" si="43"/>
        <v>-4.0100836986146894E-2</v>
      </c>
      <c r="K445" s="9"/>
      <c r="L445" s="9">
        <f ca="1">L444-O445*Prices!B445</f>
        <v>0.5026544201814328</v>
      </c>
      <c r="M445" s="1">
        <f t="shared" ca="1" si="38"/>
        <v>0.41251662671684119</v>
      </c>
      <c r="N445" s="9">
        <f ca="1">IF(Prices!D444&gt;OFFSET(Prices!D444,-$N$3,0),1,IF(Prices!D444&lt;OFFSET(Prices!D444,-$N$3,0),-1,0))</f>
        <v>-1</v>
      </c>
      <c r="O445" s="1">
        <f ca="1">IF(N445=1,O$3*L444/Prices!B444,O$3*M444*N445)</f>
        <v>-4.5835180746315693E-2</v>
      </c>
      <c r="P445" s="14"/>
      <c r="Q445" s="9">
        <f ca="1">Q444-T445*Prices!B445</f>
        <v>0.34539500740311935</v>
      </c>
      <c r="R445" s="1">
        <f t="shared" ca="1" si="39"/>
        <v>0.50831495210766209</v>
      </c>
      <c r="S445" s="9">
        <f ca="1">IF(Prices!C444&lt;OFFSET(Prices!C444,-S$3,0),1,IF(Prices!C444&gt;OFFSET(Prices!C444,-S$3,0),-1,0))</f>
        <v>1</v>
      </c>
      <c r="T445" s="1">
        <f ca="1">IF(S445=1,T$3*Q444/Prices!B444,T$3*R444*S445)</f>
        <v>5.7343437601688006E-3</v>
      </c>
    </row>
    <row r="446" spans="1:20" x14ac:dyDescent="0.2">
      <c r="A446" s="4">
        <v>34130</v>
      </c>
      <c r="B446" s="9">
        <f ca="1">Prices!B445*(1+J446/(50*(ABS(O446)+ABS(T446)+0.0001)))</f>
        <v>1.1988815300569016</v>
      </c>
      <c r="C446" s="13">
        <f t="shared" ca="1" si="40"/>
        <v>-1</v>
      </c>
      <c r="D446" s="9">
        <f ca="1">D445+C446*(Prices!B446-Prices!B445)/Prices!B445</f>
        <v>-0.43994197741071805</v>
      </c>
      <c r="E446" s="9">
        <f t="shared" ca="1" si="41"/>
        <v>0.4760659286694644</v>
      </c>
      <c r="F446" s="9">
        <f t="shared" ca="1" si="42"/>
        <v>3.6123951258746317E-2</v>
      </c>
      <c r="G446" s="13">
        <f ca="1">IF((Prices!B446-Prices!B445)*B446&gt;0,1,0)</f>
        <v>1</v>
      </c>
      <c r="H446" s="9">
        <f>ABS(Prices!B446-Prices!B445)/Prices!B445</f>
        <v>1.5608313480654011E-3</v>
      </c>
      <c r="I446" s="13"/>
      <c r="J446" s="1">
        <f t="shared" ca="1" si="43"/>
        <v>-3.5576890513578159E-2</v>
      </c>
      <c r="K446" s="9"/>
      <c r="L446" s="9">
        <f ca="1">L445-O446*Prices!B446</f>
        <v>0.5529484473107501</v>
      </c>
      <c r="M446" s="1">
        <f t="shared" ca="1" si="38"/>
        <v>0.37126496404515708</v>
      </c>
      <c r="N446" s="9">
        <f ca="1">IF(Prices!D445&gt;OFFSET(Prices!D445,-$N$3,0),1,IF(Prices!D445&lt;OFFSET(Prices!D445,-$N$3,0),-1,0))</f>
        <v>-1</v>
      </c>
      <c r="O446" s="1">
        <f ca="1">IF(N446=1,O$3*L445/Prices!B445,O$3*M445*N446)</f>
        <v>-4.1251662671684119E-2</v>
      </c>
      <c r="P446" s="14"/>
      <c r="Q446" s="9">
        <f ca="1">Q445-T446*Prices!B446</f>
        <v>0.33847632518795656</v>
      </c>
      <c r="R446" s="1">
        <f t="shared" ca="1" si="39"/>
        <v>0.51398972426576806</v>
      </c>
      <c r="S446" s="9">
        <f ca="1">IF(Prices!C445&lt;OFFSET(Prices!C445,-S$3,0),1,IF(Prices!C445&gt;OFFSET(Prices!C445,-S$3,0),-1,0))</f>
        <v>1</v>
      </c>
      <c r="T446" s="1">
        <f ca="1">IF(S446=1,T$3*Q445/Prices!B445,T$3*R445*S446)</f>
        <v>5.6747721581059613E-3</v>
      </c>
    </row>
    <row r="447" spans="1:20" x14ac:dyDescent="0.2">
      <c r="A447" s="4">
        <v>34131</v>
      </c>
      <c r="B447" s="9">
        <f ca="1">Prices!B446*(1+J447/(50*(ABS(O447)+ABS(T447)+0.0001)))</f>
        <v>1.201202776456481</v>
      </c>
      <c r="C447" s="13">
        <f t="shared" ca="1" si="40"/>
        <v>-1</v>
      </c>
      <c r="D447" s="9">
        <f ca="1">D446+C447*(Prices!B447-Prices!B446)/Prices!B446</f>
        <v>-0.44633961520599369</v>
      </c>
      <c r="E447" s="9">
        <f t="shared" ca="1" si="41"/>
        <v>0.48246356646473998</v>
      </c>
      <c r="F447" s="9">
        <f t="shared" ca="1" si="42"/>
        <v>3.6123951258746317E-2</v>
      </c>
      <c r="G447" s="13">
        <f ca="1">IF((Prices!B447-Prices!B446)*B447&gt;0,1,0)</f>
        <v>1</v>
      </c>
      <c r="H447" s="9">
        <f>ABS(Prices!B447-Prices!B446)/Prices!B446</f>
        <v>6.3976377952756139E-3</v>
      </c>
      <c r="I447" s="13"/>
      <c r="J447" s="1">
        <f t="shared" ca="1" si="43"/>
        <v>-3.1574063248545295E-2</v>
      </c>
      <c r="K447" s="9"/>
      <c r="L447" s="9">
        <f ca="1">L446-O447*Prices!B447</f>
        <v>0.59850265839909089</v>
      </c>
      <c r="M447" s="1">
        <f t="shared" ca="1" si="38"/>
        <v>0.33413846764064137</v>
      </c>
      <c r="N447" s="9">
        <f ca="1">IF(Prices!D446&gt;OFFSET(Prices!D446,-$N$3,0),1,IF(Prices!D446&lt;OFFSET(Prices!D446,-$N$3,0),-1,0))</f>
        <v>-1</v>
      </c>
      <c r="O447" s="1">
        <f ca="1">IF(N447=1,O$3*L446/Prices!B446,O$3*M446*N447)</f>
        <v>-3.7126496404515708E-2</v>
      </c>
      <c r="P447" s="14"/>
      <c r="Q447" s="9">
        <f ca="1">Q446-T447*Prices!B447</f>
        <v>0.33166348970558085</v>
      </c>
      <c r="R447" s="1">
        <f t="shared" ca="1" si="39"/>
        <v>0.51954215742173848</v>
      </c>
      <c r="S447" s="9">
        <f ca="1">IF(Prices!C446&lt;OFFSET(Prices!C446,-S$3,0),1,IF(Prices!C446&gt;OFFSET(Prices!C446,-S$3,0),-1,0))</f>
        <v>1</v>
      </c>
      <c r="T447" s="1">
        <f ca="1">IF(S447=1,T$3*Q446/Prices!B446,T$3*R446*S447)</f>
        <v>5.5524331559704161E-3</v>
      </c>
    </row>
    <row r="448" spans="1:20" x14ac:dyDescent="0.2">
      <c r="A448" s="4">
        <v>34134</v>
      </c>
      <c r="B448" s="9">
        <f ca="1">Prices!B447*(1+J448/(50*(ABS(O448)+ABS(T448)+0.0001)))</f>
        <v>1.2093404018919287</v>
      </c>
      <c r="C448" s="13">
        <f t="shared" ca="1" si="40"/>
        <v>-1</v>
      </c>
      <c r="D448" s="9">
        <f ca="1">D447+C448*(Prices!B448-Prices!B447)/Prices!B447</f>
        <v>-0.44593211724348336</v>
      </c>
      <c r="E448" s="9">
        <f t="shared" ca="1" si="41"/>
        <v>0.48205606850222971</v>
      </c>
      <c r="F448" s="9">
        <f t="shared" ca="1" si="42"/>
        <v>3.6123951258746317E-2</v>
      </c>
      <c r="G448" s="13">
        <f ca="1">IF((Prices!B448-Prices!B447)*B448&gt;0,1,0)</f>
        <v>0</v>
      </c>
      <c r="H448" s="9">
        <f>ABS(Prices!B448-Prices!B447)/Prices!B447</f>
        <v>4.074979625103235E-4</v>
      </c>
      <c r="I448" s="13"/>
      <c r="J448" s="1">
        <f t="shared" ca="1" si="43"/>
        <v>-2.8007758912302425E-2</v>
      </c>
      <c r="K448" s="9"/>
      <c r="L448" s="9">
        <f ca="1">L447-O448*Prices!B448</f>
        <v>0.63948474145521561</v>
      </c>
      <c r="M448" s="1">
        <f t="shared" ca="1" si="38"/>
        <v>0.30072462087657725</v>
      </c>
      <c r="N448" s="9">
        <f ca="1">IF(Prices!D447&gt;OFFSET(Prices!D447,-$N$3,0),1,IF(Prices!D447&lt;OFFSET(Prices!D447,-$N$3,0),-1,0))</f>
        <v>-1</v>
      </c>
      <c r="O448" s="1">
        <f ca="1">IF(N448=1,O$3*L447/Prices!B447,O$3*M447*N448)</f>
        <v>-3.3413846764064135E-2</v>
      </c>
      <c r="P448" s="14"/>
      <c r="Q448" s="9">
        <f ca="1">Q447-T448*Prices!B448</f>
        <v>0.3250329229553951</v>
      </c>
      <c r="R448" s="1">
        <f t="shared" ca="1" si="39"/>
        <v>0.52494824527350015</v>
      </c>
      <c r="S448" s="9">
        <f ca="1">IF(Prices!C447&lt;OFFSET(Prices!C447,-S$3,0),1,IF(Prices!C447&gt;OFFSET(Prices!C447,-S$3,0),-1,0))</f>
        <v>1</v>
      </c>
      <c r="T448" s="1">
        <f ca="1">IF(S448=1,T$3*Q447/Prices!B447,T$3*R447*S448)</f>
        <v>5.4060878517617093E-3</v>
      </c>
    </row>
    <row r="449" spans="1:20" x14ac:dyDescent="0.2">
      <c r="A449" s="4">
        <v>34135</v>
      </c>
      <c r="B449" s="9">
        <f ca="1">Prices!B448*(1+J449/(50*(ABS(O449)+ABS(T449)+0.0001)))</f>
        <v>1.2093694886534656</v>
      </c>
      <c r="C449" s="13">
        <f t="shared" ca="1" si="40"/>
        <v>-1</v>
      </c>
      <c r="D449" s="9">
        <f ca="1">D448+C449*(Prices!B449-Prices!B448)/Prices!B448</f>
        <v>-0.4396540903376539</v>
      </c>
      <c r="E449" s="9">
        <f t="shared" ca="1" si="41"/>
        <v>0.47577804159640025</v>
      </c>
      <c r="F449" s="9">
        <f t="shared" ca="1" si="42"/>
        <v>3.6123951258746317E-2</v>
      </c>
      <c r="G449" s="13">
        <f ca="1">IF((Prices!B449-Prices!B448)*B449&gt;0,1,0)</f>
        <v>0</v>
      </c>
      <c r="H449" s="9">
        <f>ABS(Prices!B449-Prices!B448)/Prices!B448</f>
        <v>6.2780269058294487E-3</v>
      </c>
      <c r="I449" s="13"/>
      <c r="J449" s="1">
        <f t="shared" ca="1" si="43"/>
        <v>-2.4772292125074848E-2</v>
      </c>
      <c r="K449" s="9"/>
      <c r="L449" s="9">
        <f ca="1">L448-O449*Prices!B449</f>
        <v>0.6761370582476528</v>
      </c>
      <c r="M449" s="1">
        <f t="shared" ca="1" si="38"/>
        <v>0.27065215878891952</v>
      </c>
      <c r="N449" s="9">
        <f ca="1">IF(Prices!D448&gt;OFFSET(Prices!D448,-$N$3,0),1,IF(Prices!D448&lt;OFFSET(Prices!D448,-$N$3,0),-1,0))</f>
        <v>-1</v>
      </c>
      <c r="O449" s="1">
        <f ca="1">IF(N449=1,O$3*L448/Prices!B448,O$3*M448*N449)</f>
        <v>-3.0072462087657726E-2</v>
      </c>
      <c r="P449" s="14"/>
      <c r="Q449" s="9">
        <f ca="1">Q448-T449*Prices!B449</f>
        <v>0.31857307580499911</v>
      </c>
      <c r="R449" s="1">
        <f t="shared" ca="1" si="39"/>
        <v>0.53024841523608301</v>
      </c>
      <c r="S449" s="9">
        <f ca="1">IF(Prices!C448&lt;OFFSET(Prices!C448,-S$3,0),1,IF(Prices!C448&gt;OFFSET(Prices!C448,-S$3,0),-1,0))</f>
        <v>1</v>
      </c>
      <c r="T449" s="1">
        <f ca="1">IF(S449=1,T$3*Q448/Prices!B448,T$3*R448*S449)</f>
        <v>5.3001699625828801E-3</v>
      </c>
    </row>
    <row r="450" spans="1:20" x14ac:dyDescent="0.2">
      <c r="A450" s="4">
        <v>34136</v>
      </c>
      <c r="B450" s="9">
        <f ca="1">Prices!B449*(1+J450/(50*(ABS(O450)+ABS(T450)+0.0001)))</f>
        <v>1.2023669850557954</v>
      </c>
      <c r="C450" s="13">
        <f t="shared" ca="1" si="40"/>
        <v>-1</v>
      </c>
      <c r="D450" s="9">
        <f ca="1">D449+C450*(Prices!B450-Prices!B449)/Prices!B449</f>
        <v>-0.42644437586440154</v>
      </c>
      <c r="E450" s="9">
        <f t="shared" ca="1" si="41"/>
        <v>0.46256832712314788</v>
      </c>
      <c r="F450" s="9">
        <f t="shared" ca="1" si="42"/>
        <v>3.6123951258746317E-2</v>
      </c>
      <c r="G450" s="13">
        <f ca="1">IF((Prices!B450-Prices!B449)*B450&gt;0,1,0)</f>
        <v>0</v>
      </c>
      <c r="H450" s="9">
        <f>ABS(Prices!B450-Prices!B449)/Prices!B449</f>
        <v>1.3209714473252381E-2</v>
      </c>
      <c r="I450" s="13"/>
      <c r="J450" s="1">
        <f t="shared" ca="1" si="43"/>
        <v>-2.1837564487277264E-2</v>
      </c>
      <c r="K450" s="9"/>
      <c r="L450" s="9">
        <f ca="1">L449-O450*Prices!B450</f>
        <v>0.70868839338519618</v>
      </c>
      <c r="M450" s="1">
        <f t="shared" ca="1" si="38"/>
        <v>0.24358694291002755</v>
      </c>
      <c r="N450" s="9">
        <f ca="1">IF(Prices!D449&gt;OFFSET(Prices!D449,-$N$3,0),1,IF(Prices!D449&lt;OFFSET(Prices!D449,-$N$3,0),-1,0))</f>
        <v>-1</v>
      </c>
      <c r="O450" s="1">
        <f ca="1">IF(N450=1,O$3*L449/Prices!B449,O$3*M449*N450)</f>
        <v>-2.7065215878891952E-2</v>
      </c>
      <c r="P450" s="14"/>
      <c r="Q450" s="9">
        <f ca="1">Q449-T450*Prices!B450</f>
        <v>0.31228577947630409</v>
      </c>
      <c r="R450" s="1">
        <f t="shared" ca="1" si="39"/>
        <v>0.53547606662769776</v>
      </c>
      <c r="S450" s="9">
        <f ca="1">IF(Prices!C449&lt;OFFSET(Prices!C449,-S$3,0),1,IF(Prices!C449&gt;OFFSET(Prices!C449,-S$3,0),-1,0))</f>
        <v>1</v>
      </c>
      <c r="T450" s="1">
        <f ca="1">IF(S450=1,T$3*Q449/Prices!B449,T$3*R449*S450)</f>
        <v>5.2276513916146884E-3</v>
      </c>
    </row>
    <row r="451" spans="1:20" x14ac:dyDescent="0.2">
      <c r="A451" s="4">
        <v>34137</v>
      </c>
      <c r="B451" s="9">
        <f ca="1">Prices!B450*(1+J451/(50*(ABS(O451)+ABS(T451)+0.0001)))</f>
        <v>1.178714396987375</v>
      </c>
      <c r="C451" s="13">
        <f t="shared" ca="1" si="40"/>
        <v>-1</v>
      </c>
      <c r="D451" s="9">
        <f ca="1">D450+C451*(Prices!B451-Prices!B450)/Prices!B450</f>
        <v>-0.42760842342405886</v>
      </c>
      <c r="E451" s="9">
        <f t="shared" ca="1" si="41"/>
        <v>0.46373237468280515</v>
      </c>
      <c r="F451" s="9">
        <f t="shared" ca="1" si="42"/>
        <v>3.6123951258746317E-2</v>
      </c>
      <c r="G451" s="13">
        <f ca="1">IF((Prices!B451-Prices!B450)*B451&gt;0,1,0)</f>
        <v>1</v>
      </c>
      <c r="H451" s="9">
        <f>ABS(Prices!B451-Prices!B450)/Prices!B450</f>
        <v>1.1640475596573091E-3</v>
      </c>
      <c r="I451" s="13"/>
      <c r="J451" s="1">
        <f t="shared" ca="1" si="43"/>
        <v>-3.5068215623556713E-2</v>
      </c>
      <c r="K451" s="9"/>
      <c r="L451" s="9">
        <f ca="1">L450-O451*Prices!B451</f>
        <v>0.73801869718099256</v>
      </c>
      <c r="M451" s="1">
        <f t="shared" ca="1" si="38"/>
        <v>0.21922824861902479</v>
      </c>
      <c r="N451" s="9">
        <f ca="1">IF(Prices!D450&gt;OFFSET(Prices!D450,-$N$3,0),1,IF(Prices!D450&lt;OFFSET(Prices!D450,-$N$3,0),-1,0))</f>
        <v>-1</v>
      </c>
      <c r="O451" s="1">
        <f ca="1">IF(N451=1,O$3*L450/Prices!B450,O$3*M450*N451)</f>
        <v>-2.4358694291002757E-2</v>
      </c>
      <c r="P451" s="14"/>
      <c r="Q451" s="9">
        <f ca="1">Q450-T451*Prices!B451</f>
        <v>0.32518111411283229</v>
      </c>
      <c r="R451" s="1">
        <f t="shared" ca="1" si="39"/>
        <v>0.52476654529514377</v>
      </c>
      <c r="S451" s="9">
        <f ca="1">IF(Prices!C450&lt;OFFSET(Prices!C450,-S$3,0),1,IF(Prices!C450&gt;OFFSET(Prices!C450,-S$3,0),-1,0))</f>
        <v>-1</v>
      </c>
      <c r="T451" s="1">
        <f ca="1">IF(S451=1,T$3*Q450/Prices!B450,T$3*R450*S451)</f>
        <v>-1.0709521332553954E-2</v>
      </c>
    </row>
    <row r="452" spans="1:20" x14ac:dyDescent="0.2">
      <c r="A452" s="4">
        <v>34138</v>
      </c>
      <c r="B452" s="9">
        <f ca="1">Prices!B451*(1+J452/(50*(ABS(O452)+ABS(T452)+0.0001)))</f>
        <v>1.1800920570903588</v>
      </c>
      <c r="C452" s="13">
        <f t="shared" ca="1" si="40"/>
        <v>-1</v>
      </c>
      <c r="D452" s="9">
        <f ca="1">D451+C452*(Prices!B452-Prices!B451)/Prices!B451</f>
        <v>-0.41415439136692073</v>
      </c>
      <c r="E452" s="9">
        <f t="shared" ca="1" si="41"/>
        <v>0.45027834262566702</v>
      </c>
      <c r="F452" s="9">
        <f t="shared" ca="1" si="42"/>
        <v>3.6123951258746317E-2</v>
      </c>
      <c r="G452" s="13">
        <f ca="1">IF((Prices!B452-Prices!B451)*B452&gt;0,1,0)</f>
        <v>0</v>
      </c>
      <c r="H452" s="9">
        <f>ABS(Prices!B452-Prices!B451)/Prices!B451</f>
        <v>1.3454032057138106E-2</v>
      </c>
      <c r="I452" s="13"/>
      <c r="J452" s="1">
        <f t="shared" ca="1" si="43"/>
        <v>-3.2418155767805358E-2</v>
      </c>
      <c r="K452" s="9"/>
      <c r="L452" s="9">
        <f ca="1">L451-O452*Prices!B452</f>
        <v>0.76406082083444649</v>
      </c>
      <c r="M452" s="1">
        <f t="shared" ca="1" si="38"/>
        <v>0.19730542375712232</v>
      </c>
      <c r="N452" s="9">
        <f ca="1">IF(Prices!D451&gt;OFFSET(Prices!D451,-$N$3,0),1,IF(Prices!D451&lt;OFFSET(Prices!D451,-$N$3,0),-1,0))</f>
        <v>-1</v>
      </c>
      <c r="O452" s="1">
        <f ca="1">IF(N452=1,O$3*L451/Prices!B451,O$3*M451*N452)</f>
        <v>-2.192282486190248E-2</v>
      </c>
      <c r="P452" s="14"/>
      <c r="Q452" s="9">
        <f ca="1">Q451-T452*Prices!B452</f>
        <v>0.33764851769595433</v>
      </c>
      <c r="R452" s="1">
        <f t="shared" ca="1" si="39"/>
        <v>0.51427121438924095</v>
      </c>
      <c r="S452" s="9">
        <f ca="1">IF(Prices!C451&lt;OFFSET(Prices!C451,-S$3,0),1,IF(Prices!C451&gt;OFFSET(Prices!C451,-S$3,0),-1,0))</f>
        <v>-1</v>
      </c>
      <c r="T452" s="1">
        <f ca="1">IF(S452=1,T$3*Q451/Prices!B451,T$3*R451*S452)</f>
        <v>-1.0495330905902876E-2</v>
      </c>
    </row>
    <row r="453" spans="1:20" x14ac:dyDescent="0.2">
      <c r="A453" s="4">
        <v>34141</v>
      </c>
      <c r="B453" s="9">
        <f ca="1">Prices!B452*(1+J453/(50*(ABS(O453)+ABS(T453)+0.0001)))</f>
        <v>1.2050842328918703</v>
      </c>
      <c r="C453" s="13">
        <f t="shared" ca="1" si="40"/>
        <v>1</v>
      </c>
      <c r="D453" s="9">
        <f ca="1">D452+C453*(Prices!B453-Prices!B452)/Prices!B452</f>
        <v>-0.41827931770752169</v>
      </c>
      <c r="E453" s="9">
        <f t="shared" ca="1" si="41"/>
        <v>0.45440326896626804</v>
      </c>
      <c r="F453" s="9">
        <f t="shared" ca="1" si="42"/>
        <v>3.6123951258746317E-2</v>
      </c>
      <c r="G453" s="13">
        <f ca="1">IF((Prices!B453-Prices!B452)*B453&gt;0,1,0)</f>
        <v>0</v>
      </c>
      <c r="H453" s="9">
        <f>ABS(Prices!B453-Prices!B452)/Prices!B452</f>
        <v>4.1249263406009807E-3</v>
      </c>
      <c r="I453" s="13"/>
      <c r="J453" s="1">
        <f t="shared" ca="1" si="43"/>
        <v>5.4034873787343264E-2</v>
      </c>
      <c r="K453" s="9"/>
      <c r="L453" s="9">
        <f ca="1">L452-O453*Prices!B453</f>
        <v>0.68796990821157</v>
      </c>
      <c r="M453" s="1">
        <f t="shared" ca="1" si="38"/>
        <v>0.26162572183225041</v>
      </c>
      <c r="N453" s="9">
        <f ca="1">IF(Prices!D452&gt;OFFSET(Prices!D452,-$N$3,0),1,IF(Prices!D452&lt;OFFSET(Prices!D452,-$N$3,0),-1,0))</f>
        <v>1</v>
      </c>
      <c r="O453" s="1">
        <f ca="1">IF(N453=1,O$3*L452/Prices!B452,O$3*M452*N453)</f>
        <v>6.4320298075128082E-2</v>
      </c>
      <c r="P453" s="14"/>
      <c r="Q453" s="9">
        <f ca="1">Q452-T453*Prices!B453</f>
        <v>0.34981617462840375</v>
      </c>
      <c r="R453" s="1">
        <f t="shared" ca="1" si="39"/>
        <v>0.50398579010145617</v>
      </c>
      <c r="S453" s="9">
        <f ca="1">IF(Prices!C452&lt;OFFSET(Prices!C452,-S$3,0),1,IF(Prices!C452&gt;OFFSET(Prices!C452,-S$3,0),-1,0))</f>
        <v>-1</v>
      </c>
      <c r="T453" s="1">
        <f ca="1">IF(S453=1,T$3*Q452/Prices!B452,T$3*R452*S453)</f>
        <v>-1.028542428778482E-2</v>
      </c>
    </row>
    <row r="454" spans="1:20" x14ac:dyDescent="0.2">
      <c r="A454" s="4">
        <v>34142</v>
      </c>
      <c r="B454" s="9">
        <f ca="1">Prices!B453*(1+J454/(50*(ABS(O454)+ABS(T454)+0.0001)))</f>
        <v>1.1594051032208255</v>
      </c>
      <c r="C454" s="13">
        <f t="shared" ca="1" si="40"/>
        <v>-1</v>
      </c>
      <c r="D454" s="9">
        <f ca="1">D453+C454*(Prices!B454-Prices!B453)/Prices!B453</f>
        <v>-0.41489808355705676</v>
      </c>
      <c r="E454" s="9">
        <f t="shared" ca="1" si="41"/>
        <v>0.45102203481580305</v>
      </c>
      <c r="F454" s="9">
        <f t="shared" ca="1" si="42"/>
        <v>3.6123951258746317E-2</v>
      </c>
      <c r="G454" s="13">
        <f ca="1">IF((Prices!B454-Prices!B453)*B454&gt;0,1,0)</f>
        <v>0</v>
      </c>
      <c r="H454" s="9">
        <f>ABS(Prices!B454-Prices!B453)/Prices!B453</f>
        <v>3.3812341504649225E-3</v>
      </c>
      <c r="I454" s="13"/>
      <c r="J454" s="1">
        <f t="shared" ca="1" si="43"/>
        <v>-3.6242287985254168E-2</v>
      </c>
      <c r="K454" s="9"/>
      <c r="L454" s="9">
        <f ca="1">L453-O454*Prices!B454</f>
        <v>0.71881558081559238</v>
      </c>
      <c r="M454" s="1">
        <f t="shared" ca="1" si="38"/>
        <v>0.23546314964902537</v>
      </c>
      <c r="N454" s="9">
        <f ca="1">IF(Prices!D453&gt;OFFSET(Prices!D453,-$N$3,0),1,IF(Prices!D453&lt;OFFSET(Prices!D453,-$N$3,0),-1,0))</f>
        <v>-1</v>
      </c>
      <c r="O454" s="1">
        <f ca="1">IF(N454=1,O$3*L453/Prices!B453,O$3*M453*N454)</f>
        <v>-2.6162572183225041E-2</v>
      </c>
      <c r="P454" s="14"/>
      <c r="Q454" s="9">
        <f ca="1">Q453-T454*Prices!B454</f>
        <v>0.36170015955899609</v>
      </c>
      <c r="R454" s="1">
        <f t="shared" ca="1" si="39"/>
        <v>0.49390607429942707</v>
      </c>
      <c r="S454" s="9">
        <f ca="1">IF(Prices!C453&lt;OFFSET(Prices!C453,-S$3,0),1,IF(Prices!C453&gt;OFFSET(Prices!C453,-S$3,0),-1,0))</f>
        <v>-1</v>
      </c>
      <c r="T454" s="1">
        <f ca="1">IF(S454=1,T$3*Q453/Prices!B453,T$3*R453*S454)</f>
        <v>-1.0079715802029123E-2</v>
      </c>
    </row>
    <row r="455" spans="1:20" x14ac:dyDescent="0.2">
      <c r="A455" s="4">
        <v>34143</v>
      </c>
      <c r="B455" s="9">
        <f ca="1">Prices!B454*(1+J455/(50*(ABS(O455)+ABS(T455)+0.0001)))</f>
        <v>1.1554903367528178</v>
      </c>
      <c r="C455" s="13">
        <f t="shared" ca="1" si="40"/>
        <v>-1</v>
      </c>
      <c r="D455" s="9">
        <f ca="1">D454+C455*(Prices!B455-Prices!B454)/Prices!B454</f>
        <v>-0.41591589526189127</v>
      </c>
      <c r="E455" s="9">
        <f t="shared" ca="1" si="41"/>
        <v>0.45203984652063756</v>
      </c>
      <c r="F455" s="9">
        <f t="shared" ca="1" si="42"/>
        <v>3.6123951258746317E-2</v>
      </c>
      <c r="G455" s="13">
        <f ca="1">IF((Prices!B455-Prices!B454)*B455&gt;0,1,0)</f>
        <v>1</v>
      </c>
      <c r="H455" s="9">
        <f>ABS(Prices!B455-Prices!B454)/Prices!B454</f>
        <v>1.0178117048344935E-3</v>
      </c>
      <c r="I455" s="13"/>
      <c r="J455" s="1">
        <f t="shared" ca="1" si="43"/>
        <v>-3.3424436450891076E-2</v>
      </c>
      <c r="K455" s="9"/>
      <c r="L455" s="9">
        <f ca="1">L454-O455*Prices!B455</f>
        <v>0.7466049417371704</v>
      </c>
      <c r="M455" s="1">
        <f t="shared" ca="1" si="38"/>
        <v>0.21191683468412284</v>
      </c>
      <c r="N455" s="9">
        <f ca="1">IF(Prices!D454&gt;OFFSET(Prices!D454,-$N$3,0),1,IF(Prices!D454&lt;OFFSET(Prices!D454,-$N$3,0),-1,0))</f>
        <v>-1</v>
      </c>
      <c r="O455" s="1">
        <f ca="1">IF(N455=1,O$3*L454/Prices!B454,O$3*M454*N455)</f>
        <v>-2.3546314964902539E-2</v>
      </c>
      <c r="P455" s="14"/>
      <c r="Q455" s="9">
        <f ca="1">Q454-T455*Prices!B455</f>
        <v>0.37335831853675977</v>
      </c>
      <c r="R455" s="1">
        <f t="shared" ca="1" si="39"/>
        <v>0.48402795281343852</v>
      </c>
      <c r="S455" s="9">
        <f ca="1">IF(Prices!C454&lt;OFFSET(Prices!C454,-S$3,0),1,IF(Prices!C454&gt;OFFSET(Prices!C454,-S$3,0),-1,0))</f>
        <v>-1</v>
      </c>
      <c r="T455" s="1">
        <f ca="1">IF(S455=1,T$3*Q454/Prices!B454,T$3*R454*S455)</f>
        <v>-9.8781214859885412E-3</v>
      </c>
    </row>
    <row r="456" spans="1:20" x14ac:dyDescent="0.2">
      <c r="A456" s="4">
        <v>34144</v>
      </c>
      <c r="B456" s="9">
        <f ca="1">Prices!B455*(1+J456/(50*(ABS(O456)+ABS(T456)+0.0001)))</f>
        <v>1.156672210174259</v>
      </c>
      <c r="C456" s="13">
        <f t="shared" ca="1" si="40"/>
        <v>-1</v>
      </c>
      <c r="D456" s="9">
        <f ca="1">D455+C456*(Prices!B456-Prices!B455)/Prices!B455</f>
        <v>-0.40481608167097455</v>
      </c>
      <c r="E456" s="9">
        <f t="shared" ca="1" si="41"/>
        <v>0.44094003292972084</v>
      </c>
      <c r="F456" s="9">
        <f t="shared" ca="1" si="42"/>
        <v>3.6123951258746317E-2</v>
      </c>
      <c r="G456" s="13">
        <f ca="1">IF((Prices!B456-Prices!B455)*B456&gt;0,1,0)</f>
        <v>0</v>
      </c>
      <c r="H456" s="9">
        <f>ABS(Prices!B456-Prices!B455)/Prices!B455</f>
        <v>1.1099813590916701E-2</v>
      </c>
      <c r="I456" s="13"/>
      <c r="J456" s="1">
        <f t="shared" ca="1" si="43"/>
        <v>-3.0872242524681057E-2</v>
      </c>
      <c r="K456" s="9"/>
      <c r="L456" s="9">
        <f ca="1">L455-O456*Prices!B456</f>
        <v>0.77133775551315442</v>
      </c>
      <c r="M456" s="1">
        <f t="shared" ca="1" si="38"/>
        <v>0.19072515121571054</v>
      </c>
      <c r="N456" s="9">
        <f ca="1">IF(Prices!D455&gt;OFFSET(Prices!D455,-$N$3,0),1,IF(Prices!D455&lt;OFFSET(Prices!D455,-$N$3,0),-1,0))</f>
        <v>-1</v>
      </c>
      <c r="O456" s="1">
        <f ca="1">IF(N456=1,O$3*L455/Prices!B455,O$3*M455*N456)</f>
        <v>-2.1191683468412284E-2</v>
      </c>
      <c r="P456" s="14"/>
      <c r="Q456" s="9">
        <f ca="1">Q455-T456*Prices!B456</f>
        <v>0.38465649901133103</v>
      </c>
      <c r="R456" s="1">
        <f t="shared" ca="1" si="39"/>
        <v>0.47434739375716978</v>
      </c>
      <c r="S456" s="9">
        <f ca="1">IF(Prices!C455&lt;OFFSET(Prices!C455,-S$3,0),1,IF(Prices!C455&gt;OFFSET(Prices!C455,-S$3,0),-1,0))</f>
        <v>-1</v>
      </c>
      <c r="T456" s="1">
        <f ca="1">IF(S456=1,T$3*Q455/Prices!B455,T$3*R455*S456)</f>
        <v>-9.6805590562687709E-3</v>
      </c>
    </row>
    <row r="457" spans="1:20" x14ac:dyDescent="0.2">
      <c r="A457" s="4">
        <v>34145</v>
      </c>
      <c r="B457" s="9">
        <f ca="1">Prices!B456*(1+J457/(50*(ABS(O457)+ABS(T457)+0.0001)))</f>
        <v>1.1557925153952828</v>
      </c>
      <c r="C457" s="13">
        <f t="shared" ca="1" si="40"/>
        <v>-1</v>
      </c>
      <c r="D457" s="9">
        <f ca="1">D456+C457*(Prices!B457-Prices!B456)/Prices!B456</f>
        <v>-0.41175636099579677</v>
      </c>
      <c r="E457" s="9">
        <f t="shared" ca="1" si="41"/>
        <v>0.44788031225454306</v>
      </c>
      <c r="F457" s="9">
        <f t="shared" ca="1" si="42"/>
        <v>3.6123951258746317E-2</v>
      </c>
      <c r="G457" s="13">
        <f ca="1">IF((Prices!B457-Prices!B456)*B457&gt;0,1,0)</f>
        <v>1</v>
      </c>
      <c r="H457" s="9">
        <f>ABS(Prices!B457-Prices!B456)/Prices!B456</f>
        <v>6.9402793248222053E-3</v>
      </c>
      <c r="I457" s="13"/>
      <c r="J457" s="1">
        <f t="shared" ca="1" si="43"/>
        <v>-1.2480852041949242E-2</v>
      </c>
      <c r="K457" s="9"/>
      <c r="L457" s="9">
        <f ca="1">L456-O457*Prices!B457</f>
        <v>0.79375177528402474</v>
      </c>
      <c r="M457" s="1">
        <f t="shared" ca="1" si="38"/>
        <v>0.1716526360941395</v>
      </c>
      <c r="N457" s="9">
        <f ca="1">IF(Prices!D456&gt;OFFSET(Prices!D456,-$N$3,0),1,IF(Prices!D456&lt;OFFSET(Prices!D456,-$N$3,0),-1,0))</f>
        <v>-1</v>
      </c>
      <c r="O457" s="1">
        <f ca="1">IF(N457=1,O$3*L456/Prices!B456,O$3*M456*N457)</f>
        <v>-1.9072515121571057E-2</v>
      </c>
      <c r="P457" s="14"/>
      <c r="Q457" s="9">
        <f ca="1">Q456-T457*Prices!B457</f>
        <v>0.37690997656015945</v>
      </c>
      <c r="R457" s="1">
        <f t="shared" ca="1" si="39"/>
        <v>0.48093905683679161</v>
      </c>
      <c r="S457" s="9">
        <f ca="1">IF(Prices!C456&lt;OFFSET(Prices!C456,-S$3,0),1,IF(Prices!C456&gt;OFFSET(Prices!C456,-S$3,0),-1,0))</f>
        <v>1</v>
      </c>
      <c r="T457" s="1">
        <f ca="1">IF(S457=1,T$3*Q456/Prices!B456,T$3*R456*S457)</f>
        <v>6.5916630796218154E-3</v>
      </c>
    </row>
    <row r="458" spans="1:20" x14ac:dyDescent="0.2">
      <c r="A458" s="4">
        <v>34148</v>
      </c>
      <c r="B458" s="9">
        <f ca="1">Prices!B457*(1+J458/(50*(ABS(O458)+ABS(T458)+0.0001)))</f>
        <v>1.1645288857549874</v>
      </c>
      <c r="C458" s="13">
        <f t="shared" ca="1" si="40"/>
        <v>-1</v>
      </c>
      <c r="D458" s="9">
        <f ca="1">D457+C458*(Prices!B458-Prices!B457)/Prices!B457</f>
        <v>-0.40886323642125622</v>
      </c>
      <c r="E458" s="9">
        <f t="shared" ca="1" si="41"/>
        <v>0.44498718768000256</v>
      </c>
      <c r="F458" s="9">
        <f t="shared" ca="1" si="42"/>
        <v>3.6123951258746317E-2</v>
      </c>
      <c r="G458" s="13">
        <f ca="1">IF((Prices!B458-Prices!B457)*B458&gt;0,1,0)</f>
        <v>0</v>
      </c>
      <c r="H458" s="9">
        <f>ABS(Prices!B458-Prices!B457)/Prices!B457</f>
        <v>2.8931245745405631E-3</v>
      </c>
      <c r="I458" s="13"/>
      <c r="J458" s="1">
        <f t="shared" ca="1" si="43"/>
        <v>-1.0750866458968758E-2</v>
      </c>
      <c r="K458" s="9"/>
      <c r="L458" s="9">
        <f ca="1">L457-O458*Prices!B458</f>
        <v>0.813866031181536</v>
      </c>
      <c r="M458" s="1">
        <f t="shared" ca="1" si="38"/>
        <v>0.15448737248472555</v>
      </c>
      <c r="N458" s="9">
        <f ca="1">IF(Prices!D457&gt;OFFSET(Prices!D457,-$N$3,0),1,IF(Prices!D457&lt;OFFSET(Prices!D457,-$N$3,0),-1,0))</f>
        <v>-1</v>
      </c>
      <c r="O458" s="1">
        <f ca="1">IF(N458=1,O$3*L457/Prices!B457,O$3*M457*N458)</f>
        <v>-1.716526360941395E-2</v>
      </c>
      <c r="P458" s="14"/>
      <c r="Q458" s="9">
        <f ca="1">Q457-T458*Prices!B458</f>
        <v>0.3693935859792678</v>
      </c>
      <c r="R458" s="1">
        <f t="shared" ca="1" si="39"/>
        <v>0.48735345398723678</v>
      </c>
      <c r="S458" s="9">
        <f ca="1">IF(Prices!C457&lt;OFFSET(Prices!C457,-S$3,0),1,IF(Prices!C457&gt;OFFSET(Prices!C457,-S$3,0),-1,0))</f>
        <v>1</v>
      </c>
      <c r="T458" s="1">
        <f ca="1">IF(S458=1,T$3*Q457/Prices!B457,T$3*R457*S458)</f>
        <v>6.4143971504451915E-3</v>
      </c>
    </row>
    <row r="459" spans="1:20" x14ac:dyDescent="0.2">
      <c r="A459" s="4">
        <v>34149</v>
      </c>
      <c r="B459" s="9">
        <f ca="1">Prices!B458*(1+J459/(50*(ABS(O459)+ABS(T459)+0.0001)))</f>
        <v>1.1619938094995785</v>
      </c>
      <c r="C459" s="13">
        <f t="shared" ca="1" si="40"/>
        <v>-1</v>
      </c>
      <c r="D459" s="9">
        <f ca="1">D458+C459*(Prices!B459-Prices!B458)/Prices!B458</f>
        <v>-0.41679974435776423</v>
      </c>
      <c r="E459" s="9">
        <f t="shared" ca="1" si="41"/>
        <v>0.45292369561651058</v>
      </c>
      <c r="F459" s="9">
        <f t="shared" ca="1" si="42"/>
        <v>3.6123951258746317E-2</v>
      </c>
      <c r="G459" s="13">
        <f ca="1">IF((Prices!B459-Prices!B458)*B459&gt;0,1,0)</f>
        <v>1</v>
      </c>
      <c r="H459" s="9">
        <f>ABS(Prices!B459-Prices!B458)/Prices!B458</f>
        <v>7.9365079365080107E-3</v>
      </c>
      <c r="I459" s="13"/>
      <c r="J459" s="1">
        <f t="shared" ca="1" si="43"/>
        <v>-9.1440165456347366E-3</v>
      </c>
      <c r="K459" s="9"/>
      <c r="L459" s="9">
        <f ca="1">L458-O459*Prices!B459</f>
        <v>0.8321125347457069</v>
      </c>
      <c r="M459" s="1">
        <f t="shared" ca="1" si="38"/>
        <v>0.13903863523625298</v>
      </c>
      <c r="N459" s="9">
        <f ca="1">IF(Prices!D458&gt;OFFSET(Prices!D458,-$N$3,0),1,IF(Prices!D458&lt;OFFSET(Prices!D458,-$N$3,0),-1,0))</f>
        <v>-1</v>
      </c>
      <c r="O459" s="1">
        <f ca="1">IF(N459=1,O$3*L458/Prices!B458,O$3*M458*N459)</f>
        <v>-1.5448737248472556E-2</v>
      </c>
      <c r="P459" s="14"/>
      <c r="Q459" s="9">
        <f ca="1">Q458-T459*Prices!B459</f>
        <v>0.36194708035714607</v>
      </c>
      <c r="R459" s="1">
        <f t="shared" ca="1" si="39"/>
        <v>0.49365817469007461</v>
      </c>
      <c r="S459" s="9">
        <f ca="1">IF(Prices!C458&lt;OFFSET(Prices!C458,-S$3,0),1,IF(Prices!C458&gt;OFFSET(Prices!C458,-S$3,0),-1,0))</f>
        <v>1</v>
      </c>
      <c r="T459" s="1">
        <f ca="1">IF(S459=1,T$3*Q458/Prices!B458,T$3*R458*S459)</f>
        <v>6.304720702837819E-3</v>
      </c>
    </row>
    <row r="460" spans="1:20" x14ac:dyDescent="0.2">
      <c r="A460" s="4">
        <v>34150</v>
      </c>
      <c r="B460" s="9">
        <f ca="1">Prices!B459*(1+J460/(50*(ABS(O460)+ABS(T460)+0.0001)))</f>
        <v>1.1719776817301637</v>
      </c>
      <c r="C460" s="13">
        <f t="shared" ca="1" si="40"/>
        <v>-1</v>
      </c>
      <c r="D460" s="9">
        <f ca="1">D459+C460*(Prices!B460-Prices!B459)/Prices!B459</f>
        <v>-0.4098570638057365</v>
      </c>
      <c r="E460" s="9">
        <f t="shared" ca="1" si="41"/>
        <v>0.44598101506448284</v>
      </c>
      <c r="F460" s="9">
        <f t="shared" ca="1" si="42"/>
        <v>3.6123951258746317E-2</v>
      </c>
      <c r="G460" s="13">
        <f ca="1">IF((Prices!B460-Prices!B459)*B460&gt;0,1,0)</f>
        <v>0</v>
      </c>
      <c r="H460" s="9">
        <f>ABS(Prices!B460-Prices!B459)/Prices!B459</f>
        <v>6.9426805520277583E-3</v>
      </c>
      <c r="I460" s="13"/>
      <c r="J460" s="1">
        <f t="shared" ca="1" si="43"/>
        <v>-7.7748807049453214E-3</v>
      </c>
      <c r="K460" s="9"/>
      <c r="L460" s="9">
        <f ca="1">L459-O460*Prices!B460</f>
        <v>0.84842037627256706</v>
      </c>
      <c r="M460" s="1">
        <f t="shared" ca="1" si="38"/>
        <v>0.12513477171262768</v>
      </c>
      <c r="N460" s="9">
        <f ca="1">IF(Prices!D459&gt;OFFSET(Prices!D459,-$N$3,0),1,IF(Prices!D459&lt;OFFSET(Prices!D459,-$N$3,0),-1,0))</f>
        <v>-1</v>
      </c>
      <c r="O460" s="1">
        <f ca="1">IF(N460=1,O$3*L459/Prices!B459,O$3*M459*N460)</f>
        <v>-1.3903863523625298E-2</v>
      </c>
      <c r="P460" s="14"/>
      <c r="Q460" s="9">
        <f ca="1">Q459-T460*Prices!B460</f>
        <v>0.35475839640911633</v>
      </c>
      <c r="R460" s="1">
        <f t="shared" ca="1" si="39"/>
        <v>0.49978715750875458</v>
      </c>
      <c r="S460" s="9">
        <f ca="1">IF(Prices!C459&lt;OFFSET(Prices!C459,-S$3,0),1,IF(Prices!C459&gt;OFFSET(Prices!C459,-S$3,0),-1,0))</f>
        <v>1</v>
      </c>
      <c r="T460" s="1">
        <f ca="1">IF(S460=1,T$3*Q459/Prices!B459,T$3*R459*S460)</f>
        <v>6.1289828186799769E-3</v>
      </c>
    </row>
    <row r="461" spans="1:20" x14ac:dyDescent="0.2">
      <c r="A461" s="4">
        <v>34151</v>
      </c>
      <c r="B461" s="9">
        <f ca="1">Prices!B460*(1+J461/(50*(ABS(O461)+ABS(T461)+0.0001)))</f>
        <v>1.1959765227217412</v>
      </c>
      <c r="C461" s="13">
        <f t="shared" ca="1" si="40"/>
        <v>1</v>
      </c>
      <c r="D461" s="9">
        <f ca="1">D460+C461*(Prices!B461-Prices!B460)/Prices!B460</f>
        <v>-0.40755507727662071</v>
      </c>
      <c r="E461" s="9">
        <f t="shared" ca="1" si="41"/>
        <v>0.443679028535367</v>
      </c>
      <c r="F461" s="9">
        <f t="shared" ca="1" si="42"/>
        <v>3.6123951258746317E-2</v>
      </c>
      <c r="G461" s="13">
        <f ca="1">IF((Prices!B461-Prices!B460)*B461&gt;0,1,0)</f>
        <v>1</v>
      </c>
      <c r="H461" s="9">
        <f>ABS(Prices!B461-Prices!B460)/Prices!B460</f>
        <v>2.3019865291158022E-3</v>
      </c>
      <c r="I461" s="13"/>
      <c r="J461" s="1">
        <f t="shared" ca="1" si="43"/>
        <v>6.0492522194409808E-3</v>
      </c>
      <c r="K461" s="9"/>
      <c r="L461" s="9">
        <f ca="1">L460-O461*Prices!B461</f>
        <v>0.84842037627256706</v>
      </c>
      <c r="M461" s="1">
        <f t="shared" ca="1" si="38"/>
        <v>0.12513477171262768</v>
      </c>
      <c r="N461" s="9">
        <f ca="1">IF(Prices!D460&gt;OFFSET(Prices!D460,-$N$3,0),1,IF(Prices!D460&lt;OFFSET(Prices!D460,-$N$3,0),-1,0))</f>
        <v>0</v>
      </c>
      <c r="O461" s="1">
        <f ca="1">IF(N461=1,O$3*L460/Prices!B460,O$3*M460*N461)</f>
        <v>0</v>
      </c>
      <c r="P461" s="14"/>
      <c r="Q461" s="9">
        <f ca="1">Q460-T461*Prices!B461</f>
        <v>0.34764689549994149</v>
      </c>
      <c r="R461" s="1">
        <f t="shared" ca="1" si="39"/>
        <v>0.50583640972819555</v>
      </c>
      <c r="S461" s="9">
        <f ca="1">IF(Prices!C460&lt;OFFSET(Prices!C460,-S$3,0),1,IF(Prices!C460&gt;OFFSET(Prices!C460,-S$3,0),-1,0))</f>
        <v>1</v>
      </c>
      <c r="T461" s="1">
        <f ca="1">IF(S461=1,T$3*Q460/Prices!B460,T$3*R460*S461)</f>
        <v>6.0492522194409808E-3</v>
      </c>
    </row>
    <row r="462" spans="1:20" x14ac:dyDescent="0.2">
      <c r="A462" s="4">
        <v>34152</v>
      </c>
      <c r="B462" s="9">
        <f ca="1">Prices!B461*(1+J462/(50*(ABS(O462)+ABS(T462)+0.0001)))</f>
        <v>1.1933090600824219</v>
      </c>
      <c r="C462" s="13">
        <f t="shared" ca="1" si="40"/>
        <v>1</v>
      </c>
      <c r="D462" s="9">
        <f ca="1">D461+C462*(Prices!B462-Prices!B461)/Prices!B461</f>
        <v>-0.40789532906294257</v>
      </c>
      <c r="E462" s="9">
        <f t="shared" ca="1" si="41"/>
        <v>0.44401928032168891</v>
      </c>
      <c r="F462" s="9">
        <f t="shared" ca="1" si="42"/>
        <v>3.6123951258746317E-2</v>
      </c>
      <c r="G462" s="13">
        <f ca="1">IF((Prices!B462-Prices!B461)*B462&gt;0,1,0)</f>
        <v>0</v>
      </c>
      <c r="H462" s="9">
        <f>ABS(Prices!B462-Prices!B461)/Prices!B461</f>
        <v>3.4025178632184072E-4</v>
      </c>
      <c r="I462" s="13"/>
      <c r="J462" s="1">
        <f t="shared" ca="1" si="43"/>
        <v>6.2052408950091342E-2</v>
      </c>
      <c r="K462" s="9"/>
      <c r="L462" s="9">
        <f ca="1">L461-O462*Prices!B462</f>
        <v>0.76360720630016821</v>
      </c>
      <c r="M462" s="1">
        <f t="shared" ca="1" si="38"/>
        <v>0.19730390885728294</v>
      </c>
      <c r="N462" s="9">
        <f ca="1">IF(Prices!D461&gt;OFFSET(Prices!D461,-$N$3,0),1,IF(Prices!D461&lt;OFFSET(Prices!D461,-$N$3,0),-1,0))</f>
        <v>1</v>
      </c>
      <c r="O462" s="1">
        <f ca="1">IF(N462=1,O$3*L461/Prices!B461,O$3*M461*N462)</f>
        <v>7.2169137144655254E-2</v>
      </c>
      <c r="P462" s="14"/>
      <c r="Q462" s="9">
        <f ca="1">Q461-T462*Prices!B462</f>
        <v>0.359536074474193</v>
      </c>
      <c r="R462" s="1">
        <f t="shared" ca="1" si="39"/>
        <v>0.49571968153363166</v>
      </c>
      <c r="S462" s="9">
        <f ca="1">IF(Prices!C461&lt;OFFSET(Prices!C461,-S$3,0),1,IF(Prices!C461&gt;OFFSET(Prices!C461,-S$3,0),-1,0))</f>
        <v>-1</v>
      </c>
      <c r="T462" s="1">
        <f ca="1">IF(S462=1,T$3*Q461/Prices!B461,T$3*R461*S462)</f>
        <v>-1.011672819456391E-2</v>
      </c>
    </row>
    <row r="463" spans="1:20" x14ac:dyDescent="0.2">
      <c r="A463" s="4">
        <v>34155</v>
      </c>
      <c r="B463" s="9">
        <f ca="1">Prices!B462*(1+J463/(50*(ABS(O463)+ABS(T463)+0.0001)))</f>
        <v>1.1517750188948488</v>
      </c>
      <c r="C463" s="13">
        <f t="shared" ca="1" si="40"/>
        <v>-1</v>
      </c>
      <c r="D463" s="9">
        <f ca="1">D462+C463*(Prices!B463-Prices!B462)/Prices!B462</f>
        <v>-0.40729968576818432</v>
      </c>
      <c r="E463" s="9">
        <f t="shared" ca="1" si="41"/>
        <v>0.44342363702693066</v>
      </c>
      <c r="F463" s="9">
        <f t="shared" ca="1" si="42"/>
        <v>3.6123951258746317E-2</v>
      </c>
      <c r="G463" s="13">
        <f ca="1">IF((Prices!B463-Prices!B462)*B463&gt;0,1,0)</f>
        <v>0</v>
      </c>
      <c r="H463" s="9">
        <f>ABS(Prices!B463-Prices!B462)/Prices!B462</f>
        <v>5.9564329475827343E-4</v>
      </c>
      <c r="I463" s="13"/>
      <c r="J463" s="1">
        <f t="shared" ca="1" si="43"/>
        <v>-2.9644784516400929E-2</v>
      </c>
      <c r="K463" s="9"/>
      <c r="L463" s="9">
        <f ca="1">L462-O463*Prices!B463</f>
        <v>0.78678055039545614</v>
      </c>
      <c r="M463" s="1">
        <f t="shared" ca="1" si="38"/>
        <v>0.17757351797155463</v>
      </c>
      <c r="N463" s="9">
        <f ca="1">IF(Prices!D462&gt;OFFSET(Prices!D462,-$N$3,0),1,IF(Prices!D462&lt;OFFSET(Prices!D462,-$N$3,0),-1,0))</f>
        <v>-1</v>
      </c>
      <c r="O463" s="1">
        <f ca="1">IF(N463=1,O$3*L462/Prices!B462,O$3*M462*N463)</f>
        <v>-1.9730390885728297E-2</v>
      </c>
      <c r="P463" s="14"/>
      <c r="Q463" s="9">
        <f ca="1">Q462-T463*Prices!B463</f>
        <v>0.37118052979341803</v>
      </c>
      <c r="R463" s="1">
        <f t="shared" ca="1" si="39"/>
        <v>0.48580528790295902</v>
      </c>
      <c r="S463" s="9">
        <f ca="1">IF(Prices!C462&lt;OFFSET(Prices!C462,-S$3,0),1,IF(Prices!C462&gt;OFFSET(Prices!C462,-S$3,0),-1,0))</f>
        <v>-1</v>
      </c>
      <c r="T463" s="1">
        <f ca="1">IF(S463=1,T$3*Q462/Prices!B462,T$3*R462*S463)</f>
        <v>-9.9143936306726327E-3</v>
      </c>
    </row>
    <row r="464" spans="1:20" x14ac:dyDescent="0.2">
      <c r="A464" s="4">
        <v>34156</v>
      </c>
      <c r="B464" s="9">
        <f ca="1">Prices!B463*(1+J464/(50*(ABS(O464)+ABS(T464)+0.0001)))</f>
        <v>1.1510951906220066</v>
      </c>
      <c r="C464" s="13">
        <f t="shared" ca="1" si="40"/>
        <v>-1</v>
      </c>
      <c r="D464" s="9">
        <f ca="1">D463+C464*(Prices!B464-Prices!B463)/Prices!B463</f>
        <v>-0.40491569257959331</v>
      </c>
      <c r="E464" s="9">
        <f t="shared" ca="1" si="41"/>
        <v>0.4410396438383396</v>
      </c>
      <c r="F464" s="9">
        <f t="shared" ca="1" si="42"/>
        <v>3.6123951258746317E-2</v>
      </c>
      <c r="G464" s="13">
        <f ca="1">IF((Prices!B464-Prices!B463)*B464&gt;0,1,0)</f>
        <v>0</v>
      </c>
      <c r="H464" s="9">
        <f>ABS(Prices!B464-Prices!B463)/Prices!B463</f>
        <v>2.3839931885910053E-3</v>
      </c>
      <c r="I464" s="13"/>
      <c r="J464" s="1">
        <f t="shared" ca="1" si="43"/>
        <v>-2.7473457555214645E-2</v>
      </c>
      <c r="K464" s="9"/>
      <c r="L464" s="9">
        <f ca="1">L463-O464*Prices!B464</f>
        <v>0.80758683949618315</v>
      </c>
      <c r="M464" s="1">
        <f t="shared" ca="1" si="38"/>
        <v>0.15981616617439917</v>
      </c>
      <c r="N464" s="9">
        <f ca="1">IF(Prices!D463&gt;OFFSET(Prices!D463,-$N$3,0),1,IF(Prices!D463&lt;OFFSET(Prices!D463,-$N$3,0),-1,0))</f>
        <v>-1</v>
      </c>
      <c r="O464" s="1">
        <f ca="1">IF(N464=1,O$3*L463/Prices!B463,O$3*M463*N464)</f>
        <v>-1.7757351797155464E-2</v>
      </c>
      <c r="P464" s="14"/>
      <c r="Q464" s="9">
        <f ca="1">Q463-T464*Prices!B464</f>
        <v>0.38256489091013596</v>
      </c>
      <c r="R464" s="1">
        <f t="shared" ca="1" si="39"/>
        <v>0.47608918214489981</v>
      </c>
      <c r="S464" s="9">
        <f ca="1">IF(Prices!C463&lt;OFFSET(Prices!C463,-S$3,0),1,IF(Prices!C463&gt;OFFSET(Prices!C463,-S$3,0),-1,0))</f>
        <v>-1</v>
      </c>
      <c r="T464" s="1">
        <f ca="1">IF(S464=1,T$3*Q463/Prices!B463,T$3*R463*S464)</f>
        <v>-9.7161057580591806E-3</v>
      </c>
    </row>
    <row r="465" spans="1:20" x14ac:dyDescent="0.2">
      <c r="A465" s="4">
        <v>34157</v>
      </c>
      <c r="B465" s="9">
        <f ca="1">Prices!B464*(1+J465/(50*(ABS(O465)+ABS(T465)+0.0001)))</f>
        <v>1.1894225763742907</v>
      </c>
      <c r="C465" s="13">
        <f t="shared" ca="1" si="40"/>
        <v>1</v>
      </c>
      <c r="D465" s="9">
        <f ca="1">D464+C465*(Prices!B465-Prices!B464)/Prices!B464</f>
        <v>-0.40611053767646116</v>
      </c>
      <c r="E465" s="9">
        <f t="shared" ca="1" si="41"/>
        <v>0.44223448893520745</v>
      </c>
      <c r="F465" s="9">
        <f t="shared" ca="1" si="42"/>
        <v>3.6123951258746317E-2</v>
      </c>
      <c r="G465" s="13">
        <f ca="1">IF((Prices!B465-Prices!B464)*B465&gt;0,1,0)</f>
        <v>0</v>
      </c>
      <c r="H465" s="9">
        <f>ABS(Prices!B465-Prices!B464)/Prices!B464</f>
        <v>1.1948450968678568E-3</v>
      </c>
      <c r="I465" s="13"/>
      <c r="J465" s="1">
        <f t="shared" ca="1" si="43"/>
        <v>5.9402586033314629E-2</v>
      </c>
      <c r="K465" s="9"/>
      <c r="L465" s="9">
        <f ca="1">L464-O465*Prices!B465</f>
        <v>0.72692464966411152</v>
      </c>
      <c r="M465" s="1">
        <f t="shared" ca="1" si="38"/>
        <v>0.2287405358506118</v>
      </c>
      <c r="N465" s="9">
        <f ca="1">IF(Prices!D464&gt;OFFSET(Prices!D464,-$N$3,0),1,IF(Prices!D464&lt;OFFSET(Prices!D464,-$N$3,0),-1,0))</f>
        <v>1</v>
      </c>
      <c r="O465" s="1">
        <f ca="1">IF(N465=1,O$3*L464/Prices!B464,O$3*M464*N465)</f>
        <v>6.8924369676212627E-2</v>
      </c>
      <c r="P465" s="14"/>
      <c r="Q465" s="9">
        <f ca="1">Q464-T465*Prices!B465</f>
        <v>0.39370823430741947</v>
      </c>
      <c r="R465" s="1">
        <f t="shared" ca="1" si="39"/>
        <v>0.4665673985020018</v>
      </c>
      <c r="S465" s="9">
        <f ca="1">IF(Prices!C464&lt;OFFSET(Prices!C464,-S$3,0),1,IF(Prices!C464&gt;OFFSET(Prices!C464,-S$3,0),-1,0))</f>
        <v>-1</v>
      </c>
      <c r="T465" s="1">
        <f ca="1">IF(S465=1,T$3*Q464/Prices!B464,T$3*R464*S465)</f>
        <v>-9.5217836428979959E-3</v>
      </c>
    </row>
    <row r="466" spans="1:20" x14ac:dyDescent="0.2">
      <c r="A466" s="4">
        <v>34158</v>
      </c>
      <c r="B466" s="9">
        <f ca="1">Prices!B465*(1+J466/(50*(ABS(O466)+ABS(T466)+0.0001)))</f>
        <v>1.1875678329578976</v>
      </c>
      <c r="C466" s="13">
        <f t="shared" ca="1" si="40"/>
        <v>1</v>
      </c>
      <c r="D466" s="9">
        <f ca="1">D465+C466*(Prices!B466-Prices!B465)/Prices!B465</f>
        <v>-0.41209190997416251</v>
      </c>
      <c r="E466" s="9">
        <f t="shared" ca="1" si="41"/>
        <v>0.4482158612329088</v>
      </c>
      <c r="F466" s="9">
        <f t="shared" ca="1" si="42"/>
        <v>3.6123951258746317E-2</v>
      </c>
      <c r="G466" s="13">
        <f ca="1">IF((Prices!B466-Prices!B465)*B466&gt;0,1,0)</f>
        <v>0</v>
      </c>
      <c r="H466" s="9">
        <f>ABS(Prices!B466-Prices!B465)/Prices!B465</f>
        <v>5.9813722977013553E-3</v>
      </c>
      <c r="I466" s="13"/>
      <c r="J466" s="1">
        <f t="shared" ca="1" si="43"/>
        <v>5.2783037201634887E-2</v>
      </c>
      <c r="K466" s="9"/>
      <c r="L466" s="9">
        <f ca="1">L465-O466*Prices!B466</f>
        <v>0.65466698539390211</v>
      </c>
      <c r="M466" s="1">
        <f t="shared" ref="M466:M529" ca="1" si="44">M465+O466</f>
        <v>0.29085492102228672</v>
      </c>
      <c r="N466" s="9">
        <f ca="1">IF(Prices!D465&gt;OFFSET(Prices!D465,-$N$3,0),1,IF(Prices!D465&lt;OFFSET(Prices!D465,-$N$3,0),-1,0))</f>
        <v>1</v>
      </c>
      <c r="O466" s="1">
        <f ca="1">IF(N466=1,O$3*L465/Prices!B465,O$3*M465*N466)</f>
        <v>6.2114385171674925E-2</v>
      </c>
      <c r="P466" s="14"/>
      <c r="Q466" s="9">
        <f ca="1">Q465-T466*Prices!B466</f>
        <v>0.40456339140096703</v>
      </c>
      <c r="R466" s="1">
        <f t="shared" ref="R466:R529" ca="1" si="45">R465+T466</f>
        <v>0.45723605053196176</v>
      </c>
      <c r="S466" s="9">
        <f ca="1">IF(Prices!C465&lt;OFFSET(Prices!C465,-S$3,0),1,IF(Prices!C465&gt;OFFSET(Prices!C465,-S$3,0),-1,0))</f>
        <v>-1</v>
      </c>
      <c r="T466" s="1">
        <f ca="1">IF(S466=1,T$3*Q465/Prices!B465,T$3*R465*S466)</f>
        <v>-9.3313479700400364E-3</v>
      </c>
    </row>
    <row r="467" spans="1:20" x14ac:dyDescent="0.2">
      <c r="A467" s="4">
        <v>34159</v>
      </c>
      <c r="B467" s="9">
        <f ca="1">Prices!B466*(1+J467/(50*(ABS(O467)+ABS(T467)+0.0001)))</f>
        <v>1.1401137176895921</v>
      </c>
      <c r="C467" s="13">
        <f t="shared" ca="1" si="40"/>
        <v>-1</v>
      </c>
      <c r="D467" s="9">
        <f ca="1">D466+C467*(Prices!B467-Prices!B466)/Prices!B466</f>
        <v>-0.40297990103407832</v>
      </c>
      <c r="E467" s="9">
        <f t="shared" ca="1" si="41"/>
        <v>0.43910385229282467</v>
      </c>
      <c r="F467" s="9">
        <f t="shared" ca="1" si="42"/>
        <v>3.6123951258746317E-2</v>
      </c>
      <c r="G467" s="13">
        <f ca="1">IF((Prices!B467-Prices!B466)*B467&gt;0,1,0)</f>
        <v>0</v>
      </c>
      <c r="H467" s="9">
        <f>ABS(Prices!B467-Prices!B466)/Prices!B466</f>
        <v>9.1120089400841941E-3</v>
      </c>
      <c r="I467" s="13"/>
      <c r="J467" s="1">
        <f t="shared" ca="1" si="43"/>
        <v>-2.9085492102228674E-2</v>
      </c>
      <c r="K467" s="9"/>
      <c r="L467" s="9">
        <f ca="1">L466-O467*Prices!B467</f>
        <v>0.68819383214014107</v>
      </c>
      <c r="M467" s="1">
        <f t="shared" ca="1" si="44"/>
        <v>0.26176942892005806</v>
      </c>
      <c r="N467" s="9">
        <f ca="1">IF(Prices!D466&gt;OFFSET(Prices!D466,-$N$3,0),1,IF(Prices!D466&lt;OFFSET(Prices!D466,-$N$3,0),-1,0))</f>
        <v>-1</v>
      </c>
      <c r="O467" s="1">
        <f ca="1">IF(N467=1,O$3*L466/Prices!B466,O$3*M466*N467)</f>
        <v>-2.9085492102228674E-2</v>
      </c>
      <c r="P467" s="14"/>
      <c r="Q467" s="9">
        <f ca="1">Q466-T467*Prices!B467</f>
        <v>0.40456339140096703</v>
      </c>
      <c r="R467" s="1">
        <f t="shared" ca="1" si="45"/>
        <v>0.45723605053196176</v>
      </c>
      <c r="S467" s="9">
        <f ca="1">IF(Prices!C466&lt;OFFSET(Prices!C466,-S$3,0),1,IF(Prices!C466&gt;OFFSET(Prices!C466,-S$3,0),-1,0))</f>
        <v>0</v>
      </c>
      <c r="T467" s="1">
        <f ca="1">IF(S467=1,T$3*Q466/Prices!B466,T$3*R466*S467)</f>
        <v>0</v>
      </c>
    </row>
    <row r="468" spans="1:20" x14ac:dyDescent="0.2">
      <c r="A468" s="4">
        <v>34162</v>
      </c>
      <c r="B468" s="9">
        <f ca="1">Prices!B467*(1+J468/(50*(ABS(O468)+ABS(T468)+0.0001)))</f>
        <v>1.1297110844637435</v>
      </c>
      <c r="C468" s="13">
        <f t="shared" ca="1" si="40"/>
        <v>-1</v>
      </c>
      <c r="D468" s="9">
        <f ca="1">D467+C468*(Prices!B468-Prices!B467)/Prices!B467</f>
        <v>-0.39751447204127882</v>
      </c>
      <c r="E468" s="9">
        <f t="shared" ca="1" si="41"/>
        <v>0.43363842330002511</v>
      </c>
      <c r="F468" s="9">
        <f t="shared" ca="1" si="42"/>
        <v>3.6123951258746317E-2</v>
      </c>
      <c r="G468" s="13">
        <f ca="1">IF((Prices!B468-Prices!B467)*B468&gt;0,1,0)</f>
        <v>0</v>
      </c>
      <c r="H468" s="9">
        <f>ABS(Prices!B468-Prices!B467)/Prices!B467</f>
        <v>5.4654289927994898E-3</v>
      </c>
      <c r="I468" s="13"/>
      <c r="J468" s="1">
        <f t="shared" ca="1" si="43"/>
        <v>-3.5321663902645045E-2</v>
      </c>
      <c r="K468" s="9"/>
      <c r="L468" s="9">
        <f ca="1">L467-O468*Prices!B468</f>
        <v>0.7182030794715365</v>
      </c>
      <c r="M468" s="1">
        <f t="shared" ca="1" si="44"/>
        <v>0.23559248602805224</v>
      </c>
      <c r="N468" s="9">
        <f ca="1">IF(Prices!D467&gt;OFFSET(Prices!D467,-$N$3,0),1,IF(Prices!D467&lt;OFFSET(Prices!D467,-$N$3,0),-1,0))</f>
        <v>-1</v>
      </c>
      <c r="O468" s="1">
        <f ca="1">IF(N468=1,O$3*L467/Prices!B467,O$3*M467*N468)</f>
        <v>-2.6176942892005808E-2</v>
      </c>
      <c r="P468" s="14"/>
      <c r="Q468" s="9">
        <f ca="1">Q467-T468*Prices!B468</f>
        <v>0.41504689956756385</v>
      </c>
      <c r="R468" s="1">
        <f t="shared" ca="1" si="45"/>
        <v>0.44809132952132252</v>
      </c>
      <c r="S468" s="9">
        <f ca="1">IF(Prices!C467&lt;OFFSET(Prices!C467,-S$3,0),1,IF(Prices!C467&gt;OFFSET(Prices!C467,-S$3,0),-1,0))</f>
        <v>-1</v>
      </c>
      <c r="T468" s="1">
        <f ca="1">IF(S468=1,T$3*Q467/Prices!B467,T$3*R467*S468)</f>
        <v>-9.1447210106392358E-3</v>
      </c>
    </row>
    <row r="469" spans="1:20" x14ac:dyDescent="0.2">
      <c r="A469" s="4">
        <v>34163</v>
      </c>
      <c r="B469" s="9">
        <f ca="1">Prices!B468*(1+J469/(50*(ABS(O469)+ABS(T469)+0.0001)))</f>
        <v>1.1235422858500654</v>
      </c>
      <c r="C469" s="13">
        <f t="shared" ca="1" si="40"/>
        <v>-1</v>
      </c>
      <c r="D469" s="9">
        <f ca="1">D468+C469*(Prices!B469-Prices!B468)/Prices!B468</f>
        <v>-0.40222486980820121</v>
      </c>
      <c r="E469" s="9">
        <f t="shared" ca="1" si="41"/>
        <v>0.4383488210669475</v>
      </c>
      <c r="F469" s="9">
        <f t="shared" ca="1" si="42"/>
        <v>3.6123951258746317E-2</v>
      </c>
      <c r="G469" s="13">
        <f ca="1">IF((Prices!B469-Prices!B468)*B469&gt;0,1,0)</f>
        <v>1</v>
      </c>
      <c r="H469" s="9">
        <f>ABS(Prices!B469-Prices!B468)/Prices!B468</f>
        <v>4.7103977669224082E-3</v>
      </c>
      <c r="I469" s="13"/>
      <c r="J469" s="1">
        <f t="shared" ca="1" si="43"/>
        <v>-3.2521075193231677E-2</v>
      </c>
      <c r="K469" s="9"/>
      <c r="L469" s="9">
        <f ca="1">L468-O469*Prices!B469</f>
        <v>0.74533862201224754</v>
      </c>
      <c r="M469" s="1">
        <f t="shared" ca="1" si="44"/>
        <v>0.21203323742524702</v>
      </c>
      <c r="N469" s="9">
        <f ca="1">IF(Prices!D468&gt;OFFSET(Prices!D468,-$N$3,0),1,IF(Prices!D468&lt;OFFSET(Prices!D468,-$N$3,0),-1,0))</f>
        <v>-1</v>
      </c>
      <c r="O469" s="1">
        <f ca="1">IF(N469=1,O$3*L468/Prices!B468,O$3*M468*N469)</f>
        <v>-2.3559248602805227E-2</v>
      </c>
      <c r="P469" s="14"/>
      <c r="Q469" s="9">
        <f ca="1">Q468-T469*Prices!B469</f>
        <v>0.42536913143441701</v>
      </c>
      <c r="R469" s="1">
        <f t="shared" ca="1" si="45"/>
        <v>0.43912950293089609</v>
      </c>
      <c r="S469" s="9">
        <f ca="1">IF(Prices!C468&lt;OFFSET(Prices!C468,-S$3,0),1,IF(Prices!C468&gt;OFFSET(Prices!C468,-S$3,0),-1,0))</f>
        <v>-1</v>
      </c>
      <c r="T469" s="1">
        <f ca="1">IF(S469=1,T$3*Q468/Prices!B468,T$3*R468*S469)</f>
        <v>-8.9618265904264499E-3</v>
      </c>
    </row>
    <row r="470" spans="1:20" x14ac:dyDescent="0.2">
      <c r="A470" s="4">
        <v>34164</v>
      </c>
      <c r="B470" s="9">
        <f ca="1">Prices!B469*(1+J470/(50*(ABS(O470)+ABS(T470)+0.0001)))</f>
        <v>1.1693064916075926</v>
      </c>
      <c r="C470" s="13">
        <f t="shared" ca="1" si="40"/>
        <v>1</v>
      </c>
      <c r="D470" s="9">
        <f ca="1">D469+C470*(Prices!B470-Prices!B469)/Prices!B469</f>
        <v>-0.40291943483685194</v>
      </c>
      <c r="E470" s="9">
        <f t="shared" ca="1" si="41"/>
        <v>0.43904338609559823</v>
      </c>
      <c r="F470" s="9">
        <f t="shared" ca="1" si="42"/>
        <v>3.6123951258746317E-2</v>
      </c>
      <c r="G470" s="13">
        <f ca="1">IF((Prices!B470-Prices!B469)*B470&gt;0,1,0)</f>
        <v>0</v>
      </c>
      <c r="H470" s="9">
        <f>ABS(Prices!B470-Prices!B469)/Prices!B469</f>
        <v>6.9456502865073095E-4</v>
      </c>
      <c r="I470" s="13"/>
      <c r="J470" s="1">
        <f t="shared" ca="1" si="43"/>
        <v>5.592817761044333E-2</v>
      </c>
      <c r="K470" s="9"/>
      <c r="L470" s="9">
        <f ca="1">L469-O470*Prices!B470</f>
        <v>0.67085652842515808</v>
      </c>
      <c r="M470" s="1">
        <f t="shared" ca="1" si="44"/>
        <v>0.2767440050943083</v>
      </c>
      <c r="N470" s="9">
        <f ca="1">IF(Prices!D469&gt;OFFSET(Prices!D469,-$N$3,0),1,IF(Prices!D469&lt;OFFSET(Prices!D469,-$N$3,0),-1,0))</f>
        <v>1</v>
      </c>
      <c r="O470" s="1">
        <f ca="1">IF(N470=1,O$3*L469/Prices!B469,O$3*M469*N470)</f>
        <v>6.4710767669061253E-2</v>
      </c>
      <c r="P470" s="14"/>
      <c r="Q470" s="9">
        <f ca="1">Q469-T470*Prices!B470</f>
        <v>0.43547789259188624</v>
      </c>
      <c r="R470" s="1">
        <f t="shared" ca="1" si="45"/>
        <v>0.43034691287227816</v>
      </c>
      <c r="S470" s="9">
        <f ca="1">IF(Prices!C469&lt;OFFSET(Prices!C469,-S$3,0),1,IF(Prices!C469&gt;OFFSET(Prices!C469,-S$3,0),-1,0))</f>
        <v>-1</v>
      </c>
      <c r="T470" s="1">
        <f ca="1">IF(S470=1,T$3*Q469/Prices!B469,T$3*R469*S470)</f>
        <v>-8.7825900586179211E-3</v>
      </c>
    </row>
    <row r="471" spans="1:20" x14ac:dyDescent="0.2">
      <c r="A471" s="4">
        <v>34165</v>
      </c>
      <c r="B471" s="9">
        <f ca="1">Prices!B470*(1+J471/(50*(ABS(O471)+ABS(T471)+0.0001)))</f>
        <v>1.1379027766567011</v>
      </c>
      <c r="C471" s="13">
        <f t="shared" ca="1" si="40"/>
        <v>-1</v>
      </c>
      <c r="D471" s="9">
        <f ca="1">D470+C471*(Prices!B471-Prices!B470)/Prices!B470</f>
        <v>-0.39918355299497532</v>
      </c>
      <c r="E471" s="9">
        <f t="shared" ca="1" si="41"/>
        <v>0.43530750425372167</v>
      </c>
      <c r="F471" s="9">
        <f t="shared" ca="1" si="42"/>
        <v>3.6123951258746317E-2</v>
      </c>
      <c r="G471" s="13">
        <f ca="1">IF((Prices!B471-Prices!B470)*B471&gt;0,1,0)</f>
        <v>0</v>
      </c>
      <c r="H471" s="9">
        <f>ABS(Prices!B471-Prices!B470)/Prices!B470</f>
        <v>3.7358818418766035E-3</v>
      </c>
      <c r="I471" s="13"/>
      <c r="J471" s="1">
        <f t="shared" ca="1" si="43"/>
        <v>-2.0107451897929767E-2</v>
      </c>
      <c r="K471" s="9"/>
      <c r="L471" s="9">
        <f ca="1">L470-O471*Prices!B471</f>
        <v>0.70259076348932248</v>
      </c>
      <c r="M471" s="1">
        <f t="shared" ca="1" si="44"/>
        <v>0.24906960458487748</v>
      </c>
      <c r="N471" s="9">
        <f ca="1">IF(Prices!D470&gt;OFFSET(Prices!D470,-$N$3,0),1,IF(Prices!D470&lt;OFFSET(Prices!D470,-$N$3,0),-1,0))</f>
        <v>-1</v>
      </c>
      <c r="O471" s="1">
        <f ca="1">IF(N471=1,O$3*L470/Prices!B470,O$3*M470*N471)</f>
        <v>-2.7674400509430833E-2</v>
      </c>
      <c r="P471" s="14"/>
      <c r="Q471" s="9">
        <f ca="1">Q470-T471*Prices!B471</f>
        <v>0.42680087261907795</v>
      </c>
      <c r="R471" s="1">
        <f t="shared" ca="1" si="45"/>
        <v>0.43791386148377925</v>
      </c>
      <c r="S471" s="9">
        <f ca="1">IF(Prices!C470&lt;OFFSET(Prices!C470,-S$3,0),1,IF(Prices!C470&gt;OFFSET(Prices!C470,-S$3,0),-1,0))</f>
        <v>1</v>
      </c>
      <c r="T471" s="1">
        <f ca="1">IF(S471=1,T$3*Q470/Prices!B470,T$3*R470*S471)</f>
        <v>7.5669486115010646E-3</v>
      </c>
    </row>
    <row r="472" spans="1:20" x14ac:dyDescent="0.2">
      <c r="A472" s="4">
        <v>34166</v>
      </c>
      <c r="B472" s="9">
        <f ca="1">Prices!B471*(1+J472/(50*(ABS(O472)+ABS(T472)+0.0001)))</f>
        <v>1.134358421718312</v>
      </c>
      <c r="C472" s="13">
        <f t="shared" ca="1" si="40"/>
        <v>-1</v>
      </c>
      <c r="D472" s="9">
        <f ca="1">D471+C472*(Prices!B472-Prices!B471)/Prices!B471</f>
        <v>-0.39621852290864057</v>
      </c>
      <c r="E472" s="9">
        <f t="shared" ca="1" si="41"/>
        <v>0.43234247416738691</v>
      </c>
      <c r="F472" s="9">
        <f t="shared" ca="1" si="42"/>
        <v>3.6123951258746317E-2</v>
      </c>
      <c r="G472" s="13">
        <f ca="1">IF((Prices!B472-Prices!B471)*B472&gt;0,1,0)</f>
        <v>0</v>
      </c>
      <c r="H472" s="9">
        <f>ABS(Prices!B472-Prices!B471)/Prices!B471</f>
        <v>2.9650300863347601E-3</v>
      </c>
      <c r="I472" s="13"/>
      <c r="J472" s="1">
        <f t="shared" ca="1" si="43"/>
        <v>-1.7462975586784987E-2</v>
      </c>
      <c r="K472" s="9"/>
      <c r="L472" s="9">
        <f ca="1">L471-O472*Prices!B472</f>
        <v>0.73106689138151149</v>
      </c>
      <c r="M472" s="1">
        <f t="shared" ca="1" si="44"/>
        <v>0.22416264412638973</v>
      </c>
      <c r="N472" s="9">
        <f ca="1">IF(Prices!D471&gt;OFFSET(Prices!D471,-$N$3,0),1,IF(Prices!D471&lt;OFFSET(Prices!D471,-$N$3,0),-1,0))</f>
        <v>-1</v>
      </c>
      <c r="O472" s="1">
        <f ca="1">IF(N472=1,O$3*L471/Prices!B471,O$3*M471*N472)</f>
        <v>-2.490696045848775E-2</v>
      </c>
      <c r="P472" s="14"/>
      <c r="Q472" s="9">
        <f ca="1">Q471-T472*Prices!B472</f>
        <v>0.4182901647152602</v>
      </c>
      <c r="R472" s="1">
        <f t="shared" ca="1" si="45"/>
        <v>0.44535784635548203</v>
      </c>
      <c r="S472" s="9">
        <f ca="1">IF(Prices!C471&lt;OFFSET(Prices!C471,-S$3,0),1,IF(Prices!C471&gt;OFFSET(Prices!C471,-S$3,0),-1,0))</f>
        <v>1</v>
      </c>
      <c r="T472" s="1">
        <f ca="1">IF(S472=1,T$3*Q471/Prices!B471,T$3*R471*S472)</f>
        <v>7.4439848717027636E-3</v>
      </c>
    </row>
    <row r="473" spans="1:20" x14ac:dyDescent="0.2">
      <c r="A473" s="4">
        <v>34169</v>
      </c>
      <c r="B473" s="9">
        <f ca="1">Prices!B472*(1+J473/(50*(ABS(O473)+ABS(T473)+0.0001)))</f>
        <v>1.13172729962151</v>
      </c>
      <c r="C473" s="13">
        <f t="shared" ca="1" si="40"/>
        <v>-1</v>
      </c>
      <c r="D473" s="9">
        <f ca="1">D472+C473*(Prices!B473-Prices!B472)/Prices!B472</f>
        <v>-0.41021310001001382</v>
      </c>
      <c r="E473" s="9">
        <f t="shared" ca="1" si="41"/>
        <v>0.44633705126876011</v>
      </c>
      <c r="F473" s="9">
        <f t="shared" ca="1" si="42"/>
        <v>3.6123951258746317E-2</v>
      </c>
      <c r="G473" s="13">
        <f ca="1">IF((Prices!B473-Prices!B472)*B473&gt;0,1,0)</f>
        <v>1</v>
      </c>
      <c r="H473" s="9">
        <f>ABS(Prices!B473-Prices!B472)/Prices!B472</f>
        <v>1.399457710137323E-2</v>
      </c>
      <c r="I473" s="13"/>
      <c r="J473" s="1">
        <f t="shared" ca="1" si="43"/>
        <v>-1.5099021961571708E-2</v>
      </c>
      <c r="K473" s="9"/>
      <c r="L473" s="9">
        <f ca="1">L472-O473*Prices!B473</f>
        <v>0.7570540667150838</v>
      </c>
      <c r="M473" s="1">
        <f t="shared" ca="1" si="44"/>
        <v>0.20174637971375076</v>
      </c>
      <c r="N473" s="9">
        <f ca="1">IF(Prices!D472&gt;OFFSET(Prices!D472,-$N$3,0),1,IF(Prices!D472&lt;OFFSET(Prices!D472,-$N$3,0),-1,0))</f>
        <v>-1</v>
      </c>
      <c r="O473" s="1">
        <f ca="1">IF(N473=1,O$3*L472/Prices!B472,O$3*M472*N473)</f>
        <v>-2.2416264412638973E-2</v>
      </c>
      <c r="P473" s="14"/>
      <c r="Q473" s="9">
        <f ca="1">Q472-T473*Prices!B473</f>
        <v>0.4098072855417379</v>
      </c>
      <c r="R473" s="1">
        <f t="shared" ca="1" si="45"/>
        <v>0.45267508880654928</v>
      </c>
      <c r="S473" s="9">
        <f ca="1">IF(Prices!C472&lt;OFFSET(Prices!C472,-S$3,0),1,IF(Prices!C472&gt;OFFSET(Prices!C472,-S$3,0),-1,0))</f>
        <v>1</v>
      </c>
      <c r="T473" s="1">
        <f ca="1">IF(S473=1,T$3*Q472/Prices!B472,T$3*R472*S473)</f>
        <v>7.3172424510672658E-3</v>
      </c>
    </row>
    <row r="474" spans="1:20" x14ac:dyDescent="0.2">
      <c r="A474" s="4">
        <v>34170</v>
      </c>
      <c r="B474" s="9">
        <f ca="1">Prices!B473*(1+J474/(50*(ABS(O474)+ABS(T474)+0.0001)))</f>
        <v>1.1361930571792129</v>
      </c>
      <c r="C474" s="13">
        <f t="shared" ca="1" si="40"/>
        <v>-1</v>
      </c>
      <c r="D474" s="9">
        <f ca="1">D473+C474*(Prices!B474-Prices!B473)/Prices!B473</f>
        <v>-0.40546885779488395</v>
      </c>
      <c r="E474" s="9">
        <f t="shared" ca="1" si="41"/>
        <v>0.4415928090536303</v>
      </c>
      <c r="F474" s="9">
        <f t="shared" ca="1" si="42"/>
        <v>3.6123951258746317E-2</v>
      </c>
      <c r="G474" s="13">
        <f ca="1">IF((Prices!B474-Prices!B473)*B474&gt;0,1,0)</f>
        <v>0</v>
      </c>
      <c r="H474" s="9">
        <f>ABS(Prices!B474-Prices!B473)/Prices!B473</f>
        <v>4.7442422151298715E-3</v>
      </c>
      <c r="I474" s="13"/>
      <c r="J474" s="1">
        <f t="shared" ca="1" si="43"/>
        <v>-2.9228139747506064E-2</v>
      </c>
      <c r="K474" s="9"/>
      <c r="L474" s="9">
        <f ca="1">L473-O474*Prices!B474</f>
        <v>0.78033156400645631</v>
      </c>
      <c r="M474" s="1">
        <f t="shared" ca="1" si="44"/>
        <v>0.18157174174237567</v>
      </c>
      <c r="N474" s="9">
        <f ca="1">IF(Prices!D473&gt;OFFSET(Prices!D473,-$N$3,0),1,IF(Prices!D473&lt;OFFSET(Prices!D473,-$N$3,0),-1,0))</f>
        <v>-1</v>
      </c>
      <c r="O474" s="1">
        <f ca="1">IF(N474=1,O$3*L473/Prices!B473,O$3*M473*N474)</f>
        <v>-2.0174637971375076E-2</v>
      </c>
      <c r="P474" s="14"/>
      <c r="Q474" s="9">
        <f ca="1">Q473-T474*Prices!B474</f>
        <v>0.42025321589103781</v>
      </c>
      <c r="R474" s="1">
        <f t="shared" ca="1" si="45"/>
        <v>0.44362158703041826</v>
      </c>
      <c r="S474" s="9">
        <f ca="1">IF(Prices!C473&lt;OFFSET(Prices!C473,-S$3,0),1,IF(Prices!C473&gt;OFFSET(Prices!C473,-S$3,0),-1,0))</f>
        <v>-1</v>
      </c>
      <c r="T474" s="1">
        <f ca="1">IF(S474=1,T$3*Q473/Prices!B473,T$3*R473*S474)</f>
        <v>-9.0535017761309861E-3</v>
      </c>
    </row>
    <row r="475" spans="1:20" x14ac:dyDescent="0.2">
      <c r="A475" s="4">
        <v>34171</v>
      </c>
      <c r="B475" s="9">
        <f ca="1">Prices!B474*(1+J475/(50*(ABS(O475)+ABS(T475)+0.0001)))</f>
        <v>1.1715004483991569</v>
      </c>
      <c r="C475" s="13">
        <f t="shared" ca="1" si="40"/>
        <v>1</v>
      </c>
      <c r="D475" s="9">
        <f ca="1">D474+C475*(Prices!B475-Prices!B474)/Prices!B474</f>
        <v>-0.39931527831837149</v>
      </c>
      <c r="E475" s="9">
        <f t="shared" ca="1" si="41"/>
        <v>0.43543922957711778</v>
      </c>
      <c r="F475" s="9">
        <f t="shared" ca="1" si="42"/>
        <v>3.6123951258746317E-2</v>
      </c>
      <c r="G475" s="13">
        <f ca="1">IF((Prices!B475-Prices!B474)*B475&gt;0,1,0)</f>
        <v>1</v>
      </c>
      <c r="H475" s="9">
        <f>ABS(Prices!B475-Prices!B474)/Prices!B474</f>
        <v>6.1535794765124859E-3</v>
      </c>
      <c r="I475" s="13"/>
      <c r="J475" s="1">
        <f t="shared" ca="1" si="43"/>
        <v>5.8759009064250051E-2</v>
      </c>
      <c r="K475" s="9"/>
      <c r="L475" s="9">
        <f ca="1">L474-O475*Prices!B475</f>
        <v>0.7018182243760962</v>
      </c>
      <c r="M475" s="1">
        <f t="shared" ca="1" si="44"/>
        <v>0.24920318254723409</v>
      </c>
      <c r="N475" s="9">
        <f ca="1">IF(Prices!D474&gt;OFFSET(Prices!D474,-$N$3,0),1,IF(Prices!D474&lt;OFFSET(Prices!D474,-$N$3,0),-1,0))</f>
        <v>1</v>
      </c>
      <c r="O475" s="1">
        <f ca="1">IF(N475=1,O$3*L474/Prices!B474,O$3*M474*N475)</f>
        <v>6.7631440804858417E-2</v>
      </c>
      <c r="P475" s="14"/>
      <c r="Q475" s="9">
        <f ca="1">Q474-T475*Prices!B475</f>
        <v>0.43055322189871004</v>
      </c>
      <c r="R475" s="1">
        <f t="shared" ca="1" si="45"/>
        <v>0.4347491552898099</v>
      </c>
      <c r="S475" s="9">
        <f ca="1">IF(Prices!C474&lt;OFFSET(Prices!C474,-S$3,0),1,IF(Prices!C474&gt;OFFSET(Prices!C474,-S$3,0),-1,0))</f>
        <v>-1</v>
      </c>
      <c r="T475" s="1">
        <f ca="1">IF(S475=1,T$3*Q474/Prices!B474,T$3*R474*S475)</f>
        <v>-8.8724317406083646E-3</v>
      </c>
    </row>
    <row r="476" spans="1:20" x14ac:dyDescent="0.2">
      <c r="A476" s="4">
        <v>34172</v>
      </c>
      <c r="B476" s="9">
        <f ca="1">Prices!B475*(1+J476/(50*(ABS(O476)+ABS(T476)+0.0001)))</f>
        <v>1.184083841939324</v>
      </c>
      <c r="C476" s="13">
        <f t="shared" ca="1" si="40"/>
        <v>1</v>
      </c>
      <c r="D476" s="9">
        <f ca="1">D475+C476*(Prices!B476-Prices!B475)/Prices!B475</f>
        <v>-0.4079292846927362</v>
      </c>
      <c r="E476" s="9">
        <f t="shared" ca="1" si="41"/>
        <v>0.44405323595148249</v>
      </c>
      <c r="F476" s="9">
        <f t="shared" ca="1" si="42"/>
        <v>3.6123951258746317E-2</v>
      </c>
      <c r="G476" s="13">
        <f ca="1">IF((Prices!B476-Prices!B475)*B476&gt;0,1,0)</f>
        <v>0</v>
      </c>
      <c r="H476" s="9">
        <f>ABS(Prices!B476-Prices!B475)/Prices!B475</f>
        <v>8.6140063743647237E-3</v>
      </c>
      <c r="I476" s="13"/>
      <c r="J476" s="1">
        <f t="shared" ca="1" si="43"/>
        <v>6.7872242980087705E-2</v>
      </c>
      <c r="K476" s="9"/>
      <c r="L476" s="9">
        <f ca="1">L475-O476*Prices!B476</f>
        <v>0.63224094860432867</v>
      </c>
      <c r="M476" s="1">
        <f t="shared" ca="1" si="44"/>
        <v>0.30965784913144428</v>
      </c>
      <c r="N476" s="9">
        <f ca="1">IF(Prices!D475&gt;OFFSET(Prices!D475,-$N$3,0),1,IF(Prices!D475&lt;OFFSET(Prices!D475,-$N$3,0),-1,0))</f>
        <v>1</v>
      </c>
      <c r="O476" s="1">
        <f ca="1">IF(N476=1,O$3*L475/Prices!B475,O$3*M475*N476)</f>
        <v>6.0454666584210198E-2</v>
      </c>
      <c r="P476" s="14"/>
      <c r="Q476" s="9">
        <f ca="1">Q475-T476*Prices!B476</f>
        <v>0.42201633322469462</v>
      </c>
      <c r="R476" s="1">
        <f t="shared" ca="1" si="45"/>
        <v>0.44216673168568743</v>
      </c>
      <c r="S476" s="9">
        <f ca="1">IF(Prices!C475&lt;OFFSET(Prices!C475,-S$3,0),1,IF(Prices!C475&gt;OFFSET(Prices!C475,-S$3,0),-1,0))</f>
        <v>1</v>
      </c>
      <c r="T476" s="1">
        <f ca="1">IF(S476=1,T$3*Q475/Prices!B475,T$3*R475*S476)</f>
        <v>7.4175763958775091E-3</v>
      </c>
    </row>
    <row r="477" spans="1:20" x14ac:dyDescent="0.2">
      <c r="A477" s="4">
        <v>34173</v>
      </c>
      <c r="B477" s="9">
        <f ca="1">Prices!B476*(1+J477/(50*(ABS(O477)+ABS(T477)+0.0001)))</f>
        <v>1.1738810933456676</v>
      </c>
      <c r="C477" s="13">
        <f t="shared" ca="1" si="40"/>
        <v>1</v>
      </c>
      <c r="D477" s="9">
        <f ca="1">D476+C477*(Prices!B477-Prices!B476)/Prices!B476</f>
        <v>-0.41244748783810076</v>
      </c>
      <c r="E477" s="9">
        <f t="shared" ca="1" si="41"/>
        <v>0.44857143909684705</v>
      </c>
      <c r="F477" s="9">
        <f t="shared" ca="1" si="42"/>
        <v>3.6123951258746317E-2</v>
      </c>
      <c r="G477" s="13">
        <f ca="1">IF((Prices!B477-Prices!B476)*B477&gt;0,1,0)</f>
        <v>0</v>
      </c>
      <c r="H477" s="9">
        <f>ABS(Prices!B477-Prices!B476)/Prices!B476</f>
        <v>4.5182031453645782E-3</v>
      </c>
      <c r="I477" s="13"/>
      <c r="J477" s="1">
        <f t="shared" ca="1" si="43"/>
        <v>6.226815668166371E-2</v>
      </c>
      <c r="K477" s="9"/>
      <c r="L477" s="9">
        <f ca="1">L476-O477*Prices!B477</f>
        <v>0.56930251304815704</v>
      </c>
      <c r="M477" s="1">
        <f t="shared" ca="1" si="44"/>
        <v>0.36459233072014258</v>
      </c>
      <c r="N477" s="9">
        <f ca="1">IF(Prices!D476&gt;OFFSET(Prices!D476,-$N$3,0),1,IF(Prices!D476&lt;OFFSET(Prices!D476,-$N$3,0),-1,0))</f>
        <v>1</v>
      </c>
      <c r="O477" s="1">
        <f ca="1">IF(N477=1,O$3*L476/Prices!B476,O$3*M476*N477)</f>
        <v>5.4934481588698299E-2</v>
      </c>
      <c r="P477" s="14"/>
      <c r="Q477" s="9">
        <f ca="1">Q476-T477*Prices!B477</f>
        <v>0.41361414167068417</v>
      </c>
      <c r="R477" s="1">
        <f t="shared" ca="1" si="45"/>
        <v>0.44950040677865283</v>
      </c>
      <c r="S477" s="9">
        <f ca="1">IF(Prices!C476&lt;OFFSET(Prices!C476,-S$3,0),1,IF(Prices!C476&gt;OFFSET(Prices!C476,-S$3,0),-1,0))</f>
        <v>1</v>
      </c>
      <c r="T477" s="1">
        <f ca="1">IF(S477=1,T$3*Q476/Prices!B476,T$3*R476*S477)</f>
        <v>7.333675092965411E-3</v>
      </c>
    </row>
    <row r="478" spans="1:20" x14ac:dyDescent="0.2">
      <c r="A478" s="4">
        <v>34176</v>
      </c>
      <c r="B478" s="9">
        <f ca="1">Prices!B477*(1+J478/(50*(ABS(O478)+ABS(T478)+0.0001)))</f>
        <v>1.1685738075111467</v>
      </c>
      <c r="C478" s="13">
        <f t="shared" ca="1" si="40"/>
        <v>1</v>
      </c>
      <c r="D478" s="9">
        <f ca="1">D477+C478*(Prices!B478-Prices!B477)/Prices!B477</f>
        <v>-0.41506597435289511</v>
      </c>
      <c r="E478" s="9">
        <f t="shared" ca="1" si="41"/>
        <v>0.4511899256116414</v>
      </c>
      <c r="F478" s="9">
        <f t="shared" ca="1" si="42"/>
        <v>3.6123951258746317E-2</v>
      </c>
      <c r="G478" s="13">
        <f ca="1">IF((Prices!B478-Prices!B477)*B478&gt;0,1,0)</f>
        <v>0</v>
      </c>
      <c r="H478" s="9">
        <f>ABS(Prices!B478-Prices!B477)/Prices!B477</f>
        <v>2.6184865147943544E-3</v>
      </c>
      <c r="I478" s="13"/>
      <c r="J478" s="1">
        <f t="shared" ca="1" si="43"/>
        <v>5.6910652123792788E-2</v>
      </c>
      <c r="K478" s="9"/>
      <c r="L478" s="9">
        <f ca="1">L477-O478*Prices!B478</f>
        <v>0.51252133283866685</v>
      </c>
      <c r="M478" s="1">
        <f t="shared" ca="1" si="44"/>
        <v>0.41428269582864891</v>
      </c>
      <c r="N478" s="9">
        <f ca="1">IF(Prices!D477&gt;OFFSET(Prices!D477,-$N$3,0),1,IF(Prices!D477&lt;OFFSET(Prices!D477,-$N$3,0),-1,0))</f>
        <v>1</v>
      </c>
      <c r="O478" s="1">
        <f ca="1">IF(N478=1,O$3*L477/Prices!B477,O$3*M477*N478)</f>
        <v>4.9690365108506336E-2</v>
      </c>
      <c r="P478" s="14"/>
      <c r="Q478" s="9">
        <f ca="1">Q477-T478*Prices!B478</f>
        <v>0.40536351969831635</v>
      </c>
      <c r="R478" s="1">
        <f t="shared" ca="1" si="45"/>
        <v>0.45672069379393926</v>
      </c>
      <c r="S478" s="9">
        <f ca="1">IF(Prices!C477&lt;OFFSET(Prices!C477,-S$3,0),1,IF(Prices!C477&gt;OFFSET(Prices!C477,-S$3,0),-1,0))</f>
        <v>1</v>
      </c>
      <c r="T478" s="1">
        <f ca="1">IF(S478=1,T$3*Q477/Prices!B477,T$3*R477*S478)</f>
        <v>7.2202870152864489E-3</v>
      </c>
    </row>
    <row r="479" spans="1:20" x14ac:dyDescent="0.2">
      <c r="A479" s="4">
        <v>34177</v>
      </c>
      <c r="B479" s="9">
        <f ca="1">Prices!B478*(1+J479/(50*(ABS(O479)+ABS(T479)+0.0001)))</f>
        <v>1.1655100893683119</v>
      </c>
      <c r="C479" s="13">
        <f t="shared" ca="1" si="40"/>
        <v>1</v>
      </c>
      <c r="D479" s="9">
        <f ca="1">D478+C479*(Prices!B479-Prices!B478)/Prices!B478</f>
        <v>-0.41585358264903594</v>
      </c>
      <c r="E479" s="9">
        <f t="shared" ca="1" si="41"/>
        <v>0.45197753390778228</v>
      </c>
      <c r="F479" s="9">
        <f t="shared" ca="1" si="42"/>
        <v>3.6123951258746317E-2</v>
      </c>
      <c r="G479" s="13">
        <f ca="1">IF((Prices!B479-Prices!B478)*B479&gt;0,1,0)</f>
        <v>0</v>
      </c>
      <c r="H479" s="9">
        <f>ABS(Prices!B479-Prices!B478)/Prices!B478</f>
        <v>7.8760829614082689E-4</v>
      </c>
      <c r="I479" s="13"/>
      <c r="J479" s="1">
        <f t="shared" ca="1" si="43"/>
        <v>5.1946620878474674E-2</v>
      </c>
      <c r="K479" s="9"/>
      <c r="L479" s="9">
        <f ca="1">L478-O479*Prices!B479</f>
        <v>0.46130956616016944</v>
      </c>
      <c r="M479" s="1">
        <f t="shared" ca="1" si="44"/>
        <v>0.45913447957229703</v>
      </c>
      <c r="N479" s="9">
        <f ca="1">IF(Prices!D478&gt;OFFSET(Prices!D478,-$N$3,0),1,IF(Prices!D478&lt;OFFSET(Prices!D478,-$N$3,0),-1,0))</f>
        <v>1</v>
      </c>
      <c r="O479" s="1">
        <f ca="1">IF(N479=1,O$3*L478/Prices!B478,O$3*M478*N479)</f>
        <v>4.4851783743648101E-2</v>
      </c>
      <c r="P479" s="14"/>
      <c r="Q479" s="9">
        <f ca="1">Q478-T479*Prices!B479</f>
        <v>0.3972626346577714</v>
      </c>
      <c r="R479" s="1">
        <f t="shared" ca="1" si="45"/>
        <v>0.46381553092876582</v>
      </c>
      <c r="S479" s="9">
        <f ca="1">IF(Prices!C478&lt;OFFSET(Prices!C478,-S$3,0),1,IF(Prices!C478&gt;OFFSET(Prices!C478,-S$3,0),-1,0))</f>
        <v>1</v>
      </c>
      <c r="T479" s="1">
        <f ca="1">IF(S479=1,T$3*Q478/Prices!B478,T$3*R478*S479)</f>
        <v>7.0948371348265758E-3</v>
      </c>
    </row>
    <row r="480" spans="1:20" x14ac:dyDescent="0.2">
      <c r="A480" s="4">
        <v>34178</v>
      </c>
      <c r="B480" s="9">
        <f ca="1">Prices!B479*(1+J480/(50*(ABS(O480)+ABS(T480)+0.0001)))</f>
        <v>1.1250066984880847</v>
      </c>
      <c r="C480" s="13">
        <f t="shared" ca="1" si="40"/>
        <v>-1</v>
      </c>
      <c r="D480" s="9">
        <f ca="1">D479+C480*(Prices!B480-Prices!B479)/Prices!B479</f>
        <v>-0.42110844339522618</v>
      </c>
      <c r="E480" s="9">
        <f t="shared" ca="1" si="41"/>
        <v>0.45723239465397247</v>
      </c>
      <c r="F480" s="9">
        <f t="shared" ca="1" si="42"/>
        <v>3.6123951258746317E-2</v>
      </c>
      <c r="G480" s="13">
        <f ca="1">IF((Prices!B480-Prices!B479)*B480&gt;0,1,0)</f>
        <v>1</v>
      </c>
      <c r="H480" s="9">
        <f>ABS(Prices!B480-Prices!B479)/Prices!B479</f>
        <v>5.2548607461902312E-3</v>
      </c>
      <c r="I480" s="13"/>
      <c r="J480" s="1">
        <f t="shared" ca="1" si="43"/>
        <v>-3.89549152079256E-2</v>
      </c>
      <c r="K480" s="9"/>
      <c r="L480" s="9">
        <f ca="1">L479-O480*Prices!B480</f>
        <v>0.51400902172547769</v>
      </c>
      <c r="M480" s="1">
        <f t="shared" ca="1" si="44"/>
        <v>0.41322103161506729</v>
      </c>
      <c r="N480" s="9">
        <f ca="1">IF(Prices!D479&gt;OFFSET(Prices!D479,-$N$3,0),1,IF(Prices!D479&lt;OFFSET(Prices!D479,-$N$3,0),-1,0))</f>
        <v>-1</v>
      </c>
      <c r="O480" s="1">
        <f ca="1">IF(N480=1,O$3*L479/Prices!B479,O$3*M479*N480)</f>
        <v>-4.5913447957229708E-2</v>
      </c>
      <c r="P480" s="14"/>
      <c r="Q480" s="9">
        <f ca="1">Q479-T480*Prices!B480</f>
        <v>0.38927563076812016</v>
      </c>
      <c r="R480" s="1">
        <f t="shared" ca="1" si="45"/>
        <v>0.4707740636780699</v>
      </c>
      <c r="S480" s="9">
        <f ca="1">IF(Prices!C479&lt;OFFSET(Prices!C479,-S$3,0),1,IF(Prices!C479&gt;OFFSET(Prices!C479,-S$3,0),-1,0))</f>
        <v>1</v>
      </c>
      <c r="T480" s="1">
        <f ca="1">IF(S480=1,T$3*Q479/Prices!B479,T$3*R479*S480)</f>
        <v>6.9585327493041065E-3</v>
      </c>
    </row>
    <row r="481" spans="1:20" x14ac:dyDescent="0.2">
      <c r="A481" s="4">
        <v>34179</v>
      </c>
      <c r="B481" s="9">
        <f ca="1">Prices!B480*(1+J481/(50*(ABS(O481)+ABS(T481)+0.0001)))</f>
        <v>1.1248891555679821</v>
      </c>
      <c r="C481" s="13">
        <f t="shared" ca="1" si="40"/>
        <v>-1</v>
      </c>
      <c r="D481" s="9">
        <f ca="1">D480+C481*(Prices!B481-Prices!B480)/Prices!B480</f>
        <v>-0.40899831968029327</v>
      </c>
      <c r="E481" s="9">
        <f t="shared" ca="1" si="41"/>
        <v>0.44512227093903955</v>
      </c>
      <c r="F481" s="9">
        <f t="shared" ca="1" si="42"/>
        <v>3.6123951258746317E-2</v>
      </c>
      <c r="G481" s="13">
        <f ca="1">IF((Prices!B481-Prices!B480)*B481&gt;0,1,0)</f>
        <v>0</v>
      </c>
      <c r="H481" s="9">
        <f>ABS(Prices!B481-Prices!B480)/Prices!B480</f>
        <v>1.2110123714932936E-2</v>
      </c>
      <c r="I481" s="13"/>
      <c r="J481" s="1">
        <f t="shared" ca="1" si="43"/>
        <v>-5.073758443506813E-2</v>
      </c>
      <c r="K481" s="9"/>
      <c r="L481" s="9">
        <f ca="1">L480-O481*Prices!B481</f>
        <v>0.56086415450031013</v>
      </c>
      <c r="M481" s="1">
        <f t="shared" ca="1" si="44"/>
        <v>0.37189892845356054</v>
      </c>
      <c r="N481" s="9">
        <f ca="1">IF(Prices!D480&gt;OFFSET(Prices!D480,-$N$3,0),1,IF(Prices!D480&lt;OFFSET(Prices!D480,-$N$3,0),-1,0))</f>
        <v>-1</v>
      </c>
      <c r="O481" s="1">
        <f ca="1">IF(N481=1,O$3*L480/Prices!B480,O$3*M480*N481)</f>
        <v>-4.1322103161506731E-2</v>
      </c>
      <c r="P481" s="14"/>
      <c r="Q481" s="9">
        <f ca="1">Q480-T481*Prices!B481</f>
        <v>0.39995184498421144</v>
      </c>
      <c r="R481" s="1">
        <f t="shared" ca="1" si="45"/>
        <v>0.4613585824045085</v>
      </c>
      <c r="S481" s="9">
        <f ca="1">IF(Prices!C480&lt;OFFSET(Prices!C480,-S$3,0),1,IF(Prices!C480&gt;OFFSET(Prices!C480,-S$3,0),-1,0))</f>
        <v>-1</v>
      </c>
      <c r="T481" s="1">
        <f ca="1">IF(S481=1,T$3*Q480/Prices!B480,T$3*R480*S481)</f>
        <v>-9.4154812735613973E-3</v>
      </c>
    </row>
    <row r="482" spans="1:20" x14ac:dyDescent="0.2">
      <c r="A482" s="4">
        <v>34180</v>
      </c>
      <c r="B482" s="9">
        <f ca="1">Prices!B481*(1+J482/(50*(ABS(O482)+ABS(T482)+0.0001)))</f>
        <v>1.1184885255737012</v>
      </c>
      <c r="C482" s="13">
        <f t="shared" ca="1" si="40"/>
        <v>-1</v>
      </c>
      <c r="D482" s="9">
        <f ca="1">D481+C482*(Prices!B482-Prices!B481)/Prices!B481</f>
        <v>-0.40194302379882224</v>
      </c>
      <c r="E482" s="9">
        <f t="shared" ca="1" si="41"/>
        <v>0.43806697505756853</v>
      </c>
      <c r="F482" s="9">
        <f t="shared" ca="1" si="42"/>
        <v>3.6123951258746317E-2</v>
      </c>
      <c r="G482" s="13">
        <f ca="1">IF((Prices!B482-Prices!B481)*B482&gt;0,1,0)</f>
        <v>0</v>
      </c>
      <c r="H482" s="9">
        <f>ABS(Prices!B482-Prices!B481)/Prices!B481</f>
        <v>7.0552958814710364E-3</v>
      </c>
      <c r="I482" s="13"/>
      <c r="J482" s="1">
        <f t="shared" ca="1" si="43"/>
        <v>-3.0135446333596442E-2</v>
      </c>
      <c r="K482" s="9"/>
      <c r="L482" s="9">
        <f ca="1">L481-O482*Prices!B482</f>
        <v>0.60273625485489646</v>
      </c>
      <c r="M482" s="1">
        <f t="shared" ca="1" si="44"/>
        <v>0.33470903560820447</v>
      </c>
      <c r="N482" s="9">
        <f ca="1">IF(Prices!D481&gt;OFFSET(Prices!D481,-$N$3,0),1,IF(Prices!D481&lt;OFFSET(Prices!D481,-$N$3,0),-1,0))</f>
        <v>-1</v>
      </c>
      <c r="O482" s="1">
        <f ca="1">IF(N482=1,O$3*L481/Prices!B481,O$3*M481*N482)</f>
        <v>-3.7189892845356058E-2</v>
      </c>
      <c r="P482" s="14"/>
      <c r="Q482" s="9">
        <f ca="1">Q481-T482*Prices!B482</f>
        <v>0.39200924365662126</v>
      </c>
      <c r="R482" s="1">
        <f t="shared" ca="1" si="45"/>
        <v>0.46841302891626813</v>
      </c>
      <c r="S482" s="9">
        <f ca="1">IF(Prices!C481&lt;OFFSET(Prices!C481,-S$3,0),1,IF(Prices!C481&gt;OFFSET(Prices!C481,-S$3,0),-1,0))</f>
        <v>1</v>
      </c>
      <c r="T482" s="1">
        <f ca="1">IF(S482=1,T$3*Q481/Prices!B481,T$3*R481*S482)</f>
        <v>7.0544465117596171E-3</v>
      </c>
    </row>
    <row r="483" spans="1:20" x14ac:dyDescent="0.2">
      <c r="A483" s="4">
        <v>34183</v>
      </c>
      <c r="B483" s="9">
        <f ca="1">Prices!B482*(1+J483/(50*(ABS(O483)+ABS(T483)+0.0001)))</f>
        <v>1.1111743764519553</v>
      </c>
      <c r="C483" s="13">
        <f t="shared" ca="1" si="40"/>
        <v>-1</v>
      </c>
      <c r="D483" s="9">
        <f ca="1">D482+C483*(Prices!B483-Prices!B482)/Prices!B482</f>
        <v>-0.40451874100283691</v>
      </c>
      <c r="E483" s="9">
        <f t="shared" ca="1" si="41"/>
        <v>0.44064269226158326</v>
      </c>
      <c r="F483" s="9">
        <f t="shared" ca="1" si="42"/>
        <v>3.6123951258746317E-2</v>
      </c>
      <c r="G483" s="13">
        <f ca="1">IF((Prices!B483-Prices!B482)*B483&gt;0,1,0)</f>
        <v>1</v>
      </c>
      <c r="H483" s="9">
        <f>ABS(Prices!B483-Prices!B482)/Prices!B482</f>
        <v>2.5757172040146771E-3</v>
      </c>
      <c r="I483" s="13"/>
      <c r="J483" s="1">
        <f t="shared" ca="1" si="43"/>
        <v>-2.6507421126205983E-2</v>
      </c>
      <c r="K483" s="9"/>
      <c r="L483" s="9">
        <f ca="1">L482-O483*Prices!B483</f>
        <v>0.64051821079435056</v>
      </c>
      <c r="M483" s="1">
        <f t="shared" ca="1" si="44"/>
        <v>0.30123813204738403</v>
      </c>
      <c r="N483" s="9">
        <f ca="1">IF(Prices!D482&gt;OFFSET(Prices!D482,-$N$3,0),1,IF(Prices!D482&lt;OFFSET(Prices!D482,-$N$3,0),-1,0))</f>
        <v>-1</v>
      </c>
      <c r="O483" s="1">
        <f ca="1">IF(N483=1,O$3*L482/Prices!B482,O$3*M482*N483)</f>
        <v>-3.3470903560820449E-2</v>
      </c>
      <c r="P483" s="14"/>
      <c r="Q483" s="9">
        <f ca="1">Q482-T483*Prices!B483</f>
        <v>0.38414886468442844</v>
      </c>
      <c r="R483" s="1">
        <f t="shared" ca="1" si="45"/>
        <v>0.4753765113508826</v>
      </c>
      <c r="S483" s="9">
        <f ca="1">IF(Prices!C482&lt;OFFSET(Prices!C482,-S$3,0),1,IF(Prices!C482&gt;OFFSET(Prices!C482,-S$3,0),-1,0))</f>
        <v>1</v>
      </c>
      <c r="T483" s="1">
        <f ca="1">IF(S483=1,T$3*Q482/Prices!B482,T$3*R482*S483)</f>
        <v>6.9634824346144651E-3</v>
      </c>
    </row>
    <row r="484" spans="1:20" x14ac:dyDescent="0.2">
      <c r="A484" s="4">
        <v>34184</v>
      </c>
      <c r="B484" s="9">
        <f ca="1">Prices!B483*(1+J484/(50*(ABS(O484)+ABS(T484)+0.0001)))</f>
        <v>1.1513405308110478</v>
      </c>
      <c r="C484" s="13">
        <f t="shared" ca="1" si="40"/>
        <v>1</v>
      </c>
      <c r="D484" s="9">
        <f ca="1">D483+C484*(Prices!B484-Prices!B483)/Prices!B483</f>
        <v>-0.38936991038625302</v>
      </c>
      <c r="E484" s="9">
        <f t="shared" ca="1" si="41"/>
        <v>0.42549386164499936</v>
      </c>
      <c r="F484" s="9">
        <f t="shared" ca="1" si="42"/>
        <v>3.6123951258746317E-2</v>
      </c>
      <c r="G484" s="13">
        <f ca="1">IF((Prices!B484-Prices!B483)*B484&gt;0,1,0)</f>
        <v>1</v>
      </c>
      <c r="H484" s="9">
        <f>ABS(Prices!B484-Prices!B483)/Prices!B483</f>
        <v>1.5148830616583888E-2</v>
      </c>
      <c r="I484" s="13"/>
      <c r="J484" s="1">
        <f t="shared" ca="1" si="43"/>
        <v>6.3549608764283866E-2</v>
      </c>
      <c r="K484" s="9"/>
      <c r="L484" s="9">
        <f ca="1">L483-O484*Prices!B484</f>
        <v>0.57549607952669946</v>
      </c>
      <c r="M484" s="1">
        <f t="shared" ca="1" si="44"/>
        <v>0.357981417907975</v>
      </c>
      <c r="N484" s="9">
        <f ca="1">IF(Prices!D483&gt;OFFSET(Prices!D483,-$N$3,0),1,IF(Prices!D483&lt;OFFSET(Prices!D483,-$N$3,0),-1,0))</f>
        <v>1</v>
      </c>
      <c r="O484" s="1">
        <f ca="1">IF(N484=1,O$3*L483/Prices!B483,O$3*M483*N484)</f>
        <v>5.674328586059095E-2</v>
      </c>
      <c r="P484" s="14"/>
      <c r="Q484" s="9">
        <f ca="1">Q483-T484*Prices!B484</f>
        <v>0.37634949926908673</v>
      </c>
      <c r="R484" s="1">
        <f t="shared" ca="1" si="45"/>
        <v>0.48218283425457553</v>
      </c>
      <c r="S484" s="9">
        <f ca="1">IF(Prices!C483&lt;OFFSET(Prices!C483,-S$3,0),1,IF(Prices!C483&gt;OFFSET(Prices!C483,-S$3,0),-1,0))</f>
        <v>1</v>
      </c>
      <c r="T484" s="1">
        <f ca="1">IF(S484=1,T$3*Q483/Prices!B483,T$3*R483*S484)</f>
        <v>6.8063229036929209E-3</v>
      </c>
    </row>
    <row r="485" spans="1:20" x14ac:dyDescent="0.2">
      <c r="A485" s="4">
        <v>34185</v>
      </c>
      <c r="B485" s="9">
        <f ca="1">Prices!B484*(1+J485/(50*(ABS(O485)+ABS(T485)+0.0001)))</f>
        <v>1.1684743310696186</v>
      </c>
      <c r="C485" s="13">
        <f t="shared" ca="1" si="40"/>
        <v>1</v>
      </c>
      <c r="D485" s="9">
        <f ca="1">D484+C485*(Prices!B485-Prices!B484)/Prices!B484</f>
        <v>-0.38998078393542829</v>
      </c>
      <c r="E485" s="9">
        <f t="shared" ca="1" si="41"/>
        <v>0.42610473519417458</v>
      </c>
      <c r="F485" s="9">
        <f t="shared" ca="1" si="42"/>
        <v>3.6123951258746317E-2</v>
      </c>
      <c r="G485" s="13">
        <f ca="1">IF((Prices!B485-Prices!B484)*B485&gt;0,1,0)</f>
        <v>0</v>
      </c>
      <c r="H485" s="9">
        <f>ABS(Prices!B485-Prices!B484)/Prices!B484</f>
        <v>6.1087354917525351E-4</v>
      </c>
      <c r="I485" s="13"/>
      <c r="J485" s="1">
        <f t="shared" ca="1" si="43"/>
        <v>6.5686272671103369E-3</v>
      </c>
      <c r="K485" s="9"/>
      <c r="L485" s="9">
        <f ca="1">L484-O485*Prices!B485</f>
        <v>0.57549607952669946</v>
      </c>
      <c r="M485" s="1">
        <f t="shared" ca="1" si="44"/>
        <v>0.357981417907975</v>
      </c>
      <c r="N485" s="9">
        <f ca="1">IF(Prices!D484&gt;OFFSET(Prices!D484,-$N$3,0),1,IF(Prices!D484&lt;OFFSET(Prices!D484,-$N$3,0),-1,0))</f>
        <v>0</v>
      </c>
      <c r="O485" s="1">
        <f ca="1">IF(N485=1,O$3*L484/Prices!B484,O$3*M484*N485)</f>
        <v>0</v>
      </c>
      <c r="P485" s="14"/>
      <c r="Q485" s="9">
        <f ca="1">Q484-T485*Prices!B485</f>
        <v>0.36882710732279195</v>
      </c>
      <c r="R485" s="1">
        <f t="shared" ca="1" si="45"/>
        <v>0.48875146152168586</v>
      </c>
      <c r="S485" s="9">
        <f ca="1">IF(Prices!C484&lt;OFFSET(Prices!C484,-S$3,0),1,IF(Prices!C484&gt;OFFSET(Prices!C484,-S$3,0),-1,0))</f>
        <v>1</v>
      </c>
      <c r="T485" s="1">
        <f ca="1">IF(S485=1,T$3*Q484/Prices!B484,T$3*R484*S485)</f>
        <v>6.5686272671103369E-3</v>
      </c>
    </row>
    <row r="486" spans="1:20" x14ac:dyDescent="0.2">
      <c r="A486" s="4">
        <v>34186</v>
      </c>
      <c r="B486" s="9">
        <f ca="1">Prices!B485*(1+J486/(50*(ABS(O486)+ABS(T486)+0.0001)))</f>
        <v>1.1680636719087303</v>
      </c>
      <c r="C486" s="13">
        <f t="shared" ca="1" si="40"/>
        <v>1</v>
      </c>
      <c r="D486" s="9">
        <f ca="1">D485+C486*(Prices!B486-Prices!B485)/Prices!B485</f>
        <v>-0.39399754956588579</v>
      </c>
      <c r="E486" s="9">
        <f t="shared" ca="1" si="41"/>
        <v>0.43012150082463207</v>
      </c>
      <c r="F486" s="9">
        <f t="shared" ca="1" si="42"/>
        <v>3.6123951258746317E-2</v>
      </c>
      <c r="G486" s="13">
        <f ca="1">IF((Prices!B486-Prices!B485)*B486&gt;0,1,0)</f>
        <v>0</v>
      </c>
      <c r="H486" s="9">
        <f>ABS(Prices!B486-Prices!B485)/Prices!B485</f>
        <v>4.0167656304575076E-3</v>
      </c>
      <c r="I486" s="13"/>
      <c r="J486" s="1">
        <f t="shared" ca="1" si="43"/>
        <v>5.6694158312195063E-2</v>
      </c>
      <c r="K486" s="9"/>
      <c r="L486" s="9">
        <f ca="1">L485-O486*Prices!B486</f>
        <v>0.51817763486130008</v>
      </c>
      <c r="M486" s="1">
        <f t="shared" ca="1" si="44"/>
        <v>0.4082343064450602</v>
      </c>
      <c r="N486" s="9">
        <f ca="1">IF(Prices!D485&gt;OFFSET(Prices!D485,-$N$3,0),1,IF(Prices!D485&lt;OFFSET(Prices!D485,-$N$3,0),-1,0))</f>
        <v>1</v>
      </c>
      <c r="O486" s="1">
        <f ca="1">IF(N486=1,O$3*L485/Prices!B485,O$3*M485*N486)</f>
        <v>5.0252888537085177E-2</v>
      </c>
      <c r="P486" s="14"/>
      <c r="Q486" s="9">
        <f ca="1">Q485-T486*Prices!B486</f>
        <v>0.36148019501730161</v>
      </c>
      <c r="R486" s="1">
        <f t="shared" ca="1" si="45"/>
        <v>0.49519273129679575</v>
      </c>
      <c r="S486" s="9">
        <f ca="1">IF(Prices!C485&lt;OFFSET(Prices!C485,-S$3,0),1,IF(Prices!C485&gt;OFFSET(Prices!C485,-S$3,0),-1,0))</f>
        <v>1</v>
      </c>
      <c r="T486" s="1">
        <f ca="1">IF(S486=1,T$3*Q485/Prices!B485,T$3*R485*S486)</f>
        <v>6.4412697751098846E-3</v>
      </c>
    </row>
    <row r="487" spans="1:20" x14ac:dyDescent="0.2">
      <c r="A487" s="4">
        <v>34187</v>
      </c>
      <c r="B487" s="9">
        <f ca="1">Prices!B486*(1+J487/(50*(ABS(O487)+ABS(T487)+0.0001)))</f>
        <v>1.1633680197102243</v>
      </c>
      <c r="C487" s="13">
        <f t="shared" ca="1" si="40"/>
        <v>1</v>
      </c>
      <c r="D487" s="9">
        <f ca="1">D486+C487*(Prices!B487-Prices!B486)/Prices!B486</f>
        <v>-0.39049062338668183</v>
      </c>
      <c r="E487" s="9">
        <f t="shared" ca="1" si="41"/>
        <v>0.42661457464542818</v>
      </c>
      <c r="F487" s="9">
        <f t="shared" ca="1" si="42"/>
        <v>3.6123951258746317E-2</v>
      </c>
      <c r="G487" s="13">
        <f ca="1">IF((Prices!B487-Prices!B486)*B487&gt;0,1,0)</f>
        <v>1</v>
      </c>
      <c r="H487" s="9">
        <f>ABS(Prices!B487-Prices!B486)/Prices!B486</f>
        <v>3.5069261792039308E-3</v>
      </c>
      <c r="I487" s="13"/>
      <c r="J487" s="1">
        <f t="shared" ca="1" si="43"/>
        <v>5.1768689625176265E-2</v>
      </c>
      <c r="K487" s="9"/>
      <c r="L487" s="9">
        <f ca="1">L486-O487*Prices!B487</f>
        <v>0.46617815030385279</v>
      </c>
      <c r="M487" s="1">
        <f t="shared" ca="1" si="44"/>
        <v>0.45366457427438689</v>
      </c>
      <c r="N487" s="9">
        <f ca="1">IF(Prices!D486&gt;OFFSET(Prices!D486,-$N$3,0),1,IF(Prices!D486&lt;OFFSET(Prices!D486,-$N$3,0),-1,0))</f>
        <v>1</v>
      </c>
      <c r="O487" s="1">
        <f ca="1">IF(N487=1,O$3*L486/Prices!B486,O$3*M486*N487)</f>
        <v>4.543026782932668E-2</v>
      </c>
      <c r="P487" s="14"/>
      <c r="Q487" s="9">
        <f ca="1">Q486-T487*Prices!B487</f>
        <v>0.35422523742977219</v>
      </c>
      <c r="R487" s="1">
        <f t="shared" ca="1" si="45"/>
        <v>0.50153115309264529</v>
      </c>
      <c r="S487" s="9">
        <f ca="1">IF(Prices!C486&lt;OFFSET(Prices!C486,-S$3,0),1,IF(Prices!C486&gt;OFFSET(Prices!C486,-S$3,0),-1,0))</f>
        <v>1</v>
      </c>
      <c r="T487" s="1">
        <f ca="1">IF(S487=1,T$3*Q486/Prices!B486,T$3*R486*S487)</f>
        <v>6.338421795849581E-3</v>
      </c>
    </row>
    <row r="488" spans="1:20" x14ac:dyDescent="0.2">
      <c r="A488" s="4">
        <v>34190</v>
      </c>
      <c r="B488" s="9">
        <f ca="1">Prices!B487*(1+J488/(50*(ABS(O488)+ABS(T488)+0.0001)))</f>
        <v>1.1217492490167018</v>
      </c>
      <c r="C488" s="13">
        <f t="shared" ref="C488:C551" ca="1" si="46">IF(J488&gt;0,1,IF(J488&lt;0,-1,0))</f>
        <v>-1</v>
      </c>
      <c r="D488" s="9">
        <f ca="1">D487+C488*(Prices!B488-Prices!B487)/Prices!B487</f>
        <v>-0.39381056048261054</v>
      </c>
      <c r="E488" s="9">
        <f t="shared" ref="E488:E551" ca="1" si="47">F488-D488</f>
        <v>0.42993451174135688</v>
      </c>
      <c r="F488" s="9">
        <f t="shared" ref="F488:F551" ca="1" si="48">MAX(F487,D488)</f>
        <v>3.6123951258746317E-2</v>
      </c>
      <c r="G488" s="13">
        <f ca="1">IF((Prices!B488-Prices!B487)*B488&gt;0,1,0)</f>
        <v>1</v>
      </c>
      <c r="H488" s="9">
        <f>ABS(Prices!B488-Prices!B487)/Prices!B487</f>
        <v>3.3199370959287309E-3</v>
      </c>
      <c r="I488" s="13"/>
      <c r="J488" s="1">
        <f t="shared" ref="J488:J551" ca="1" si="49">O488+T488</f>
        <v>-5.5397080489291602E-2</v>
      </c>
      <c r="K488" s="9"/>
      <c r="L488" s="9">
        <f ca="1">L487-O488*Prices!B488</f>
        <v>0.51827699001352334</v>
      </c>
      <c r="M488" s="1">
        <f t="shared" ca="1" si="44"/>
        <v>0.40829811684694817</v>
      </c>
      <c r="N488" s="9">
        <f ca="1">IF(Prices!D487&gt;OFFSET(Prices!D487,-$N$3,0),1,IF(Prices!D487&lt;OFFSET(Prices!D487,-$N$3,0),-1,0))</f>
        <v>-1</v>
      </c>
      <c r="O488" s="1">
        <f ca="1">IF(N488=1,O$3*L487/Prices!B487,O$3*M487*N488)</f>
        <v>-4.5366457427438694E-2</v>
      </c>
      <c r="P488" s="14"/>
      <c r="Q488" s="9">
        <f ca="1">Q487-T488*Prices!B488</f>
        <v>0.36574440495400407</v>
      </c>
      <c r="R488" s="1">
        <f t="shared" ca="1" si="45"/>
        <v>0.49150053003079236</v>
      </c>
      <c r="S488" s="9">
        <f ca="1">IF(Prices!C487&lt;OFFSET(Prices!C487,-S$3,0),1,IF(Prices!C487&gt;OFFSET(Prices!C487,-S$3,0),-1,0))</f>
        <v>-1</v>
      </c>
      <c r="T488" s="1">
        <f ca="1">IF(S488=1,T$3*Q487/Prices!B487,T$3*R487*S488)</f>
        <v>-1.0030623061852905E-2</v>
      </c>
    </row>
    <row r="489" spans="1:20" x14ac:dyDescent="0.2">
      <c r="A489" s="4">
        <v>34191</v>
      </c>
      <c r="B489" s="9">
        <f ca="1">Prices!B488*(1+J489/(50*(ABS(O489)+ABS(T489)+0.0001)))</f>
        <v>1.1254772483853686</v>
      </c>
      <c r="C489" s="13">
        <f t="shared" ca="1" si="46"/>
        <v>-1</v>
      </c>
      <c r="D489" s="9">
        <f ca="1">D488+C489*(Prices!B489-Prices!B488)/Prices!B488</f>
        <v>-0.38527694850072269</v>
      </c>
      <c r="E489" s="9">
        <f t="shared" ca="1" si="47"/>
        <v>0.42140089975946904</v>
      </c>
      <c r="F489" s="9">
        <f t="shared" ca="1" si="48"/>
        <v>3.6123951258746317E-2</v>
      </c>
      <c r="G489" s="13">
        <f ca="1">IF((Prices!B489-Prices!B488)*B489&gt;0,1,0)</f>
        <v>0</v>
      </c>
      <c r="H489" s="9">
        <f>ABS(Prices!B489-Prices!B488)/Prices!B488</f>
        <v>8.5336119818878696E-3</v>
      </c>
      <c r="I489" s="13"/>
      <c r="J489" s="1">
        <f t="shared" ca="1" si="49"/>
        <v>-5.0659822285310671E-2</v>
      </c>
      <c r="K489" s="9"/>
      <c r="L489" s="9">
        <f ca="1">L488-O489*Prices!B489</f>
        <v>0.56476581359771683</v>
      </c>
      <c r="M489" s="1">
        <f t="shared" ca="1" si="44"/>
        <v>0.36746830516225337</v>
      </c>
      <c r="N489" s="9">
        <f ca="1">IF(Prices!D488&gt;OFFSET(Prices!D488,-$N$3,0),1,IF(Prices!D488&lt;OFFSET(Prices!D488,-$N$3,0),-1,0))</f>
        <v>-1</v>
      </c>
      <c r="O489" s="1">
        <f ca="1">IF(N489=1,O$3*L488/Prices!B488,O$3*M488*N489)</f>
        <v>-4.0829811684694822E-2</v>
      </c>
      <c r="P489" s="14"/>
      <c r="Q489" s="9">
        <f ca="1">Q488-T489*Prices!B489</f>
        <v>0.37693685502386526</v>
      </c>
      <c r="R489" s="1">
        <f t="shared" ca="1" si="45"/>
        <v>0.48167051943017652</v>
      </c>
      <c r="S489" s="9">
        <f ca="1">IF(Prices!C488&lt;OFFSET(Prices!C488,-S$3,0),1,IF(Prices!C488&gt;OFFSET(Prices!C488,-S$3,0),-1,0))</f>
        <v>-1</v>
      </c>
      <c r="T489" s="1">
        <f ca="1">IF(S489=1,T$3*Q488/Prices!B488,T$3*R488*S489)</f>
        <v>-9.8300106006158471E-3</v>
      </c>
    </row>
    <row r="490" spans="1:20" x14ac:dyDescent="0.2">
      <c r="A490" s="4">
        <v>34192</v>
      </c>
      <c r="B490" s="9">
        <f ca="1">Prices!B489*(1+J490/(50*(ABS(O490)+ABS(T490)+0.0001)))</f>
        <v>1.1228176811544348</v>
      </c>
      <c r="C490" s="13">
        <f t="shared" ca="1" si="46"/>
        <v>-1</v>
      </c>
      <c r="D490" s="9">
        <f ca="1">D489+C490*(Prices!B490-Prices!B489)/Prices!B489</f>
        <v>-0.38395954115837239</v>
      </c>
      <c r="E490" s="9">
        <f t="shared" ca="1" si="47"/>
        <v>0.42008349241711873</v>
      </c>
      <c r="F490" s="9">
        <f t="shared" ca="1" si="48"/>
        <v>3.6123951258746317E-2</v>
      </c>
      <c r="G490" s="13">
        <f ca="1">IF((Prices!B490-Prices!B489)*B490&gt;0,1,0)</f>
        <v>0</v>
      </c>
      <c r="H490" s="9">
        <f>ABS(Prices!B490-Prices!B489)/Prices!B489</f>
        <v>1.3174073423503046E-3</v>
      </c>
      <c r="I490" s="13"/>
      <c r="J490" s="1">
        <f t="shared" ca="1" si="49"/>
        <v>-3.0125772110747295E-2</v>
      </c>
      <c r="K490" s="9"/>
      <c r="L490" s="9">
        <f ca="1">L489-O490*Prices!B490</f>
        <v>0.60655063457771663</v>
      </c>
      <c r="M490" s="1">
        <f t="shared" ca="1" si="44"/>
        <v>0.33072147464602802</v>
      </c>
      <c r="N490" s="9">
        <f ca="1">IF(Prices!D489&gt;OFFSET(Prices!D489,-$N$3,0),1,IF(Prices!D489&lt;OFFSET(Prices!D489,-$N$3,0),-1,0))</f>
        <v>-1</v>
      </c>
      <c r="O490" s="1">
        <f ca="1">IF(N490=1,O$3*L489/Prices!B489,O$3*M489*N490)</f>
        <v>-3.6746830516225341E-2</v>
      </c>
      <c r="P490" s="14"/>
      <c r="Q490" s="9">
        <f ca="1">Q489-T490*Prices!B490</f>
        <v>0.36940804951099615</v>
      </c>
      <c r="R490" s="1">
        <f t="shared" ca="1" si="45"/>
        <v>0.48829157783565458</v>
      </c>
      <c r="S490" s="9">
        <f ca="1">IF(Prices!C489&lt;OFFSET(Prices!C489,-S$3,0),1,IF(Prices!C489&gt;OFFSET(Prices!C489,-S$3,0),-1,0))</f>
        <v>1</v>
      </c>
      <c r="T490" s="1">
        <f ca="1">IF(S490=1,T$3*Q489/Prices!B489,T$3*R489*S490)</f>
        <v>6.6210584054780478E-3</v>
      </c>
    </row>
    <row r="491" spans="1:20" x14ac:dyDescent="0.2">
      <c r="A491" s="4">
        <v>34193</v>
      </c>
      <c r="B491" s="9">
        <f ca="1">Prices!B490*(1+J491/(50*(ABS(O491)+ABS(T491)+0.0001)))</f>
        <v>1.1218650393672995</v>
      </c>
      <c r="C491" s="13">
        <f t="shared" ca="1" si="46"/>
        <v>-1</v>
      </c>
      <c r="D491" s="9">
        <f ca="1">D490+C491*(Prices!B491-Prices!B490)/Prices!B490</f>
        <v>-0.37534112589146529</v>
      </c>
      <c r="E491" s="9">
        <f t="shared" ca="1" si="47"/>
        <v>0.41146507715021163</v>
      </c>
      <c r="F491" s="9">
        <f t="shared" ca="1" si="48"/>
        <v>3.6123951258746317E-2</v>
      </c>
      <c r="G491" s="13">
        <f ca="1">IF((Prices!B491-Prices!B490)*B491&gt;0,1,0)</f>
        <v>0</v>
      </c>
      <c r="H491" s="9">
        <f>ABS(Prices!B491-Prices!B490)/Prices!B490</f>
        <v>8.6184152669070719E-3</v>
      </c>
      <c r="I491" s="13"/>
      <c r="J491" s="1">
        <f t="shared" ca="1" si="49"/>
        <v>-2.6574776089860107E-2</v>
      </c>
      <c r="K491" s="9"/>
      <c r="L491" s="9">
        <f ca="1">L490-O491*Prices!B491</f>
        <v>0.64383286641456339</v>
      </c>
      <c r="M491" s="1">
        <f t="shared" ca="1" si="44"/>
        <v>0.29764932718142523</v>
      </c>
      <c r="N491" s="9">
        <f ca="1">IF(Prices!D490&gt;OFFSET(Prices!D490,-$N$3,0),1,IF(Prices!D490&lt;OFFSET(Prices!D490,-$N$3,0),-1,0))</f>
        <v>-1</v>
      </c>
      <c r="O491" s="1">
        <f ca="1">IF(N491=1,O$3*L490/Prices!B490,O$3*M490*N491)</f>
        <v>-3.3072147464602804E-2</v>
      </c>
      <c r="P491" s="14"/>
      <c r="Q491" s="9">
        <f ca="1">Q490-T491*Prices!B491</f>
        <v>0.36208356276024872</v>
      </c>
      <c r="R491" s="1">
        <f t="shared" ca="1" si="45"/>
        <v>0.49478894921039729</v>
      </c>
      <c r="S491" s="9">
        <f ca="1">IF(Prices!C490&lt;OFFSET(Prices!C490,-S$3,0),1,IF(Prices!C490&gt;OFFSET(Prices!C490,-S$3,0),-1,0))</f>
        <v>1</v>
      </c>
      <c r="T491" s="1">
        <f ca="1">IF(S491=1,T$3*Q490/Prices!B490,T$3*R490*S491)</f>
        <v>6.4973713747426987E-3</v>
      </c>
    </row>
    <row r="492" spans="1:20" x14ac:dyDescent="0.2">
      <c r="A492" s="4">
        <v>34194</v>
      </c>
      <c r="B492" s="9">
        <f ca="1">Prices!B491*(1+J492/(50*(ABS(O492)+ABS(T492)+0.0001)))</f>
        <v>1.1127983862657296</v>
      </c>
      <c r="C492" s="13">
        <f t="shared" ca="1" si="46"/>
        <v>-1</v>
      </c>
      <c r="D492" s="9">
        <f ca="1">D491+C492*(Prices!B492-Prices!B491)/Prices!B491</f>
        <v>-0.3797765024549356</v>
      </c>
      <c r="E492" s="9">
        <f t="shared" ca="1" si="47"/>
        <v>0.41590045371368189</v>
      </c>
      <c r="F492" s="9">
        <f t="shared" ca="1" si="48"/>
        <v>3.6123951258746317E-2</v>
      </c>
      <c r="G492" s="13">
        <f ca="1">IF((Prices!B492-Prices!B491)*B492&gt;0,1,0)</f>
        <v>1</v>
      </c>
      <c r="H492" s="9">
        <f>ABS(Prices!B492-Prices!B491)/Prices!B491</f>
        <v>4.4353765634703411E-3</v>
      </c>
      <c r="I492" s="13"/>
      <c r="J492" s="1">
        <f t="shared" ca="1" si="49"/>
        <v>-2.3341024925004075E-2</v>
      </c>
      <c r="K492" s="9"/>
      <c r="L492" s="9">
        <f ca="1">L491-O492*Prices!B492</f>
        <v>0.67753569973131622</v>
      </c>
      <c r="M492" s="1">
        <f t="shared" ca="1" si="44"/>
        <v>0.26788439446328272</v>
      </c>
      <c r="N492" s="9">
        <f ca="1">IF(Prices!D491&gt;OFFSET(Prices!D491,-$N$3,0),1,IF(Prices!D491&lt;OFFSET(Prices!D491,-$N$3,0),-1,0))</f>
        <v>-1</v>
      </c>
      <c r="O492" s="1">
        <f ca="1">IF(N492=1,O$3*L491/Prices!B491,O$3*M491*N492)</f>
        <v>-2.9764932718142526E-2</v>
      </c>
      <c r="P492" s="14"/>
      <c r="Q492" s="9">
        <f ca="1">Q491-T492*Prices!B492</f>
        <v>0.35480977196607805</v>
      </c>
      <c r="R492" s="1">
        <f t="shared" ca="1" si="45"/>
        <v>0.50121285700353568</v>
      </c>
      <c r="S492" s="9">
        <f ca="1">IF(Prices!C491&lt;OFFSET(Prices!C491,-S$3,0),1,IF(Prices!C491&gt;OFFSET(Prices!C491,-S$3,0),-1,0))</f>
        <v>1</v>
      </c>
      <c r="T492" s="1">
        <f ca="1">IF(S492=1,T$3*Q491/Prices!B491,T$3*R491*S492)</f>
        <v>6.4239077931384494E-3</v>
      </c>
    </row>
    <row r="493" spans="1:20" x14ac:dyDescent="0.2">
      <c r="A493" s="4">
        <v>34197</v>
      </c>
      <c r="B493" s="9">
        <f ca="1">Prices!B492*(1+J493/(50*(ABS(O493)+ABS(T493)+0.0001)))</f>
        <v>1.1182834097941154</v>
      </c>
      <c r="C493" s="13">
        <f t="shared" ca="1" si="46"/>
        <v>-1</v>
      </c>
      <c r="D493" s="9">
        <f ca="1">D492+C493*(Prices!B493-Prices!B492)/Prices!B492</f>
        <v>-0.39364208578090915</v>
      </c>
      <c r="E493" s="9">
        <f t="shared" ca="1" si="47"/>
        <v>0.42976603703965544</v>
      </c>
      <c r="F493" s="9">
        <f t="shared" ca="1" si="48"/>
        <v>3.6123951258746317E-2</v>
      </c>
      <c r="G493" s="13">
        <f ca="1">IF((Prices!B493-Prices!B492)*B493&gt;0,1,0)</f>
        <v>1</v>
      </c>
      <c r="H493" s="9">
        <f>ABS(Prices!B493-Prices!B492)/Prices!B492</f>
        <v>1.3865583325973527E-2</v>
      </c>
      <c r="I493" s="13"/>
      <c r="J493" s="1">
        <f t="shared" ca="1" si="49"/>
        <v>-2.0521376442423335E-2</v>
      </c>
      <c r="K493" s="9"/>
      <c r="L493" s="9">
        <f ca="1">L492-O493*Prices!B493</f>
        <v>0.70828882821570105</v>
      </c>
      <c r="M493" s="1">
        <f t="shared" ca="1" si="44"/>
        <v>0.24109595501695444</v>
      </c>
      <c r="N493" s="9">
        <f ca="1">IF(Prices!D492&gt;OFFSET(Prices!D492,-$N$3,0),1,IF(Prices!D492&lt;OFFSET(Prices!D492,-$N$3,0),-1,0))</f>
        <v>-1</v>
      </c>
      <c r="O493" s="1">
        <f ca="1">IF(N493=1,O$3*L492/Prices!B492,O$3*M492*N493)</f>
        <v>-2.6788439446328274E-2</v>
      </c>
      <c r="P493" s="14"/>
      <c r="Q493" s="9">
        <f ca="1">Q492-T493*Prices!B493</f>
        <v>0.34761518363759519</v>
      </c>
      <c r="R493" s="1">
        <f t="shared" ca="1" si="45"/>
        <v>0.50747992000744058</v>
      </c>
      <c r="S493" s="9">
        <f ca="1">IF(Prices!C492&lt;OFFSET(Prices!C492,-S$3,0),1,IF(Prices!C492&gt;OFFSET(Prices!C492,-S$3,0),-1,0))</f>
        <v>1</v>
      </c>
      <c r="T493" s="1">
        <f ca="1">IF(S493=1,T$3*Q492/Prices!B492,T$3*R492*S493)</f>
        <v>6.2670630039049378E-3</v>
      </c>
    </row>
    <row r="494" spans="1:20" x14ac:dyDescent="0.2">
      <c r="A494" s="4">
        <v>34198</v>
      </c>
      <c r="B494" s="9">
        <f ca="1">Prices!B493*(1+J494/(50*(ABS(O494)+ABS(T494)+0.0001)))</f>
        <v>1.1343042492501683</v>
      </c>
      <c r="C494" s="13">
        <f t="shared" ca="1" si="46"/>
        <v>-1</v>
      </c>
      <c r="D494" s="9">
        <f ca="1">D493+C494*(Prices!B494-Prices!B493)/Prices!B493</f>
        <v>-0.39616821818509046</v>
      </c>
      <c r="E494" s="9">
        <f t="shared" ca="1" si="47"/>
        <v>0.43229216944383675</v>
      </c>
      <c r="F494" s="9">
        <f t="shared" ca="1" si="48"/>
        <v>3.6123951258746317E-2</v>
      </c>
      <c r="G494" s="13">
        <f ca="1">IF((Prices!B494-Prices!B493)*B494&gt;0,1,0)</f>
        <v>1</v>
      </c>
      <c r="H494" s="9">
        <f>ABS(Prices!B494-Prices!B493)/Prices!B493</f>
        <v>2.5261324041812934E-3</v>
      </c>
      <c r="I494" s="13"/>
      <c r="J494" s="1">
        <f t="shared" ca="1" si="49"/>
        <v>-1.8053581849472533E-2</v>
      </c>
      <c r="K494" s="9"/>
      <c r="L494" s="9">
        <f ca="1">L493-O494*Prices!B494</f>
        <v>0.73603656167860232</v>
      </c>
      <c r="M494" s="1">
        <f t="shared" ca="1" si="44"/>
        <v>0.21698635951525899</v>
      </c>
      <c r="N494" s="9">
        <f ca="1">IF(Prices!D493&gt;OFFSET(Prices!D493,-$N$3,0),1,IF(Prices!D493&lt;OFFSET(Prices!D493,-$N$3,0),-1,0))</f>
        <v>-1</v>
      </c>
      <c r="O494" s="1">
        <f ca="1">IF(N494=1,O$3*L493/Prices!B493,O$3*M493*N494)</f>
        <v>-2.4109595501695447E-2</v>
      </c>
      <c r="P494" s="14"/>
      <c r="Q494" s="9">
        <f ca="1">Q493-T494*Prices!B494</f>
        <v>0.34064531752525185</v>
      </c>
      <c r="R494" s="1">
        <f t="shared" ca="1" si="45"/>
        <v>0.51353593365966343</v>
      </c>
      <c r="S494" s="9">
        <f ca="1">IF(Prices!C493&lt;OFFSET(Prices!C493,-S$3,0),1,IF(Prices!C493&gt;OFFSET(Prices!C493,-S$3,0),-1,0))</f>
        <v>1</v>
      </c>
      <c r="T494" s="1">
        <f ca="1">IF(S494=1,T$3*Q493/Prices!B493,T$3*R493*S494)</f>
        <v>6.0560136522229127E-3</v>
      </c>
    </row>
    <row r="495" spans="1:20" x14ac:dyDescent="0.2">
      <c r="A495" s="4">
        <v>34199</v>
      </c>
      <c r="B495" s="9">
        <f ca="1">Prices!B494*(1+J495/(50*(ABS(O495)+ABS(T495)+0.0001)))</f>
        <v>1.137796690134695</v>
      </c>
      <c r="C495" s="13">
        <f t="shared" ca="1" si="46"/>
        <v>-1</v>
      </c>
      <c r="D495" s="9">
        <f ca="1">D494+C495*(Prices!B495-Prices!B494)/Prices!B494</f>
        <v>-0.40120775246261242</v>
      </c>
      <c r="E495" s="9">
        <f t="shared" ca="1" si="47"/>
        <v>0.43733170372135877</v>
      </c>
      <c r="F495" s="9">
        <f t="shared" ca="1" si="48"/>
        <v>3.6123951258746317E-2</v>
      </c>
      <c r="G495" s="13">
        <f ca="1">IF((Prices!B495-Prices!B494)*B495&gt;0,1,0)</f>
        <v>1</v>
      </c>
      <c r="H495" s="9">
        <f>ABS(Prices!B495-Prices!B494)/Prices!B494</f>
        <v>5.0395342775219629E-3</v>
      </c>
      <c r="I495" s="13"/>
      <c r="J495" s="1">
        <f t="shared" ca="1" si="49"/>
        <v>-1.5779002316540204E-2</v>
      </c>
      <c r="K495" s="9"/>
      <c r="L495" s="9">
        <f ca="1">L494-O495*Prices!B495</f>
        <v>0.76113537388373231</v>
      </c>
      <c r="M495" s="1">
        <f t="shared" ca="1" si="44"/>
        <v>0.19528772356373308</v>
      </c>
      <c r="N495" s="9">
        <f ca="1">IF(Prices!D494&gt;OFFSET(Prices!D494,-$N$3,0),1,IF(Prices!D494&lt;OFFSET(Prices!D494,-$N$3,0),-1,0))</f>
        <v>-1</v>
      </c>
      <c r="O495" s="1">
        <f ca="1">IF(N495=1,O$3*L494/Prices!B494,O$3*M494*N495)</f>
        <v>-2.1698635951525901E-2</v>
      </c>
      <c r="P495" s="14"/>
      <c r="Q495" s="9">
        <f ca="1">Q494-T495*Prices!B495</f>
        <v>0.33379807729966388</v>
      </c>
      <c r="R495" s="1">
        <f t="shared" ca="1" si="45"/>
        <v>0.51945556729464915</v>
      </c>
      <c r="S495" s="9">
        <f ca="1">IF(Prices!C494&lt;OFFSET(Prices!C494,-S$3,0),1,IF(Prices!C494&gt;OFFSET(Prices!C494,-S$3,0),-1,0))</f>
        <v>1</v>
      </c>
      <c r="T495" s="1">
        <f ca="1">IF(S495=1,T$3*Q494/Prices!B494,T$3*R494*S495)</f>
        <v>5.9196336349856956E-3</v>
      </c>
    </row>
    <row r="496" spans="1:20" x14ac:dyDescent="0.2">
      <c r="A496" s="4">
        <v>34200</v>
      </c>
      <c r="B496" s="9">
        <f ca="1">Prices!B495*(1+J496/(50*(ABS(O496)+ABS(T496)+0.0001)))</f>
        <v>1.179801723245554</v>
      </c>
      <c r="C496" s="13">
        <f t="shared" ca="1" si="46"/>
        <v>1</v>
      </c>
      <c r="D496" s="9">
        <f ca="1">D495+C496*(Prices!B496-Prices!B495)/Prices!B495</f>
        <v>-0.40155356382251556</v>
      </c>
      <c r="E496" s="9">
        <f t="shared" ca="1" si="47"/>
        <v>0.43767751508126185</v>
      </c>
      <c r="F496" s="9">
        <f t="shared" ca="1" si="48"/>
        <v>3.6123951258746317E-2</v>
      </c>
      <c r="G496" s="13">
        <f ca="1">IF((Prices!B496-Prices!B495)*B496&gt;0,1,0)</f>
        <v>0</v>
      </c>
      <c r="H496" s="9">
        <f>ABS(Prices!B496-Prices!B495)/Prices!B495</f>
        <v>3.4581135990313471E-4</v>
      </c>
      <c r="I496" s="13"/>
      <c r="J496" s="1">
        <f t="shared" ca="1" si="49"/>
        <v>7.1573873030488885E-2</v>
      </c>
      <c r="K496" s="9"/>
      <c r="L496" s="9">
        <f ca="1">L495-O496*Prices!B496</f>
        <v>0.68504815742123037</v>
      </c>
      <c r="M496" s="1">
        <f t="shared" ca="1" si="44"/>
        <v>0.26109003824201893</v>
      </c>
      <c r="N496" s="9">
        <f ca="1">IF(Prices!D495&gt;OFFSET(Prices!D495,-$N$3,0),1,IF(Prices!D495&lt;OFFSET(Prices!D495,-$N$3,0),-1,0))</f>
        <v>1</v>
      </c>
      <c r="O496" s="1">
        <f ca="1">IF(N496=1,O$3*L495/Prices!B495,O$3*M495*N496)</f>
        <v>6.5802314678285831E-2</v>
      </c>
      <c r="P496" s="14"/>
      <c r="Q496" s="9">
        <f ca="1">Q495-T496*Prices!B496</f>
        <v>0.3271244243770115</v>
      </c>
      <c r="R496" s="1">
        <f t="shared" ca="1" si="45"/>
        <v>0.52522712564685226</v>
      </c>
      <c r="S496" s="9">
        <f ca="1">IF(Prices!C495&lt;OFFSET(Prices!C495,-S$3,0),1,IF(Prices!C495&gt;OFFSET(Prices!C495,-S$3,0),-1,0))</f>
        <v>1</v>
      </c>
      <c r="T496" s="1">
        <f ca="1">IF(S496=1,T$3*Q495/Prices!B495,T$3*R495*S496)</f>
        <v>5.7715583522030579E-3</v>
      </c>
    </row>
    <row r="497" spans="1:20" x14ac:dyDescent="0.2">
      <c r="A497" s="4">
        <v>34201</v>
      </c>
      <c r="B497" s="9">
        <f ca="1">Prices!B496*(1+J497/(50*(ABS(O497)+ABS(T497)+0.0001)))</f>
        <v>1.1332369903736013</v>
      </c>
      <c r="C497" s="13">
        <f t="shared" ca="1" si="46"/>
        <v>-1</v>
      </c>
      <c r="D497" s="9">
        <f ca="1">D496+C497*(Prices!B497-Prices!B496)/Prices!B496</f>
        <v>-0.40726142510418983</v>
      </c>
      <c r="E497" s="9">
        <f t="shared" ca="1" si="47"/>
        <v>0.44338537636293618</v>
      </c>
      <c r="F497" s="9">
        <f t="shared" ca="1" si="48"/>
        <v>3.6123951258746317E-2</v>
      </c>
      <c r="G497" s="13">
        <f ca="1">IF((Prices!B497-Prices!B496)*B497&gt;0,1,0)</f>
        <v>1</v>
      </c>
      <c r="H497" s="9">
        <f>ABS(Prices!B497-Prices!B496)/Prices!B496</f>
        <v>5.7078612816742532E-3</v>
      </c>
      <c r="I497" s="13"/>
      <c r="J497" s="1">
        <f t="shared" ca="1" si="49"/>
        <v>-3.6613546337138939E-2</v>
      </c>
      <c r="K497" s="9"/>
      <c r="L497" s="9">
        <f ca="1">L496-O497*Prices!B497</f>
        <v>0.71541031796839472</v>
      </c>
      <c r="M497" s="1">
        <f t="shared" ca="1" si="44"/>
        <v>0.23498103441781704</v>
      </c>
      <c r="N497" s="9">
        <f ca="1">IF(Prices!D496&gt;OFFSET(Prices!D496,-$N$3,0),1,IF(Prices!D496&lt;OFFSET(Prices!D496,-$N$3,0),-1,0))</f>
        <v>-1</v>
      </c>
      <c r="O497" s="1">
        <f ca="1">IF(N497=1,O$3*L496/Prices!B496,O$3*M496*N497)</f>
        <v>-2.6109003824201893E-2</v>
      </c>
      <c r="P497" s="14"/>
      <c r="Q497" s="9">
        <f ca="1">Q496-T497*Prices!B497</f>
        <v>0.339340156865306</v>
      </c>
      <c r="R497" s="1">
        <f t="shared" ca="1" si="45"/>
        <v>0.51472258313391517</v>
      </c>
      <c r="S497" s="9">
        <f ca="1">IF(Prices!C496&lt;OFFSET(Prices!C496,-S$3,0),1,IF(Prices!C496&gt;OFFSET(Prices!C496,-S$3,0),-1,0))</f>
        <v>-1</v>
      </c>
      <c r="T497" s="1">
        <f ca="1">IF(S497=1,T$3*Q496/Prices!B496,T$3*R496*S497)</f>
        <v>-1.0504542512937046E-2</v>
      </c>
    </row>
    <row r="498" spans="1:20" x14ac:dyDescent="0.2">
      <c r="A498" s="4">
        <v>34204</v>
      </c>
      <c r="B498" s="9">
        <f ca="1">Prices!B497*(1+J498/(50*(ABS(O498)+ABS(T498)+0.0001)))</f>
        <v>1.1397106227400924</v>
      </c>
      <c r="C498" s="13">
        <f t="shared" ca="1" si="46"/>
        <v>-1</v>
      </c>
      <c r="D498" s="9">
        <f ca="1">D497+C498*(Prices!B498-Prices!B497)/Prices!B497</f>
        <v>-0.40184393434832089</v>
      </c>
      <c r="E498" s="9">
        <f t="shared" ca="1" si="47"/>
        <v>0.43796788560706723</v>
      </c>
      <c r="F498" s="9">
        <f t="shared" ca="1" si="48"/>
        <v>3.6123951258746317E-2</v>
      </c>
      <c r="G498" s="13">
        <f ca="1">IF((Prices!B498-Prices!B497)*B498&gt;0,1,0)</f>
        <v>0</v>
      </c>
      <c r="H498" s="9">
        <f>ABS(Prices!B498-Prices!B497)/Prices!B497</f>
        <v>5.4174907558689244E-3</v>
      </c>
      <c r="I498" s="13"/>
      <c r="J498" s="1">
        <f t="shared" ca="1" si="49"/>
        <v>-3.3792555104460012E-2</v>
      </c>
      <c r="K498" s="9"/>
      <c r="L498" s="9">
        <f ca="1">L497-O498*Prices!B498</f>
        <v>0.74258822440915939</v>
      </c>
      <c r="M498" s="1">
        <f t="shared" ca="1" si="44"/>
        <v>0.21148293097603532</v>
      </c>
      <c r="N498" s="9">
        <f ca="1">IF(Prices!D497&gt;OFFSET(Prices!D497,-$N$3,0),1,IF(Prices!D497&lt;OFFSET(Prices!D497,-$N$3,0),-1,0))</f>
        <v>-1</v>
      </c>
      <c r="O498" s="1">
        <f ca="1">IF(N498=1,O$3*L497/Prices!B497,O$3*M497*N498)</f>
        <v>-2.3498103441781704E-2</v>
      </c>
      <c r="P498" s="14"/>
      <c r="Q498" s="9">
        <f ca="1">Q497-T498*Prices!B498</f>
        <v>0.35124671965835974</v>
      </c>
      <c r="R498" s="1">
        <f t="shared" ca="1" si="45"/>
        <v>0.50442813147123688</v>
      </c>
      <c r="S498" s="9">
        <f ca="1">IF(Prices!C497&lt;OFFSET(Prices!C497,-S$3,0),1,IF(Prices!C497&gt;OFFSET(Prices!C497,-S$3,0),-1,0))</f>
        <v>-1</v>
      </c>
      <c r="T498" s="1">
        <f ca="1">IF(S498=1,T$3*Q497/Prices!B497,T$3*R497*S498)</f>
        <v>-1.0294451662678304E-2</v>
      </c>
    </row>
    <row r="499" spans="1:20" x14ac:dyDescent="0.2">
      <c r="A499" s="4">
        <v>34205</v>
      </c>
      <c r="B499" s="9">
        <f ca="1">Prices!B498*(1+J499/(50*(ABS(O499)+ABS(T499)+0.0001)))</f>
        <v>1.1335418172336162</v>
      </c>
      <c r="C499" s="13">
        <f t="shared" ca="1" si="46"/>
        <v>-1</v>
      </c>
      <c r="D499" s="9">
        <f ca="1">D498+C499*(Prices!B499-Prices!B498)/Prices!B498</f>
        <v>-0.40763677543426236</v>
      </c>
      <c r="E499" s="9">
        <f t="shared" ca="1" si="47"/>
        <v>0.4437607266930087</v>
      </c>
      <c r="F499" s="9">
        <f t="shared" ca="1" si="48"/>
        <v>3.6123951258746317E-2</v>
      </c>
      <c r="G499" s="13">
        <f ca="1">IF((Prices!B499-Prices!B498)*B499&gt;0,1,0)</f>
        <v>1</v>
      </c>
      <c r="H499" s="9">
        <f>ABS(Prices!B499-Prices!B498)/Prices!B498</f>
        <v>5.79284108594149E-3</v>
      </c>
      <c r="I499" s="13"/>
      <c r="J499" s="1">
        <f t="shared" ca="1" si="49"/>
        <v>-3.1236855727028272E-2</v>
      </c>
      <c r="K499" s="9"/>
      <c r="L499" s="9">
        <f ca="1">L498-O499*Prices!B499</f>
        <v>0.7671900337696016</v>
      </c>
      <c r="M499" s="1">
        <f t="shared" ca="1" si="44"/>
        <v>0.1903346378784318</v>
      </c>
      <c r="N499" s="9">
        <f ca="1">IF(Prices!D498&gt;OFFSET(Prices!D498,-$N$3,0),1,IF(Prices!D498&lt;OFFSET(Prices!D498,-$N$3,0),-1,0))</f>
        <v>-1</v>
      </c>
      <c r="O499" s="1">
        <f ca="1">IF(N499=1,O$3*L498/Prices!B498,O$3*M498*N499)</f>
        <v>-2.1148293097603535E-2</v>
      </c>
      <c r="P499" s="14"/>
      <c r="Q499" s="9">
        <f ca="1">Q498-T499*Prices!B499</f>
        <v>0.36298274456516955</v>
      </c>
      <c r="R499" s="1">
        <f t="shared" ca="1" si="45"/>
        <v>0.49433956884181213</v>
      </c>
      <c r="S499" s="9">
        <f ca="1">IF(Prices!C498&lt;OFFSET(Prices!C498,-S$3,0),1,IF(Prices!C498&gt;OFFSET(Prices!C498,-S$3,0),-1,0))</f>
        <v>-1</v>
      </c>
      <c r="T499" s="1">
        <f ca="1">IF(S499=1,T$3*Q498/Prices!B498,T$3*R498*S499)</f>
        <v>-1.0088562629424739E-2</v>
      </c>
    </row>
    <row r="500" spans="1:20" x14ac:dyDescent="0.2">
      <c r="A500" s="4">
        <v>34206</v>
      </c>
      <c r="B500" s="9">
        <f ca="1">Prices!B499*(1+J500/(50*(ABS(O500)+ABS(T500)+0.0001)))</f>
        <v>1.1401141715900427</v>
      </c>
      <c r="C500" s="13">
        <f t="shared" ca="1" si="46"/>
        <v>-1</v>
      </c>
      <c r="D500" s="9">
        <f ca="1">D499+C500*(Prices!B500-Prices!B499)/Prices!B499</f>
        <v>-0.40230710982779799</v>
      </c>
      <c r="E500" s="9">
        <f t="shared" ca="1" si="47"/>
        <v>0.43843106108654428</v>
      </c>
      <c r="F500" s="9">
        <f t="shared" ca="1" si="48"/>
        <v>3.6123951258746317E-2</v>
      </c>
      <c r="G500" s="13">
        <f ca="1">IF((Prices!B500-Prices!B499)*B500&gt;0,1,0)</f>
        <v>0</v>
      </c>
      <c r="H500" s="9">
        <f>ABS(Prices!B500-Prices!B499)/Prices!B499</f>
        <v>5.3296656064643544E-3</v>
      </c>
      <c r="I500" s="13"/>
      <c r="J500" s="1">
        <f t="shared" ca="1" si="49"/>
        <v>-2.8920255164679422E-2</v>
      </c>
      <c r="K500" s="9"/>
      <c r="L500" s="9">
        <f ca="1">L499-O500*Prices!B500</f>
        <v>0.7892136547185149</v>
      </c>
      <c r="M500" s="1">
        <f t="shared" ca="1" si="44"/>
        <v>0.17130117409058862</v>
      </c>
      <c r="N500" s="9">
        <f ca="1">IF(Prices!D499&gt;OFFSET(Prices!D499,-$N$3,0),1,IF(Prices!D499&lt;OFFSET(Prices!D499,-$N$3,0),-1,0))</f>
        <v>-1</v>
      </c>
      <c r="O500" s="1">
        <f ca="1">IF(N500=1,O$3*L499/Prices!B499,O$3*M499*N500)</f>
        <v>-1.903346378784318E-2</v>
      </c>
      <c r="P500" s="14"/>
      <c r="Q500" s="9">
        <f ca="1">Q499-T500*Prices!B500</f>
        <v>0.37442275086730675</v>
      </c>
      <c r="R500" s="1">
        <f t="shared" ca="1" si="45"/>
        <v>0.48445277746497589</v>
      </c>
      <c r="S500" s="9">
        <f ca="1">IF(Prices!C499&lt;OFFSET(Prices!C499,-S$3,0),1,IF(Prices!C499&gt;OFFSET(Prices!C499,-S$3,0),-1,0))</f>
        <v>-1</v>
      </c>
      <c r="T500" s="1">
        <f ca="1">IF(S500=1,T$3*Q499/Prices!B499,T$3*R499*S500)</f>
        <v>-9.8867913768362434E-3</v>
      </c>
    </row>
    <row r="501" spans="1:20" x14ac:dyDescent="0.2">
      <c r="A501" s="4">
        <v>34207</v>
      </c>
      <c r="B501" s="9">
        <f ca="1">Prices!B500*(1+J501/(50*(ABS(O501)+ABS(T501)+0.0001)))</f>
        <v>1.1466933879553887</v>
      </c>
      <c r="C501" s="13">
        <f t="shared" ca="1" si="46"/>
        <v>-1</v>
      </c>
      <c r="D501" s="9">
        <f ca="1">D500+C501*(Prices!B501-Prices!B500)/Prices!B500</f>
        <v>-0.40835671660335748</v>
      </c>
      <c r="E501" s="9">
        <f t="shared" ca="1" si="47"/>
        <v>0.44448066786210383</v>
      </c>
      <c r="F501" s="9">
        <f t="shared" ca="1" si="48"/>
        <v>3.6123951258746317E-2</v>
      </c>
      <c r="G501" s="13">
        <f ca="1">IF((Prices!B501-Prices!B500)*B501&gt;0,1,0)</f>
        <v>1</v>
      </c>
      <c r="H501" s="9">
        <f>ABS(Prices!B501-Prices!B500)/Prices!B500</f>
        <v>6.0496067755594976E-3</v>
      </c>
      <c r="I501" s="13"/>
      <c r="J501" s="1">
        <f t="shared" ca="1" si="49"/>
        <v>-1.0658373378857382E-2</v>
      </c>
      <c r="K501" s="9"/>
      <c r="L501" s="9">
        <f ca="1">L500-O501*Prices!B501</f>
        <v>0.80915482439440034</v>
      </c>
      <c r="M501" s="1">
        <f t="shared" ca="1" si="44"/>
        <v>0.15417105668152975</v>
      </c>
      <c r="N501" s="9">
        <f ca="1">IF(Prices!D500&gt;OFFSET(Prices!D500,-$N$3,0),1,IF(Prices!D500&lt;OFFSET(Prices!D500,-$N$3,0),-1,0))</f>
        <v>-1</v>
      </c>
      <c r="O501" s="1">
        <f ca="1">IF(N501=1,O$3*L500/Prices!B500,O$3*M500*N501)</f>
        <v>-1.7130117409058863E-2</v>
      </c>
      <c r="P501" s="14"/>
      <c r="Q501" s="9">
        <f ca="1">Q500-T501*Prices!B501</f>
        <v>0.36688899364174921</v>
      </c>
      <c r="R501" s="1">
        <f t="shared" ca="1" si="45"/>
        <v>0.4909245214951774</v>
      </c>
      <c r="S501" s="9">
        <f ca="1">IF(Prices!C500&lt;OFFSET(Prices!C500,-S$3,0),1,IF(Prices!C500&gt;OFFSET(Prices!C500,-S$3,0),-1,0))</f>
        <v>1</v>
      </c>
      <c r="T501" s="1">
        <f ca="1">IF(S501=1,T$3*Q500/Prices!B500,T$3*R500*S501)</f>
        <v>6.4717440302014826E-3</v>
      </c>
    </row>
    <row r="502" spans="1:20" x14ac:dyDescent="0.2">
      <c r="A502" s="4">
        <v>34208</v>
      </c>
      <c r="B502" s="9">
        <f ca="1">Prices!B501*(1+J502/(50*(ABS(O502)+ABS(T502)+0.0001)))</f>
        <v>1.1543758658610386</v>
      </c>
      <c r="C502" s="13">
        <f t="shared" ca="1" si="46"/>
        <v>-1</v>
      </c>
      <c r="D502" s="9">
        <f ca="1">D501+C502*(Prices!B502-Prices!B501)/Prices!B501</f>
        <v>-0.4095593624241633</v>
      </c>
      <c r="E502" s="9">
        <f t="shared" ca="1" si="47"/>
        <v>0.44568331368290959</v>
      </c>
      <c r="F502" s="9">
        <f t="shared" ca="1" si="48"/>
        <v>3.6123951258746317E-2</v>
      </c>
      <c r="G502" s="13">
        <f ca="1">IF((Prices!B502-Prices!B501)*B502&gt;0,1,0)</f>
        <v>1</v>
      </c>
      <c r="H502" s="9">
        <f>ABS(Prices!B502-Prices!B501)/Prices!B501</f>
        <v>1.2026458208058311E-3</v>
      </c>
      <c r="I502" s="13"/>
      <c r="J502" s="1">
        <f t="shared" ca="1" si="49"/>
        <v>-9.1137125981117558E-3</v>
      </c>
      <c r="K502" s="9"/>
      <c r="L502" s="9">
        <f ca="1">L501-O502*Prices!B502</f>
        <v>0.82712346105063261</v>
      </c>
      <c r="M502" s="1">
        <f t="shared" ca="1" si="44"/>
        <v>0.13875395101337679</v>
      </c>
      <c r="N502" s="9">
        <f ca="1">IF(Prices!D501&gt;OFFSET(Prices!D501,-$N$3,0),1,IF(Prices!D501&lt;OFFSET(Prices!D501,-$N$3,0),-1,0))</f>
        <v>-1</v>
      </c>
      <c r="O502" s="1">
        <f ca="1">IF(N502=1,O$3*L501/Prices!B501,O$3*M501*N502)</f>
        <v>-1.5417105668152976E-2</v>
      </c>
      <c r="P502" s="14"/>
      <c r="Q502" s="9">
        <f ca="1">Q501-T502*Prices!B502</f>
        <v>0.35954238901861618</v>
      </c>
      <c r="R502" s="1">
        <f t="shared" ca="1" si="45"/>
        <v>0.49722791456521864</v>
      </c>
      <c r="S502" s="9">
        <f ca="1">IF(Prices!C501&lt;OFFSET(Prices!C501,-S$3,0),1,IF(Prices!C501&gt;OFFSET(Prices!C501,-S$3,0),-1,0))</f>
        <v>1</v>
      </c>
      <c r="T502" s="1">
        <f ca="1">IF(S502=1,T$3*Q501/Prices!B501,T$3*R501*S502)</f>
        <v>6.3033930700412202E-3</v>
      </c>
    </row>
    <row r="503" spans="1:20" x14ac:dyDescent="0.2">
      <c r="A503" s="4">
        <v>34211</v>
      </c>
      <c r="B503" s="9">
        <f ca="1">Prices!B502*(1+J503/(50*(ABS(O503)+ABS(T503)+0.0001)))</f>
        <v>1.1422874500226541</v>
      </c>
      <c r="C503" s="13">
        <f t="shared" ca="1" si="46"/>
        <v>-1</v>
      </c>
      <c r="D503" s="9">
        <f ca="1">D502+C503*(Prices!B503-Prices!B502)/Prices!B502</f>
        <v>-0.4095593624241633</v>
      </c>
      <c r="E503" s="9">
        <f t="shared" ca="1" si="47"/>
        <v>0.44568331368290959</v>
      </c>
      <c r="F503" s="9">
        <f t="shared" ca="1" si="48"/>
        <v>3.6123951258746317E-2</v>
      </c>
      <c r="G503" s="13">
        <f ca="1">IF((Prices!B503-Prices!B502)*B503&gt;0,1,0)</f>
        <v>0</v>
      </c>
      <c r="H503" s="9">
        <f>ABS(Prices!B503-Prices!B502)/Prices!B502</f>
        <v>0</v>
      </c>
      <c r="I503" s="13"/>
      <c r="J503" s="1">
        <f t="shared" ca="1" si="49"/>
        <v>-2.3819953392642056E-2</v>
      </c>
      <c r="K503" s="9"/>
      <c r="L503" s="9">
        <f ca="1">L502-O503*Prices!B503</f>
        <v>0.84329523404124163</v>
      </c>
      <c r="M503" s="1">
        <f t="shared" ca="1" si="44"/>
        <v>0.12487855591203911</v>
      </c>
      <c r="N503" s="9">
        <f ca="1">IF(Prices!D502&gt;OFFSET(Prices!D502,-$N$3,0),1,IF(Prices!D502&lt;OFFSET(Prices!D502,-$N$3,0),-1,0))</f>
        <v>-1</v>
      </c>
      <c r="O503" s="1">
        <f ca="1">IF(N503=1,O$3*L502/Prices!B502,O$3*M502*N503)</f>
        <v>-1.387539510133768E-2</v>
      </c>
      <c r="P503" s="14"/>
      <c r="Q503" s="9">
        <f ca="1">Q502-T503*Prices!B503</f>
        <v>0.37113277170713144</v>
      </c>
      <c r="R503" s="1">
        <f t="shared" ca="1" si="45"/>
        <v>0.48728335627391428</v>
      </c>
      <c r="S503" s="9">
        <f ca="1">IF(Prices!C502&lt;OFFSET(Prices!C502,-S$3,0),1,IF(Prices!C502&gt;OFFSET(Prices!C502,-S$3,0),-1,0))</f>
        <v>-1</v>
      </c>
      <c r="T503" s="1">
        <f ca="1">IF(S503=1,T$3*Q502/Prices!B502,T$3*R502*S503)</f>
        <v>-9.9445582913043739E-3</v>
      </c>
    </row>
    <row r="504" spans="1:20" x14ac:dyDescent="0.2">
      <c r="A504" s="4">
        <v>34212</v>
      </c>
      <c r="B504" s="9">
        <f ca="1">Prices!B503*(1+J504/(50*(ABS(O504)+ABS(T504)+0.0001)))</f>
        <v>1.1832543870178238</v>
      </c>
      <c r="C504" s="13">
        <f t="shared" ca="1" si="46"/>
        <v>1</v>
      </c>
      <c r="D504" s="9">
        <f ca="1">D503+C504*(Prices!B504-Prices!B503)/Prices!B503</f>
        <v>-0.4141067669715679</v>
      </c>
      <c r="E504" s="9">
        <f t="shared" ca="1" si="47"/>
        <v>0.45023071823031424</v>
      </c>
      <c r="F504" s="9">
        <f t="shared" ca="1" si="48"/>
        <v>3.6123951258746317E-2</v>
      </c>
      <c r="G504" s="13">
        <f ca="1">IF((Prices!B504-Prices!B503)*B504&gt;0,1,0)</f>
        <v>0</v>
      </c>
      <c r="H504" s="9">
        <f>ABS(Prices!B504-Prices!B503)/Prices!B503</f>
        <v>4.5474045474046178E-3</v>
      </c>
      <c r="I504" s="13"/>
      <c r="J504" s="1">
        <f t="shared" ca="1" si="49"/>
        <v>6.2609136310063693E-2</v>
      </c>
      <c r="K504" s="9"/>
      <c r="L504" s="9">
        <f ca="1">L503-O504*Prices!B504</f>
        <v>0.75934919109532584</v>
      </c>
      <c r="M504" s="1">
        <f t="shared" ca="1" si="44"/>
        <v>0.19723335934758107</v>
      </c>
      <c r="N504" s="9">
        <f ca="1">IF(Prices!D503&gt;OFFSET(Prices!D503,-$N$3,0),1,IF(Prices!D503&lt;OFFSET(Prices!D503,-$N$3,0),-1,0))</f>
        <v>1</v>
      </c>
      <c r="O504" s="1">
        <f ca="1">IF(N504=1,O$3*L503/Prices!B503,O$3*M503*N504)</f>
        <v>7.2354803435541973E-2</v>
      </c>
      <c r="P504" s="14"/>
      <c r="Q504" s="9">
        <f ca="1">Q503-T504*Prices!B504</f>
        <v>0.38243969470611133</v>
      </c>
      <c r="R504" s="1">
        <f t="shared" ca="1" si="45"/>
        <v>0.47753768914843597</v>
      </c>
      <c r="S504" s="9">
        <f ca="1">IF(Prices!C503&lt;OFFSET(Prices!C503,-S$3,0),1,IF(Prices!C503&gt;OFFSET(Prices!C503,-S$3,0),-1,0))</f>
        <v>-1</v>
      </c>
      <c r="T504" s="1">
        <f ca="1">IF(S504=1,T$3*Q503/Prices!B503,T$3*R503*S504)</f>
        <v>-9.7456671254782853E-3</v>
      </c>
    </row>
    <row r="505" spans="1:20" x14ac:dyDescent="0.2">
      <c r="A505" s="4">
        <v>34213</v>
      </c>
      <c r="B505" s="9">
        <f ca="1">Prices!B504*(1+J505/(50*(ABS(O505)+ABS(T505)+0.0001)))</f>
        <v>1.1486659086229523</v>
      </c>
      <c r="C505" s="13">
        <f t="shared" ca="1" si="46"/>
        <v>-1</v>
      </c>
      <c r="D505" s="9">
        <f ca="1">D504+C505*(Prices!B505-Prices!B504)/Prices!B504</f>
        <v>-0.42384646702328321</v>
      </c>
      <c r="E505" s="9">
        <f t="shared" ca="1" si="47"/>
        <v>0.45997041828202956</v>
      </c>
      <c r="F505" s="9">
        <f t="shared" ca="1" si="48"/>
        <v>3.6123951258746317E-2</v>
      </c>
      <c r="G505" s="13">
        <f ca="1">IF((Prices!B505-Prices!B504)*B505&gt;0,1,0)</f>
        <v>1</v>
      </c>
      <c r="H505" s="9">
        <f>ABS(Prices!B505-Prices!B504)/Prices!B504</f>
        <v>9.7397000517152974E-3</v>
      </c>
      <c r="I505" s="13"/>
      <c r="J505" s="1">
        <f t="shared" ca="1" si="49"/>
        <v>-1.3130684758993389E-2</v>
      </c>
      <c r="K505" s="9"/>
      <c r="L505" s="9">
        <f ca="1">L504-O505*Prices!B505</f>
        <v>0.78245507914289492</v>
      </c>
      <c r="M505" s="1">
        <f t="shared" ca="1" si="44"/>
        <v>0.17751002341282296</v>
      </c>
      <c r="N505" s="9">
        <f ca="1">IF(Prices!D504&gt;OFFSET(Prices!D504,-$N$3,0),1,IF(Prices!D504&lt;OFFSET(Prices!D504,-$N$3,0),-1,0))</f>
        <v>-1</v>
      </c>
      <c r="O505" s="1">
        <f ca="1">IF(N505=1,O$3*L504/Prices!B504,O$3*M504*N505)</f>
        <v>-1.9723335934758109E-2</v>
      </c>
      <c r="P505" s="14"/>
      <c r="Q505" s="9">
        <f ca="1">Q504-T505*Prices!B505</f>
        <v>0.37471640385370297</v>
      </c>
      <c r="R505" s="1">
        <f t="shared" ca="1" si="45"/>
        <v>0.48413034032420071</v>
      </c>
      <c r="S505" s="9">
        <f ca="1">IF(Prices!C504&lt;OFFSET(Prices!C504,-S$3,0),1,IF(Prices!C504&gt;OFFSET(Prices!C504,-S$3,0),-1,0))</f>
        <v>1</v>
      </c>
      <c r="T505" s="1">
        <f ca="1">IF(S505=1,T$3*Q504/Prices!B504,T$3*R504*S505)</f>
        <v>6.5926511757647193E-3</v>
      </c>
    </row>
    <row r="506" spans="1:20" x14ac:dyDescent="0.2">
      <c r="A506" s="4">
        <v>34214</v>
      </c>
      <c r="B506" s="9">
        <f ca="1">Prices!B505*(1+J506/(50*(ABS(O506)+ABS(T506)+0.0001)))</f>
        <v>1.1889740220933658</v>
      </c>
      <c r="C506" s="13">
        <f t="shared" ca="1" si="46"/>
        <v>1</v>
      </c>
      <c r="D506" s="9">
        <f ca="1">D505+C506*(Prices!B506-Prices!B505)/Prices!B505</f>
        <v>-0.42171245080476</v>
      </c>
      <c r="E506" s="9">
        <f t="shared" ca="1" si="47"/>
        <v>0.45783640206350629</v>
      </c>
      <c r="F506" s="9">
        <f t="shared" ca="1" si="48"/>
        <v>3.6123951258746317E-2</v>
      </c>
      <c r="G506" s="13">
        <f ca="1">IF((Prices!B506-Prices!B505)*B506&gt;0,1,0)</f>
        <v>1</v>
      </c>
      <c r="H506" s="9">
        <f>ABS(Prices!B506-Prices!B505)/Prices!B505</f>
        <v>2.1340162185232154E-3</v>
      </c>
      <c r="I506" s="13"/>
      <c r="J506" s="1">
        <f t="shared" ca="1" si="49"/>
        <v>5.7108266359789564E-2</v>
      </c>
      <c r="K506" s="9"/>
      <c r="L506" s="9">
        <f ca="1">L505-O506*Prices!B506</f>
        <v>0.7040425940456897</v>
      </c>
      <c r="M506" s="1">
        <f t="shared" ca="1" si="44"/>
        <v>0.24430089657909654</v>
      </c>
      <c r="N506" s="9">
        <f ca="1">IF(Prices!D505&gt;OFFSET(Prices!D505,-$N$3,0),1,IF(Prices!D505&lt;OFFSET(Prices!D505,-$N$3,0),-1,0))</f>
        <v>1</v>
      </c>
      <c r="O506" s="1">
        <f ca="1">IF(N506=1,O$3*L505/Prices!B505,O$3*M505*N506)</f>
        <v>6.6790873166273579E-2</v>
      </c>
      <c r="P506" s="14"/>
      <c r="Q506" s="9">
        <f ca="1">Q505-T506*Prices!B506</f>
        <v>0.38608378424451523</v>
      </c>
      <c r="R506" s="1">
        <f t="shared" ca="1" si="45"/>
        <v>0.47444773351771669</v>
      </c>
      <c r="S506" s="9">
        <f ca="1">IF(Prices!C505&lt;OFFSET(Prices!C505,-S$3,0),1,IF(Prices!C505&gt;OFFSET(Prices!C505,-S$3,0),-1,0))</f>
        <v>-1</v>
      </c>
      <c r="T506" s="1">
        <f ca="1">IF(S506=1,T$3*Q505/Prices!B505,T$3*R505*S506)</f>
        <v>-9.6826068064840148E-3</v>
      </c>
    </row>
    <row r="507" spans="1:20" x14ac:dyDescent="0.2">
      <c r="A507" s="4">
        <v>34215</v>
      </c>
      <c r="B507" s="9">
        <f ca="1">Prices!B506*(1+J507/(50*(ABS(O507)+ABS(T507)+0.0001)))</f>
        <v>1.1505890201634514</v>
      </c>
      <c r="C507" s="13">
        <f t="shared" ca="1" si="46"/>
        <v>-1</v>
      </c>
      <c r="D507" s="9">
        <f ca="1">D506+C507*(Prices!B507-Prices!B506)/Prices!B506</f>
        <v>-0.43474481877750282</v>
      </c>
      <c r="E507" s="9">
        <f t="shared" ca="1" si="47"/>
        <v>0.47086877003624916</v>
      </c>
      <c r="F507" s="9">
        <f t="shared" ca="1" si="48"/>
        <v>3.6123951258746317E-2</v>
      </c>
      <c r="G507" s="13">
        <f ca="1">IF((Prices!B507-Prices!B506)*B507&gt;0,1,0)</f>
        <v>1</v>
      </c>
      <c r="H507" s="9">
        <f>ABS(Prices!B507-Prices!B506)/Prices!B506</f>
        <v>1.3032367972742839E-2</v>
      </c>
      <c r="I507" s="13"/>
      <c r="J507" s="1">
        <f t="shared" ca="1" si="49"/>
        <v>-3.3919044328263988E-2</v>
      </c>
      <c r="K507" s="9"/>
      <c r="L507" s="9">
        <f ca="1">L506-O507*Prices!B507</f>
        <v>0.7330972996758417</v>
      </c>
      <c r="M507" s="1">
        <f t="shared" ca="1" si="44"/>
        <v>0.21987080692118688</v>
      </c>
      <c r="N507" s="9">
        <f ca="1">IF(Prices!D506&gt;OFFSET(Prices!D506,-$N$3,0),1,IF(Prices!D506&lt;OFFSET(Prices!D506,-$N$3,0),-1,0))</f>
        <v>-1</v>
      </c>
      <c r="O507" s="1">
        <f ca="1">IF(N507=1,O$3*L506/Prices!B506,O$3*M506*N507)</f>
        <v>-2.4430089657909656E-2</v>
      </c>
      <c r="P507" s="14"/>
      <c r="Q507" s="9">
        <f ca="1">Q506-T507*Prices!B507</f>
        <v>0.39736899803396764</v>
      </c>
      <c r="R507" s="1">
        <f t="shared" ca="1" si="45"/>
        <v>0.46495877884736236</v>
      </c>
      <c r="S507" s="9">
        <f ca="1">IF(Prices!C506&lt;OFFSET(Prices!C506,-S$3,0),1,IF(Prices!C506&gt;OFFSET(Prices!C506,-S$3,0),-1,0))</f>
        <v>-1</v>
      </c>
      <c r="T507" s="1">
        <f ca="1">IF(S507=1,T$3*Q506/Prices!B506,T$3*R506*S507)</f>
        <v>-9.4889546703543336E-3</v>
      </c>
    </row>
    <row r="508" spans="1:20" x14ac:dyDescent="0.2">
      <c r="A508" s="4">
        <v>34218</v>
      </c>
      <c r="B508" s="9">
        <f ca="1">Prices!B507*(1+J508/(50*(ABS(O508)+ABS(T508)+0.0001)))</f>
        <v>1.1655897847632291</v>
      </c>
      <c r="C508" s="13">
        <f t="shared" ca="1" si="46"/>
        <v>-1</v>
      </c>
      <c r="D508" s="9">
        <f ca="1">D507+C508*(Prices!B508-Prices!B507)/Prices!B507</f>
        <v>-0.44491887074084258</v>
      </c>
      <c r="E508" s="9">
        <f t="shared" ca="1" si="47"/>
        <v>0.48104282199958892</v>
      </c>
      <c r="F508" s="9">
        <f t="shared" ca="1" si="48"/>
        <v>3.6123951258746317E-2</v>
      </c>
      <c r="G508" s="13">
        <f ca="1">IF((Prices!B508-Prices!B507)*B508&gt;0,1,0)</f>
        <v>1</v>
      </c>
      <c r="H508" s="9">
        <f>ABS(Prices!B508-Prices!B507)/Prices!B507</f>
        <v>1.0174051963339779E-2</v>
      </c>
      <c r="I508" s="13"/>
      <c r="J508" s="1">
        <f t="shared" ca="1" si="49"/>
        <v>-3.1286256269065935E-2</v>
      </c>
      <c r="K508" s="9"/>
      <c r="L508" s="9">
        <f ca="1">L507-O508*Prices!B508</f>
        <v>0.75951257841935305</v>
      </c>
      <c r="M508" s="1">
        <f t="shared" ca="1" si="44"/>
        <v>0.19788372622906819</v>
      </c>
      <c r="N508" s="9">
        <f ca="1">IF(Prices!D507&gt;OFFSET(Prices!D507,-$N$3,0),1,IF(Prices!D507&lt;OFFSET(Prices!D507,-$N$3,0),-1,0))</f>
        <v>-1</v>
      </c>
      <c r="O508" s="1">
        <f ca="1">IF(N508=1,O$3*L507/Prices!B507,O$3*M507*N508)</f>
        <v>-2.1987080692118688E-2</v>
      </c>
      <c r="P508" s="14"/>
      <c r="Q508" s="9">
        <f ca="1">Q507-T508*Prices!B508</f>
        <v>0.40854102757211208</v>
      </c>
      <c r="R508" s="1">
        <f t="shared" ca="1" si="45"/>
        <v>0.4556596032704151</v>
      </c>
      <c r="S508" s="9">
        <f ca="1">IF(Prices!C507&lt;OFFSET(Prices!C507,-S$3,0),1,IF(Prices!C507&gt;OFFSET(Prices!C507,-S$3,0),-1,0))</f>
        <v>-1</v>
      </c>
      <c r="T508" s="1">
        <f ca="1">IF(S508=1,T$3*Q507/Prices!B507,T$3*R507*S508)</f>
        <v>-9.2991755769472467E-3</v>
      </c>
    </row>
    <row r="509" spans="1:20" x14ac:dyDescent="0.2">
      <c r="A509" s="4">
        <v>34219</v>
      </c>
      <c r="B509" s="9">
        <f ca="1">Prices!B508*(1+J509/(50*(ABS(O509)+ABS(T509)+0.0001)))</f>
        <v>1.1897077940494658</v>
      </c>
      <c r="C509" s="13">
        <f t="shared" ca="1" si="46"/>
        <v>-1</v>
      </c>
      <c r="D509" s="9">
        <f ca="1">D508+C509*(Prices!B509-Prices!B508)/Prices!B508</f>
        <v>-0.444003272272389</v>
      </c>
      <c r="E509" s="9">
        <f t="shared" ca="1" si="47"/>
        <v>0.48012722353113535</v>
      </c>
      <c r="F509" s="9">
        <f t="shared" ca="1" si="48"/>
        <v>3.6123951258746317E-2</v>
      </c>
      <c r="G509" s="13">
        <f ca="1">IF((Prices!B509-Prices!B508)*B509&gt;0,1,0)</f>
        <v>0</v>
      </c>
      <c r="H509" s="9">
        <f>ABS(Prices!B509-Prices!B508)/Prices!B508</f>
        <v>9.1559846845355492E-4</v>
      </c>
      <c r="I509" s="13"/>
      <c r="J509" s="1">
        <f t="shared" ca="1" si="49"/>
        <v>-1.2987290092989857E-2</v>
      </c>
      <c r="K509" s="9"/>
      <c r="L509" s="9">
        <f ca="1">L508-O509*Prices!B509</f>
        <v>0.78326456207862805</v>
      </c>
      <c r="M509" s="1">
        <f t="shared" ca="1" si="44"/>
        <v>0.17809535360616136</v>
      </c>
      <c r="N509" s="9">
        <f ca="1">IF(Prices!D508&gt;OFFSET(Prices!D508,-$N$3,0),1,IF(Prices!D508&lt;OFFSET(Prices!D508,-$N$3,0),-1,0))</f>
        <v>-1</v>
      </c>
      <c r="O509" s="1">
        <f ca="1">IF(N509=1,O$3*L508/Prices!B508,O$3*M508*N509)</f>
        <v>-1.9788372622906822E-2</v>
      </c>
      <c r="P509" s="14"/>
      <c r="Q509" s="9">
        <f ca="1">Q508-T509*Prices!B509</f>
        <v>0.40037768821145275</v>
      </c>
      <c r="R509" s="1">
        <f t="shared" ca="1" si="45"/>
        <v>0.46246068580033206</v>
      </c>
      <c r="S509" s="9">
        <f ca="1">IF(Prices!C508&lt;OFFSET(Prices!C508,-S$3,0),1,IF(Prices!C508&gt;OFFSET(Prices!C508,-S$3,0),-1,0))</f>
        <v>1</v>
      </c>
      <c r="T509" s="1">
        <f ca="1">IF(S509=1,T$3*Q508/Prices!B508,T$3*R508*S509)</f>
        <v>6.8010825299169644E-3</v>
      </c>
    </row>
    <row r="510" spans="1:20" x14ac:dyDescent="0.2">
      <c r="A510" s="4">
        <v>34220</v>
      </c>
      <c r="B510" s="9">
        <f ca="1">Prices!B509*(1+J510/(50*(ABS(O510)+ABS(T510)+0.0001)))</f>
        <v>1.189422228932884</v>
      </c>
      <c r="C510" s="13">
        <f t="shared" ca="1" si="46"/>
        <v>-1</v>
      </c>
      <c r="D510" s="9">
        <f ca="1">D509+C510*(Prices!B510-Prices!B509)/Prices!B509</f>
        <v>-0.44108733459014304</v>
      </c>
      <c r="E510" s="9">
        <f t="shared" ca="1" si="47"/>
        <v>0.47721128584888939</v>
      </c>
      <c r="F510" s="9">
        <f t="shared" ca="1" si="48"/>
        <v>3.6123951258746317E-2</v>
      </c>
      <c r="G510" s="13">
        <f ca="1">IF((Prices!B510-Prices!B509)*B510&gt;0,1,0)</f>
        <v>0</v>
      </c>
      <c r="H510" s="9">
        <f>ABS(Prices!B510-Prices!B509)/Prices!B509</f>
        <v>2.9159376822459693E-3</v>
      </c>
      <c r="I510" s="13"/>
      <c r="J510" s="1">
        <f t="shared" ca="1" si="49"/>
        <v>-1.1138241713836951E-2</v>
      </c>
      <c r="K510" s="9"/>
      <c r="L510" s="9">
        <f ca="1">L509-O510*Prices!B510</f>
        <v>0.80457901399821341</v>
      </c>
      <c r="M510" s="1">
        <f t="shared" ca="1" si="44"/>
        <v>0.16028581824554522</v>
      </c>
      <c r="N510" s="9">
        <f ca="1">IF(Prices!D509&gt;OFFSET(Prices!D509,-$N$3,0),1,IF(Prices!D509&lt;OFFSET(Prices!D509,-$N$3,0),-1,0))</f>
        <v>-1</v>
      </c>
      <c r="O510" s="1">
        <f ca="1">IF(N510=1,O$3*L509/Prices!B509,O$3*M509*N510)</f>
        <v>-1.7809535360616136E-2</v>
      </c>
      <c r="P510" s="14"/>
      <c r="Q510" s="9">
        <f ca="1">Q509-T510*Prices!B510</f>
        <v>0.39239348397498741</v>
      </c>
      <c r="R510" s="1">
        <f t="shared" ca="1" si="45"/>
        <v>0.46913197944711127</v>
      </c>
      <c r="S510" s="9">
        <f ca="1">IF(Prices!C509&lt;OFFSET(Prices!C509,-S$3,0),1,IF(Prices!C509&gt;OFFSET(Prices!C509,-S$3,0),-1,0))</f>
        <v>1</v>
      </c>
      <c r="T510" s="1">
        <f ca="1">IF(S510=1,T$3*Q509/Prices!B509,T$3*R509*S510)</f>
        <v>6.6712936467791849E-3</v>
      </c>
    </row>
    <row r="511" spans="1:20" x14ac:dyDescent="0.2">
      <c r="A511" s="4">
        <v>34221</v>
      </c>
      <c r="B511" s="9">
        <f ca="1">Prices!B510*(1+J511/(50*(ABS(O511)+ABS(T511)+0.0001)))</f>
        <v>1.1868069141745929</v>
      </c>
      <c r="C511" s="13">
        <f t="shared" ca="1" si="46"/>
        <v>-1</v>
      </c>
      <c r="D511" s="9">
        <f ca="1">D510+C511*(Prices!B511-Prices!B510)/Prices!B510</f>
        <v>-0.45194963405538358</v>
      </c>
      <c r="E511" s="9">
        <f t="shared" ca="1" si="47"/>
        <v>0.48807358531412992</v>
      </c>
      <c r="F511" s="9">
        <f t="shared" ca="1" si="48"/>
        <v>3.6123951258746317E-2</v>
      </c>
      <c r="G511" s="13">
        <f ca="1">IF((Prices!B511-Prices!B510)*B511&gt;0,1,0)</f>
        <v>1</v>
      </c>
      <c r="H511" s="9">
        <f>ABS(Prices!B511-Prices!B510)/Prices!B510</f>
        <v>1.0862299465240558E-2</v>
      </c>
      <c r="I511" s="13"/>
      <c r="J511" s="1">
        <f t="shared" ca="1" si="49"/>
        <v>-9.4712040843308032E-3</v>
      </c>
      <c r="K511" s="9"/>
      <c r="L511" s="9">
        <f ca="1">L510-O511*Prices!B511</f>
        <v>0.82397039228955948</v>
      </c>
      <c r="M511" s="1">
        <f t="shared" ca="1" si="44"/>
        <v>0.1442572364209907</v>
      </c>
      <c r="N511" s="9">
        <f ca="1">IF(Prices!D510&gt;OFFSET(Prices!D510,-$N$3,0),1,IF(Prices!D510&lt;OFFSET(Prices!D510,-$N$3,0),-1,0))</f>
        <v>-1</v>
      </c>
      <c r="O511" s="1">
        <f ca="1">IF(N511=1,O$3*L510/Prices!B510,O$3*M510*N511)</f>
        <v>-1.6028581824554522E-2</v>
      </c>
      <c r="P511" s="14"/>
      <c r="Q511" s="9">
        <f ca="1">Q510-T511*Prices!B511</f>
        <v>0.38446036838486475</v>
      </c>
      <c r="R511" s="1">
        <f t="shared" ca="1" si="45"/>
        <v>0.47568935718733502</v>
      </c>
      <c r="S511" s="9">
        <f ca="1">IF(Prices!C510&lt;OFFSET(Prices!C510,-S$3,0),1,IF(Prices!C510&gt;OFFSET(Prices!C510,-S$3,0),-1,0))</f>
        <v>1</v>
      </c>
      <c r="T511" s="1">
        <f ca="1">IF(S511=1,T$3*Q510/Prices!B510,T$3*R510*S511)</f>
        <v>6.5573777402237196E-3</v>
      </c>
    </row>
    <row r="512" spans="1:20" x14ac:dyDescent="0.2">
      <c r="A512" s="4">
        <v>34222</v>
      </c>
      <c r="B512" s="9">
        <f ca="1">Prices!B511*(1+J512/(50*(ABS(O512)+ABS(T512)+0.0001)))</f>
        <v>1.2280412877007922</v>
      </c>
      <c r="C512" s="13">
        <f t="shared" ca="1" si="46"/>
        <v>1</v>
      </c>
      <c r="D512" s="9">
        <f ca="1">D511+C512*(Prices!B512-Prices!B511)/Prices!B511</f>
        <v>-0.44880861901157465</v>
      </c>
      <c r="E512" s="9">
        <f t="shared" ca="1" si="47"/>
        <v>0.484932570270321</v>
      </c>
      <c r="F512" s="9">
        <f t="shared" ca="1" si="48"/>
        <v>3.6123951258746317E-2</v>
      </c>
      <c r="G512" s="13">
        <f ca="1">IF((Prices!B512-Prices!B511)*B512&gt;0,1,0)</f>
        <v>1</v>
      </c>
      <c r="H512" s="9">
        <f>ABS(Prices!B512-Prices!B511)/Prices!B511</f>
        <v>3.1410150438089153E-3</v>
      </c>
      <c r="I512" s="13"/>
      <c r="J512" s="1">
        <f t="shared" ca="1" si="49"/>
        <v>5.8594197009795998E-2</v>
      </c>
      <c r="K512" s="9"/>
      <c r="L512" s="9">
        <f ca="1">L511-O512*Prices!B512</f>
        <v>0.74131454272082009</v>
      </c>
      <c r="M512" s="1">
        <f t="shared" ca="1" si="44"/>
        <v>0.21236522057453339</v>
      </c>
      <c r="N512" s="9">
        <f ca="1">IF(Prices!D511&gt;OFFSET(Prices!D511,-$N$3,0),1,IF(Prices!D511&lt;OFFSET(Prices!D511,-$N$3,0),-1,0))</f>
        <v>1</v>
      </c>
      <c r="O512" s="1">
        <f ca="1">IF(N512=1,O$3*L511/Prices!B511,O$3*M511*N512)</f>
        <v>6.8107984153542703E-2</v>
      </c>
      <c r="P512" s="14"/>
      <c r="Q512" s="9">
        <f ca="1">Q511-T512*Prices!B512</f>
        <v>0.39600630046251573</v>
      </c>
      <c r="R512" s="1">
        <f t="shared" ca="1" si="45"/>
        <v>0.46617557004358834</v>
      </c>
      <c r="S512" s="9">
        <f ca="1">IF(Prices!C511&lt;OFFSET(Prices!C511,-S$3,0),1,IF(Prices!C511&gt;OFFSET(Prices!C511,-S$3,0),-1,0))</f>
        <v>-1</v>
      </c>
      <c r="T512" s="1">
        <f ca="1">IF(S512=1,T$3*Q511/Prices!B511,T$3*R511*S512)</f>
        <v>-9.5137871437467013E-3</v>
      </c>
    </row>
    <row r="513" spans="1:20" x14ac:dyDescent="0.2">
      <c r="A513" s="4">
        <v>34225</v>
      </c>
      <c r="B513" s="9">
        <f ca="1">Prices!B512*(1+J513/(50*(ABS(O513)+ABS(T513)+0.0001)))</f>
        <v>1.2314183868026984</v>
      </c>
      <c r="C513" s="13">
        <f t="shared" ca="1" si="46"/>
        <v>1</v>
      </c>
      <c r="D513" s="9">
        <f ca="1">D512+C513*(Prices!B513-Prices!B512)/Prices!B512</f>
        <v>-0.45086860582765897</v>
      </c>
      <c r="E513" s="9">
        <f t="shared" ca="1" si="47"/>
        <v>0.48699255708640532</v>
      </c>
      <c r="F513" s="9">
        <f t="shared" ca="1" si="48"/>
        <v>3.6123951258746317E-2</v>
      </c>
      <c r="G513" s="13">
        <f ca="1">IF((Prices!B513-Prices!B512)*B513&gt;0,1,0)</f>
        <v>0</v>
      </c>
      <c r="H513" s="9">
        <f>ABS(Prices!B513-Prices!B512)/Prices!B512</f>
        <v>2.0599868160843331E-3</v>
      </c>
      <c r="I513" s="13"/>
      <c r="J513" s="1">
        <f t="shared" ca="1" si="49"/>
        <v>5.1760415982188557E-2</v>
      </c>
      <c r="K513" s="9"/>
      <c r="L513" s="9">
        <f ca="1">L512-O513*Prices!B513</f>
        <v>0.66733579826719569</v>
      </c>
      <c r="M513" s="1">
        <f t="shared" ca="1" si="44"/>
        <v>0.27344914795759373</v>
      </c>
      <c r="N513" s="9">
        <f ca="1">IF(Prices!D512&gt;OFFSET(Prices!D512,-$N$3,0),1,IF(Prices!D512&lt;OFFSET(Prices!D512,-$N$3,0),-1,0))</f>
        <v>1</v>
      </c>
      <c r="O513" s="1">
        <f ca="1">IF(N513=1,O$3*L512/Prices!B512,O$3*M512*N513)</f>
        <v>6.1083927383060323E-2</v>
      </c>
      <c r="P513" s="14"/>
      <c r="Q513" s="9">
        <f ca="1">Q512-T513*Prices!B513</f>
        <v>0.40729800512011155</v>
      </c>
      <c r="R513" s="1">
        <f t="shared" ca="1" si="45"/>
        <v>0.45685205864271655</v>
      </c>
      <c r="S513" s="9">
        <f ca="1">IF(Prices!C512&lt;OFFSET(Prices!C512,-S$3,0),1,IF(Prices!C512&gt;OFFSET(Prices!C512,-S$3,0),-1,0))</f>
        <v>-1</v>
      </c>
      <c r="T513" s="1">
        <f ca="1">IF(S513=1,T$3*Q512/Prices!B512,T$3*R512*S513)</f>
        <v>-9.3235114008717677E-3</v>
      </c>
    </row>
    <row r="514" spans="1:20" x14ac:dyDescent="0.2">
      <c r="A514" s="4">
        <v>34226</v>
      </c>
      <c r="B514" s="9">
        <f ca="1">Prices!B513*(1+J514/(50*(ABS(O514)+ABS(T514)+0.0001)))</f>
        <v>1.1869442129712824</v>
      </c>
      <c r="C514" s="13">
        <f t="shared" ca="1" si="46"/>
        <v>-1</v>
      </c>
      <c r="D514" s="9">
        <f ca="1">D513+C514*(Prices!B514-Prices!B513)/Prices!B513</f>
        <v>-0.45053832756822543</v>
      </c>
      <c r="E514" s="9">
        <f t="shared" ca="1" si="47"/>
        <v>0.48666227882697177</v>
      </c>
      <c r="F514" s="9">
        <f t="shared" ca="1" si="48"/>
        <v>3.6123951258746317E-2</v>
      </c>
      <c r="G514" s="13">
        <f ca="1">IF((Prices!B514-Prices!B513)*B514&gt;0,1,0)</f>
        <v>0</v>
      </c>
      <c r="H514" s="9">
        <f>ABS(Prices!B514-Prices!B513)/Prices!B513</f>
        <v>3.3027825943353638E-4</v>
      </c>
      <c r="I514" s="13"/>
      <c r="J514" s="1">
        <f t="shared" ca="1" si="49"/>
        <v>-3.6481955968613707E-2</v>
      </c>
      <c r="K514" s="9"/>
      <c r="L514" s="9">
        <f ca="1">L513-O514*Prices!B514</f>
        <v>0.70044228661042152</v>
      </c>
      <c r="M514" s="1">
        <f t="shared" ca="1" si="44"/>
        <v>0.24610423316183436</v>
      </c>
      <c r="N514" s="9">
        <f ca="1">IF(Prices!D513&gt;OFFSET(Prices!D513,-$N$3,0),1,IF(Prices!D513&lt;OFFSET(Prices!D513,-$N$3,0),-1,0))</f>
        <v>-1</v>
      </c>
      <c r="O514" s="1">
        <f ca="1">IF(N514=1,O$3*L513/Prices!B513,O$3*M513*N514)</f>
        <v>-2.7344914795759373E-2</v>
      </c>
      <c r="P514" s="14"/>
      <c r="Q514" s="9">
        <f ca="1">Q513-T514*Prices!B514</f>
        <v>0.41836022086808627</v>
      </c>
      <c r="R514" s="1">
        <f t="shared" ca="1" si="45"/>
        <v>0.4477150174698622</v>
      </c>
      <c r="S514" s="9">
        <f ca="1">IF(Prices!C513&lt;OFFSET(Prices!C513,-S$3,0),1,IF(Prices!C513&gt;OFFSET(Prices!C513,-S$3,0),-1,0))</f>
        <v>-1</v>
      </c>
      <c r="T514" s="1">
        <f ca="1">IF(S514=1,T$3*Q513/Prices!B513,T$3*R513*S514)</f>
        <v>-9.1370411728543318E-3</v>
      </c>
    </row>
    <row r="515" spans="1:20" x14ac:dyDescent="0.2">
      <c r="A515" s="4">
        <v>34227</v>
      </c>
      <c r="B515" s="9">
        <f ca="1">Prices!B514*(1+J515/(50*(ABS(O515)+ABS(T515)+0.0001)))</f>
        <v>1.2283967495090804</v>
      </c>
      <c r="C515" s="13">
        <f t="shared" ca="1" si="46"/>
        <v>1</v>
      </c>
      <c r="D515" s="9">
        <f ca="1">D514+C515*(Prices!B515-Prices!B514)/Prices!B514</f>
        <v>-0.44021372196815939</v>
      </c>
      <c r="E515" s="9">
        <f t="shared" ca="1" si="47"/>
        <v>0.47633767322690568</v>
      </c>
      <c r="F515" s="9">
        <f t="shared" ca="1" si="48"/>
        <v>3.6123951258746317E-2</v>
      </c>
      <c r="G515" s="13">
        <f ca="1">IF((Prices!B515-Prices!B514)*B515&gt;0,1,0)</f>
        <v>1</v>
      </c>
      <c r="H515" s="9">
        <f>ABS(Prices!B515-Prices!B514)/Prices!B514</f>
        <v>1.0324605600066039E-2</v>
      </c>
      <c r="I515" s="13"/>
      <c r="J515" s="1">
        <f t="shared" ca="1" si="49"/>
        <v>4.8900022489491123E-2</v>
      </c>
      <c r="K515" s="9"/>
      <c r="L515" s="9">
        <f ca="1">L514-O515*Prices!B515</f>
        <v>0.62967487891389329</v>
      </c>
      <c r="M515" s="1">
        <f t="shared" ca="1" si="44"/>
        <v>0.30395855600072275</v>
      </c>
      <c r="N515" s="9">
        <f ca="1">IF(Prices!D514&gt;OFFSET(Prices!D514,-$N$3,0),1,IF(Prices!D514&lt;OFFSET(Prices!D514,-$N$3,0),-1,0))</f>
        <v>1</v>
      </c>
      <c r="O515" s="1">
        <f ca="1">IF(N515=1,O$3*L514/Prices!B514,O$3*M514*N515)</f>
        <v>5.7854322838888368E-2</v>
      </c>
      <c r="P515" s="14"/>
      <c r="Q515" s="9">
        <f ca="1">Q514-T515*Prices!B515</f>
        <v>0.42931312105546898</v>
      </c>
      <c r="R515" s="1">
        <f t="shared" ca="1" si="45"/>
        <v>0.43876071712046494</v>
      </c>
      <c r="S515" s="9">
        <f ca="1">IF(Prices!C514&lt;OFFSET(Prices!C514,-S$3,0),1,IF(Prices!C514&gt;OFFSET(Prices!C514,-S$3,0),-1,0))</f>
        <v>-1</v>
      </c>
      <c r="T515" s="1">
        <f ca="1">IF(S515=1,T$3*Q514/Prices!B514,T$3*R514*S515)</f>
        <v>-8.9543003493972439E-3</v>
      </c>
    </row>
    <row r="516" spans="1:20" x14ac:dyDescent="0.2">
      <c r="A516" s="4">
        <v>34228</v>
      </c>
      <c r="B516" s="9">
        <f ca="1">Prices!B515*(1+J516/(50*(ABS(O516)+ABS(T516)+0.0001)))</f>
        <v>1.2405094111073602</v>
      </c>
      <c r="C516" s="13">
        <f t="shared" ca="1" si="46"/>
        <v>1</v>
      </c>
      <c r="D516" s="9">
        <f ca="1">D515+C516*(Prices!B516-Prices!B515)/Prices!B515</f>
        <v>-0.45067807775625629</v>
      </c>
      <c r="E516" s="9">
        <f t="shared" ca="1" si="47"/>
        <v>0.48680202901500258</v>
      </c>
      <c r="F516" s="9">
        <f t="shared" ca="1" si="48"/>
        <v>3.6123951258746317E-2</v>
      </c>
      <c r="G516" s="13">
        <f ca="1">IF((Prices!B516-Prices!B515)*B516&gt;0,1,0)</f>
        <v>0</v>
      </c>
      <c r="H516" s="9">
        <f>ABS(Prices!B516-Prices!B515)/Prices!B515</f>
        <v>1.0464355788096912E-2</v>
      </c>
      <c r="I516" s="13"/>
      <c r="J516" s="1">
        <f t="shared" ca="1" si="49"/>
        <v>4.2702457249635603E-2</v>
      </c>
      <c r="K516" s="9"/>
      <c r="L516" s="9">
        <f ca="1">L515-O516*Prices!B516</f>
        <v>0.56736630521888209</v>
      </c>
      <c r="M516" s="1">
        <f t="shared" ca="1" si="44"/>
        <v>0.35543622759276766</v>
      </c>
      <c r="N516" s="9">
        <f ca="1">IF(Prices!D515&gt;OFFSET(Prices!D515,-$N$3,0),1,IF(Prices!D515&lt;OFFSET(Prices!D515,-$N$3,0),-1,0))</f>
        <v>1</v>
      </c>
      <c r="O516" s="1">
        <f ca="1">IF(N516=1,O$3*L515/Prices!B515,O$3*M515*N516)</f>
        <v>5.1477671592044902E-2</v>
      </c>
      <c r="P516" s="14"/>
      <c r="Q516" s="9">
        <f ca="1">Q515-T516*Prices!B516</f>
        <v>0.43993464049552122</v>
      </c>
      <c r="R516" s="1">
        <f t="shared" ca="1" si="45"/>
        <v>0.42998550277805564</v>
      </c>
      <c r="S516" s="9">
        <f ca="1">IF(Prices!C515&lt;OFFSET(Prices!C515,-S$3,0),1,IF(Prices!C515&gt;OFFSET(Prices!C515,-S$3,0),-1,0))</f>
        <v>-1</v>
      </c>
      <c r="T516" s="1">
        <f ca="1">IF(S516=1,T$3*Q515/Prices!B515,T$3*R515*S516)</f>
        <v>-8.7752143424092988E-3</v>
      </c>
    </row>
    <row r="517" spans="1:20" x14ac:dyDescent="0.2">
      <c r="A517" s="4">
        <v>34229</v>
      </c>
      <c r="B517" s="9">
        <f ca="1">Prices!B516*(1+J517/(50*(ABS(O517)+ABS(T517)+0.0001)))</f>
        <v>1.234279499541248</v>
      </c>
      <c r="C517" s="13">
        <f t="shared" ca="1" si="46"/>
        <v>1</v>
      </c>
      <c r="D517" s="9">
        <f ca="1">D516+C517*(Prices!B517-Prices!B516)/Prices!B516</f>
        <v>-0.45249565872122655</v>
      </c>
      <c r="E517" s="9">
        <f t="shared" ca="1" si="47"/>
        <v>0.48861960997997289</v>
      </c>
      <c r="F517" s="9">
        <f t="shared" ca="1" si="48"/>
        <v>3.6123951258746317E-2</v>
      </c>
      <c r="G517" s="13">
        <f ca="1">IF((Prices!B517-Prices!B516)*B517&gt;0,1,0)</f>
        <v>0</v>
      </c>
      <c r="H517" s="9">
        <f>ABS(Prices!B517-Prices!B516)/Prices!B516</f>
        <v>1.8175809649702411E-3</v>
      </c>
      <c r="I517" s="13"/>
      <c r="J517" s="1">
        <f t="shared" ca="1" si="49"/>
        <v>7.2692438945063005E-3</v>
      </c>
      <c r="K517" s="9"/>
      <c r="L517" s="9">
        <f ca="1">L516-O517*Prices!B517</f>
        <v>0.56736630521888209</v>
      </c>
      <c r="M517" s="1">
        <f t="shared" ca="1" si="44"/>
        <v>0.35543622759276766</v>
      </c>
      <c r="N517" s="9">
        <f ca="1">IF(Prices!D516&gt;OFFSET(Prices!D516,-$N$3,0),1,IF(Prices!D516&lt;OFFSET(Prices!D516,-$N$3,0),-1,0))</f>
        <v>0</v>
      </c>
      <c r="O517" s="1">
        <f ca="1">IF(N517=1,O$3*L516/Prices!B516,O$3*M516*N517)</f>
        <v>0</v>
      </c>
      <c r="P517" s="14"/>
      <c r="Q517" s="9">
        <f ca="1">Q516-T517*Prices!B517</f>
        <v>0.43115194002217871</v>
      </c>
      <c r="R517" s="1">
        <f t="shared" ca="1" si="45"/>
        <v>0.43725474667256192</v>
      </c>
      <c r="S517" s="9">
        <f ca="1">IF(Prices!C516&lt;OFFSET(Prices!C516,-S$3,0),1,IF(Prices!C516&gt;OFFSET(Prices!C516,-S$3,0),-1,0))</f>
        <v>1</v>
      </c>
      <c r="T517" s="1">
        <f ca="1">IF(S517=1,T$3*Q516/Prices!B516,T$3*R516*S517)</f>
        <v>7.2692438945063005E-3</v>
      </c>
    </row>
    <row r="518" spans="1:20" x14ac:dyDescent="0.2">
      <c r="A518" s="4">
        <v>34232</v>
      </c>
      <c r="B518" s="9">
        <f ca="1">Prices!B517*(1+J518/(50*(ABS(O518)+ABS(T518)+0.0001)))</f>
        <v>1.1921550303957993</v>
      </c>
      <c r="C518" s="13">
        <f t="shared" ca="1" si="46"/>
        <v>-1</v>
      </c>
      <c r="D518" s="9">
        <f ca="1">D517+C518*(Prices!B518-Prices!B517)/Prices!B517</f>
        <v>-0.4491021808202168</v>
      </c>
      <c r="E518" s="9">
        <f t="shared" ca="1" si="47"/>
        <v>0.48522613207896315</v>
      </c>
      <c r="F518" s="9">
        <f t="shared" ca="1" si="48"/>
        <v>3.6123951258746317E-2</v>
      </c>
      <c r="G518" s="13">
        <f ca="1">IF((Prices!B518-Prices!B517)*B518&gt;0,1,0)</f>
        <v>0</v>
      </c>
      <c r="H518" s="9">
        <f>ABS(Prices!B518-Prices!B517)/Prices!B517</f>
        <v>3.3934779010097605E-3</v>
      </c>
      <c r="I518" s="13"/>
      <c r="J518" s="1">
        <f t="shared" ca="1" si="49"/>
        <v>-2.8406527244921882E-2</v>
      </c>
      <c r="K518" s="9"/>
      <c r="L518" s="9">
        <f ca="1">L517-O518*Prices!B518</f>
        <v>0.61016438138332729</v>
      </c>
      <c r="M518" s="1">
        <f t="shared" ca="1" si="44"/>
        <v>0.31989260483349091</v>
      </c>
      <c r="N518" s="9">
        <f ca="1">IF(Prices!D517&gt;OFFSET(Prices!D517,-$N$3,0),1,IF(Prices!D517&lt;OFFSET(Prices!D517,-$N$3,0),-1,0))</f>
        <v>-1</v>
      </c>
      <c r="O518" s="1">
        <f ca="1">IF(N518=1,O$3*L517/Prices!B517,O$3*M517*N518)</f>
        <v>-3.554362275927677E-2</v>
      </c>
      <c r="P518" s="14"/>
      <c r="Q518" s="9">
        <f ca="1">Q517-T518*Prices!B518</f>
        <v>0.422558163313344</v>
      </c>
      <c r="R518" s="1">
        <f t="shared" ca="1" si="45"/>
        <v>0.4443918421869168</v>
      </c>
      <c r="S518" s="9">
        <f ca="1">IF(Prices!C517&lt;OFFSET(Prices!C517,-S$3,0),1,IF(Prices!C517&gt;OFFSET(Prices!C517,-S$3,0),-1,0))</f>
        <v>1</v>
      </c>
      <c r="T518" s="1">
        <f ca="1">IF(S518=1,T$3*Q517/Prices!B517,T$3*R517*S518)</f>
        <v>7.1370955143548872E-3</v>
      </c>
    </row>
    <row r="519" spans="1:20" x14ac:dyDescent="0.2">
      <c r="A519" s="4">
        <v>34233</v>
      </c>
      <c r="B519" s="9">
        <f ca="1">Prices!B518*(1+J519/(50*(ABS(O519)+ABS(T519)+0.0001)))</f>
        <v>1.2281403302703802</v>
      </c>
      <c r="C519" s="13">
        <f t="shared" ca="1" si="46"/>
        <v>1</v>
      </c>
      <c r="D519" s="9">
        <f ca="1">D518+C519*(Prices!B519-Prices!B518)/Prices!B518</f>
        <v>-0.44860388333661894</v>
      </c>
      <c r="E519" s="9">
        <f t="shared" ca="1" si="47"/>
        <v>0.48472783459536528</v>
      </c>
      <c r="F519" s="9">
        <f t="shared" ca="1" si="48"/>
        <v>3.6123951258746317E-2</v>
      </c>
      <c r="G519" s="13">
        <f ca="1">IF((Prices!B519-Prices!B518)*B519&gt;0,1,0)</f>
        <v>1</v>
      </c>
      <c r="H519" s="9">
        <f>ABS(Prices!B519-Prices!B518)/Prices!B518</f>
        <v>4.9829748359783742E-4</v>
      </c>
      <c r="I519" s="13"/>
      <c r="J519" s="1">
        <f t="shared" ca="1" si="49"/>
        <v>5.7692551619134301E-2</v>
      </c>
      <c r="K519" s="9"/>
      <c r="L519" s="9">
        <f ca="1">L518-O519*Prices!B519</f>
        <v>0.54911753890741211</v>
      </c>
      <c r="M519" s="1">
        <f t="shared" ca="1" si="44"/>
        <v>0.37056650080420162</v>
      </c>
      <c r="N519" s="9">
        <f ca="1">IF(Prices!D518&gt;OFFSET(Prices!D518,-$N$3,0),1,IF(Prices!D518&lt;OFFSET(Prices!D518,-$N$3,0),-1,0))</f>
        <v>1</v>
      </c>
      <c r="O519" s="1">
        <f ca="1">IF(N519=1,O$3*L518/Prices!B518,O$3*M518*N519)</f>
        <v>5.0673895970710682E-2</v>
      </c>
      <c r="P519" s="14"/>
      <c r="Q519" s="9">
        <f ca="1">Q518-T519*Prices!B519</f>
        <v>0.41410278885368806</v>
      </c>
      <c r="R519" s="1">
        <f t="shared" ca="1" si="45"/>
        <v>0.45141049783534043</v>
      </c>
      <c r="S519" s="9">
        <f ca="1">IF(Prices!C518&lt;OFFSET(Prices!C518,-S$3,0),1,IF(Prices!C518&gt;OFFSET(Prices!C518,-S$3,0),-1,0))</f>
        <v>1</v>
      </c>
      <c r="T519" s="1">
        <f ca="1">IF(S519=1,T$3*Q518/Prices!B518,T$3*R518*S519)</f>
        <v>7.018655648423619E-3</v>
      </c>
    </row>
    <row r="520" spans="1:20" x14ac:dyDescent="0.2">
      <c r="A520" s="4">
        <v>34234</v>
      </c>
      <c r="B520" s="9">
        <f ca="1">Prices!B519*(1+J520/(50*(ABS(O520)+ABS(T520)+0.0001)))</f>
        <v>1.2207979306618491</v>
      </c>
      <c r="C520" s="13">
        <f t="shared" ca="1" si="46"/>
        <v>1</v>
      </c>
      <c r="D520" s="9">
        <f ca="1">D519+C520*(Prices!B520-Prices!B519)/Prices!B519</f>
        <v>-0.45673868868234818</v>
      </c>
      <c r="E520" s="9">
        <f t="shared" ca="1" si="47"/>
        <v>0.49286263994109447</v>
      </c>
      <c r="F520" s="9">
        <f t="shared" ca="1" si="48"/>
        <v>3.6123951258746317E-2</v>
      </c>
      <c r="G520" s="13">
        <f ca="1">IF((Prices!B520-Prices!B519)*B520&gt;0,1,0)</f>
        <v>0</v>
      </c>
      <c r="H520" s="9">
        <f>ABS(Prices!B520-Prices!B519)/Prices!B519</f>
        <v>8.1348053457292527E-3</v>
      </c>
      <c r="I520" s="13"/>
      <c r="J520" s="1">
        <f t="shared" ca="1" si="49"/>
        <v>3.655305831816761E-2</v>
      </c>
      <c r="K520" s="9"/>
      <c r="L520" s="9">
        <f ca="1">L519-O520*Prices!B520</f>
        <v>0.49465248144576468</v>
      </c>
      <c r="M520" s="1">
        <f t="shared" ca="1" si="44"/>
        <v>0.41614776907907602</v>
      </c>
      <c r="N520" s="9">
        <f ca="1">IF(Prices!D519&gt;OFFSET(Prices!D519,-$N$3,0),1,IF(Prices!D519&lt;OFFSET(Prices!D519,-$N$3,0),-1,0))</f>
        <v>1</v>
      </c>
      <c r="O520" s="1">
        <f ca="1">IF(N520=1,O$3*L519/Prices!B519,O$3*M519*N520)</f>
        <v>4.5581268274874416E-2</v>
      </c>
      <c r="P520" s="14"/>
      <c r="Q520" s="9">
        <f ca="1">Q519-T520*Prices!B520</f>
        <v>0.42489059693095704</v>
      </c>
      <c r="R520" s="1">
        <f t="shared" ca="1" si="45"/>
        <v>0.4423822878786336</v>
      </c>
      <c r="S520" s="9">
        <f ca="1">IF(Prices!C519&lt;OFFSET(Prices!C519,-S$3,0),1,IF(Prices!C519&gt;OFFSET(Prices!C519,-S$3,0),-1,0))</f>
        <v>-1</v>
      </c>
      <c r="T520" s="1">
        <f ca="1">IF(S520=1,T$3*Q519/Prices!B519,T$3*R519*S520)</f>
        <v>-9.0282099567068081E-3</v>
      </c>
    </row>
    <row r="521" spans="1:20" x14ac:dyDescent="0.2">
      <c r="A521" s="4">
        <v>34235</v>
      </c>
      <c r="B521" s="9">
        <f ca="1">Prices!B520*(1+J521/(50*(ABS(O521)+ABS(T521)+0.0001)))</f>
        <v>1.2103507845672192</v>
      </c>
      <c r="C521" s="13">
        <f t="shared" ca="1" si="46"/>
        <v>1</v>
      </c>
      <c r="D521" s="9">
        <f ca="1">D520+C521*(Prices!B521-Prices!B520)/Prices!B520</f>
        <v>-0.46753457118297598</v>
      </c>
      <c r="E521" s="9">
        <f t="shared" ca="1" si="47"/>
        <v>0.50365852244172227</v>
      </c>
      <c r="F521" s="9">
        <f t="shared" ca="1" si="48"/>
        <v>3.6123951258746317E-2</v>
      </c>
      <c r="G521" s="13">
        <f ca="1">IF((Prices!B521-Prices!B520)*B521&gt;0,1,0)</f>
        <v>0</v>
      </c>
      <c r="H521" s="9">
        <f>ABS(Prices!B521-Prices!B520)/Prices!B520</f>
        <v>1.0795882500627779E-2</v>
      </c>
      <c r="I521" s="13"/>
      <c r="J521" s="1">
        <f t="shared" ca="1" si="49"/>
        <v>3.2549331516321771E-2</v>
      </c>
      <c r="K521" s="9"/>
      <c r="L521" s="9">
        <f ca="1">L520-O521*Prices!B521</f>
        <v>0.44572125430802145</v>
      </c>
      <c r="M521" s="1">
        <f t="shared" ca="1" si="44"/>
        <v>0.45754474635297049</v>
      </c>
      <c r="N521" s="9">
        <f ca="1">IF(Prices!D520&gt;OFFSET(Prices!D520,-$N$3,0),1,IF(Prices!D520&lt;OFFSET(Prices!D520,-$N$3,0),-1,0))</f>
        <v>1</v>
      </c>
      <c r="O521" s="1">
        <f ca="1">IF(N521=1,O$3*L520/Prices!B520,O$3*M520*N521)</f>
        <v>4.1396977273894443E-2</v>
      </c>
      <c r="P521" s="14"/>
      <c r="Q521" s="9">
        <f ca="1">Q520-T521*Prices!B521</f>
        <v>0.43534851421640797</v>
      </c>
      <c r="R521" s="1">
        <f t="shared" ca="1" si="45"/>
        <v>0.43353464212106091</v>
      </c>
      <c r="S521" s="9">
        <f ca="1">IF(Prices!C520&lt;OFFSET(Prices!C520,-S$3,0),1,IF(Prices!C520&gt;OFFSET(Prices!C520,-S$3,0),-1,0))</f>
        <v>-1</v>
      </c>
      <c r="T521" s="1">
        <f ca="1">IF(S521=1,T$3*Q520/Prices!B520,T$3*R520*S521)</f>
        <v>-8.8476457575726725E-3</v>
      </c>
    </row>
    <row r="522" spans="1:20" x14ac:dyDescent="0.2">
      <c r="A522" s="20">
        <v>34236</v>
      </c>
      <c r="B522" s="9">
        <f ca="1">Prices!B521*(1+J522/(50*(ABS(O522)+ABS(T522)+0.0001)))</f>
        <v>1.1584033561254252</v>
      </c>
      <c r="C522" s="13">
        <f t="shared" ca="1" si="46"/>
        <v>-1</v>
      </c>
      <c r="D522" s="9">
        <f ca="1">D521+C522*(Prices!B522-Prices!B521)/Prices!B521</f>
        <v>-0.46812678776504041</v>
      </c>
      <c r="E522" s="9">
        <f t="shared" ca="1" si="47"/>
        <v>0.5042507390237867</v>
      </c>
      <c r="F522" s="9">
        <f t="shared" ca="1" si="48"/>
        <v>3.6123951258746317E-2</v>
      </c>
      <c r="G522" s="13">
        <f ca="1">IF((Prices!B522-Prices!B521)*B522&gt;0,1,0)</f>
        <v>1</v>
      </c>
      <c r="H522" s="9">
        <f>ABS(Prices!B522-Prices!B521)/Prices!B521</f>
        <v>5.9221658206442044E-4</v>
      </c>
      <c r="I522" s="13"/>
      <c r="J522" s="1">
        <f t="shared" ca="1" si="49"/>
        <v>-5.4425167477718271E-2</v>
      </c>
      <c r="K522" s="9"/>
      <c r="L522" s="9">
        <f ca="1">L521-O522*Prices!B522</f>
        <v>0.49983507145918726</v>
      </c>
      <c r="M522" s="1">
        <f t="shared" ca="1" si="44"/>
        <v>0.41179027171767346</v>
      </c>
      <c r="N522" s="9">
        <f ca="1">IF(Prices!D521&gt;OFFSET(Prices!D521,-$N$3,0),1,IF(Prices!D521&lt;OFFSET(Prices!D521,-$N$3,0),-1,0))</f>
        <v>-1</v>
      </c>
      <c r="O522" s="1">
        <f ca="1">IF(N522=1,O$3*L521/Prices!B521,O$3*M521*N522)</f>
        <v>-4.5754474635297054E-2</v>
      </c>
      <c r="P522" s="14"/>
      <c r="Q522" s="9">
        <f ca="1">Q521-T522*Prices!B522</f>
        <v>0.44560334264113954</v>
      </c>
      <c r="R522" s="1">
        <f t="shared" ca="1" si="45"/>
        <v>0.42486394927863969</v>
      </c>
      <c r="S522" s="9">
        <f ca="1">IF(Prices!C521&lt;OFFSET(Prices!C521,-S$3,0),1,IF(Prices!C521&gt;OFFSET(Prices!C521,-S$3,0),-1,0))</f>
        <v>-1</v>
      </c>
      <c r="T522" s="1">
        <f ca="1">IF(S522=1,T$3*Q521/Prices!B521,T$3*R521*S522)</f>
        <v>-8.6706928424212185E-3</v>
      </c>
    </row>
    <row r="523" spans="1:20" x14ac:dyDescent="0.2">
      <c r="A523" s="4">
        <v>34239</v>
      </c>
      <c r="B523" s="9">
        <f ca="1">Prices!B522*(1+J523/(50*(ABS(O523)+ABS(T523)+0.0001)))</f>
        <v>1.1590935206013182</v>
      </c>
      <c r="C523" s="13">
        <f t="shared" ca="1" si="46"/>
        <v>-1</v>
      </c>
      <c r="D523" s="9">
        <f ca="1">D522+C523*(Prices!B523-Prices!B522)/Prices!B522</f>
        <v>-0.47599015125535904</v>
      </c>
      <c r="E523" s="9">
        <f t="shared" ca="1" si="47"/>
        <v>0.51211410251410538</v>
      </c>
      <c r="F523" s="9">
        <f t="shared" ca="1" si="48"/>
        <v>3.6123951258746317E-2</v>
      </c>
      <c r="G523" s="13">
        <f ca="1">IF((Prices!B523-Prices!B522)*B523&gt;0,1,0)</f>
        <v>1</v>
      </c>
      <c r="H523" s="9">
        <f>ABS(Prices!B523-Prices!B522)/Prices!B522</f>
        <v>7.8633634903186467E-3</v>
      </c>
      <c r="I523" s="13"/>
      <c r="J523" s="1">
        <f t="shared" ca="1" si="49"/>
        <v>-4.9676306157340144E-2</v>
      </c>
      <c r="K523" s="9"/>
      <c r="L523" s="9">
        <f ca="1">L522-O523*Prices!B523</f>
        <v>0.54892047184793391</v>
      </c>
      <c r="M523" s="1">
        <f t="shared" ca="1" si="44"/>
        <v>0.3706112445459061</v>
      </c>
      <c r="N523" s="9">
        <f ca="1">IF(Prices!D522&gt;OFFSET(Prices!D522,-$N$3,0),1,IF(Prices!D522&lt;OFFSET(Prices!D522,-$N$3,0),-1,0))</f>
        <v>-1</v>
      </c>
      <c r="O523" s="1">
        <f ca="1">IF(N523=1,O$3*L522/Prices!B522,O$3*M522*N523)</f>
        <v>-4.117902717176735E-2</v>
      </c>
      <c r="P523" s="14"/>
      <c r="Q523" s="9">
        <f ca="1">Q522-T523*Prices!B523</f>
        <v>0.4557320991919423</v>
      </c>
      <c r="R523" s="1">
        <f t="shared" ca="1" si="45"/>
        <v>0.4163666702930669</v>
      </c>
      <c r="S523" s="9">
        <f ca="1">IF(Prices!C522&lt;OFFSET(Prices!C522,-S$3,0),1,IF(Prices!C522&gt;OFFSET(Prices!C522,-S$3,0),-1,0))</f>
        <v>-1</v>
      </c>
      <c r="T523" s="1">
        <f ca="1">IF(S523=1,T$3*Q522/Prices!B522,T$3*R522*S523)</f>
        <v>-8.497278985572794E-3</v>
      </c>
    </row>
    <row r="524" spans="1:20" x14ac:dyDescent="0.2">
      <c r="A524" s="4">
        <v>34240</v>
      </c>
      <c r="B524" s="9">
        <f ca="1">Prices!B523*(1+J524/(50*(ABS(O524)+ABS(T524)+0.0001)))</f>
        <v>1.1763498915138089</v>
      </c>
      <c r="C524" s="13">
        <f t="shared" ca="1" si="46"/>
        <v>-1</v>
      </c>
      <c r="D524" s="9">
        <f ca="1">D523+C524*(Prices!B524-Prices!B523)/Prices!B523</f>
        <v>-0.47481565461106384</v>
      </c>
      <c r="E524" s="9">
        <f t="shared" ca="1" si="47"/>
        <v>0.51093960586981013</v>
      </c>
      <c r="F524" s="9">
        <f t="shared" ca="1" si="48"/>
        <v>3.6123951258746317E-2</v>
      </c>
      <c r="G524" s="13">
        <f ca="1">IF((Prices!B524-Prices!B523)*B524&gt;0,1,0)</f>
        <v>0</v>
      </c>
      <c r="H524" s="9">
        <f>ABS(Prices!B524-Prices!B523)/Prices!B523</f>
        <v>1.1744966442951727E-3</v>
      </c>
      <c r="I524" s="13"/>
      <c r="J524" s="1">
        <f t="shared" ca="1" si="49"/>
        <v>-2.9414612723182181E-2</v>
      </c>
      <c r="K524" s="9"/>
      <c r="L524" s="9">
        <f ca="1">L523-O524*Prices!B524</f>
        <v>0.59304544662356951</v>
      </c>
      <c r="M524" s="1">
        <f t="shared" ca="1" si="44"/>
        <v>0.33355012009131552</v>
      </c>
      <c r="N524" s="9">
        <f ca="1">IF(Prices!D523&gt;OFFSET(Prices!D523,-$N$3,0),1,IF(Prices!D523&lt;OFFSET(Prices!D523,-$N$3,0),-1,0))</f>
        <v>-1</v>
      </c>
      <c r="O524" s="1">
        <f ca="1">IF(N524=1,O$3*L523/Prices!B523,O$3*M523*N524)</f>
        <v>-3.7061124454590609E-2</v>
      </c>
      <c r="P524" s="14"/>
      <c r="Q524" s="9">
        <f ca="1">Q523-T524*Prices!B524</f>
        <v>0.4466281623245274</v>
      </c>
      <c r="R524" s="1">
        <f t="shared" ca="1" si="45"/>
        <v>0.42401318202447535</v>
      </c>
      <c r="S524" s="9">
        <f ca="1">IF(Prices!C523&lt;OFFSET(Prices!C523,-S$3,0),1,IF(Prices!C523&gt;OFFSET(Prices!C523,-S$3,0),-1,0))</f>
        <v>1</v>
      </c>
      <c r="T524" s="1">
        <f ca="1">IF(S524=1,T$3*Q523/Prices!B523,T$3*R523*S524)</f>
        <v>7.6465117314084285E-3</v>
      </c>
    </row>
    <row r="525" spans="1:20" x14ac:dyDescent="0.2">
      <c r="A525" s="4">
        <v>34241</v>
      </c>
      <c r="B525" s="9">
        <f ca="1">Prices!B524*(1+J525/(50*(ABS(O525)+ABS(T525)+0.0001)))</f>
        <v>1.1755698588672527</v>
      </c>
      <c r="C525" s="13">
        <f t="shared" ca="1" si="46"/>
        <v>-1</v>
      </c>
      <c r="D525" s="9">
        <f ca="1">D524+C525*(Prices!B525-Prices!B524)/Prices!B524</f>
        <v>-0.48430666754571855</v>
      </c>
      <c r="E525" s="9">
        <f t="shared" ca="1" si="47"/>
        <v>0.52043061880446484</v>
      </c>
      <c r="F525" s="9">
        <f t="shared" ca="1" si="48"/>
        <v>3.6123951258746317E-2</v>
      </c>
      <c r="G525" s="13">
        <f ca="1">IF((Prices!B525-Prices!B524)*B525&gt;0,1,0)</f>
        <v>1</v>
      </c>
      <c r="H525" s="9">
        <f>ABS(Prices!B525-Prices!B524)/Prices!B524</f>
        <v>9.4910129346546818E-3</v>
      </c>
      <c r="I525" s="13"/>
      <c r="J525" s="1">
        <f t="shared" ca="1" si="49"/>
        <v>-2.5852439149656879E-2</v>
      </c>
      <c r="K525" s="9"/>
      <c r="L525" s="9">
        <f ca="1">L524-O525*Prices!B525</f>
        <v>0.63313483555734473</v>
      </c>
      <c r="M525" s="1">
        <f t="shared" ca="1" si="44"/>
        <v>0.30019510808218397</v>
      </c>
      <c r="N525" s="9">
        <f ca="1">IF(Prices!D524&gt;OFFSET(Prices!D524,-$N$3,0),1,IF(Prices!D524&lt;OFFSET(Prices!D524,-$N$3,0),-1,0))</f>
        <v>-1</v>
      </c>
      <c r="O525" s="1">
        <f ca="1">IF(N525=1,O$3*L524/Prices!B524,O$3*M524*N525)</f>
        <v>-3.3355012009131553E-2</v>
      </c>
      <c r="P525" s="14"/>
      <c r="Q525" s="9">
        <f ca="1">Q524-T525*Prices!B525</f>
        <v>0.43761082000472479</v>
      </c>
      <c r="R525" s="1">
        <f t="shared" ca="1" si="45"/>
        <v>0.43151575488395005</v>
      </c>
      <c r="S525" s="9">
        <f ca="1">IF(Prices!C524&lt;OFFSET(Prices!C524,-S$3,0),1,IF(Prices!C524&gt;OFFSET(Prices!C524,-S$3,0),-1,0))</f>
        <v>1</v>
      </c>
      <c r="T525" s="1">
        <f ca="1">IF(S525=1,T$3*Q524/Prices!B524,T$3*R524*S525)</f>
        <v>7.5025728594746745E-3</v>
      </c>
    </row>
    <row r="526" spans="1:20" x14ac:dyDescent="0.2">
      <c r="A526" s="4">
        <v>34242</v>
      </c>
      <c r="B526" s="9">
        <f ca="1">Prices!B525*(1+J526/(50*(ABS(O526)+ABS(T526)+0.0001)))</f>
        <v>1.2258979765657558</v>
      </c>
      <c r="C526" s="13">
        <f t="shared" ca="1" si="46"/>
        <v>1</v>
      </c>
      <c r="D526" s="9">
        <f ca="1">D525+C526*(Prices!B526-Prices!B525)/Prices!B525</f>
        <v>-0.49487327042449375</v>
      </c>
      <c r="E526" s="9">
        <f t="shared" ca="1" si="47"/>
        <v>0.53099722168324004</v>
      </c>
      <c r="F526" s="9">
        <f t="shared" ca="1" si="48"/>
        <v>3.6123951258746317E-2</v>
      </c>
      <c r="G526" s="13">
        <f ca="1">IF((Prices!B526-Prices!B525)*B526&gt;0,1,0)</f>
        <v>0</v>
      </c>
      <c r="H526" s="9">
        <f>ABS(Prices!B526-Prices!B525)/Prices!B525</f>
        <v>1.0566602878775217E-2</v>
      </c>
      <c r="I526" s="13"/>
      <c r="J526" s="1">
        <f t="shared" ca="1" si="49"/>
        <v>5.9959813591670665E-2</v>
      </c>
      <c r="K526" s="9"/>
      <c r="L526" s="9">
        <f ca="1">L525-O526*Prices!B526</f>
        <v>0.57049036043921553</v>
      </c>
      <c r="M526" s="1">
        <f t="shared" ca="1" si="44"/>
        <v>0.35287293781488593</v>
      </c>
      <c r="N526" s="9">
        <f ca="1">IF(Prices!D525&gt;OFFSET(Prices!D525,-$N$3,0),1,IF(Prices!D525&lt;OFFSET(Prices!D525,-$N$3,0),-1,0))</f>
        <v>1</v>
      </c>
      <c r="O526" s="1">
        <f ca="1">IF(N526=1,O$3*L525/Prices!B525,O$3*M525*N526)</f>
        <v>5.267782973270195E-2</v>
      </c>
      <c r="P526" s="14"/>
      <c r="Q526" s="9">
        <f ca="1">Q525-T526*Prices!B526</f>
        <v>0.42895108479963917</v>
      </c>
      <c r="R526" s="1">
        <f t="shared" ca="1" si="45"/>
        <v>0.43879773874291877</v>
      </c>
      <c r="S526" s="9">
        <f ca="1">IF(Prices!C525&lt;OFFSET(Prices!C525,-S$3,0),1,IF(Prices!C525&gt;OFFSET(Prices!C525,-S$3,0),-1,0))</f>
        <v>1</v>
      </c>
      <c r="T526" s="1">
        <f ca="1">IF(S526=1,T$3*Q525/Prices!B525,T$3*R525*S526)</f>
        <v>7.2819838589687127E-3</v>
      </c>
    </row>
    <row r="527" spans="1:20" x14ac:dyDescent="0.2">
      <c r="A527" s="4">
        <v>34243</v>
      </c>
      <c r="B527" s="9">
        <f ca="1">Prices!B526*(1+J527/(50*(ABS(O527)+ABS(T527)+0.0001)))</f>
        <v>1.2055988889198579</v>
      </c>
      <c r="C527" s="13">
        <f t="shared" ca="1" si="46"/>
        <v>1</v>
      </c>
      <c r="D527" s="9">
        <f ca="1">D526+C527*(Prices!B527-Prices!B526)/Prices!B526</f>
        <v>-0.49495736056912881</v>
      </c>
      <c r="E527" s="9">
        <f t="shared" ca="1" si="47"/>
        <v>0.5310813118278751</v>
      </c>
      <c r="F527" s="9">
        <f t="shared" ca="1" si="48"/>
        <v>3.6123951258746317E-2</v>
      </c>
      <c r="G527" s="13">
        <f ca="1">IF((Prices!B527-Prices!B526)*B527&gt;0,1,0)</f>
        <v>0</v>
      </c>
      <c r="H527" s="9">
        <f>ABS(Prices!B527-Prices!B526)/Prices!B526</f>
        <v>8.4090144635039503E-5</v>
      </c>
      <c r="I527" s="13"/>
      <c r="J527" s="1">
        <f t="shared" ca="1" si="49"/>
        <v>3.9196662147376368E-2</v>
      </c>
      <c r="K527" s="9"/>
      <c r="L527" s="9">
        <f ca="1">L526-O527*Prices!B527</f>
        <v>0.51344612165698622</v>
      </c>
      <c r="M527" s="1">
        <f t="shared" ca="1" si="44"/>
        <v>0.40084555473712069</v>
      </c>
      <c r="N527" s="9">
        <f ca="1">IF(Prices!D526&gt;OFFSET(Prices!D526,-$N$3,0),1,IF(Prices!D526&lt;OFFSET(Prices!D526,-$N$3,0),-1,0))</f>
        <v>1</v>
      </c>
      <c r="O527" s="1">
        <f ca="1">IF(N527=1,O$3*L526/Prices!B526,O$3*M526*N527)</f>
        <v>4.7972616922234743E-2</v>
      </c>
      <c r="P527" s="14"/>
      <c r="Q527" s="9">
        <f ca="1">Q526-T527*Prices!B527</f>
        <v>0.43938657262242325</v>
      </c>
      <c r="R527" s="1">
        <f t="shared" ca="1" si="45"/>
        <v>0.4300217839680604</v>
      </c>
      <c r="S527" s="9">
        <f ca="1">IF(Prices!C526&lt;OFFSET(Prices!C526,-S$3,0),1,IF(Prices!C526&gt;OFFSET(Prices!C526,-S$3,0),-1,0))</f>
        <v>-1</v>
      </c>
      <c r="T527" s="1">
        <f ca="1">IF(S527=1,T$3*Q526/Prices!B526,T$3*R526*S527)</f>
        <v>-8.7759547748583761E-3</v>
      </c>
    </row>
    <row r="528" spans="1:20" x14ac:dyDescent="0.2">
      <c r="A528" s="4">
        <v>34246</v>
      </c>
      <c r="B528" s="9">
        <f ca="1">Prices!B527*(1+J528/(50*(ABS(O528)+ABS(T528)+0.0001)))</f>
        <v>1.1727565496125176</v>
      </c>
      <c r="C528" s="13">
        <f t="shared" ca="1" si="46"/>
        <v>-1</v>
      </c>
      <c r="D528" s="9">
        <f ca="1">D527+C528*(Prices!B528-Prices!B527)/Prices!B527</f>
        <v>-0.49756437427697497</v>
      </c>
      <c r="E528" s="9">
        <f t="shared" ca="1" si="47"/>
        <v>0.53368832553572132</v>
      </c>
      <c r="F528" s="9">
        <f t="shared" ca="1" si="48"/>
        <v>3.6123951258746317E-2</v>
      </c>
      <c r="G528" s="13">
        <f ca="1">IF((Prices!B528-Prices!B527)*B528&gt;0,1,0)</f>
        <v>1</v>
      </c>
      <c r="H528" s="9">
        <f>ABS(Prices!B528-Prices!B527)/Prices!B527</f>
        <v>2.6070137078461697E-3</v>
      </c>
      <c r="I528" s="13"/>
      <c r="J528" s="1">
        <f t="shared" ca="1" si="49"/>
        <v>-3.2694317939065305E-2</v>
      </c>
      <c r="K528" s="9"/>
      <c r="L528" s="9">
        <f ca="1">L527-O528*Prices!B528</f>
        <v>0.56123492869274572</v>
      </c>
      <c r="M528" s="1">
        <f t="shared" ca="1" si="44"/>
        <v>0.3607609992634086</v>
      </c>
      <c r="N528" s="9">
        <f ca="1">IF(Prices!D527&gt;OFFSET(Prices!D527,-$N$3,0),1,IF(Prices!D527&lt;OFFSET(Prices!D527,-$N$3,0),-1,0))</f>
        <v>-1</v>
      </c>
      <c r="O528" s="1">
        <f ca="1">IF(N528=1,O$3*L527/Prices!B527,O$3*M527*N528)</f>
        <v>-4.008455547371207E-2</v>
      </c>
      <c r="P528" s="14"/>
      <c r="Q528" s="9">
        <f ca="1">Q527-T528*Prices!B528</f>
        <v>0.43057593143361739</v>
      </c>
      <c r="R528" s="1">
        <f t="shared" ca="1" si="45"/>
        <v>0.43741202150270714</v>
      </c>
      <c r="S528" s="9">
        <f ca="1">IF(Prices!C527&lt;OFFSET(Prices!C527,-S$3,0),1,IF(Prices!C527&gt;OFFSET(Prices!C527,-S$3,0),-1,0))</f>
        <v>1</v>
      </c>
      <c r="T528" s="1">
        <f ca="1">IF(S528=1,T$3*Q527/Prices!B527,T$3*R527*S528)</f>
        <v>7.3902375346467626E-3</v>
      </c>
    </row>
    <row r="529" spans="1:20" x14ac:dyDescent="0.2">
      <c r="A529" s="4">
        <v>34247</v>
      </c>
      <c r="B529" s="9">
        <f ca="1">Prices!B528*(1+J529/(50*(ABS(O529)+ABS(T529)+0.0001)))</f>
        <v>1.1684090759045338</v>
      </c>
      <c r="C529" s="13">
        <f t="shared" ca="1" si="46"/>
        <v>-1</v>
      </c>
      <c r="D529" s="9">
        <f ca="1">D528+C529*(Prices!B529-Prices!B528)/Prices!B528</f>
        <v>-0.4961384390312108</v>
      </c>
      <c r="E529" s="9">
        <f t="shared" ca="1" si="47"/>
        <v>0.53226239028995714</v>
      </c>
      <c r="F529" s="9">
        <f t="shared" ca="1" si="48"/>
        <v>3.6123951258746317E-2</v>
      </c>
      <c r="G529" s="13">
        <f ca="1">IF((Prices!B529-Prices!B528)*B529&gt;0,1,0)</f>
        <v>0</v>
      </c>
      <c r="H529" s="9">
        <f>ABS(Prices!B529-Prices!B528)/Prices!B528</f>
        <v>1.4259352457641628E-3</v>
      </c>
      <c r="I529" s="13"/>
      <c r="J529" s="1">
        <f t="shared" ca="1" si="49"/>
        <v>-4.4824340356395001E-2</v>
      </c>
      <c r="K529" s="9"/>
      <c r="L529" s="9">
        <f ca="1">L528-O529*Prices!B529</f>
        <v>0.60418352565505451</v>
      </c>
      <c r="M529" s="1">
        <f t="shared" ca="1" si="44"/>
        <v>0.32468489933706773</v>
      </c>
      <c r="N529" s="9">
        <f ca="1">IF(Prices!D528&gt;OFFSET(Prices!D528,-$N$3,0),1,IF(Prices!D528&lt;OFFSET(Prices!D528,-$N$3,0),-1,0))</f>
        <v>-1</v>
      </c>
      <c r="O529" s="1">
        <f ca="1">IF(N529=1,O$3*L528/Prices!B528,O$3*M528*N529)</f>
        <v>-3.6076099926340859E-2</v>
      </c>
      <c r="P529" s="14"/>
      <c r="Q529" s="9">
        <f ca="1">Q528-T529*Prices!B529</f>
        <v>0.44099071166559684</v>
      </c>
      <c r="R529" s="1">
        <f t="shared" ca="1" si="45"/>
        <v>0.42866378107265302</v>
      </c>
      <c r="S529" s="9">
        <f ca="1">IF(Prices!C528&lt;OFFSET(Prices!C528,-S$3,0),1,IF(Prices!C528&gt;OFFSET(Prices!C528,-S$3,0),-1,0))</f>
        <v>-1</v>
      </c>
      <c r="T529" s="1">
        <f ca="1">IF(S529=1,T$3*Q528/Prices!B528,T$3*R528*S529)</f>
        <v>-8.7482404300541425E-3</v>
      </c>
    </row>
    <row r="530" spans="1:20" x14ac:dyDescent="0.2">
      <c r="A530" s="4">
        <v>34248</v>
      </c>
      <c r="B530" s="9">
        <f ca="1">Prices!B529*(1+J530/(50*(ABS(O530)+ABS(T530)+0.0001)))</f>
        <v>1.2073996166742815</v>
      </c>
      <c r="C530" s="13">
        <f t="shared" ca="1" si="46"/>
        <v>1</v>
      </c>
      <c r="D530" s="9">
        <f ca="1">D529+C530*(Prices!B530-Prices!B529)/Prices!B529</f>
        <v>-0.49672642727144595</v>
      </c>
      <c r="E530" s="9">
        <f t="shared" ca="1" si="47"/>
        <v>0.53285037853019224</v>
      </c>
      <c r="F530" s="9">
        <f t="shared" ca="1" si="48"/>
        <v>3.6123951258746317E-2</v>
      </c>
      <c r="G530" s="13">
        <f ca="1">IF((Prices!B530-Prices!B529)*B530&gt;0,1,0)</f>
        <v>0</v>
      </c>
      <c r="H530" s="9">
        <f>ABS(Prices!B530-Prices!B529)/Prices!B529</f>
        <v>5.8798824023513063E-4</v>
      </c>
      <c r="I530" s="13"/>
      <c r="J530" s="1">
        <f t="shared" ca="1" si="49"/>
        <v>4.2177125525548587E-2</v>
      </c>
      <c r="K530" s="9"/>
      <c r="L530" s="9">
        <f ca="1">L529-O530*Prices!B530</f>
        <v>0.54380069837035194</v>
      </c>
      <c r="M530" s="1">
        <f t="shared" ref="M530:M593" ca="1" si="50">M529+O530</f>
        <v>0.37543530048406937</v>
      </c>
      <c r="N530" s="9">
        <f ca="1">IF(Prices!D529&gt;OFFSET(Prices!D529,-$N$3,0),1,IF(Prices!D529&lt;OFFSET(Prices!D529,-$N$3,0),-1,0))</f>
        <v>1</v>
      </c>
      <c r="O530" s="1">
        <f ca="1">IF(N530=1,O$3*L529/Prices!B529,O$3*M529*N530)</f>
        <v>5.0750401147001648E-2</v>
      </c>
      <c r="P530" s="14"/>
      <c r="Q530" s="9">
        <f ca="1">Q529-T530*Prices!B530</f>
        <v>0.45119119500000171</v>
      </c>
      <c r="R530" s="1">
        <f t="shared" ref="R530:R593" ca="1" si="51">R529+T530</f>
        <v>0.42009050545119997</v>
      </c>
      <c r="S530" s="9">
        <f ca="1">IF(Prices!C529&lt;OFFSET(Prices!C529,-S$3,0),1,IF(Prices!C529&gt;OFFSET(Prices!C529,-S$3,0),-1,0))</f>
        <v>-1</v>
      </c>
      <c r="T530" s="1">
        <f ca="1">IF(S530=1,T$3*Q529/Prices!B529,T$3*R529*S530)</f>
        <v>-8.5732756214530609E-3</v>
      </c>
    </row>
    <row r="531" spans="1:20" x14ac:dyDescent="0.2">
      <c r="A531" s="4">
        <v>34249</v>
      </c>
      <c r="B531" s="9">
        <f ca="1">Prices!B530*(1+J531/(50*(ABS(O531)+ABS(T531)+0.0001)))</f>
        <v>1.2135514294710954</v>
      </c>
      <c r="C531" s="13">
        <f t="shared" ca="1" si="46"/>
        <v>1</v>
      </c>
      <c r="D531" s="9">
        <f ca="1">D530+C531*(Prices!B531-Prices!B530)/Prices!B530</f>
        <v>-0.49697857048879335</v>
      </c>
      <c r="E531" s="9">
        <f t="shared" ca="1" si="47"/>
        <v>0.53310252174753969</v>
      </c>
      <c r="F531" s="9">
        <f t="shared" ca="1" si="48"/>
        <v>3.6123951258746317E-2</v>
      </c>
      <c r="G531" s="13">
        <f ca="1">IF((Prices!B531-Prices!B530)*B531&gt;0,1,0)</f>
        <v>0</v>
      </c>
      <c r="H531" s="9">
        <f>ABS(Prices!B531-Prices!B530)/Prices!B530</f>
        <v>2.5214321734742557E-4</v>
      </c>
      <c r="I531" s="13"/>
      <c r="J531" s="1">
        <f t="shared" ca="1" si="49"/>
        <v>5.3289539197373698E-2</v>
      </c>
      <c r="K531" s="9"/>
      <c r="L531" s="9">
        <f ca="1">L530-O531*Prices!B531</f>
        <v>0.48943434009908504</v>
      </c>
      <c r="M531" s="1">
        <f t="shared" ca="1" si="50"/>
        <v>0.42114051971170025</v>
      </c>
      <c r="N531" s="9">
        <f ca="1">IF(Prices!D530&gt;OFFSET(Prices!D530,-$N$3,0),1,IF(Prices!D530&lt;OFFSET(Prices!D530,-$N$3,0),-1,0))</f>
        <v>1</v>
      </c>
      <c r="O531" s="1">
        <f ca="1">IF(N531=1,O$3*L530/Prices!B530,O$3*M530*N531)</f>
        <v>4.5705219227630857E-2</v>
      </c>
      <c r="P531" s="14"/>
      <c r="Q531" s="9">
        <f ca="1">Q530-T531*Prices!B531</f>
        <v>0.4421696463959926</v>
      </c>
      <c r="R531" s="1">
        <f t="shared" ca="1" si="51"/>
        <v>0.42767482542094282</v>
      </c>
      <c r="S531" s="9">
        <f ca="1">IF(Prices!C530&lt;OFFSET(Prices!C530,-S$3,0),1,IF(Prices!C530&gt;OFFSET(Prices!C530,-S$3,0),-1,0))</f>
        <v>1</v>
      </c>
      <c r="T531" s="1">
        <f ca="1">IF(S531=1,T$3*Q530/Prices!B530,T$3*R530*S531)</f>
        <v>7.5843199697428433E-3</v>
      </c>
    </row>
    <row r="532" spans="1:20" x14ac:dyDescent="0.2">
      <c r="A532" s="4">
        <v>34250</v>
      </c>
      <c r="B532" s="9">
        <f ca="1">Prices!B531*(1+J532/(50*(ABS(O532)+ABS(T532)+0.0001)))</f>
        <v>1.1728827043439218</v>
      </c>
      <c r="C532" s="13">
        <f t="shared" ca="1" si="46"/>
        <v>-1</v>
      </c>
      <c r="D532" s="9">
        <f ca="1">D531+C532*(Prices!B532-Prices!B531)/Prices!B531</f>
        <v>-0.50933670415840238</v>
      </c>
      <c r="E532" s="9">
        <f t="shared" ca="1" si="47"/>
        <v>0.54546065541714872</v>
      </c>
      <c r="F532" s="9">
        <f t="shared" ca="1" si="48"/>
        <v>3.6123951258746317E-2</v>
      </c>
      <c r="G532" s="13">
        <f ca="1">IF((Prices!B532-Prices!B531)*B532&gt;0,1,0)</f>
        <v>1</v>
      </c>
      <c r="H532" s="9">
        <f>ABS(Prices!B532-Prices!B531)/Prices!B531</f>
        <v>1.2358133669609025E-2</v>
      </c>
      <c r="I532" s="13"/>
      <c r="J532" s="1">
        <f t="shared" ca="1" si="49"/>
        <v>-3.4679505583679604E-2</v>
      </c>
      <c r="K532" s="9"/>
      <c r="L532" s="9">
        <f ca="1">L531-O532*Prices!B532</f>
        <v>0.54014808148276794</v>
      </c>
      <c r="M532" s="1">
        <f t="shared" ca="1" si="50"/>
        <v>0.37902646774053023</v>
      </c>
      <c r="N532" s="9">
        <f ca="1">IF(Prices!D531&gt;OFFSET(Prices!D531,-$N$3,0),1,IF(Prices!D531&lt;OFFSET(Prices!D531,-$N$3,0),-1,0))</f>
        <v>-1</v>
      </c>
      <c r="O532" s="1">
        <f ca="1">IF(N532=1,O$3*L531/Prices!B531,O$3*M531*N532)</f>
        <v>-4.2114051971170026E-2</v>
      </c>
      <c r="P532" s="14"/>
      <c r="Q532" s="9">
        <f ca="1">Q531-T532*Prices!B532</f>
        <v>0.43321696563617662</v>
      </c>
      <c r="R532" s="1">
        <f t="shared" ca="1" si="51"/>
        <v>0.43510937180843323</v>
      </c>
      <c r="S532" s="9">
        <f ca="1">IF(Prices!C531&lt;OFFSET(Prices!C531,-S$3,0),1,IF(Prices!C531&gt;OFFSET(Prices!C531,-S$3,0),-1,0))</f>
        <v>1</v>
      </c>
      <c r="T532" s="1">
        <f ca="1">IF(S532=1,T$3*Q531/Prices!B531,T$3*R531*S532)</f>
        <v>7.4345463874904184E-3</v>
      </c>
    </row>
    <row r="533" spans="1:20" x14ac:dyDescent="0.2">
      <c r="A533" s="4">
        <v>34253</v>
      </c>
      <c r="B533" s="9">
        <f ca="1">Prices!B532*(1+J533/(50*(ABS(O533)+ABS(T533)+0.0001)))</f>
        <v>1.1801675663965139</v>
      </c>
      <c r="C533" s="13">
        <f t="shared" ca="1" si="46"/>
        <v>-1</v>
      </c>
      <c r="D533" s="9">
        <f ca="1">D532+C533*(Prices!B533-Prices!B532)/Prices!B532</f>
        <v>-0.50892149073870474</v>
      </c>
      <c r="E533" s="9">
        <f t="shared" ca="1" si="47"/>
        <v>0.54504544199745109</v>
      </c>
      <c r="F533" s="9">
        <f t="shared" ca="1" si="48"/>
        <v>3.6123951258746317E-2</v>
      </c>
      <c r="G533" s="13">
        <f ca="1">IF((Prices!B533-Prices!B532)*B533&gt;0,1,0)</f>
        <v>0</v>
      </c>
      <c r="H533" s="9">
        <f>ABS(Prices!B533-Prices!B532)/Prices!B532</f>
        <v>4.152134196976789E-4</v>
      </c>
      <c r="I533" s="13"/>
      <c r="J533" s="1">
        <f t="shared" ca="1" si="49"/>
        <v>-4.6604834210221692E-2</v>
      </c>
      <c r="K533" s="9"/>
      <c r="L533" s="9">
        <f ca="1">L532-O533*Prices!B533</f>
        <v>0.58577149740469558</v>
      </c>
      <c r="M533" s="1">
        <f t="shared" ca="1" si="50"/>
        <v>0.3411238209664772</v>
      </c>
      <c r="N533" s="9">
        <f ca="1">IF(Prices!D532&gt;OFFSET(Prices!D532,-$N$3,0),1,IF(Prices!D532&lt;OFFSET(Prices!D532,-$N$3,0),-1,0))</f>
        <v>-1</v>
      </c>
      <c r="O533" s="1">
        <f ca="1">IF(N533=1,O$3*L532/Prices!B532,O$3*M532*N533)</f>
        <v>-3.7902646774053028E-2</v>
      </c>
      <c r="P533" s="14"/>
      <c r="Q533" s="9">
        <f ca="1">Q532-T533*Prices!B533</f>
        <v>0.44369178865309283</v>
      </c>
      <c r="R533" s="1">
        <f t="shared" ca="1" si="51"/>
        <v>0.42640718437226455</v>
      </c>
      <c r="S533" s="9">
        <f ca="1">IF(Prices!C532&lt;OFFSET(Prices!C532,-S$3,0),1,IF(Prices!C532&gt;OFFSET(Prices!C532,-S$3,0),-1,0))</f>
        <v>-1</v>
      </c>
      <c r="T533" s="1">
        <f ca="1">IF(S533=1,T$3*Q532/Prices!B532,T$3*R532*S533)</f>
        <v>-8.7021874361686655E-3</v>
      </c>
    </row>
    <row r="534" spans="1:20" x14ac:dyDescent="0.2">
      <c r="A534" s="4">
        <v>34254</v>
      </c>
      <c r="B534" s="9">
        <f ca="1">Prices!B533*(1+J534/(50*(ABS(O534)+ABS(T534)+0.0001)))</f>
        <v>1.1796823259331943</v>
      </c>
      <c r="C534" s="13">
        <f t="shared" ca="1" si="46"/>
        <v>-1</v>
      </c>
      <c r="D534" s="9">
        <f ca="1">D533+C534*(Prices!B534-Prices!B533)/Prices!B533</f>
        <v>-0.51506920196243167</v>
      </c>
      <c r="E534" s="9">
        <f t="shared" ca="1" si="47"/>
        <v>0.55119315322117801</v>
      </c>
      <c r="F534" s="9">
        <f t="shared" ca="1" si="48"/>
        <v>3.6123951258746317E-2</v>
      </c>
      <c r="G534" s="13">
        <f ca="1">IF((Prices!B534-Prices!B533)*B534&gt;0,1,0)</f>
        <v>1</v>
      </c>
      <c r="H534" s="9">
        <f>ABS(Prices!B534-Prices!B533)/Prices!B533</f>
        <v>6.1477112237269035E-3</v>
      </c>
      <c r="I534" s="13"/>
      <c r="J534" s="1">
        <f t="shared" ca="1" si="49"/>
        <v>-4.2640525784093011E-2</v>
      </c>
      <c r="K534" s="9"/>
      <c r="L534" s="9">
        <f ca="1">L533-O534*Prices!B534</f>
        <v>0.62708500336194561</v>
      </c>
      <c r="M534" s="1">
        <f t="shared" ca="1" si="50"/>
        <v>0.30701143886982946</v>
      </c>
      <c r="N534" s="9">
        <f ca="1">IF(Prices!D533&gt;OFFSET(Prices!D533,-$N$3,0),1,IF(Prices!D533&lt;OFFSET(Prices!D533,-$N$3,0),-1,0))</f>
        <v>-1</v>
      </c>
      <c r="O534" s="1">
        <f ca="1">IF(N534=1,O$3*L533/Prices!B533,O$3*M533*N534)</f>
        <v>-3.4112382096647721E-2</v>
      </c>
      <c r="P534" s="14"/>
      <c r="Q534" s="9">
        <f ca="1">Q533-T534*Prices!B534</f>
        <v>0.45402022347295784</v>
      </c>
      <c r="R534" s="1">
        <f t="shared" ca="1" si="51"/>
        <v>0.41787904068481924</v>
      </c>
      <c r="S534" s="9">
        <f ca="1">IF(Prices!C533&lt;OFFSET(Prices!C533,-S$3,0),1,IF(Prices!C533&gt;OFFSET(Prices!C533,-S$3,0),-1,0))</f>
        <v>-1</v>
      </c>
      <c r="T534" s="1">
        <f ca="1">IF(S534=1,T$3*Q533/Prices!B533,T$3*R533*S534)</f>
        <v>-8.5281436874452918E-3</v>
      </c>
    </row>
    <row r="535" spans="1:20" x14ac:dyDescent="0.2">
      <c r="A535" s="4">
        <v>34255</v>
      </c>
      <c r="B535" s="9">
        <f ca="1">Prices!B534*(1+J535/(50*(ABS(O535)+ABS(T535)+0.0001)))</f>
        <v>1.2285602834063953</v>
      </c>
      <c r="C535" s="13">
        <f t="shared" ca="1" si="46"/>
        <v>1</v>
      </c>
      <c r="D535" s="9">
        <f ca="1">D534+C535*(Prices!B535-Prices!B534)/Prices!B534</f>
        <v>-0.52266560192940392</v>
      </c>
      <c r="E535" s="9">
        <f t="shared" ca="1" si="47"/>
        <v>0.55878955318815027</v>
      </c>
      <c r="F535" s="9">
        <f t="shared" ca="1" si="48"/>
        <v>3.6123951258746317E-2</v>
      </c>
      <c r="G535" s="13">
        <f ca="1">IF((Prices!B535-Prices!B534)*B535&gt;0,1,0)</f>
        <v>0</v>
      </c>
      <c r="H535" s="9">
        <f>ABS(Prices!B535-Prices!B534)/Prices!B534</f>
        <v>7.5963999669722533E-3</v>
      </c>
      <c r="I535" s="13"/>
      <c r="J535" s="1">
        <f t="shared" ca="1" si="49"/>
        <v>4.3420555043123497E-2</v>
      </c>
      <c r="K535" s="9"/>
      <c r="L535" s="9">
        <f ca="1">L534-O535*Prices!B535</f>
        <v>0.56485286187563377</v>
      </c>
      <c r="M535" s="1">
        <f t="shared" ca="1" si="50"/>
        <v>0.35878957472664935</v>
      </c>
      <c r="N535" s="9">
        <f ca="1">IF(Prices!D534&gt;OFFSET(Prices!D534,-$N$3,0),1,IF(Prices!D534&lt;OFFSET(Prices!D534,-$N$3,0),-1,0))</f>
        <v>1</v>
      </c>
      <c r="O535" s="1">
        <f ca="1">IF(N535=1,O$3*L534/Prices!B534,O$3*M534*N535)</f>
        <v>5.1778135856819882E-2</v>
      </c>
      <c r="P535" s="14"/>
      <c r="Q535" s="9">
        <f ca="1">Q534-T535*Prices!B535</f>
        <v>0.46406519985293954</v>
      </c>
      <c r="R535" s="1">
        <f t="shared" ca="1" si="51"/>
        <v>0.40952145987112287</v>
      </c>
      <c r="S535" s="9">
        <f ca="1">IF(Prices!C534&lt;OFFSET(Prices!C534,-S$3,0),1,IF(Prices!C534&gt;OFFSET(Prices!C534,-S$3,0),-1,0))</f>
        <v>-1</v>
      </c>
      <c r="T535" s="1">
        <f ca="1">IF(S535=1,T$3*Q534/Prices!B534,T$3*R534*S535)</f>
        <v>-8.3575808136963844E-3</v>
      </c>
    </row>
    <row r="536" spans="1:20" x14ac:dyDescent="0.2">
      <c r="A536" s="4">
        <v>34256</v>
      </c>
      <c r="B536" s="9">
        <f ca="1">Prices!B535*(1+J536/(50*(ABS(O536)+ABS(T536)+0.0001)))</f>
        <v>1.218772369168911</v>
      </c>
      <c r="C536" s="13">
        <f t="shared" ca="1" si="46"/>
        <v>1</v>
      </c>
      <c r="D536" s="9">
        <f ca="1">D535+C536*(Prices!B536-Prices!B535)/Prices!B535</f>
        <v>-0.52649287541305478</v>
      </c>
      <c r="E536" s="9">
        <f t="shared" ca="1" si="47"/>
        <v>0.56261682667180113</v>
      </c>
      <c r="F536" s="9">
        <f t="shared" ca="1" si="48"/>
        <v>3.6123951258746317E-2</v>
      </c>
      <c r="G536" s="13">
        <f ca="1">IF((Prices!B536-Prices!B535)*B536&gt;0,1,0)</f>
        <v>0</v>
      </c>
      <c r="H536" s="9">
        <f>ABS(Prices!B536-Prices!B535)/Prices!B535</f>
        <v>3.8272734836508342E-3</v>
      </c>
      <c r="I536" s="13"/>
      <c r="J536" s="1">
        <f t="shared" ca="1" si="49"/>
        <v>3.8806231246510794E-2</v>
      </c>
      <c r="K536" s="9"/>
      <c r="L536" s="9">
        <f ca="1">L535-O536*Prices!B536</f>
        <v>0.50858376032611252</v>
      </c>
      <c r="M536" s="1">
        <f t="shared" ca="1" si="50"/>
        <v>0.4057862351705826</v>
      </c>
      <c r="N536" s="9">
        <f ca="1">IF(Prices!D535&gt;OFFSET(Prices!D535,-$N$3,0),1,IF(Prices!D535&lt;OFFSET(Prices!D535,-$N$3,0),-1,0))</f>
        <v>1</v>
      </c>
      <c r="O536" s="1">
        <f ca="1">IF(N536=1,O$3*L535/Prices!B535,O$3*M535*N536)</f>
        <v>4.6996660443933254E-2</v>
      </c>
      <c r="P536" s="14"/>
      <c r="Q536" s="9">
        <f ca="1">Q535-T536*Prices!B536</f>
        <v>0.47387160073101342</v>
      </c>
      <c r="R536" s="1">
        <f t="shared" ca="1" si="51"/>
        <v>0.40133103067370041</v>
      </c>
      <c r="S536" s="9">
        <f ca="1">IF(Prices!C535&lt;OFFSET(Prices!C535,-S$3,0),1,IF(Prices!C535&gt;OFFSET(Prices!C535,-S$3,0),-1,0))</f>
        <v>-1</v>
      </c>
      <c r="T536" s="1">
        <f ca="1">IF(S536=1,T$3*Q535/Prices!B535,T$3*R535*S536)</f>
        <v>-8.1904291974224577E-3</v>
      </c>
    </row>
    <row r="537" spans="1:20" x14ac:dyDescent="0.2">
      <c r="A537" s="4">
        <v>34257</v>
      </c>
      <c r="B537" s="9">
        <f ca="1">Prices!B536*(1+J537/(50*(ABS(O537)+ABS(T537)+0.0001)))</f>
        <v>1.1734031651369941</v>
      </c>
      <c r="C537" s="13">
        <f t="shared" ca="1" si="46"/>
        <v>-1</v>
      </c>
      <c r="D537" s="9">
        <f ca="1">D536+C537*(Prices!B537-Prices!B536)/Prices!B536</f>
        <v>-0.52365315270362522</v>
      </c>
      <c r="E537" s="9">
        <f t="shared" ca="1" si="47"/>
        <v>0.55977710396237157</v>
      </c>
      <c r="F537" s="9">
        <f t="shared" ca="1" si="48"/>
        <v>3.6123951258746317E-2</v>
      </c>
      <c r="G537" s="13">
        <f ca="1">IF((Prices!B537-Prices!B536)*B537&gt;0,1,0)</f>
        <v>0</v>
      </c>
      <c r="H537" s="9">
        <f>ABS(Prices!B537-Prices!B536)/Prices!B536</f>
        <v>2.8397227094296078E-3</v>
      </c>
      <c r="I537" s="13"/>
      <c r="J537" s="1">
        <f t="shared" ca="1" si="49"/>
        <v>-4.8605244130532271E-2</v>
      </c>
      <c r="K537" s="9"/>
      <c r="L537" s="9">
        <f ca="1">L536-O537*Prices!B537</f>
        <v>0.55703057894312835</v>
      </c>
      <c r="M537" s="1">
        <f t="shared" ca="1" si="50"/>
        <v>0.36520761165352433</v>
      </c>
      <c r="N537" s="9">
        <f ca="1">IF(Prices!D536&gt;OFFSET(Prices!D536,-$N$3,0),1,IF(Prices!D536&lt;OFFSET(Prices!D536,-$N$3,0),-1,0))</f>
        <v>-1</v>
      </c>
      <c r="O537" s="1">
        <f ca="1">IF(N537=1,O$3*L536/Prices!B536,O$3*M536*N537)</f>
        <v>-4.0578623517058265E-2</v>
      </c>
      <c r="P537" s="14"/>
      <c r="Q537" s="9">
        <f ca="1">Q536-T537*Prices!B537</f>
        <v>0.48345458308144001</v>
      </c>
      <c r="R537" s="1">
        <f t="shared" ca="1" si="51"/>
        <v>0.39330441006022637</v>
      </c>
      <c r="S537" s="9">
        <f ca="1">IF(Prices!C536&lt;OFFSET(Prices!C536,-S$3,0),1,IF(Prices!C536&gt;OFFSET(Prices!C536,-S$3,0),-1,0))</f>
        <v>-1</v>
      </c>
      <c r="T537" s="1">
        <f ca="1">IF(S537=1,T$3*Q536/Prices!B536,T$3*R536*S537)</f>
        <v>-8.0266206134740076E-3</v>
      </c>
    </row>
    <row r="538" spans="1:20" x14ac:dyDescent="0.2">
      <c r="A538" s="4">
        <v>34260</v>
      </c>
      <c r="B538" s="9">
        <f ca="1">Prices!B537*(1+J538/(50*(ABS(O538)+ABS(T538)+0.0001)))</f>
        <v>1.1700756742887841</v>
      </c>
      <c r="C538" s="13">
        <f t="shared" ca="1" si="46"/>
        <v>-1</v>
      </c>
      <c r="D538" s="9">
        <f ca="1">D537+C538*(Prices!B538-Prices!B537)/Prices!B537</f>
        <v>-0.5179575333050157</v>
      </c>
      <c r="E538" s="9">
        <f t="shared" ca="1" si="47"/>
        <v>0.55408148456376205</v>
      </c>
      <c r="F538" s="9">
        <f t="shared" ca="1" si="48"/>
        <v>3.6123951258746317E-2</v>
      </c>
      <c r="G538" s="13">
        <f ca="1">IF((Prices!B538-Prices!B537)*B538&gt;0,1,0)</f>
        <v>0</v>
      </c>
      <c r="H538" s="9">
        <f>ABS(Prices!B538-Prices!B537)/Prices!B537</f>
        <v>5.6956193986095298E-3</v>
      </c>
      <c r="I538" s="13"/>
      <c r="J538" s="1">
        <f t="shared" ca="1" si="49"/>
        <v>-4.4386849366556957E-2</v>
      </c>
      <c r="K538" s="9"/>
      <c r="L538" s="9">
        <f ca="1">L537-O538*Prices!B538</f>
        <v>0.60038437452251825</v>
      </c>
      <c r="M538" s="1">
        <f t="shared" ca="1" si="50"/>
        <v>0.32868685048817192</v>
      </c>
      <c r="N538" s="9">
        <f ca="1">IF(Prices!D537&gt;OFFSET(Prices!D537,-$N$3,0),1,IF(Prices!D537&lt;OFFSET(Prices!D537,-$N$3,0),-1,0))</f>
        <v>-1</v>
      </c>
      <c r="O538" s="1">
        <f ca="1">IF(N538=1,O$3*L537/Prices!B537,O$3*M537*N538)</f>
        <v>-3.6520761165352432E-2</v>
      </c>
      <c r="P538" s="14"/>
      <c r="Q538" s="9">
        <f ca="1">Q537-T538*Prices!B538</f>
        <v>0.49279241638508992</v>
      </c>
      <c r="R538" s="1">
        <f t="shared" ca="1" si="51"/>
        <v>0.38543832185902183</v>
      </c>
      <c r="S538" s="9">
        <f ca="1">IF(Prices!C537&lt;OFFSET(Prices!C537,-S$3,0),1,IF(Prices!C537&gt;OFFSET(Prices!C537,-S$3,0),-1,0))</f>
        <v>-1</v>
      </c>
      <c r="T538" s="1">
        <f ca="1">IF(S538=1,T$3*Q537/Prices!B537,T$3*R537*S538)</f>
        <v>-7.8660882012045272E-3</v>
      </c>
    </row>
    <row r="539" spans="1:20" x14ac:dyDescent="0.2">
      <c r="A539" s="4">
        <v>34261</v>
      </c>
      <c r="B539" s="9">
        <f ca="1">Prices!B538*(1+J539/(50*(ABS(O539)+ABS(T539)+0.0001)))</f>
        <v>1.2045318089422712</v>
      </c>
      <c r="C539" s="13">
        <f t="shared" ca="1" si="46"/>
        <v>1</v>
      </c>
      <c r="D539" s="9">
        <f ca="1">D538+C539*(Prices!B539-Prices!B538)/Prices!B538</f>
        <v>-0.52612870675291401</v>
      </c>
      <c r="E539" s="9">
        <f t="shared" ca="1" si="47"/>
        <v>0.56225265801166036</v>
      </c>
      <c r="F539" s="9">
        <f t="shared" ca="1" si="48"/>
        <v>3.6123951258746317E-2</v>
      </c>
      <c r="G539" s="13">
        <f ca="1">IF((Prices!B539-Prices!B538)*B539&gt;0,1,0)</f>
        <v>0</v>
      </c>
      <c r="H539" s="9">
        <f>ABS(Prices!B539-Prices!B538)/Prices!B538</f>
        <v>8.1711734478982744E-3</v>
      </c>
      <c r="I539" s="13"/>
      <c r="J539" s="1">
        <f t="shared" ca="1" si="49"/>
        <v>4.2866953765205058E-2</v>
      </c>
      <c r="K539" s="9"/>
      <c r="L539" s="9">
        <f ca="1">L538-O539*Prices!B539</f>
        <v>0.54083652155622952</v>
      </c>
      <c r="M539" s="1">
        <f t="shared" ca="1" si="50"/>
        <v>0.37926257069055741</v>
      </c>
      <c r="N539" s="9">
        <f ca="1">IF(Prices!D538&gt;OFFSET(Prices!D538,-$N$3,0),1,IF(Prices!D538&lt;OFFSET(Prices!D538,-$N$3,0),-1,0))</f>
        <v>1</v>
      </c>
      <c r="O539" s="1">
        <f ca="1">IF(N539=1,O$3*L538/Prices!B538,O$3*M538*N539)</f>
        <v>5.0575720202385495E-2</v>
      </c>
      <c r="P539" s="14"/>
      <c r="Q539" s="9">
        <f ca="1">Q538-T539*Prices!B539</f>
        <v>0.50186871798822619</v>
      </c>
      <c r="R539" s="1">
        <f t="shared" ca="1" si="51"/>
        <v>0.37772955542184139</v>
      </c>
      <c r="S539" s="9">
        <f ca="1">IF(Prices!C538&lt;OFFSET(Prices!C538,-S$3,0),1,IF(Prices!C538&gt;OFFSET(Prices!C538,-S$3,0),-1,0))</f>
        <v>-1</v>
      </c>
      <c r="T539" s="1">
        <f ca="1">IF(S539=1,T$3*Q538/Prices!B538,T$3*R538*S539)</f>
        <v>-7.7087664371804365E-3</v>
      </c>
    </row>
    <row r="540" spans="1:20" x14ac:dyDescent="0.2">
      <c r="A540" s="4">
        <v>34262</v>
      </c>
      <c r="B540" s="9">
        <f ca="1">Prices!B539*(1+J540/(50*(ABS(O540)+ABS(T540)+0.0001)))</f>
        <v>1.1942648541449015</v>
      </c>
      <c r="C540" s="13">
        <f t="shared" ca="1" si="46"/>
        <v>1</v>
      </c>
      <c r="D540" s="9">
        <f ca="1">D539+C540*(Prices!B540-Prices!B539)/Prices!B539</f>
        <v>-0.52927122416415917</v>
      </c>
      <c r="E540" s="9">
        <f t="shared" ca="1" si="47"/>
        <v>0.56539517542290552</v>
      </c>
      <c r="F540" s="9">
        <f t="shared" ca="1" si="48"/>
        <v>3.6123951258746317E-2</v>
      </c>
      <c r="G540" s="13">
        <f ca="1">IF((Prices!B540-Prices!B539)*B540&gt;0,1,0)</f>
        <v>0</v>
      </c>
      <c r="H540" s="9">
        <f>ABS(Prices!B540-Prices!B539)/Prices!B539</f>
        <v>3.1425174112451474E-3</v>
      </c>
      <c r="I540" s="13"/>
      <c r="J540" s="1">
        <f t="shared" ca="1" si="49"/>
        <v>3.8380224719338739E-2</v>
      </c>
      <c r="K540" s="9"/>
      <c r="L540" s="9">
        <f ca="1">L539-O540*Prices!B540</f>
        <v>0.48692282821916932</v>
      </c>
      <c r="M540" s="1">
        <f t="shared" ca="1" si="50"/>
        <v>0.425197386518333</v>
      </c>
      <c r="N540" s="9">
        <f ca="1">IF(Prices!D539&gt;OFFSET(Prices!D539,-$N$3,0),1,IF(Prices!D539&lt;OFFSET(Prices!D539,-$N$3,0),-1,0))</f>
        <v>1</v>
      </c>
      <c r="O540" s="1">
        <f ca="1">IF(N540=1,O$3*L539/Prices!B539,O$3*M539*N540)</f>
        <v>4.5934815827775567E-2</v>
      </c>
      <c r="P540" s="14"/>
      <c r="Q540" s="9">
        <f ca="1">Q539-T540*Prices!B540</f>
        <v>0.51073554157219847</v>
      </c>
      <c r="R540" s="1">
        <f t="shared" ca="1" si="51"/>
        <v>0.37017496431340458</v>
      </c>
      <c r="S540" s="9">
        <f ca="1">IF(Prices!C539&lt;OFFSET(Prices!C539,-S$3,0),1,IF(Prices!C539&gt;OFFSET(Prices!C539,-S$3,0),-1,0))</f>
        <v>-1</v>
      </c>
      <c r="T540" s="1">
        <f ca="1">IF(S540=1,T$3*Q539/Prices!B539,T$3*R539*S540)</f>
        <v>-7.5545911084368284E-3</v>
      </c>
    </row>
    <row r="541" spans="1:20" x14ac:dyDescent="0.2">
      <c r="A541" s="4">
        <v>34263</v>
      </c>
      <c r="B541" s="9">
        <f ca="1">Prices!B540*(1+J541/(50*(ABS(O541)+ABS(T541)+0.0001)))</f>
        <v>1.1502729261906417</v>
      </c>
      <c r="C541" s="13">
        <f t="shared" ca="1" si="46"/>
        <v>-1</v>
      </c>
      <c r="D541" s="9">
        <f ca="1">D540+C541*(Prices!B541-Prices!B540)/Prices!B540</f>
        <v>-0.52475558984533843</v>
      </c>
      <c r="E541" s="9">
        <f t="shared" ca="1" si="47"/>
        <v>0.56087954110408478</v>
      </c>
      <c r="F541" s="9">
        <f t="shared" ca="1" si="48"/>
        <v>3.6123951258746317E-2</v>
      </c>
      <c r="G541" s="13">
        <f ca="1">IF((Prices!B541-Prices!B540)*B541&gt;0,1,0)</f>
        <v>0</v>
      </c>
      <c r="H541" s="9">
        <f>ABS(Prices!B541-Prices!B540)/Prices!B540</f>
        <v>4.5156343188207044E-3</v>
      </c>
      <c r="I541" s="13"/>
      <c r="J541" s="1">
        <f t="shared" ca="1" si="49"/>
        <v>-4.9923237938101397E-2</v>
      </c>
      <c r="K541" s="9"/>
      <c r="L541" s="9">
        <f ca="1">L540-O541*Prices!B541</f>
        <v>0.53660289085997137</v>
      </c>
      <c r="M541" s="1">
        <f t="shared" ca="1" si="50"/>
        <v>0.38267764786649971</v>
      </c>
      <c r="N541" s="9">
        <f ca="1">IF(Prices!D540&gt;OFFSET(Prices!D540,-$N$3,0),1,IF(Prices!D540&lt;OFFSET(Prices!D540,-$N$3,0),-1,0))</f>
        <v>-1</v>
      </c>
      <c r="O541" s="1">
        <f ca="1">IF(N541=1,O$3*L540/Prices!B540,O$3*M540*N541)</f>
        <v>-4.2519738651833304E-2</v>
      </c>
      <c r="P541" s="14"/>
      <c r="Q541" s="9">
        <f ca="1">Q540-T541*Prices!B541</f>
        <v>0.51938579013827413</v>
      </c>
      <c r="R541" s="1">
        <f t="shared" ca="1" si="51"/>
        <v>0.36277146502713647</v>
      </c>
      <c r="S541" s="9">
        <f ca="1">IF(Prices!C540&lt;OFFSET(Prices!C540,-S$3,0),1,IF(Prices!C540&gt;OFFSET(Prices!C540,-S$3,0),-1,0))</f>
        <v>-1</v>
      </c>
      <c r="T541" s="1">
        <f ca="1">IF(S541=1,T$3*Q540/Prices!B540,T$3*R540*S541)</f>
        <v>-7.4034992862680917E-3</v>
      </c>
    </row>
    <row r="542" spans="1:20" x14ac:dyDescent="0.2">
      <c r="A542" s="4">
        <v>34264</v>
      </c>
      <c r="B542" s="9">
        <f ca="1">Prices!B541*(1+J542/(50*(ABS(O542)+ABS(T542)+0.0001)))</f>
        <v>1.1853600521469208</v>
      </c>
      <c r="C542" s="13">
        <f t="shared" ca="1" si="46"/>
        <v>1</v>
      </c>
      <c r="D542" s="9">
        <f ca="1">D541+C542*(Prices!B542-Prices!B541)/Prices!B541</f>
        <v>-0.52980523037940208</v>
      </c>
      <c r="E542" s="9">
        <f t="shared" ca="1" si="47"/>
        <v>0.56592918163814843</v>
      </c>
      <c r="F542" s="9">
        <f t="shared" ca="1" si="48"/>
        <v>3.6123951258746317E-2</v>
      </c>
      <c r="G542" s="13">
        <f ca="1">IF((Prices!B542-Prices!B541)*B542&gt;0,1,0)</f>
        <v>0</v>
      </c>
      <c r="H542" s="9">
        <f>ABS(Prices!B542-Prices!B541)/Prices!B541</f>
        <v>5.0496405340636902E-3</v>
      </c>
      <c r="I542" s="13"/>
      <c r="J542" s="1">
        <f t="shared" ca="1" si="49"/>
        <v>3.8670870841529446E-2</v>
      </c>
      <c r="K542" s="9"/>
      <c r="L542" s="9">
        <f ca="1">L541-O542*Prices!B542</f>
        <v>0.48321356694481243</v>
      </c>
      <c r="M542" s="1">
        <f t="shared" ca="1" si="50"/>
        <v>0.42860394800857188</v>
      </c>
      <c r="N542" s="9">
        <f ca="1">IF(Prices!D541&gt;OFFSET(Prices!D541,-$N$3,0),1,IF(Prices!D541&lt;OFFSET(Prices!D541,-$N$3,0),-1,0))</f>
        <v>1</v>
      </c>
      <c r="O542" s="1">
        <f ca="1">IF(N542=1,O$3*L541/Prices!B541,O$3*M541*N542)</f>
        <v>4.5926300142072177E-2</v>
      </c>
      <c r="P542" s="14"/>
      <c r="Q542" s="9">
        <f ca="1">Q541-T542*Prices!B542</f>
        <v>0.52782022670015505</v>
      </c>
      <c r="R542" s="1">
        <f t="shared" ca="1" si="51"/>
        <v>0.35551603572659374</v>
      </c>
      <c r="S542" s="9">
        <f ca="1">IF(Prices!C541&lt;OFFSET(Prices!C541,-S$3,0),1,IF(Prices!C541&gt;OFFSET(Prices!C541,-S$3,0),-1,0))</f>
        <v>-1</v>
      </c>
      <c r="T542" s="1">
        <f ca="1">IF(S542=1,T$3*Q541/Prices!B541,T$3*R541*S542)</f>
        <v>-7.2554293005427295E-3</v>
      </c>
    </row>
    <row r="543" spans="1:20" x14ac:dyDescent="0.2">
      <c r="A543" s="4">
        <v>34267</v>
      </c>
      <c r="B543" s="9">
        <f ca="1">Prices!B542*(1+J543/(50*(ABS(O543)+ABS(T543)+0.0001)))</f>
        <v>1.1789239472934816</v>
      </c>
      <c r="C543" s="13">
        <f t="shared" ca="1" si="46"/>
        <v>1</v>
      </c>
      <c r="D543" s="9">
        <f ca="1">D542+C543*(Prices!B543-Prices!B542)/Prices!B542</f>
        <v>-0.53023533790628397</v>
      </c>
      <c r="E543" s="9">
        <f t="shared" ca="1" si="47"/>
        <v>0.56635928916503031</v>
      </c>
      <c r="F543" s="9">
        <f t="shared" ca="1" si="48"/>
        <v>3.6123951258746317E-2</v>
      </c>
      <c r="G543" s="13">
        <f ca="1">IF((Prices!B543-Prices!B542)*B543&gt;0,1,0)</f>
        <v>0</v>
      </c>
      <c r="H543" s="9">
        <f>ABS(Prices!B543-Prices!B542)/Prices!B542</f>
        <v>4.3010752688186403E-4</v>
      </c>
      <c r="I543" s="13"/>
      <c r="J543" s="1">
        <f t="shared" ca="1" si="49"/>
        <v>3.4456437732333707E-2</v>
      </c>
      <c r="K543" s="9"/>
      <c r="L543" s="9">
        <f ca="1">L542-O543*Prices!B543</f>
        <v>0.4349129936295546</v>
      </c>
      <c r="M543" s="1">
        <f t="shared" ca="1" si="50"/>
        <v>0.47017070645543746</v>
      </c>
      <c r="N543" s="9">
        <f ca="1">IF(Prices!D542&gt;OFFSET(Prices!D542,-$N$3,0),1,IF(Prices!D542&lt;OFFSET(Prices!D542,-$N$3,0),-1,0))</f>
        <v>1</v>
      </c>
      <c r="O543" s="1">
        <f ca="1">IF(N543=1,O$3*L542/Prices!B542,O$3*M542*N543)</f>
        <v>4.1566758446865582E-2</v>
      </c>
      <c r="P543" s="14"/>
      <c r="Q543" s="9">
        <f ca="1">Q542-T543*Prices!B543</f>
        <v>0.5360824193704411</v>
      </c>
      <c r="R543" s="1">
        <f t="shared" ca="1" si="51"/>
        <v>0.34840571501206186</v>
      </c>
      <c r="S543" s="9">
        <f ca="1">IF(Prices!C542&lt;OFFSET(Prices!C542,-S$3,0),1,IF(Prices!C542&gt;OFFSET(Prices!C542,-S$3,0),-1,0))</f>
        <v>-1</v>
      </c>
      <c r="T543" s="1">
        <f ca="1">IF(S543=1,T$3*Q542/Prices!B542,T$3*R542*S543)</f>
        <v>-7.1103207145318745E-3</v>
      </c>
    </row>
    <row r="544" spans="1:20" x14ac:dyDescent="0.2">
      <c r="A544" s="4">
        <v>34268</v>
      </c>
      <c r="B544" s="9">
        <f ca="1">Prices!B543*(1+J544/(50*(ABS(O544)+ABS(T544)+0.0001)))</f>
        <v>1.1779089737082151</v>
      </c>
      <c r="C544" s="13">
        <f t="shared" ca="1" si="46"/>
        <v>1</v>
      </c>
      <c r="D544" s="9">
        <f ca="1">D543+C544*(Prices!B544-Prices!B543)/Prices!B543</f>
        <v>-0.53548490761368495</v>
      </c>
      <c r="E544" s="9">
        <f t="shared" ca="1" si="47"/>
        <v>0.57160885887243129</v>
      </c>
      <c r="F544" s="9">
        <f t="shared" ca="1" si="48"/>
        <v>3.6123951258746317E-2</v>
      </c>
      <c r="G544" s="13">
        <f ca="1">IF((Prices!B544-Prices!B543)*B544&gt;0,1,0)</f>
        <v>0</v>
      </c>
      <c r="H544" s="9">
        <f>ABS(Prices!B544-Prices!B543)/Prices!B543</f>
        <v>5.2495697074010283E-3</v>
      </c>
      <c r="I544" s="13"/>
      <c r="J544" s="1">
        <f t="shared" ca="1" si="49"/>
        <v>3.0459854170460536E-2</v>
      </c>
      <c r="K544" s="9"/>
      <c r="L544" s="9">
        <f ca="1">L543-O544*Prices!B544</f>
        <v>0.39165000487427043</v>
      </c>
      <c r="M544" s="1">
        <f t="shared" ca="1" si="50"/>
        <v>0.50759867492613919</v>
      </c>
      <c r="N544" s="9">
        <f ca="1">IF(Prices!D543&gt;OFFSET(Prices!D543,-$N$3,0),1,IF(Prices!D543&lt;OFFSET(Prices!D543,-$N$3,0),-1,0))</f>
        <v>1</v>
      </c>
      <c r="O544" s="1">
        <f ca="1">IF(N544=1,O$3*L543/Prices!B543,O$3*M543*N544)</f>
        <v>3.7427968470701775E-2</v>
      </c>
      <c r="P544" s="14"/>
      <c r="Q544" s="9">
        <f ca="1">Q543-T544*Prices!B544</f>
        <v>0.54413686269008998</v>
      </c>
      <c r="R544" s="1">
        <f t="shared" ca="1" si="51"/>
        <v>0.34143760071182061</v>
      </c>
      <c r="S544" s="9">
        <f ca="1">IF(Prices!C543&lt;OFFSET(Prices!C543,-S$3,0),1,IF(Prices!C543&gt;OFFSET(Prices!C543,-S$3,0),-1,0))</f>
        <v>-1</v>
      </c>
      <c r="T544" s="1">
        <f ca="1">IF(S544=1,T$3*Q543/Prices!B543,T$3*R543*S544)</f>
        <v>-6.9681143002412373E-3</v>
      </c>
    </row>
    <row r="545" spans="1:20" x14ac:dyDescent="0.2">
      <c r="A545" s="4">
        <v>34269</v>
      </c>
      <c r="B545" s="9">
        <f ca="1">Prices!B544*(1+J545/(50*(ABS(O545)+ABS(T545)+0.0001)))</f>
        <v>1.1712249407893913</v>
      </c>
      <c r="C545" s="13">
        <f t="shared" ca="1" si="46"/>
        <v>1</v>
      </c>
      <c r="D545" s="9">
        <f ca="1">D544+C545*(Prices!B545-Prices!B544)/Prices!B544</f>
        <v>-0.53617700900653897</v>
      </c>
      <c r="E545" s="9">
        <f t="shared" ca="1" si="47"/>
        <v>0.57230096026528532</v>
      </c>
      <c r="F545" s="9">
        <f t="shared" ca="1" si="48"/>
        <v>3.6123951258746317E-2</v>
      </c>
      <c r="G545" s="13">
        <f ca="1">IF((Prices!B545-Prices!B544)*B545&gt;0,1,0)</f>
        <v>0</v>
      </c>
      <c r="H545" s="9">
        <f>ABS(Prices!B545-Prices!B544)/Prices!B544</f>
        <v>6.9210139285397698E-4</v>
      </c>
      <c r="I545" s="13"/>
      <c r="J545" s="1">
        <f t="shared" ca="1" si="49"/>
        <v>2.7053937221361006E-2</v>
      </c>
      <c r="K545" s="9"/>
      <c r="L545" s="9">
        <f ca="1">L544-O545*Prices!B545</f>
        <v>0.35251211053823184</v>
      </c>
      <c r="M545" s="1">
        <f t="shared" ca="1" si="50"/>
        <v>0.54148136416173664</v>
      </c>
      <c r="N545" s="9">
        <f ca="1">IF(Prices!D544&gt;OFFSET(Prices!D544,-$N$3,0),1,IF(Prices!D544&lt;OFFSET(Prices!D544,-$N$3,0),-1,0))</f>
        <v>1</v>
      </c>
      <c r="O545" s="1">
        <f ca="1">IF(N545=1,O$3*L544/Prices!B544,O$3*M544*N545)</f>
        <v>3.3882689235597417E-2</v>
      </c>
      <c r="P545" s="14"/>
      <c r="Q545" s="9">
        <f ca="1">Q544-T545*Prices!B545</f>
        <v>0.55202475414173446</v>
      </c>
      <c r="R545" s="1">
        <f t="shared" ca="1" si="51"/>
        <v>0.33460884869758417</v>
      </c>
      <c r="S545" s="9">
        <f ca="1">IF(Prices!C544&lt;OFFSET(Prices!C544,-S$3,0),1,IF(Prices!C544&gt;OFFSET(Prices!C544,-S$3,0),-1,0))</f>
        <v>-1</v>
      </c>
      <c r="T545" s="1">
        <f ca="1">IF(S545=1,T$3*Q544/Prices!B544,T$3*R544*S545)</f>
        <v>-6.828752014236412E-3</v>
      </c>
    </row>
    <row r="546" spans="1:20" x14ac:dyDescent="0.2">
      <c r="A546" s="4">
        <v>34270</v>
      </c>
      <c r="B546" s="9">
        <f ca="1">Prices!B545*(1+J546/(50*(ABS(O546)+ABS(T546)+0.0001)))</f>
        <v>1.1320359092241488</v>
      </c>
      <c r="C546" s="13">
        <f t="shared" ca="1" si="46"/>
        <v>-1</v>
      </c>
      <c r="D546" s="9">
        <f ca="1">D545+C546*(Prices!B546-Prices!B545)/Prices!B545</f>
        <v>-0.53228124240624464</v>
      </c>
      <c r="E546" s="9">
        <f t="shared" ca="1" si="47"/>
        <v>0.56840519366499098</v>
      </c>
      <c r="F546" s="9">
        <f t="shared" ca="1" si="48"/>
        <v>3.6123951258746317E-2</v>
      </c>
      <c r="G546" s="13">
        <f ca="1">IF((Prices!B546-Prices!B545)*B546&gt;0,1,0)</f>
        <v>0</v>
      </c>
      <c r="H546" s="9">
        <f>ABS(Prices!B546-Prices!B545)/Prices!B545</f>
        <v>3.8957666002943023E-3</v>
      </c>
      <c r="I546" s="13"/>
      <c r="J546" s="1">
        <f t="shared" ca="1" si="49"/>
        <v>-6.0840313390125349E-2</v>
      </c>
      <c r="K546" s="9"/>
      <c r="L546" s="9">
        <f ca="1">L545-O546*Prices!B546</f>
        <v>0.41481495629868126</v>
      </c>
      <c r="M546" s="1">
        <f t="shared" ca="1" si="50"/>
        <v>0.48733322774556298</v>
      </c>
      <c r="N546" s="9">
        <f ca="1">IF(Prices!D545&gt;OFFSET(Prices!D545,-$N$3,0),1,IF(Prices!D545&lt;OFFSET(Prices!D545,-$N$3,0),-1,0))</f>
        <v>-1</v>
      </c>
      <c r="O546" s="1">
        <f ca="1">IF(N546=1,O$3*L545/Prices!B545,O$3*M545*N546)</f>
        <v>-5.4148136416173664E-2</v>
      </c>
      <c r="P546" s="14"/>
      <c r="Q546" s="9">
        <f ca="1">Q545-T546*Prices!B546</f>
        <v>0.5597247729679633</v>
      </c>
      <c r="R546" s="1">
        <f t="shared" ca="1" si="51"/>
        <v>0.32791667172363248</v>
      </c>
      <c r="S546" s="9">
        <f ca="1">IF(Prices!C545&lt;OFFSET(Prices!C545,-S$3,0),1,IF(Prices!C545&gt;OFFSET(Prices!C545,-S$3,0),-1,0))</f>
        <v>-1</v>
      </c>
      <c r="T546" s="1">
        <f ca="1">IF(S546=1,T$3*Q545/Prices!B545,T$3*R545*S546)</f>
        <v>-6.6921769739516834E-3</v>
      </c>
    </row>
    <row r="547" spans="1:20" x14ac:dyDescent="0.2">
      <c r="A547" s="4">
        <v>34271</v>
      </c>
      <c r="B547" s="9">
        <f ca="1">Prices!B546*(1+J547/(50*(ABS(O547)+ABS(T547)+0.0001)))</f>
        <v>1.1276295441631015</v>
      </c>
      <c r="C547" s="13">
        <f t="shared" ca="1" si="46"/>
        <v>-1</v>
      </c>
      <c r="D547" s="9">
        <f ca="1">D546+C547*(Prices!B547-Prices!B546)/Prices!B546</f>
        <v>-0.53784355771999393</v>
      </c>
      <c r="E547" s="9">
        <f t="shared" ca="1" si="47"/>
        <v>0.57396750897874027</v>
      </c>
      <c r="F547" s="9">
        <f t="shared" ca="1" si="48"/>
        <v>3.6123951258746317E-2</v>
      </c>
      <c r="G547" s="13">
        <f ca="1">IF((Prices!B547-Prices!B546)*B547&gt;0,1,0)</f>
        <v>1</v>
      </c>
      <c r="H547" s="9">
        <f>ABS(Prices!B547-Prices!B546)/Prices!B546</f>
        <v>5.5623153137493138E-3</v>
      </c>
      <c r="I547" s="13"/>
      <c r="J547" s="1">
        <f t="shared" ca="1" si="49"/>
        <v>-5.5291656209028955E-2</v>
      </c>
      <c r="K547" s="9"/>
      <c r="L547" s="9">
        <f ca="1">L546-O547*Prices!B547</f>
        <v>0.47119941074884292</v>
      </c>
      <c r="M547" s="1">
        <f t="shared" ca="1" si="50"/>
        <v>0.43859990497100665</v>
      </c>
      <c r="N547" s="9">
        <f ca="1">IF(Prices!D546&gt;OFFSET(Prices!D546,-$N$3,0),1,IF(Prices!D546&lt;OFFSET(Prices!D546,-$N$3,0),-1,0))</f>
        <v>-1</v>
      </c>
      <c r="O547" s="1">
        <f ca="1">IF(N547=1,O$3*L546/Prices!B546,O$3*M546*N547)</f>
        <v>-4.8733322774556304E-2</v>
      </c>
      <c r="P547" s="14"/>
      <c r="Q547" s="9">
        <f ca="1">Q546-T547*Prices!B547</f>
        <v>0.56731276475164816</v>
      </c>
      <c r="R547" s="1">
        <f t="shared" ca="1" si="51"/>
        <v>0.32135833828915983</v>
      </c>
      <c r="S547" s="9">
        <f ca="1">IF(Prices!C546&lt;OFFSET(Prices!C546,-S$3,0),1,IF(Prices!C546&gt;OFFSET(Prices!C546,-S$3,0),-1,0))</f>
        <v>-1</v>
      </c>
      <c r="T547" s="1">
        <f ca="1">IF(S547=1,T$3*Q546/Prices!B546,T$3*R546*S547)</f>
        <v>-6.5583334344726501E-3</v>
      </c>
    </row>
    <row r="548" spans="1:20" x14ac:dyDescent="0.2">
      <c r="A548" s="4">
        <v>34274</v>
      </c>
      <c r="B548" s="9">
        <f ca="1">Prices!B547*(1+J548/(50*(ABS(O548)+ABS(T548)+0.0001)))</f>
        <v>1.1339059244006946</v>
      </c>
      <c r="C548" s="13">
        <f t="shared" ca="1" si="46"/>
        <v>-1</v>
      </c>
      <c r="D548" s="9">
        <f ca="1">D547+C548*(Prices!B548-Prices!B547)/Prices!B547</f>
        <v>-0.5260890201227596</v>
      </c>
      <c r="E548" s="9">
        <f t="shared" ca="1" si="47"/>
        <v>0.56221297138150594</v>
      </c>
      <c r="F548" s="9">
        <f t="shared" ca="1" si="48"/>
        <v>3.6123951258746317E-2</v>
      </c>
      <c r="G548" s="13">
        <f ca="1">IF((Prices!B548-Prices!B547)*B548&gt;0,1,0)</f>
        <v>0</v>
      </c>
      <c r="H548" s="9">
        <f>ABS(Prices!B548-Prices!B547)/Prices!B547</f>
        <v>1.1754537597234275E-2</v>
      </c>
      <c r="I548" s="13"/>
      <c r="J548" s="1">
        <f t="shared" ca="1" si="49"/>
        <v>-5.0287157262883866E-2</v>
      </c>
      <c r="K548" s="9"/>
      <c r="L548" s="9">
        <f ca="1">L547-O548*Prices!B548</f>
        <v>0.52134892388322784</v>
      </c>
      <c r="M548" s="1">
        <f t="shared" ca="1" si="50"/>
        <v>0.394739914473906</v>
      </c>
      <c r="N548" s="9">
        <f ca="1">IF(Prices!D547&gt;OFFSET(Prices!D547,-$N$3,0),1,IF(Prices!D547&lt;OFFSET(Prices!D547,-$N$3,0),-1,0))</f>
        <v>-1</v>
      </c>
      <c r="O548" s="1">
        <f ca="1">IF(N548=1,O$3*L547/Prices!B547,O$3*M547*N548)</f>
        <v>-4.3859990497100668E-2</v>
      </c>
      <c r="P548" s="14"/>
      <c r="Q548" s="9">
        <f ca="1">Q547-T548*Prices!B548</f>
        <v>0.57466158723164462</v>
      </c>
      <c r="R548" s="1">
        <f t="shared" ca="1" si="51"/>
        <v>0.31493117152337663</v>
      </c>
      <c r="S548" s="9">
        <f ca="1">IF(Prices!C547&lt;OFFSET(Prices!C547,-S$3,0),1,IF(Prices!C547&gt;OFFSET(Prices!C547,-S$3,0),-1,0))</f>
        <v>-1</v>
      </c>
      <c r="T548" s="1">
        <f ca="1">IF(S548=1,T$3*Q547/Prices!B547,T$3*R547*S548)</f>
        <v>-6.4271667657831971E-3</v>
      </c>
    </row>
    <row r="549" spans="1:20" x14ac:dyDescent="0.2">
      <c r="A549" s="4">
        <v>34275</v>
      </c>
      <c r="B549" s="9">
        <f ca="1">Prices!B548*(1+J549/(50*(ABS(O549)+ABS(T549)+0.0001)))</f>
        <v>1.1662269798236455</v>
      </c>
      <c r="C549" s="13">
        <f t="shared" ca="1" si="46"/>
        <v>1</v>
      </c>
      <c r="D549" s="9">
        <f ca="1">D548+C549*(Prices!B549-Prices!B548)/Prices!B548</f>
        <v>-0.52320289103407669</v>
      </c>
      <c r="E549" s="9">
        <f t="shared" ca="1" si="47"/>
        <v>0.55932684229282303</v>
      </c>
      <c r="F549" s="9">
        <f t="shared" ca="1" si="48"/>
        <v>3.6123951258746317E-2</v>
      </c>
      <c r="G549" s="13">
        <f ca="1">IF((Prices!B549-Prices!B548)*B549&gt;0,1,0)</f>
        <v>1</v>
      </c>
      <c r="H549" s="9">
        <f>ABS(Prices!B549-Prices!B548)/Prices!B548</f>
        <v>2.8861290886829463E-3</v>
      </c>
      <c r="I549" s="13"/>
      <c r="J549" s="1">
        <f t="shared" ca="1" si="49"/>
        <v>5.5648175732863112E-2</v>
      </c>
      <c r="K549" s="9"/>
      <c r="L549" s="9">
        <f ca="1">L548-O549*Prices!B549</f>
        <v>0.46906356346544775</v>
      </c>
      <c r="M549" s="1">
        <f t="shared" ca="1" si="50"/>
        <v>0.44033628703672112</v>
      </c>
      <c r="N549" s="9">
        <f ca="1">IF(Prices!D548&gt;OFFSET(Prices!D548,-$N$3,0),1,IF(Prices!D548&lt;OFFSET(Prices!D548,-$N$3,0),-1,0))</f>
        <v>1</v>
      </c>
      <c r="O549" s="1">
        <f ca="1">IF(N549=1,O$3*L548/Prices!B548,O$3*M548*N549)</f>
        <v>4.5596372562815103E-2</v>
      </c>
      <c r="P549" s="14"/>
      <c r="Q549" s="9">
        <f ca="1">Q548-T549*Prices!B549</f>
        <v>0.56313518453655054</v>
      </c>
      <c r="R549" s="1">
        <f t="shared" ca="1" si="51"/>
        <v>0.32498297469342463</v>
      </c>
      <c r="S549" s="9">
        <f ca="1">IF(Prices!C548&lt;OFFSET(Prices!C548,-S$3,0),1,IF(Prices!C548&gt;OFFSET(Prices!C548,-S$3,0),-1,0))</f>
        <v>1</v>
      </c>
      <c r="T549" s="1">
        <f ca="1">IF(S549=1,T$3*Q548/Prices!B548,T$3*R548*S549)</f>
        <v>1.0051803170048008E-2</v>
      </c>
    </row>
    <row r="550" spans="1:20" x14ac:dyDescent="0.2">
      <c r="A550" s="4">
        <v>34276</v>
      </c>
      <c r="B550" s="9">
        <f ca="1">Prices!B549*(1+J550/(50*(ABS(O550)+ABS(T550)+0.0001)))</f>
        <v>1.169588878629451</v>
      </c>
      <c r="C550" s="13">
        <f t="shared" ca="1" si="46"/>
        <v>1</v>
      </c>
      <c r="D550" s="9">
        <f ca="1">D549+C550*(Prices!B550-Prices!B549)/Prices!B549</f>
        <v>-0.52198199629264486</v>
      </c>
      <c r="E550" s="9">
        <f t="shared" ca="1" si="47"/>
        <v>0.5581059475513912</v>
      </c>
      <c r="F550" s="9">
        <f t="shared" ca="1" si="48"/>
        <v>3.6123951258746317E-2</v>
      </c>
      <c r="G550" s="13">
        <f ca="1">IF((Prices!B550-Prices!B549)*B550&gt;0,1,0)</f>
        <v>1</v>
      </c>
      <c r="H550" s="9">
        <f>ABS(Prices!B550-Prices!B549)/Prices!B549</f>
        <v>1.2208947414318006E-3</v>
      </c>
      <c r="I550" s="13"/>
      <c r="J550" s="1">
        <f t="shared" ca="1" si="49"/>
        <v>5.0727356795391809E-2</v>
      </c>
      <c r="K550" s="9"/>
      <c r="L550" s="9">
        <f ca="1">L549-O550*Prices!B550</f>
        <v>0.42209993939509977</v>
      </c>
      <c r="M550" s="1">
        <f t="shared" ca="1" si="50"/>
        <v>0.48124180403902755</v>
      </c>
      <c r="N550" s="9">
        <f ca="1">IF(Prices!D549&gt;OFFSET(Prices!D549,-$N$3,0),1,IF(Prices!D549&lt;OFFSET(Prices!D549,-$N$3,0),-1,0))</f>
        <v>1</v>
      </c>
      <c r="O550" s="1">
        <f ca="1">IF(N550=1,O$3*L549/Prices!B549,O$3*M549*N550)</f>
        <v>4.0905517002306421E-2</v>
      </c>
      <c r="P550" s="14"/>
      <c r="Q550" s="9">
        <f ca="1">Q549-T550*Prices!B550</f>
        <v>0.55185873027010923</v>
      </c>
      <c r="R550" s="1">
        <f t="shared" ca="1" si="51"/>
        <v>0.33480481448651001</v>
      </c>
      <c r="S550" s="9">
        <f ca="1">IF(Prices!C549&lt;OFFSET(Prices!C549,-S$3,0),1,IF(Prices!C549&gt;OFFSET(Prices!C549,-S$3,0),-1,0))</f>
        <v>1</v>
      </c>
      <c r="T550" s="1">
        <f ca="1">IF(S550=1,T$3*Q549/Prices!B549,T$3*R549*S550)</f>
        <v>9.8218397930853844E-3</v>
      </c>
    </row>
    <row r="551" spans="1:20" x14ac:dyDescent="0.2">
      <c r="A551" s="4">
        <v>34277</v>
      </c>
      <c r="B551" s="9">
        <f ca="1">Prices!B550*(1+J551/(50*(ABS(O551)+ABS(T551)+0.0001)))</f>
        <v>1.1710125965241192</v>
      </c>
      <c r="C551" s="13">
        <f t="shared" ca="1" si="46"/>
        <v>1</v>
      </c>
      <c r="D551" s="9">
        <f ca="1">D550+C551*(Prices!B551-Prices!B550)/Prices!B550</f>
        <v>-0.5225045988533974</v>
      </c>
      <c r="E551" s="9">
        <f t="shared" ca="1" si="47"/>
        <v>0.55862855011214374</v>
      </c>
      <c r="F551" s="9">
        <f t="shared" ca="1" si="48"/>
        <v>3.6123951258746317E-2</v>
      </c>
      <c r="G551" s="13">
        <f ca="1">IF((Prices!B551-Prices!B550)*B551&gt;0,1,0)</f>
        <v>0</v>
      </c>
      <c r="H551" s="9">
        <f>ABS(Prices!B551-Prices!B550)/Prices!B550</f>
        <v>5.2260256075249017E-4</v>
      </c>
      <c r="I551" s="13"/>
      <c r="J551" s="1">
        <f t="shared" ca="1" si="49"/>
        <v>4.6378511057322679E-2</v>
      </c>
      <c r="K551" s="9"/>
      <c r="L551" s="9">
        <f ca="1">L550-O551*Prices!B551</f>
        <v>0.37991200450651191</v>
      </c>
      <c r="M551" s="1">
        <f t="shared" ca="1" si="50"/>
        <v>0.51800688890925661</v>
      </c>
      <c r="N551" s="9">
        <f ca="1">IF(Prices!D550&gt;OFFSET(Prices!D550,-$N$3,0),1,IF(Prices!D550&lt;OFFSET(Prices!D550,-$N$3,0),-1,0))</f>
        <v>1</v>
      </c>
      <c r="O551" s="1">
        <f ca="1">IF(N551=1,O$3*L550/Prices!B550,O$3*M550*N551)</f>
        <v>3.6765084870229059E-2</v>
      </c>
      <c r="P551" s="14"/>
      <c r="Q551" s="9">
        <f ca="1">Q550-T551*Prices!B551</f>
        <v>0.54082732372041931</v>
      </c>
      <c r="R551" s="1">
        <f t="shared" ca="1" si="51"/>
        <v>0.3444182406736036</v>
      </c>
      <c r="S551" s="9">
        <f ca="1">IF(Prices!C550&lt;OFFSET(Prices!C550,-S$3,0),1,IF(Prices!C550&gt;OFFSET(Prices!C550,-S$3,0),-1,0))</f>
        <v>1</v>
      </c>
      <c r="T551" s="1">
        <f ca="1">IF(S551=1,T$3*Q550/Prices!B550,T$3*R550*S551)</f>
        <v>9.6134261870936214E-3</v>
      </c>
    </row>
    <row r="552" spans="1:20" x14ac:dyDescent="0.2">
      <c r="A552" s="4">
        <v>34278</v>
      </c>
      <c r="B552" s="9">
        <f ca="1">Prices!B551*(1+J552/(50*(ABS(O552)+ABS(T552)+0.0001)))</f>
        <v>1.1703961697038066</v>
      </c>
      <c r="C552" s="13">
        <f t="shared" ref="C552:C615" ca="1" si="52">IF(J552&gt;0,1,IF(J552&lt;0,-1,0))</f>
        <v>1</v>
      </c>
      <c r="D552" s="9">
        <f ca="1">D551+C552*(Prices!B552-Prices!B551)/Prices!B551</f>
        <v>-0.52468324809087008</v>
      </c>
      <c r="E552" s="9">
        <f t="shared" ref="E552:E615" ca="1" si="53">F552-D552</f>
        <v>0.56080719934961643</v>
      </c>
      <c r="F552" s="9">
        <f t="shared" ref="F552:F615" ca="1" si="54">MAX(F551,D552)</f>
        <v>3.6123951258746317E-2</v>
      </c>
      <c r="G552" s="13">
        <f ca="1">IF((Prices!B552-Prices!B551)*B552&gt;0,1,0)</f>
        <v>0</v>
      </c>
      <c r="H552" s="9">
        <f>ABS(Prices!B552-Prices!B551)/Prices!B551</f>
        <v>2.1786492374727207E-3</v>
      </c>
      <c r="I552" s="13"/>
      <c r="J552" s="1">
        <f t="shared" ref="J552:J615" ca="1" si="55">O552+T552</f>
        <v>4.2533984248417936E-2</v>
      </c>
      <c r="K552" s="9"/>
      <c r="L552" s="9">
        <f ca="1">L551-O552*Prices!B552</f>
        <v>0.34200357355575323</v>
      </c>
      <c r="M552" s="1">
        <f t="shared" ca="1" si="50"/>
        <v>0.55111468886625115</v>
      </c>
      <c r="N552" s="9">
        <f ca="1">IF(Prices!D551&gt;OFFSET(Prices!D551,-$N$3,0),1,IF(Prices!D551&lt;OFFSET(Prices!D551,-$N$3,0),-1,0))</f>
        <v>1</v>
      </c>
      <c r="O552" s="1">
        <f ca="1">IF(N552=1,O$3*L551/Prices!B551,O$3*M551*N552)</f>
        <v>3.3107799956994505E-2</v>
      </c>
      <c r="P552" s="14"/>
      <c r="Q552" s="9">
        <f ca="1">Q551-T552*Prices!B552</f>
        <v>0.53003434270673944</v>
      </c>
      <c r="R552" s="1">
        <f t="shared" ca="1" si="51"/>
        <v>0.35384442496502705</v>
      </c>
      <c r="S552" s="9">
        <f ca="1">IF(Prices!C551&lt;OFFSET(Prices!C551,-S$3,0),1,IF(Prices!C551&gt;OFFSET(Prices!C551,-S$3,0),-1,0))</f>
        <v>1</v>
      </c>
      <c r="T552" s="1">
        <f ca="1">IF(S552=1,T$3*Q551/Prices!B551,T$3*R551*S552)</f>
        <v>9.4261842914234294E-3</v>
      </c>
    </row>
    <row r="553" spans="1:20" x14ac:dyDescent="0.2">
      <c r="A553" s="4">
        <v>34281</v>
      </c>
      <c r="B553" s="9">
        <f ca="1">Prices!B552*(1+J553/(50*(ABS(O553)+ABS(T553)+0.0001)))</f>
        <v>1.1590890686101416</v>
      </c>
      <c r="C553" s="13">
        <f t="shared" ca="1" si="52"/>
        <v>1</v>
      </c>
      <c r="D553" s="9">
        <f ca="1">D552+C553*(Prices!B553-Prices!B552)/Prices!B552</f>
        <v>-0.5158622873921801</v>
      </c>
      <c r="E553" s="9">
        <f t="shared" ca="1" si="53"/>
        <v>0.55198623865092644</v>
      </c>
      <c r="F553" s="9">
        <f t="shared" ca="1" si="54"/>
        <v>3.6123951258746317E-2</v>
      </c>
      <c r="G553" s="13">
        <f ca="1">IF((Prices!B553-Prices!B552)*B553&gt;0,1,0)</f>
        <v>1</v>
      </c>
      <c r="H553" s="9">
        <f>ABS(Prices!B553-Prices!B552)/Prices!B552</f>
        <v>8.8209606986899541E-3</v>
      </c>
      <c r="I553" s="13"/>
      <c r="J553" s="1">
        <f t="shared" ca="1" si="55"/>
        <v>2.2792419234826382E-2</v>
      </c>
      <c r="K553" s="9"/>
      <c r="L553" s="9">
        <f ca="1">L552-O553*Prices!B553</f>
        <v>0.30750153619206322</v>
      </c>
      <c r="M553" s="1">
        <f t="shared" ca="1" si="50"/>
        <v>0.58098399660037803</v>
      </c>
      <c r="N553" s="9">
        <f ca="1">IF(Prices!D552&gt;OFFSET(Prices!D552,-$N$3,0),1,IF(Prices!D552&lt;OFFSET(Prices!D552,-$N$3,0),-1,0))</f>
        <v>1</v>
      </c>
      <c r="O553" s="1">
        <f ca="1">IF(N553=1,O$3*L552/Prices!B552,O$3*M552*N553)</f>
        <v>2.9869307734126924E-2</v>
      </c>
      <c r="P553" s="14"/>
      <c r="Q553" s="9">
        <f ca="1">Q552-T553*Prices!B553</f>
        <v>0.53820885661228146</v>
      </c>
      <c r="R553" s="1">
        <f t="shared" ca="1" si="51"/>
        <v>0.3467675364657265</v>
      </c>
      <c r="S553" s="9">
        <f ca="1">IF(Prices!C552&lt;OFFSET(Prices!C552,-S$3,0),1,IF(Prices!C552&gt;OFFSET(Prices!C552,-S$3,0),-1,0))</f>
        <v>-1</v>
      </c>
      <c r="T553" s="1">
        <f ca="1">IF(S553=1,T$3*Q552/Prices!B552,T$3*R552*S553)</f>
        <v>-7.0768884993005409E-3</v>
      </c>
    </row>
    <row r="554" spans="1:20" x14ac:dyDescent="0.2">
      <c r="A554" s="4">
        <v>34282</v>
      </c>
      <c r="B554" s="9">
        <f ca="1">Prices!B553*(1+J554/(50*(ABS(O554)+ABS(T554)+0.0001)))</f>
        <v>1.1781378990576994</v>
      </c>
      <c r="C554" s="13">
        <f t="shared" ca="1" si="52"/>
        <v>1</v>
      </c>
      <c r="D554" s="9">
        <f ca="1">D553+C554*(Prices!B554-Prices!B553)/Prices!B553</f>
        <v>-0.52374039318388654</v>
      </c>
      <c r="E554" s="9">
        <f t="shared" ca="1" si="53"/>
        <v>0.55986434444263289</v>
      </c>
      <c r="F554" s="9">
        <f t="shared" ca="1" si="54"/>
        <v>3.6123951258746317E-2</v>
      </c>
      <c r="G554" s="13">
        <f ca="1">IF((Prices!B554-Prices!B553)*B554&gt;0,1,0)</f>
        <v>0</v>
      </c>
      <c r="H554" s="9">
        <f>ABS(Prices!B554-Prices!B553)/Prices!B553</f>
        <v>7.8781057917064398E-3</v>
      </c>
      <c r="I554" s="13"/>
      <c r="J554" s="1">
        <f t="shared" ca="1" si="55"/>
        <v>3.5940031816684231E-2</v>
      </c>
      <c r="K554" s="9"/>
      <c r="L554" s="9">
        <f ca="1">L553-O554*Prices!B554</f>
        <v>0.27699363553618023</v>
      </c>
      <c r="M554" s="1">
        <f t="shared" ca="1" si="50"/>
        <v>0.60760520136118346</v>
      </c>
      <c r="N554" s="9">
        <f ca="1">IF(Prices!D553&gt;OFFSET(Prices!D553,-$N$3,0),1,IF(Prices!D553&lt;OFFSET(Prices!D553,-$N$3,0),-1,0))</f>
        <v>1</v>
      </c>
      <c r="O554" s="1">
        <f ca="1">IF(N554=1,O$3*L553/Prices!B553,O$3*M553*N554)</f>
        <v>2.6621204760805404E-2</v>
      </c>
      <c r="P554" s="14"/>
      <c r="Q554" s="9">
        <f ca="1">Q553-T554*Prices!B554</f>
        <v>0.52752948080624429</v>
      </c>
      <c r="R554" s="1">
        <f t="shared" ca="1" si="51"/>
        <v>0.35608636352160533</v>
      </c>
      <c r="S554" s="9">
        <f ca="1">IF(Prices!C553&lt;OFFSET(Prices!C553,-S$3,0),1,IF(Prices!C553&gt;OFFSET(Prices!C553,-S$3,0),-1,0))</f>
        <v>1</v>
      </c>
      <c r="T554" s="1">
        <f ca="1">IF(S554=1,T$3*Q553/Prices!B553,T$3*R553*S554)</f>
        <v>9.3188270558788242E-3</v>
      </c>
    </row>
    <row r="555" spans="1:20" x14ac:dyDescent="0.2">
      <c r="A555" s="4">
        <v>34283</v>
      </c>
      <c r="B555" s="9">
        <f ca="1">Prices!B554*(1+J555/(50*(ABS(O555)+ABS(T555)+0.0001)))</f>
        <v>1.123113714684163</v>
      </c>
      <c r="C555" s="13">
        <f t="shared" ca="1" si="52"/>
        <v>-1</v>
      </c>
      <c r="D555" s="9">
        <f ca="1">D554+C555*(Prices!B555-Prices!B554)/Prices!B554</f>
        <v>-0.5252238137772548</v>
      </c>
      <c r="E555" s="9">
        <f t="shared" ca="1" si="53"/>
        <v>0.56134776503600115</v>
      </c>
      <c r="F555" s="9">
        <f t="shared" ca="1" si="54"/>
        <v>3.6123951258746317E-2</v>
      </c>
      <c r="G555" s="13">
        <f ca="1">IF((Prices!B555-Prices!B554)*B555&gt;0,1,0)</f>
        <v>1</v>
      </c>
      <c r="H555" s="9">
        <f>ABS(Prices!B555-Prices!B554)/Prices!B554</f>
        <v>1.4834205933682678E-3</v>
      </c>
      <c r="I555" s="13"/>
      <c r="J555" s="1">
        <f t="shared" ca="1" si="55"/>
        <v>-6.7882247406550453E-2</v>
      </c>
      <c r="K555" s="9"/>
      <c r="L555" s="9">
        <f ca="1">L554-O555*Prices!B555</f>
        <v>0.34672848449640326</v>
      </c>
      <c r="M555" s="1">
        <f t="shared" ca="1" si="50"/>
        <v>0.54684468122506513</v>
      </c>
      <c r="N555" s="9">
        <f ca="1">IF(Prices!D554&gt;OFFSET(Prices!D554,-$N$3,0),1,IF(Prices!D554&lt;OFFSET(Prices!D554,-$N$3,0),-1,0))</f>
        <v>-1</v>
      </c>
      <c r="O555" s="1">
        <f ca="1">IF(N555=1,O$3*L554/Prices!B554,O$3*M554*N555)</f>
        <v>-6.0760520136118351E-2</v>
      </c>
      <c r="P555" s="14"/>
      <c r="Q555" s="9">
        <f ca="1">Q554-T555*Prices!B555</f>
        <v>0.5357030871945192</v>
      </c>
      <c r="R555" s="1">
        <f t="shared" ca="1" si="51"/>
        <v>0.34896463625117324</v>
      </c>
      <c r="S555" s="9">
        <f ca="1">IF(Prices!C554&lt;OFFSET(Prices!C554,-S$3,0),1,IF(Prices!C554&gt;OFFSET(Prices!C554,-S$3,0),-1,0))</f>
        <v>-1</v>
      </c>
      <c r="T555" s="1">
        <f ca="1">IF(S555=1,T$3*Q554/Prices!B554,T$3*R554*S555)</f>
        <v>-7.1217272704321068E-3</v>
      </c>
    </row>
    <row r="556" spans="1:20" x14ac:dyDescent="0.2">
      <c r="A556" s="4">
        <v>34284</v>
      </c>
      <c r="B556" s="9">
        <f ca="1">Prices!B555*(1+J556/(50*(ABS(O556)+ABS(T556)+0.0001)))</f>
        <v>1.1705961025648108</v>
      </c>
      <c r="C556" s="13">
        <f t="shared" ca="1" si="52"/>
        <v>1</v>
      </c>
      <c r="D556" s="9">
        <f ca="1">D555+C556*(Prices!B556-Prices!B555)/Prices!B555</f>
        <v>-0.52426537516089156</v>
      </c>
      <c r="E556" s="9">
        <f t="shared" ca="1" si="53"/>
        <v>0.5603893264196379</v>
      </c>
      <c r="F556" s="9">
        <f t="shared" ca="1" si="54"/>
        <v>3.6123951258746317E-2</v>
      </c>
      <c r="G556" s="13">
        <f ca="1">IF((Prices!B556-Prices!B555)*B556&gt;0,1,0)</f>
        <v>1</v>
      </c>
      <c r="H556" s="9">
        <f>ABS(Prices!B556-Prices!B555)/Prices!B555</f>
        <v>9.5843861636324911E-4</v>
      </c>
      <c r="I556" s="13"/>
      <c r="J556" s="1">
        <f t="shared" ca="1" si="55"/>
        <v>3.9545970369896932E-2</v>
      </c>
      <c r="K556" s="9"/>
      <c r="L556" s="9">
        <f ca="1">L555-O556*Prices!B556</f>
        <v>0.31202240424986949</v>
      </c>
      <c r="M556" s="1">
        <f t="shared" ca="1" si="50"/>
        <v>0.57705540567364955</v>
      </c>
      <c r="N556" s="9">
        <f ca="1">IF(Prices!D555&gt;OFFSET(Prices!D555,-$N$3,0),1,IF(Prices!D555&lt;OFFSET(Prices!D555,-$N$3,0),-1,0))</f>
        <v>1</v>
      </c>
      <c r="O556" s="1">
        <f ca="1">IF(N556=1,O$3*L555/Prices!B555,O$3*M555*N556)</f>
        <v>3.0210724448584407E-2</v>
      </c>
      <c r="P556" s="14"/>
      <c r="Q556" s="9">
        <f ca="1">Q555-T556*Prices!B556</f>
        <v>0.5249787566801154</v>
      </c>
      <c r="R556" s="1">
        <f t="shared" ca="1" si="51"/>
        <v>0.35829988217248576</v>
      </c>
      <c r="S556" s="9">
        <f ca="1">IF(Prices!C555&lt;OFFSET(Prices!C555,-S$3,0),1,IF(Prices!C555&gt;OFFSET(Prices!C555,-S$3,0),-1,0))</f>
        <v>1</v>
      </c>
      <c r="T556" s="1">
        <f ca="1">IF(S556=1,T$3*Q555/Prices!B555,T$3*R555*S556)</f>
        <v>9.3352459213125252E-3</v>
      </c>
    </row>
    <row r="557" spans="1:20" x14ac:dyDescent="0.2">
      <c r="A557" s="4">
        <v>34285</v>
      </c>
      <c r="B557" s="9">
        <f ca="1">Prices!B556*(1+J557/(50*(ABS(O557)+ABS(T557)+0.0001)))</f>
        <v>1.1717128796877723</v>
      </c>
      <c r="C557" s="13">
        <f t="shared" ca="1" si="52"/>
        <v>1</v>
      </c>
      <c r="D557" s="9">
        <f ca="1">D556+C557*(Prices!B557-Prices!B556)/Prices!B556</f>
        <v>-0.52826955343387205</v>
      </c>
      <c r="E557" s="9">
        <f t="shared" ca="1" si="53"/>
        <v>0.5643935046926184</v>
      </c>
      <c r="F557" s="9">
        <f t="shared" ca="1" si="54"/>
        <v>3.6123951258746317E-2</v>
      </c>
      <c r="G557" s="13">
        <f ca="1">IF((Prices!B557-Prices!B556)*B557&gt;0,1,0)</f>
        <v>0</v>
      </c>
      <c r="H557" s="9">
        <f>ABS(Prices!B557-Prices!B556)/Prices!B556</f>
        <v>4.004178272980447E-3</v>
      </c>
      <c r="I557" s="13"/>
      <c r="J557" s="1">
        <f t="shared" ca="1" si="55"/>
        <v>3.6300326913813769E-2</v>
      </c>
      <c r="K557" s="9"/>
      <c r="L557" s="9">
        <f ca="1">L556-O557*Prices!B557</f>
        <v>0.28094510315806059</v>
      </c>
      <c r="M557" s="1">
        <f t="shared" ca="1" si="50"/>
        <v>0.6042161302775727</v>
      </c>
      <c r="N557" s="9">
        <f ca="1">IF(Prices!D556&gt;OFFSET(Prices!D556,-$N$3,0),1,IF(Prices!D556&lt;OFFSET(Prices!D556,-$N$3,0),-1,0))</f>
        <v>1</v>
      </c>
      <c r="O557" s="1">
        <f ca="1">IF(N557=1,O$3*L556/Prices!B556,O$3*M556*N557)</f>
        <v>2.7160724603923179E-2</v>
      </c>
      <c r="P557" s="14"/>
      <c r="Q557" s="9">
        <f ca="1">Q556-T557*Prices!B557</f>
        <v>0.5145212237171386</v>
      </c>
      <c r="R557" s="1">
        <f t="shared" ca="1" si="51"/>
        <v>0.36743948448237634</v>
      </c>
      <c r="S557" s="9">
        <f ca="1">IF(Prices!C556&lt;OFFSET(Prices!C556,-S$3,0),1,IF(Prices!C556&gt;OFFSET(Prices!C556,-S$3,0),-1,0))</f>
        <v>1</v>
      </c>
      <c r="T557" s="1">
        <f ca="1">IF(S557=1,T$3*Q556/Prices!B556,T$3*R556*S557)</f>
        <v>9.139602309890589E-3</v>
      </c>
    </row>
    <row r="558" spans="1:20" x14ac:dyDescent="0.2">
      <c r="A558" s="4">
        <v>34288</v>
      </c>
      <c r="B558" s="9">
        <f ca="1">Prices!B557*(1+J558/(50*(ABS(O558)+ABS(T558)+0.0001)))</f>
        <v>1.1272701736967023</v>
      </c>
      <c r="C558" s="13">
        <f t="shared" ca="1" si="52"/>
        <v>-1</v>
      </c>
      <c r="D558" s="9">
        <f ca="1">D557+C558*(Prices!B558-Prices!B557)/Prices!B557</f>
        <v>-0.53412517308078689</v>
      </c>
      <c r="E558" s="9">
        <f t="shared" ca="1" si="53"/>
        <v>0.57024912433953323</v>
      </c>
      <c r="F558" s="9">
        <f t="shared" ca="1" si="54"/>
        <v>3.6123951258746317E-2</v>
      </c>
      <c r="G558" s="13">
        <f ca="1">IF((Prices!B558-Prices!B557)*B558&gt;0,1,0)</f>
        <v>1</v>
      </c>
      <c r="H558" s="9">
        <f>ABS(Prices!B558-Prices!B557)/Prices!B557</f>
        <v>5.8556196469148119E-3</v>
      </c>
      <c r="I558" s="13"/>
      <c r="J558" s="1">
        <f t="shared" ca="1" si="55"/>
        <v>-5.1428059038644558E-2</v>
      </c>
      <c r="K558" s="9"/>
      <c r="L558" s="9">
        <f ca="1">L557-O558*Prices!B558</f>
        <v>0.35048433759170644</v>
      </c>
      <c r="M558" s="1">
        <f t="shared" ca="1" si="50"/>
        <v>0.54379451724981542</v>
      </c>
      <c r="N558" s="9">
        <f ca="1">IF(Prices!D557&gt;OFFSET(Prices!D557,-$N$3,0),1,IF(Prices!D557&lt;OFFSET(Prices!D557,-$N$3,0),-1,0))</f>
        <v>-1</v>
      </c>
      <c r="O558" s="1">
        <f ca="1">IF(N558=1,O$3*L557/Prices!B557,O$3*M557*N558)</f>
        <v>-6.0421613027757275E-2</v>
      </c>
      <c r="P558" s="14"/>
      <c r="Q558" s="9">
        <f ca="1">Q557-T558*Prices!B558</f>
        <v>0.50417054243106874</v>
      </c>
      <c r="R558" s="1">
        <f t="shared" ca="1" si="51"/>
        <v>0.37643303847148907</v>
      </c>
      <c r="S558" s="9">
        <f ca="1">IF(Prices!C557&lt;OFFSET(Prices!C557,-S$3,0),1,IF(Prices!C557&gt;OFFSET(Prices!C557,-S$3,0),-1,0))</f>
        <v>1</v>
      </c>
      <c r="T558" s="1">
        <f ca="1">IF(S558=1,T$3*Q557/Prices!B557,T$3*R557*S558)</f>
        <v>8.9935539891127184E-3</v>
      </c>
    </row>
    <row r="559" spans="1:20" x14ac:dyDescent="0.2">
      <c r="A559" s="4">
        <v>34289</v>
      </c>
      <c r="B559" s="9">
        <f ca="1">Prices!B558*(1+J559/(50*(ABS(O559)+ABS(T559)+0.0001)))</f>
        <v>1.1342961878757387</v>
      </c>
      <c r="C559" s="13">
        <f t="shared" ca="1" si="52"/>
        <v>-1</v>
      </c>
      <c r="D559" s="9">
        <f ca="1">D558+C559*(Prices!B559-Prices!B558)/Prices!B558</f>
        <v>-0.52986763550150096</v>
      </c>
      <c r="E559" s="9">
        <f t="shared" ca="1" si="53"/>
        <v>0.5659915867602473</v>
      </c>
      <c r="F559" s="9">
        <f t="shared" ca="1" si="54"/>
        <v>3.6123951258746317E-2</v>
      </c>
      <c r="G559" s="13">
        <f ca="1">IF((Prices!B559-Prices!B558)*B559&gt;0,1,0)</f>
        <v>0</v>
      </c>
      <c r="H559" s="9">
        <f>ABS(Prices!B559-Prices!B558)/Prices!B558</f>
        <v>4.2575375792858862E-3</v>
      </c>
      <c r="I559" s="13"/>
      <c r="J559" s="1">
        <f t="shared" ca="1" si="55"/>
        <v>-4.5618125068780851E-2</v>
      </c>
      <c r="K559" s="9"/>
      <c r="L559" s="9">
        <f ca="1">L558-O559*Prices!B559</f>
        <v>0.41280318926853526</v>
      </c>
      <c r="M559" s="1">
        <f t="shared" ca="1" si="50"/>
        <v>0.48941506552483388</v>
      </c>
      <c r="N559" s="9">
        <f ca="1">IF(Prices!D558&gt;OFFSET(Prices!D558,-$N$3,0),1,IF(Prices!D558&lt;OFFSET(Prices!D558,-$N$3,0),-1,0))</f>
        <v>-1</v>
      </c>
      <c r="O559" s="1">
        <f ca="1">IF(N559=1,O$3*L558/Prices!B558,O$3*M558*N559)</f>
        <v>-5.4379451724981542E-2</v>
      </c>
      <c r="P559" s="14"/>
      <c r="Q559" s="9">
        <f ca="1">Q558-T559*Prices!B559</f>
        <v>0.49413006208306276</v>
      </c>
      <c r="R559" s="1">
        <f t="shared" ca="1" si="51"/>
        <v>0.38519436512768979</v>
      </c>
      <c r="S559" s="9">
        <f ca="1">IF(Prices!C558&lt;OFFSET(Prices!C558,-S$3,0),1,IF(Prices!C558&gt;OFFSET(Prices!C558,-S$3,0),-1,0))</f>
        <v>1</v>
      </c>
      <c r="T559" s="1">
        <f ca="1">IF(S559=1,T$3*Q558/Prices!B558,T$3*R558*S559)</f>
        <v>8.7613266562006908E-3</v>
      </c>
    </row>
    <row r="560" spans="1:20" x14ac:dyDescent="0.2">
      <c r="A560" s="4">
        <v>34290</v>
      </c>
      <c r="B560" s="9">
        <f ca="1">Prices!B559*(1+J560/(50*(ABS(O560)+ABS(T560)+0.0001)))</f>
        <v>1.1299749203481824</v>
      </c>
      <c r="C560" s="13">
        <f t="shared" ca="1" si="52"/>
        <v>-1</v>
      </c>
      <c r="D560" s="9">
        <f ca="1">D559+C560*(Prices!B560-Prices!B559)/Prices!B559</f>
        <v>-0.5254173737213963</v>
      </c>
      <c r="E560" s="9">
        <f t="shared" ca="1" si="53"/>
        <v>0.56154132498014264</v>
      </c>
      <c r="F560" s="9">
        <f t="shared" ca="1" si="54"/>
        <v>3.6123951258746317E-2</v>
      </c>
      <c r="G560" s="13">
        <f ca="1">IF((Prices!B560-Prices!B559)*B560&gt;0,1,0)</f>
        <v>0</v>
      </c>
      <c r="H560" s="9">
        <f>ABS(Prices!B560-Prices!B559)/Prices!B559</f>
        <v>4.4502617801046099E-3</v>
      </c>
      <c r="I560" s="13"/>
      <c r="J560" s="1">
        <f t="shared" ca="1" si="55"/>
        <v>-4.0317945259585257E-2</v>
      </c>
      <c r="K560" s="9"/>
      <c r="L560" s="9">
        <f ca="1">L559-O560*Prices!B560</f>
        <v>0.46864055409426358</v>
      </c>
      <c r="M560" s="1">
        <f t="shared" ca="1" si="50"/>
        <v>0.44047355897235052</v>
      </c>
      <c r="N560" s="9">
        <f ca="1">IF(Prices!D559&gt;OFFSET(Prices!D559,-$N$3,0),1,IF(Prices!D559&lt;OFFSET(Prices!D559,-$N$3,0),-1,0))</f>
        <v>-1</v>
      </c>
      <c r="O560" s="1">
        <f ca="1">IF(N560=1,O$3*L559/Prices!B559,O$3*M559*N560)</f>
        <v>-4.8941506552483388E-2</v>
      </c>
      <c r="P560" s="14"/>
      <c r="Q560" s="9">
        <f ca="1">Q559-T560*Prices!B560</f>
        <v>0.48429144100399529</v>
      </c>
      <c r="R560" s="1">
        <f t="shared" ca="1" si="51"/>
        <v>0.39381792642058794</v>
      </c>
      <c r="S560" s="9">
        <f ca="1">IF(Prices!C559&lt;OFFSET(Prices!C559,-S$3,0),1,IF(Prices!C559&gt;OFFSET(Prices!C559,-S$3,0),-1,0))</f>
        <v>1</v>
      </c>
      <c r="T560" s="1">
        <f ca="1">IF(S560=1,T$3*Q559/Prices!B559,T$3*R559*S560)</f>
        <v>8.6235612928981294E-3</v>
      </c>
    </row>
    <row r="561" spans="1:20" x14ac:dyDescent="0.2">
      <c r="A561" s="4">
        <v>34291</v>
      </c>
      <c r="B561" s="9">
        <f ca="1">Prices!B560*(1+J561/(50*(ABS(O561)+ABS(T561)+0.0001)))</f>
        <v>1.1181258607666753</v>
      </c>
      <c r="C561" s="13">
        <f t="shared" ca="1" si="52"/>
        <v>-1</v>
      </c>
      <c r="D561" s="9">
        <f ca="1">D560+C561*(Prices!B561-Prices!B560)/Prices!B560</f>
        <v>-0.52462852281421768</v>
      </c>
      <c r="E561" s="9">
        <f t="shared" ca="1" si="53"/>
        <v>0.56075247407296402</v>
      </c>
      <c r="F561" s="9">
        <f t="shared" ca="1" si="54"/>
        <v>3.6123951258746317E-2</v>
      </c>
      <c r="G561" s="13">
        <f ca="1">IF((Prices!B561-Prices!B560)*B561&gt;0,1,0)</f>
        <v>0</v>
      </c>
      <c r="H561" s="9">
        <f>ABS(Prices!B561-Prices!B560)/Prices!B560</f>
        <v>7.88850907178651E-4</v>
      </c>
      <c r="I561" s="13"/>
      <c r="J561" s="1">
        <f t="shared" ca="1" si="55"/>
        <v>-5.1923714425646812E-2</v>
      </c>
      <c r="K561" s="9"/>
      <c r="L561" s="9">
        <f ca="1">L560-O561*Prices!B561</f>
        <v>0.51885453981711149</v>
      </c>
      <c r="M561" s="1">
        <f t="shared" ca="1" si="50"/>
        <v>0.39642620307511545</v>
      </c>
      <c r="N561" s="9">
        <f ca="1">IF(Prices!D560&gt;OFFSET(Prices!D560,-$N$3,0),1,IF(Prices!D560&lt;OFFSET(Prices!D560,-$N$3,0),-1,0))</f>
        <v>-1</v>
      </c>
      <c r="O561" s="1">
        <f ca="1">IF(N561=1,O$3*L560/Prices!B560,O$3*M560*N561)</f>
        <v>-4.4047355897235053E-2</v>
      </c>
      <c r="P561" s="14"/>
      <c r="Q561" s="9">
        <f ca="1">Q560-T561*Prices!B561</f>
        <v>0.49327048972638471</v>
      </c>
      <c r="R561" s="1">
        <f t="shared" ca="1" si="51"/>
        <v>0.38594156789217615</v>
      </c>
      <c r="S561" s="9">
        <f ca="1">IF(Prices!C560&lt;OFFSET(Prices!C560,-S$3,0),1,IF(Prices!C560&gt;OFFSET(Prices!C560,-S$3,0),-1,0))</f>
        <v>-1</v>
      </c>
      <c r="T561" s="1">
        <f ca="1">IF(S561=1,T$3*Q560/Prices!B560,T$3*R560*S561)</f>
        <v>-7.8763585284117588E-3</v>
      </c>
    </row>
    <row r="562" spans="1:20" x14ac:dyDescent="0.2">
      <c r="A562" s="4">
        <v>34292</v>
      </c>
      <c r="B562" s="9">
        <f ca="1">Prices!B561*(1+J562/(50*(ABS(O562)+ABS(T562)+0.0001)))</f>
        <v>1.1561575313867916</v>
      </c>
      <c r="C562" s="13">
        <f t="shared" ca="1" si="52"/>
        <v>1</v>
      </c>
      <c r="D562" s="9">
        <f ca="1">D561+C562*(Prices!B562-Prices!B561)/Prices!B561</f>
        <v>-0.5289267684282527</v>
      </c>
      <c r="E562" s="9">
        <f t="shared" ca="1" si="53"/>
        <v>0.56505071968699905</v>
      </c>
      <c r="F562" s="9">
        <f t="shared" ca="1" si="54"/>
        <v>3.6123951258746317E-2</v>
      </c>
      <c r="G562" s="13">
        <f ca="1">IF((Prices!B562-Prices!B561)*B562&gt;0,1,0)</f>
        <v>0</v>
      </c>
      <c r="H562" s="9">
        <f>ABS(Prices!B562-Prices!B561)/Prices!B561</f>
        <v>4.2982456140350043E-3</v>
      </c>
      <c r="I562" s="13"/>
      <c r="J562" s="1">
        <f t="shared" ca="1" si="55"/>
        <v>3.7794724766464512E-2</v>
      </c>
      <c r="K562" s="9"/>
      <c r="L562" s="9">
        <f ca="1">L561-O562*Prices!B562</f>
        <v>0.46719210226040941</v>
      </c>
      <c r="M562" s="1">
        <f t="shared" ca="1" si="50"/>
        <v>0.44193975919942347</v>
      </c>
      <c r="N562" s="9">
        <f ca="1">IF(Prices!D561&gt;OFFSET(Prices!D561,-$N$3,0),1,IF(Prices!D561&lt;OFFSET(Prices!D561,-$N$3,0),-1,0))</f>
        <v>1</v>
      </c>
      <c r="O562" s="1">
        <f ca="1">IF(N562=1,O$3*L561/Prices!B561,O$3*M561*N562)</f>
        <v>4.5513556124308033E-2</v>
      </c>
      <c r="P562" s="14"/>
      <c r="Q562" s="9">
        <f ca="1">Q561-T562*Prices!B562</f>
        <v>0.50203213520067291</v>
      </c>
      <c r="R562" s="1">
        <f t="shared" ca="1" si="51"/>
        <v>0.37822273653433264</v>
      </c>
      <c r="S562" s="9">
        <f ca="1">IF(Prices!C561&lt;OFFSET(Prices!C561,-S$3,0),1,IF(Prices!C561&gt;OFFSET(Prices!C561,-S$3,0),-1,0))</f>
        <v>-1</v>
      </c>
      <c r="T562" s="1">
        <f ca="1">IF(S562=1,T$3*Q561/Prices!B561,T$3*R561*S562)</f>
        <v>-7.7188313578435228E-3</v>
      </c>
    </row>
    <row r="563" spans="1:20" x14ac:dyDescent="0.2">
      <c r="A563" s="4">
        <v>34295</v>
      </c>
      <c r="B563" s="9">
        <f ca="1">Prices!B562*(1+J563/(50*(ABS(O563)+ABS(T563)+0.0001)))</f>
        <v>1.1507207924756353</v>
      </c>
      <c r="C563" s="13">
        <f t="shared" ca="1" si="52"/>
        <v>1</v>
      </c>
      <c r="D563" s="9">
        <f ca="1">D562+C563*(Prices!B563-Prices!B562)/Prices!B562</f>
        <v>-0.52575524169052035</v>
      </c>
      <c r="E563" s="9">
        <f t="shared" ca="1" si="53"/>
        <v>0.56187919294926669</v>
      </c>
      <c r="F563" s="9">
        <f t="shared" ca="1" si="54"/>
        <v>3.6123951258746317E-2</v>
      </c>
      <c r="G563" s="13">
        <f ca="1">IF((Prices!B563-Prices!B562)*B563&gt;0,1,0)</f>
        <v>1</v>
      </c>
      <c r="H563" s="9">
        <f>ABS(Prices!B563-Prices!B562)/Prices!B562</f>
        <v>3.1715267377324004E-3</v>
      </c>
      <c r="I563" s="13"/>
      <c r="J563" s="1">
        <f t="shared" ca="1" si="55"/>
        <v>3.3594218713098867E-2</v>
      </c>
      <c r="K563" s="9"/>
      <c r="L563" s="9">
        <f ca="1">L562-O563*Prices!B563</f>
        <v>0.42032472080997085</v>
      </c>
      <c r="M563" s="1">
        <f t="shared" ca="1" si="50"/>
        <v>0.48309843264320901</v>
      </c>
      <c r="N563" s="9">
        <f ca="1">IF(Prices!D562&gt;OFFSET(Prices!D562,-$N$3,0),1,IF(Prices!D562&lt;OFFSET(Prices!D562,-$N$3,0),-1,0))</f>
        <v>1</v>
      </c>
      <c r="O563" s="1">
        <f ca="1">IF(N563=1,O$3*L562/Prices!B562,O$3*M562*N563)</f>
        <v>4.1158673443785522E-2</v>
      </c>
      <c r="P563" s="14"/>
      <c r="Q563" s="9">
        <f ca="1">Q562-T563*Prices!B563</f>
        <v>0.51064577980250581</v>
      </c>
      <c r="R563" s="1">
        <f t="shared" ca="1" si="51"/>
        <v>0.37065828180364596</v>
      </c>
      <c r="S563" s="9">
        <f ca="1">IF(Prices!C562&lt;OFFSET(Prices!C562,-S$3,0),1,IF(Prices!C562&gt;OFFSET(Prices!C562,-S$3,0),-1,0))</f>
        <v>-1</v>
      </c>
      <c r="T563" s="1">
        <f ca="1">IF(S563=1,T$3*Q562/Prices!B562,T$3*R562*S563)</f>
        <v>-7.5644547306866526E-3</v>
      </c>
    </row>
    <row r="564" spans="1:20" x14ac:dyDescent="0.2">
      <c r="A564" s="4">
        <v>34296</v>
      </c>
      <c r="B564" s="9">
        <f ca="1">Prices!B563*(1+J564/(50*(ABS(O564)+ABS(T564)+0.0001)))</f>
        <v>1.1538223224480437</v>
      </c>
      <c r="C564" s="13">
        <f t="shared" ca="1" si="52"/>
        <v>1</v>
      </c>
      <c r="D564" s="9">
        <f ca="1">D563+C564*(Prices!B564-Prices!B563)/Prices!B563</f>
        <v>-0.52742381111179026</v>
      </c>
      <c r="E564" s="9">
        <f t="shared" ca="1" si="53"/>
        <v>0.56354776237053661</v>
      </c>
      <c r="F564" s="9">
        <f t="shared" ca="1" si="54"/>
        <v>3.6123951258746317E-2</v>
      </c>
      <c r="G564" s="13">
        <f ca="1">IF((Prices!B564-Prices!B563)*B564&gt;0,1,0)</f>
        <v>0</v>
      </c>
      <c r="H564" s="9">
        <f>ABS(Prices!B564-Prices!B563)/Prices!B563</f>
        <v>1.6685694212698803E-3</v>
      </c>
      <c r="I564" s="13"/>
      <c r="J564" s="1">
        <f t="shared" ca="1" si="55"/>
        <v>2.9499517319048787E-2</v>
      </c>
      <c r="K564" s="9"/>
      <c r="L564" s="9">
        <f ca="1">L563-O564*Prices!B564</f>
        <v>0.37836238282658852</v>
      </c>
      <c r="M564" s="1">
        <f t="shared" ca="1" si="50"/>
        <v>0.52001111559833069</v>
      </c>
      <c r="N564" s="9">
        <f ca="1">IF(Prices!D563&gt;OFFSET(Prices!D563,-$N$3,0),1,IF(Prices!D563&lt;OFFSET(Prices!D563,-$N$3,0),-1,0))</f>
        <v>1</v>
      </c>
      <c r="O564" s="1">
        <f ca="1">IF(N564=1,O$3*L563/Prices!B563,O$3*M563*N564)</f>
        <v>3.6912682955121706E-2</v>
      </c>
      <c r="P564" s="14"/>
      <c r="Q564" s="9">
        <f ca="1">Q563-T564*Prices!B564</f>
        <v>0.51907306649759355</v>
      </c>
      <c r="R564" s="1">
        <f t="shared" ca="1" si="51"/>
        <v>0.36324511616757305</v>
      </c>
      <c r="S564" s="9">
        <f ca="1">IF(Prices!C563&lt;OFFSET(Prices!C563,-S$3,0),1,IF(Prices!C563&gt;OFFSET(Prices!C563,-S$3,0),-1,0))</f>
        <v>-1</v>
      </c>
      <c r="T564" s="1">
        <f ca="1">IF(S564=1,T$3*Q563/Prices!B563,T$3*R563*S564)</f>
        <v>-7.4131656360729194E-3</v>
      </c>
    </row>
    <row r="565" spans="1:20" x14ac:dyDescent="0.2">
      <c r="A565" s="4">
        <v>34297</v>
      </c>
      <c r="B565" s="9">
        <f ca="1">Prices!B564*(1+J565/(50*(ABS(O565)+ABS(T565)+0.0001)))</f>
        <v>1.114102298006743</v>
      </c>
      <c r="C565" s="13">
        <f t="shared" ca="1" si="52"/>
        <v>-1</v>
      </c>
      <c r="D565" s="9">
        <f ca="1">D564+C565*(Prices!B565-Prices!B564)/Prices!B564</f>
        <v>-0.53164618971840527</v>
      </c>
      <c r="E565" s="9">
        <f t="shared" ca="1" si="53"/>
        <v>0.56777014097715162</v>
      </c>
      <c r="F565" s="9">
        <f t="shared" ca="1" si="54"/>
        <v>3.6123951258746317E-2</v>
      </c>
      <c r="G565" s="13">
        <f ca="1">IF((Prices!B565-Prices!B564)*B565&gt;0,1,0)</f>
        <v>1</v>
      </c>
      <c r="H565" s="9">
        <f>ABS(Prices!B565-Prices!B564)/Prices!B564</f>
        <v>4.2223786066149854E-3</v>
      </c>
      <c r="I565" s="13"/>
      <c r="J565" s="1">
        <f t="shared" ca="1" si="55"/>
        <v>-5.9266013883184532E-2</v>
      </c>
      <c r="K565" s="9"/>
      <c r="L565" s="9">
        <f ca="1">L564-O565*Prices!B565</f>
        <v>0.43772685178329396</v>
      </c>
      <c r="M565" s="1">
        <f t="shared" ca="1" si="50"/>
        <v>0.46801000403849763</v>
      </c>
      <c r="N565" s="9">
        <f ca="1">IF(Prices!D564&gt;OFFSET(Prices!D564,-$N$3,0),1,IF(Prices!D564&lt;OFFSET(Prices!D564,-$N$3,0),-1,0))</f>
        <v>-1</v>
      </c>
      <c r="O565" s="1">
        <f ca="1">IF(N565=1,O$3*L564/Prices!B564,O$3*M564*N565)</f>
        <v>-5.2001111559833071E-2</v>
      </c>
      <c r="P565" s="14"/>
      <c r="Q565" s="9">
        <f ca="1">Q564-T565*Prices!B565</f>
        <v>0.52736667898993161</v>
      </c>
      <c r="R565" s="1">
        <f t="shared" ca="1" si="51"/>
        <v>0.35598021384422157</v>
      </c>
      <c r="S565" s="9">
        <f ca="1">IF(Prices!C564&lt;OFFSET(Prices!C564,-S$3,0),1,IF(Prices!C564&gt;OFFSET(Prices!C564,-S$3,0),-1,0))</f>
        <v>-1</v>
      </c>
      <c r="T565" s="1">
        <f ca="1">IF(S565=1,T$3*Q564/Prices!B564,T$3*R564*S565)</f>
        <v>-7.2649023233514612E-3</v>
      </c>
    </row>
    <row r="566" spans="1:20" x14ac:dyDescent="0.2">
      <c r="A566" s="4">
        <v>34298</v>
      </c>
      <c r="B566" s="9">
        <f ca="1">Prices!B565*(1+J566/(50*(ABS(O566)+ABS(T566)+0.0001)))</f>
        <v>1.1188102653543679</v>
      </c>
      <c r="C566" s="13">
        <f t="shared" ca="1" si="52"/>
        <v>-1</v>
      </c>
      <c r="D566" s="9">
        <f ca="1">D565+C566*(Prices!B566-Prices!B565)/Prices!B565</f>
        <v>-0.52744156463080893</v>
      </c>
      <c r="E566" s="9">
        <f t="shared" ca="1" si="53"/>
        <v>0.56356551588955528</v>
      </c>
      <c r="F566" s="9">
        <f t="shared" ca="1" si="54"/>
        <v>3.6123951258746317E-2</v>
      </c>
      <c r="G566" s="13">
        <f ca="1">IF((Prices!B566-Prices!B565)*B566&gt;0,1,0)</f>
        <v>0</v>
      </c>
      <c r="H566" s="9">
        <f>ABS(Prices!B566-Prices!B565)/Prices!B565</f>
        <v>4.2046250875962818E-3</v>
      </c>
      <c r="I566" s="13"/>
      <c r="J566" s="1">
        <f t="shared" ca="1" si="55"/>
        <v>-5.3920604680734202E-2</v>
      </c>
      <c r="K566" s="9"/>
      <c r="L566" s="9">
        <f ca="1">L565-O566*Prices!B566</f>
        <v>0.49093022904239036</v>
      </c>
      <c r="M566" s="1">
        <f t="shared" ca="1" si="50"/>
        <v>0.42120900363464786</v>
      </c>
      <c r="N566" s="9">
        <f ca="1">IF(Prices!D565&gt;OFFSET(Prices!D565,-$N$3,0),1,IF(Prices!D565&lt;OFFSET(Prices!D565,-$N$3,0),-1,0))</f>
        <v>-1</v>
      </c>
      <c r="O566" s="1">
        <f ca="1">IF(N566=1,O$3*L565/Prices!B565,O$3*M565*N566)</f>
        <v>-4.6801000403849768E-2</v>
      </c>
      <c r="P566" s="14"/>
      <c r="Q566" s="9">
        <f ca="1">Q565-T566*Prices!B566</f>
        <v>0.53546024513189383</v>
      </c>
      <c r="R566" s="1">
        <f t="shared" ca="1" si="51"/>
        <v>0.34886060956733717</v>
      </c>
      <c r="S566" s="9">
        <f ca="1">IF(Prices!C565&lt;OFFSET(Prices!C565,-S$3,0),1,IF(Prices!C565&gt;OFFSET(Prices!C565,-S$3,0),-1,0))</f>
        <v>-1</v>
      </c>
      <c r="T566" s="1">
        <f ca="1">IF(S566=1,T$3*Q565/Prices!B565,T$3*R565*S566)</f>
        <v>-7.1196042768844319E-3</v>
      </c>
    </row>
    <row r="567" spans="1:20" x14ac:dyDescent="0.2">
      <c r="A567" s="4">
        <v>34299</v>
      </c>
      <c r="B567" s="9">
        <f ca="1">Prices!B566*(1+J567/(50*(ABS(O567)+ABS(T567)+0.0001)))</f>
        <v>1.1594928623997431</v>
      </c>
      <c r="C567" s="13">
        <f t="shared" ca="1" si="52"/>
        <v>1</v>
      </c>
      <c r="D567" s="9">
        <f ca="1">D566+C567*(Prices!B567-Prices!B566)/Prices!B566</f>
        <v>-0.52990461881800122</v>
      </c>
      <c r="E567" s="9">
        <f t="shared" ca="1" si="53"/>
        <v>0.56602857007674756</v>
      </c>
      <c r="F567" s="9">
        <f t="shared" ca="1" si="54"/>
        <v>3.6123951258746317E-2</v>
      </c>
      <c r="G567" s="13">
        <f ca="1">IF((Prices!B567-Prices!B566)*B567&gt;0,1,0)</f>
        <v>0</v>
      </c>
      <c r="H567" s="9">
        <f>ABS(Prices!B567-Prices!B566)/Prices!B566</f>
        <v>2.4630541871922375E-3</v>
      </c>
      <c r="I567" s="13"/>
      <c r="J567" s="1">
        <f t="shared" ca="1" si="55"/>
        <v>5.2605759858266113E-2</v>
      </c>
      <c r="K567" s="9"/>
      <c r="L567" s="9">
        <f ca="1">L566-O567*Prices!B567</f>
        <v>0.44195812491377756</v>
      </c>
      <c r="M567" s="1">
        <f t="shared" ca="1" si="50"/>
        <v>0.46439428064400662</v>
      </c>
      <c r="N567" s="9">
        <f ca="1">IF(Prices!D566&gt;OFFSET(Prices!D566,-$N$3,0),1,IF(Prices!D566&lt;OFFSET(Prices!D566,-$N$3,0),-1,0))</f>
        <v>1</v>
      </c>
      <c r="O567" s="1">
        <f ca="1">IF(N567=1,O$3*L566/Prices!B566,O$3*M566*N567)</f>
        <v>4.3185277009358758E-2</v>
      </c>
      <c r="P567" s="14"/>
      <c r="Q567" s="9">
        <f ca="1">Q566-T567*Prices!B567</f>
        <v>0.52477741758123286</v>
      </c>
      <c r="R567" s="1">
        <f t="shared" ca="1" si="51"/>
        <v>0.35828109241624451</v>
      </c>
      <c r="S567" s="9">
        <f ca="1">IF(Prices!C566&lt;OFFSET(Prices!C566,-S$3,0),1,IF(Prices!C566&gt;OFFSET(Prices!C566,-S$3,0),-1,0))</f>
        <v>1</v>
      </c>
      <c r="T567" s="1">
        <f ca="1">IF(S567=1,T$3*Q566/Prices!B566,T$3*R566*S567)</f>
        <v>9.4204828489073515E-3</v>
      </c>
    </row>
    <row r="568" spans="1:20" x14ac:dyDescent="0.2">
      <c r="A568" s="4">
        <v>34302</v>
      </c>
      <c r="B568" s="9">
        <f ca="1">Prices!B567*(1+J568/(50*(ABS(O568)+ABS(T568)+0.0001)))</f>
        <v>1.1113622306655273</v>
      </c>
      <c r="C568" s="13">
        <f t="shared" ca="1" si="52"/>
        <v>-1</v>
      </c>
      <c r="D568" s="9">
        <f ca="1">D567+C568*(Prices!B568-Prices!B567)/Prices!B567</f>
        <v>-0.53131555356226934</v>
      </c>
      <c r="E568" s="9">
        <f t="shared" ca="1" si="53"/>
        <v>0.56743950482101568</v>
      </c>
      <c r="F568" s="9">
        <f t="shared" ca="1" si="54"/>
        <v>3.6123951258746317E-2</v>
      </c>
      <c r="G568" s="13">
        <f ca="1">IF((Prices!B568-Prices!B567)*B568&gt;0,1,0)</f>
        <v>1</v>
      </c>
      <c r="H568" s="9">
        <f>ABS(Prices!B568-Prices!B567)/Prices!B567</f>
        <v>1.4109347442681182E-3</v>
      </c>
      <c r="I568" s="13"/>
      <c r="J568" s="1">
        <f t="shared" ca="1" si="55"/>
        <v>-5.360504991272555E-2</v>
      </c>
      <c r="K568" s="9"/>
      <c r="L568" s="9">
        <f ca="1">L567-O568*Prices!B568</f>
        <v>0.49469473942371095</v>
      </c>
      <c r="M568" s="1">
        <f t="shared" ca="1" si="50"/>
        <v>0.41795485257960596</v>
      </c>
      <c r="N568" s="9">
        <f ca="1">IF(Prices!D567&gt;OFFSET(Prices!D567,-$N$3,0),1,IF(Prices!D567&lt;OFFSET(Prices!D567,-$N$3,0),-1,0))</f>
        <v>-1</v>
      </c>
      <c r="O568" s="1">
        <f ca="1">IF(N568=1,O$3*L567/Prices!B567,O$3*M567*N568)</f>
        <v>-4.6439428064400663E-2</v>
      </c>
      <c r="P568" s="14"/>
      <c r="Q568" s="9">
        <f ca="1">Q567-T568*Prices!B568</f>
        <v>0.53291469775219058</v>
      </c>
      <c r="R568" s="1">
        <f t="shared" ca="1" si="51"/>
        <v>0.35111547056791964</v>
      </c>
      <c r="S568" s="9">
        <f ca="1">IF(Prices!C567&lt;OFFSET(Prices!C567,-S$3,0),1,IF(Prices!C567&gt;OFFSET(Prices!C567,-S$3,0),-1,0))</f>
        <v>-1</v>
      </c>
      <c r="T568" s="1">
        <f ca="1">IF(S568=1,T$3*Q567/Prices!B567,T$3*R567*S568)</f>
        <v>-7.16562184832489E-3</v>
      </c>
    </row>
    <row r="569" spans="1:20" x14ac:dyDescent="0.2">
      <c r="A569" s="4">
        <v>34303</v>
      </c>
      <c r="B569" s="9">
        <f ca="1">Prices!B568*(1+J569/(50*(ABS(O569)+ABS(T569)+0.0001)))</f>
        <v>1.1129344289123282</v>
      </c>
      <c r="C569" s="13">
        <f t="shared" ca="1" si="52"/>
        <v>-1</v>
      </c>
      <c r="D569" s="9">
        <f ca="1">D568+C569*(Prices!B569-Prices!B568)/Prices!B568</f>
        <v>-0.52682453559819753</v>
      </c>
      <c r="E569" s="9">
        <f t="shared" ca="1" si="53"/>
        <v>0.56294848685694387</v>
      </c>
      <c r="F569" s="9">
        <f t="shared" ca="1" si="54"/>
        <v>3.6123951258746317E-2</v>
      </c>
      <c r="G569" s="13">
        <f ca="1">IF((Prices!B569-Prices!B568)*B569&gt;0,1,0)</f>
        <v>0</v>
      </c>
      <c r="H569" s="9">
        <f>ABS(Prices!B569-Prices!B568)/Prices!B568</f>
        <v>4.4910179640717529E-3</v>
      </c>
      <c r="I569" s="13"/>
      <c r="J569" s="1">
        <f t="shared" ca="1" si="55"/>
        <v>-4.8817794669318987E-2</v>
      </c>
      <c r="K569" s="9"/>
      <c r="L569" s="9">
        <f ca="1">L568-O569*Prices!B569</f>
        <v>0.54194453550783539</v>
      </c>
      <c r="M569" s="1">
        <f t="shared" ca="1" si="50"/>
        <v>0.37615936732164534</v>
      </c>
      <c r="N569" s="9">
        <f ca="1">IF(Prices!D568&gt;OFFSET(Prices!D568,-$N$3,0),1,IF(Prices!D568&lt;OFFSET(Prices!D568,-$N$3,0),-1,0))</f>
        <v>-1</v>
      </c>
      <c r="O569" s="1">
        <f ca="1">IF(N569=1,O$3*L568/Prices!B568,O$3*M568*N569)</f>
        <v>-4.1795485257960598E-2</v>
      </c>
      <c r="P569" s="14"/>
      <c r="Q569" s="9">
        <f ca="1">Q568-T569*Prices!B569</f>
        <v>0.54085341854173119</v>
      </c>
      <c r="R569" s="1">
        <f t="shared" ca="1" si="51"/>
        <v>0.34409316115656124</v>
      </c>
      <c r="S569" s="9">
        <f ca="1">IF(Prices!C568&lt;OFFSET(Prices!C568,-S$3,0),1,IF(Prices!C568&gt;OFFSET(Prices!C568,-S$3,0),-1,0))</f>
        <v>-1</v>
      </c>
      <c r="T569" s="1">
        <f ca="1">IF(S569=1,T$3*Q568/Prices!B568,T$3*R568*S569)</f>
        <v>-7.0223094113583927E-3</v>
      </c>
    </row>
    <row r="570" spans="1:20" x14ac:dyDescent="0.2">
      <c r="A570" s="4">
        <v>34304</v>
      </c>
      <c r="B570" s="9">
        <f ca="1">Prices!B569*(1+J570/(50*(ABS(O570)+ABS(T570)+0.0001)))</f>
        <v>1.147402482040224</v>
      </c>
      <c r="C570" s="13">
        <f t="shared" ca="1" si="52"/>
        <v>1</v>
      </c>
      <c r="D570" s="9">
        <f ca="1">D569+C570*(Prices!B570-Prices!B569)/Prices!B569</f>
        <v>-0.52717836133902019</v>
      </c>
      <c r="E570" s="9">
        <f t="shared" ca="1" si="53"/>
        <v>0.56330231259776653</v>
      </c>
      <c r="F570" s="9">
        <f t="shared" ca="1" si="54"/>
        <v>3.6123951258746317E-2</v>
      </c>
      <c r="G570" s="13">
        <f ca="1">IF((Prices!B570-Prices!B569)*B570&gt;0,1,0)</f>
        <v>0</v>
      </c>
      <c r="H570" s="9">
        <f>ABS(Prices!B570-Prices!B569)/Prices!B569</f>
        <v>3.5382574082260584E-4</v>
      </c>
      <c r="I570" s="13"/>
      <c r="J570" s="1">
        <f t="shared" ca="1" si="55"/>
        <v>4.1056618467079781E-2</v>
      </c>
      <c r="K570" s="9"/>
      <c r="L570" s="9">
        <f ca="1">L569-O570*Prices!B570</f>
        <v>0.48776925734972792</v>
      </c>
      <c r="M570" s="1">
        <f t="shared" ca="1" si="50"/>
        <v>0.42409784901185632</v>
      </c>
      <c r="N570" s="9">
        <f ca="1">IF(Prices!D569&gt;OFFSET(Prices!D569,-$N$3,0),1,IF(Prices!D569&lt;OFFSET(Prices!D569,-$N$3,0),-1,0))</f>
        <v>1</v>
      </c>
      <c r="O570" s="1">
        <f ca="1">IF(N570=1,O$3*L569/Prices!B569,O$3*M569*N570)</f>
        <v>4.7938481690211004E-2</v>
      </c>
      <c r="P570" s="14"/>
      <c r="Q570" s="9">
        <f ca="1">Q569-T570*Prices!B570</f>
        <v>0.54863061217019182</v>
      </c>
      <c r="R570" s="1">
        <f t="shared" ca="1" si="51"/>
        <v>0.33721129793343002</v>
      </c>
      <c r="S570" s="9">
        <f ca="1">IF(Prices!C569&lt;OFFSET(Prices!C569,-S$3,0),1,IF(Prices!C569&gt;OFFSET(Prices!C569,-S$3,0),-1,0))</f>
        <v>-1</v>
      </c>
      <c r="T570" s="1">
        <f ca="1">IF(S570=1,T$3*Q569/Prices!B569,T$3*R569*S570)</f>
        <v>-6.8818632231312247E-3</v>
      </c>
    </row>
    <row r="571" spans="1:20" x14ac:dyDescent="0.2">
      <c r="A571" s="4">
        <v>34305</v>
      </c>
      <c r="B571" s="9">
        <f ca="1">Prices!B570*(1+J571/(50*(ABS(O571)+ABS(T571)+0.0001)))</f>
        <v>1.1465601920048691</v>
      </c>
      <c r="C571" s="13">
        <f t="shared" ca="1" si="52"/>
        <v>1</v>
      </c>
      <c r="D571" s="9">
        <f ca="1">D570+C571*(Prices!B571-Prices!B570)/Prices!B570</f>
        <v>-0.53098333435025835</v>
      </c>
      <c r="E571" s="9">
        <f t="shared" ca="1" si="53"/>
        <v>0.5671072856090047</v>
      </c>
      <c r="F571" s="9">
        <f t="shared" ca="1" si="54"/>
        <v>3.6123951258746317E-2</v>
      </c>
      <c r="G571" s="13">
        <f ca="1">IF((Prices!B571-Prices!B570)*B571&gt;0,1,0)</f>
        <v>0</v>
      </c>
      <c r="H571" s="9">
        <f>ABS(Prices!B571-Prices!B570)/Prices!B570</f>
        <v>3.8049730112381134E-3</v>
      </c>
      <c r="I571" s="13"/>
      <c r="J571" s="1">
        <f t="shared" ca="1" si="55"/>
        <v>3.6417375434989296E-2</v>
      </c>
      <c r="K571" s="9"/>
      <c r="L571" s="9">
        <f ca="1">L570-O571*Prices!B571</f>
        <v>0.43917792650074788</v>
      </c>
      <c r="M571" s="1">
        <f t="shared" ca="1" si="50"/>
        <v>0.4672594504055142</v>
      </c>
      <c r="N571" s="9">
        <f ca="1">IF(Prices!D570&gt;OFFSET(Prices!D570,-$N$3,0),1,IF(Prices!D570&lt;OFFSET(Prices!D570,-$N$3,0),-1,0))</f>
        <v>1</v>
      </c>
      <c r="O571" s="1">
        <f ca="1">IF(N571=1,O$3*L570/Prices!B570,O$3*M570*N571)</f>
        <v>4.3161601393657899E-2</v>
      </c>
      <c r="P571" s="14"/>
      <c r="Q571" s="9">
        <f ca="1">Q570-T571*Prices!B571</f>
        <v>0.55622326175446091</v>
      </c>
      <c r="R571" s="1">
        <f t="shared" ca="1" si="51"/>
        <v>0.33046707197476144</v>
      </c>
      <c r="S571" s="9">
        <f ca="1">IF(Prices!C570&lt;OFFSET(Prices!C570,-S$3,0),1,IF(Prices!C570&gt;OFFSET(Prices!C570,-S$3,0),-1,0))</f>
        <v>-1</v>
      </c>
      <c r="T571" s="1">
        <f ca="1">IF(S571=1,T$3*Q570/Prices!B570,T$3*R570*S571)</f>
        <v>-6.7442259586686006E-3</v>
      </c>
    </row>
    <row r="572" spans="1:20" x14ac:dyDescent="0.2">
      <c r="A572" s="4">
        <v>34306</v>
      </c>
      <c r="B572" s="9">
        <f ca="1">Prices!B571*(1+J572/(50*(ABS(O572)+ABS(T572)+0.0001)))</f>
        <v>1.1111706382010649</v>
      </c>
      <c r="C572" s="13">
        <f t="shared" ca="1" si="52"/>
        <v>-1</v>
      </c>
      <c r="D572" s="9">
        <f ca="1">D571+C572*(Prices!B572-Prices!B571)/Prices!B571</f>
        <v>-0.53480284047923343</v>
      </c>
      <c r="E572" s="9">
        <f t="shared" ca="1" si="53"/>
        <v>0.57092679173797978</v>
      </c>
      <c r="F572" s="9">
        <f t="shared" ca="1" si="54"/>
        <v>3.6123951258746317E-2</v>
      </c>
      <c r="G572" s="13">
        <f ca="1">IF((Prices!B572-Prices!B571)*B572&gt;0,1,0)</f>
        <v>1</v>
      </c>
      <c r="H572" s="9">
        <f>ABS(Prices!B572-Prices!B571)/Prices!B571</f>
        <v>3.8195061289751225E-3</v>
      </c>
      <c r="I572" s="13"/>
      <c r="J572" s="1">
        <f t="shared" ca="1" si="55"/>
        <v>-3.6844558262181179E-2</v>
      </c>
      <c r="K572" s="9"/>
      <c r="L572" s="9">
        <f ca="1">L571-O572*Prices!B572</f>
        <v>0.49198291699107505</v>
      </c>
      <c r="M572" s="1">
        <f t="shared" ca="1" si="50"/>
        <v>0.42053350536496276</v>
      </c>
      <c r="N572" s="9">
        <f ca="1">IF(Prices!D571&gt;OFFSET(Prices!D571,-$N$3,0),1,IF(Prices!D571&lt;OFFSET(Prices!D571,-$N$3,0),-1,0))</f>
        <v>-1</v>
      </c>
      <c r="O572" s="1">
        <f ca="1">IF(N572=1,O$3*L571/Prices!B571,O$3*M571*N572)</f>
        <v>-4.6725945040551421E-2</v>
      </c>
      <c r="P572" s="14"/>
      <c r="Q572" s="9">
        <f ca="1">Q571-T572*Prices!B572</f>
        <v>0.54505630655622472</v>
      </c>
      <c r="R572" s="1">
        <f t="shared" ca="1" si="51"/>
        <v>0.34034845875313169</v>
      </c>
      <c r="S572" s="9">
        <f ca="1">IF(Prices!C571&lt;OFFSET(Prices!C571,-S$3,0),1,IF(Prices!C571&gt;OFFSET(Prices!C571,-S$3,0),-1,0))</f>
        <v>1</v>
      </c>
      <c r="T572" s="1">
        <f ca="1">IF(S572=1,T$3*Q571/Prices!B571,T$3*R571*S572)</f>
        <v>9.8813867783702439E-3</v>
      </c>
    </row>
    <row r="573" spans="1:20" x14ac:dyDescent="0.2">
      <c r="A573" s="4">
        <v>34309</v>
      </c>
      <c r="B573" s="9">
        <f ca="1">Prices!B572*(1+J573/(50*(ABS(O573)+ABS(T573)+0.0001)))</f>
        <v>1.1524700932948719</v>
      </c>
      <c r="C573" s="13">
        <f t="shared" ca="1" si="52"/>
        <v>1</v>
      </c>
      <c r="D573" s="9">
        <f ca="1">D572+C573*(Prices!B573-Prices!B572)/Prices!B572</f>
        <v>-0.5249807008455728</v>
      </c>
      <c r="E573" s="9">
        <f t="shared" ca="1" si="53"/>
        <v>0.56110465210431915</v>
      </c>
      <c r="F573" s="9">
        <f t="shared" ca="1" si="54"/>
        <v>3.6123951258746317E-2</v>
      </c>
      <c r="G573" s="13">
        <f ca="1">IF((Prices!B573-Prices!B572)*B573&gt;0,1,0)</f>
        <v>1</v>
      </c>
      <c r="H573" s="9">
        <f>ABS(Prices!B573-Prices!B572)/Prices!B572</f>
        <v>9.8221396336606384E-3</v>
      </c>
      <c r="I573" s="13"/>
      <c r="J573" s="1">
        <f t="shared" ca="1" si="55"/>
        <v>9.6461606327975357E-3</v>
      </c>
      <c r="K573" s="9"/>
      <c r="L573" s="9">
        <f ca="1">L572-O573*Prices!B573</f>
        <v>0.49198291699107505</v>
      </c>
      <c r="M573" s="1">
        <f t="shared" ca="1" si="50"/>
        <v>0.42053350536496276</v>
      </c>
      <c r="N573" s="9">
        <f ca="1">IF(Prices!D572&gt;OFFSET(Prices!D572,-$N$3,0),1,IF(Prices!D572&lt;OFFSET(Prices!D572,-$N$3,0),-1,0))</f>
        <v>0</v>
      </c>
      <c r="O573" s="1">
        <f ca="1">IF(N573=1,O$3*L572/Prices!B572,O$3*M572*N573)</f>
        <v>0</v>
      </c>
      <c r="P573" s="14"/>
      <c r="Q573" s="9">
        <f ca="1">Q572-T573*Prices!B573</f>
        <v>0.53404810804207614</v>
      </c>
      <c r="R573" s="1">
        <f t="shared" ca="1" si="51"/>
        <v>0.34999461938592924</v>
      </c>
      <c r="S573" s="9">
        <f ca="1">IF(Prices!C572&lt;OFFSET(Prices!C572,-S$3,0),1,IF(Prices!C572&gt;OFFSET(Prices!C572,-S$3,0),-1,0))</f>
        <v>1</v>
      </c>
      <c r="T573" s="1">
        <f ca="1">IF(S573=1,T$3*Q572/Prices!B572,T$3*R572*S573)</f>
        <v>9.6461606327975357E-3</v>
      </c>
    </row>
    <row r="574" spans="1:20" x14ac:dyDescent="0.2">
      <c r="A574" s="4">
        <v>34310</v>
      </c>
      <c r="B574" s="9">
        <f ca="1">Prices!B573*(1+J574/(50*(ABS(O574)+ABS(T574)+0.0001)))</f>
        <v>1.1267141448909996</v>
      </c>
      <c r="C574" s="13">
        <f t="shared" ca="1" si="52"/>
        <v>-1</v>
      </c>
      <c r="D574" s="9">
        <f ca="1">D573+C574*(Prices!B574-Prices!B573)/Prices!B573</f>
        <v>-0.52769713968188559</v>
      </c>
      <c r="E574" s="9">
        <f t="shared" ca="1" si="53"/>
        <v>0.56382109094063193</v>
      </c>
      <c r="F574" s="9">
        <f t="shared" ca="1" si="54"/>
        <v>3.6123951258746317E-2</v>
      </c>
      <c r="G574" s="13">
        <f ca="1">IF((Prices!B574-Prices!B573)*B574&gt;0,1,0)</f>
        <v>1</v>
      </c>
      <c r="H574" s="9">
        <f>ABS(Prices!B574-Prices!B573)/Prices!B573</f>
        <v>2.7164388363127433E-3</v>
      </c>
      <c r="I574" s="13"/>
      <c r="J574" s="1">
        <f t="shared" ca="1" si="55"/>
        <v>-3.2693937496852468E-2</v>
      </c>
      <c r="K574" s="9"/>
      <c r="L574" s="9">
        <f ca="1">L573-O574*Prices!B574</f>
        <v>0.5401045660099878</v>
      </c>
      <c r="M574" s="1">
        <f t="shared" ca="1" si="50"/>
        <v>0.37848015482846648</v>
      </c>
      <c r="N574" s="9">
        <f ca="1">IF(Prices!D573&gt;OFFSET(Prices!D573,-$N$3,0),1,IF(Prices!D573&lt;OFFSET(Prices!D573,-$N$3,0),-1,0))</f>
        <v>-1</v>
      </c>
      <c r="O574" s="1">
        <f ca="1">IF(N574=1,O$3*L573/Prices!B573,O$3*M573*N574)</f>
        <v>-4.2053350536496281E-2</v>
      </c>
      <c r="P574" s="14"/>
      <c r="Q574" s="9">
        <f ca="1">Q573-T574*Prices!B574</f>
        <v>0.52333813170081167</v>
      </c>
      <c r="R574" s="1">
        <f t="shared" ca="1" si="51"/>
        <v>0.35935403242557307</v>
      </c>
      <c r="S574" s="9">
        <f ca="1">IF(Prices!C573&lt;OFFSET(Prices!C573,-S$3,0),1,IF(Prices!C573&gt;OFFSET(Prices!C573,-S$3,0),-1,0))</f>
        <v>1</v>
      </c>
      <c r="T574" s="1">
        <f ca="1">IF(S574=1,T$3*Q573/Prices!B573,T$3*R573*S574)</f>
        <v>9.3594130396438165E-3</v>
      </c>
    </row>
    <row r="575" spans="1:20" x14ac:dyDescent="0.2">
      <c r="A575" s="4">
        <v>34311</v>
      </c>
      <c r="B575" s="9">
        <f ca="1">Prices!B574*(1+J575/(50*(ABS(O575)+ABS(T575)+0.0001)))</f>
        <v>1.1303525313621046</v>
      </c>
      <c r="C575" s="13">
        <f t="shared" ca="1" si="52"/>
        <v>-1</v>
      </c>
      <c r="D575" s="9">
        <f ca="1">D574+C575*(Prices!B575-Prices!B574)/Prices!B574</f>
        <v>-0.52918276408108145</v>
      </c>
      <c r="E575" s="9">
        <f t="shared" ca="1" si="53"/>
        <v>0.56530671533982779</v>
      </c>
      <c r="F575" s="9">
        <f t="shared" ca="1" si="54"/>
        <v>3.6123951258746317E-2</v>
      </c>
      <c r="G575" s="13">
        <f ca="1">IF((Prices!B575-Prices!B574)*B575&gt;0,1,0)</f>
        <v>1</v>
      </c>
      <c r="H575" s="9">
        <f>ABS(Prices!B575-Prices!B574)/Prices!B574</f>
        <v>1.4856243991958513E-3</v>
      </c>
      <c r="I575" s="13"/>
      <c r="J575" s="1">
        <f t="shared" ca="1" si="55"/>
        <v>-2.8701146100677435E-2</v>
      </c>
      <c r="K575" s="9"/>
      <c r="L575" s="9">
        <f ca="1">L574-O575*Prices!B575</f>
        <v>0.58347839175333005</v>
      </c>
      <c r="M575" s="1">
        <f t="shared" ca="1" si="50"/>
        <v>0.34063213934561981</v>
      </c>
      <c r="N575" s="9">
        <f ca="1">IF(Prices!D574&gt;OFFSET(Prices!D574,-$N$3,0),1,IF(Prices!D574&lt;OFFSET(Prices!D574,-$N$3,0),-1,0))</f>
        <v>-1</v>
      </c>
      <c r="O575" s="1">
        <f ca="1">IF(N575=1,O$3*L574/Prices!B574,O$3*M574*N575)</f>
        <v>-3.784801548284665E-2</v>
      </c>
      <c r="P575" s="14"/>
      <c r="Q575" s="9">
        <f ca="1">Q574-T575*Prices!B575</f>
        <v>0.51285581938884572</v>
      </c>
      <c r="R575" s="1">
        <f t="shared" ca="1" si="51"/>
        <v>0.36850090180774231</v>
      </c>
      <c r="S575" s="9">
        <f ca="1">IF(Prices!C574&lt;OFFSET(Prices!C574,-S$3,0),1,IF(Prices!C574&gt;OFFSET(Prices!C574,-S$3,0),-1,0))</f>
        <v>1</v>
      </c>
      <c r="T575" s="1">
        <f ca="1">IF(S575=1,T$3*Q574/Prices!B574,T$3*R574*S575)</f>
        <v>9.1468693821692149E-3</v>
      </c>
    </row>
    <row r="576" spans="1:20" x14ac:dyDescent="0.2">
      <c r="A576" s="4">
        <v>34312</v>
      </c>
      <c r="B576" s="9">
        <f ca="1">Prices!B575*(1+J576/(50*(ABS(O576)+ABS(T576)+0.0001)))</f>
        <v>1.1231351847253692</v>
      </c>
      <c r="C576" s="13">
        <f t="shared" ca="1" si="52"/>
        <v>-1</v>
      </c>
      <c r="D576" s="9">
        <f ca="1">D575+C576*(Prices!B576-Prices!B575)/Prices!B575</f>
        <v>-0.52735030334809718</v>
      </c>
      <c r="E576" s="9">
        <f t="shared" ca="1" si="53"/>
        <v>0.56347425460684353</v>
      </c>
      <c r="F576" s="9">
        <f t="shared" ca="1" si="54"/>
        <v>3.6123951258746317E-2</v>
      </c>
      <c r="G576" s="13">
        <f ca="1">IF((Prices!B576-Prices!B575)*B576&gt;0,1,0)</f>
        <v>0</v>
      </c>
      <c r="H576" s="9">
        <f>ABS(Prices!B576-Prices!B575)/Prices!B575</f>
        <v>1.8324607329842852E-3</v>
      </c>
      <c r="I576" s="13"/>
      <c r="J576" s="1">
        <f t="shared" ca="1" si="55"/>
        <v>-4.1433231970716834E-2</v>
      </c>
      <c r="K576" s="9"/>
      <c r="L576" s="9">
        <f ca="1">L575-O576*Prices!B576</f>
        <v>0.62244330217307553</v>
      </c>
      <c r="M576" s="1">
        <f t="shared" ca="1" si="50"/>
        <v>0.30656892541105785</v>
      </c>
      <c r="N576" s="9">
        <f ca="1">IF(Prices!D575&gt;OFFSET(Prices!D575,-$N$3,0),1,IF(Prices!D575&lt;OFFSET(Prices!D575,-$N$3,0),-1,0))</f>
        <v>-1</v>
      </c>
      <c r="O576" s="1">
        <f ca="1">IF(N576=1,O$3*L575/Prices!B575,O$3*M575*N576)</f>
        <v>-3.4063213934561985E-2</v>
      </c>
      <c r="P576" s="14"/>
      <c r="Q576" s="9">
        <f ca="1">Q575-T576*Prices!B576</f>
        <v>0.5212863830204032</v>
      </c>
      <c r="R576" s="1">
        <f t="shared" ca="1" si="51"/>
        <v>0.36113088377158747</v>
      </c>
      <c r="S576" s="9">
        <f ca="1">IF(Prices!C575&lt;OFFSET(Prices!C575,-S$3,0),1,IF(Prices!C575&gt;OFFSET(Prices!C575,-S$3,0),-1,0))</f>
        <v>-1</v>
      </c>
      <c r="T576" s="1">
        <f ca="1">IF(S576=1,T$3*Q575/Prices!B575,T$3*R575*S576)</f>
        <v>-7.3700180361548464E-3</v>
      </c>
    </row>
    <row r="577" spans="1:20" x14ac:dyDescent="0.2">
      <c r="A577" s="4">
        <v>34313</v>
      </c>
      <c r="B577" s="9">
        <f ca="1">Prices!B576*(1+J577/(50*(ABS(O577)+ABS(T577)+0.0001)))</f>
        <v>1.12108223774364</v>
      </c>
      <c r="C577" s="13">
        <f t="shared" ca="1" si="52"/>
        <v>-1</v>
      </c>
      <c r="D577" s="9">
        <f ca="1">D576+C577*(Prices!B577-Prices!B576)/Prices!B576</f>
        <v>-0.53093453273877822</v>
      </c>
      <c r="E577" s="9">
        <f t="shared" ca="1" si="53"/>
        <v>0.56705848399752457</v>
      </c>
      <c r="F577" s="9">
        <f t="shared" ca="1" si="54"/>
        <v>3.6123951258746317E-2</v>
      </c>
      <c r="G577" s="13">
        <f ca="1">IF((Prices!B577-Prices!B576)*B577&gt;0,1,0)</f>
        <v>1</v>
      </c>
      <c r="H577" s="9">
        <f>ABS(Prices!B577-Prices!B576)/Prices!B576</f>
        <v>3.5842293906809975E-3</v>
      </c>
      <c r="I577" s="13"/>
      <c r="J577" s="1">
        <f t="shared" ca="1" si="55"/>
        <v>-3.7879510216537536E-2</v>
      </c>
      <c r="K577" s="9"/>
      <c r="L577" s="9">
        <f ca="1">L576-O577*Prices!B577</f>
        <v>0.65763741481026494</v>
      </c>
      <c r="M577" s="1">
        <f t="shared" ca="1" si="50"/>
        <v>0.27591203286995208</v>
      </c>
      <c r="N577" s="9">
        <f ca="1">IF(Prices!D576&gt;OFFSET(Prices!D576,-$N$3,0),1,IF(Prices!D576&lt;OFFSET(Prices!D576,-$N$3,0),-1,0))</f>
        <v>-1</v>
      </c>
      <c r="O577" s="1">
        <f ca="1">IF(N577=1,O$3*L576/Prices!B576,O$3*M576*N577)</f>
        <v>-3.0656892541105787E-2</v>
      </c>
      <c r="P577" s="14"/>
      <c r="Q577" s="9">
        <f ca="1">Q576-T577*Prices!B577</f>
        <v>0.52957794811179881</v>
      </c>
      <c r="R577" s="1">
        <f t="shared" ca="1" si="51"/>
        <v>0.35390826609615572</v>
      </c>
      <c r="S577" s="9">
        <f ca="1">IF(Prices!C576&lt;OFFSET(Prices!C576,-S$3,0),1,IF(Prices!C576&gt;OFFSET(Prices!C576,-S$3,0),-1,0))</f>
        <v>-1</v>
      </c>
      <c r="T577" s="1">
        <f ca="1">IF(S577=1,T$3*Q576/Prices!B576,T$3*R576*S577)</f>
        <v>-7.2226176754317493E-3</v>
      </c>
    </row>
    <row r="578" spans="1:20" x14ac:dyDescent="0.2">
      <c r="A578" s="4">
        <v>34316</v>
      </c>
      <c r="B578" s="9">
        <f ca="1">Prices!B577*(1+J578/(50*(ABS(O578)+ABS(T578)+0.0001)))</f>
        <v>1.1658823270920098</v>
      </c>
      <c r="C578" s="13">
        <f t="shared" ca="1" si="52"/>
        <v>1</v>
      </c>
      <c r="D578" s="9">
        <f ca="1">D577+C578*(Prices!B578-Prices!B577)/Prices!B577</f>
        <v>-0.53441885329626948</v>
      </c>
      <c r="E578" s="9">
        <f t="shared" ca="1" si="53"/>
        <v>0.57054280455501583</v>
      </c>
      <c r="F578" s="9">
        <f t="shared" ca="1" si="54"/>
        <v>3.6123951258746317E-2</v>
      </c>
      <c r="G578" s="13">
        <f ca="1">IF((Prices!B578-Prices!B577)*B578&gt;0,1,0)</f>
        <v>0</v>
      </c>
      <c r="H578" s="9">
        <f>ABS(Prices!B578-Prices!B577)/Prices!B577</f>
        <v>3.4843205574912927E-3</v>
      </c>
      <c r="I578" s="13"/>
      <c r="J578" s="1">
        <f t="shared" ca="1" si="55"/>
        <v>5.02073237730477E-2</v>
      </c>
      <c r="K578" s="9"/>
      <c r="L578" s="9">
        <f ca="1">L577-O578*Prices!B578</f>
        <v>0.59210281528561837</v>
      </c>
      <c r="M578" s="1">
        <f t="shared" ca="1" si="50"/>
        <v>0.33319752196492292</v>
      </c>
      <c r="N578" s="9">
        <f ca="1">IF(Prices!D577&gt;OFFSET(Prices!D577,-$N$3,0),1,IF(Prices!D577&lt;OFFSET(Prices!D577,-$N$3,0),-1,0))</f>
        <v>1</v>
      </c>
      <c r="O578" s="1">
        <f ca="1">IF(N578=1,O$3*L577/Prices!B577,O$3*M577*N578)</f>
        <v>5.7285489094970818E-2</v>
      </c>
      <c r="P578" s="14"/>
      <c r="Q578" s="9">
        <f ca="1">Q577-T578*Prices!B578</f>
        <v>0.53767536924007886</v>
      </c>
      <c r="R578" s="1">
        <f t="shared" ca="1" si="51"/>
        <v>0.3468301007742326</v>
      </c>
      <c r="S578" s="9">
        <f ca="1">IF(Prices!C577&lt;OFFSET(Prices!C577,-S$3,0),1,IF(Prices!C577&gt;OFFSET(Prices!C577,-S$3,0),-1,0))</f>
        <v>-1</v>
      </c>
      <c r="T578" s="1">
        <f ca="1">IF(S578=1,T$3*Q577/Prices!B577,T$3*R577*S578)</f>
        <v>-7.0781653219231149E-3</v>
      </c>
    </row>
    <row r="579" spans="1:20" x14ac:dyDescent="0.2">
      <c r="A579" s="4">
        <v>34317</v>
      </c>
      <c r="B579" s="9">
        <f ca="1">Prices!B578*(1+J579/(50*(ABS(O579)+ABS(T579)+0.0001)))</f>
        <v>1.1614422381159051</v>
      </c>
      <c r="C579" s="13">
        <f t="shared" ca="1" si="52"/>
        <v>1</v>
      </c>
      <c r="D579" s="9">
        <f ca="1">D578+C579*(Prices!B579-Prices!B578)/Prices!B578</f>
        <v>-0.53966360854102469</v>
      </c>
      <c r="E579" s="9">
        <f t="shared" ca="1" si="53"/>
        <v>0.57578755979977103</v>
      </c>
      <c r="F579" s="9">
        <f t="shared" ca="1" si="54"/>
        <v>3.6123951258746317E-2</v>
      </c>
      <c r="G579" s="13">
        <f ca="1">IF((Prices!B579-Prices!B578)*B579&gt;0,1,0)</f>
        <v>0</v>
      </c>
      <c r="H579" s="9">
        <f>ABS(Prices!B579-Prices!B578)/Prices!B578</f>
        <v>5.2447552447552502E-3</v>
      </c>
      <c r="I579" s="13"/>
      <c r="J579" s="1">
        <f t="shared" ca="1" si="55"/>
        <v>4.4820637082908565E-2</v>
      </c>
      <c r="K579" s="9"/>
      <c r="L579" s="9">
        <f ca="1">L578-O579*Prices!B579</f>
        <v>0.53320307719164695</v>
      </c>
      <c r="M579" s="1">
        <f t="shared" ca="1" si="50"/>
        <v>0.38495476106331616</v>
      </c>
      <c r="N579" s="9">
        <f ca="1">IF(Prices!D578&gt;OFFSET(Prices!D578,-$N$3,0),1,IF(Prices!D578&lt;OFFSET(Prices!D578,-$N$3,0),-1,0))</f>
        <v>1</v>
      </c>
      <c r="O579" s="1">
        <f ca="1">IF(N579=1,O$3*L578/Prices!B578,O$3*M578*N579)</f>
        <v>5.1757239098393221E-2</v>
      </c>
      <c r="P579" s="14"/>
      <c r="Q579" s="9">
        <f ca="1">Q578-T579*Prices!B579</f>
        <v>0.54556922233370042</v>
      </c>
      <c r="R579" s="1">
        <f t="shared" ca="1" si="51"/>
        <v>0.33989349875874797</v>
      </c>
      <c r="S579" s="9">
        <f ca="1">IF(Prices!C578&lt;OFFSET(Prices!C578,-S$3,0),1,IF(Prices!C578&gt;OFFSET(Prices!C578,-S$3,0),-1,0))</f>
        <v>-1</v>
      </c>
      <c r="T579" s="1">
        <f ca="1">IF(S579=1,T$3*Q578/Prices!B578,T$3*R578*S579)</f>
        <v>-6.9366020154846518E-3</v>
      </c>
    </row>
    <row r="580" spans="1:20" x14ac:dyDescent="0.2">
      <c r="A580" s="4">
        <v>34318</v>
      </c>
      <c r="B580" s="9">
        <f ca="1">Prices!B579*(1+J580/(50*(ABS(O580)+ABS(T580)+0.0001)))</f>
        <v>1.1549608953525434</v>
      </c>
      <c r="C580" s="13">
        <f t="shared" ca="1" si="52"/>
        <v>1</v>
      </c>
      <c r="D580" s="9">
        <f ca="1">D579+C580*(Prices!B580-Prices!B579)/Prices!B579</f>
        <v>-0.54027872277652544</v>
      </c>
      <c r="E580" s="9">
        <f t="shared" ca="1" si="53"/>
        <v>0.57640267403527179</v>
      </c>
      <c r="F580" s="9">
        <f t="shared" ca="1" si="54"/>
        <v>3.6123951258746317E-2</v>
      </c>
      <c r="G580" s="13">
        <f ca="1">IF((Prices!B580-Prices!B579)*B580&gt;0,1,0)</f>
        <v>0</v>
      </c>
      <c r="H580" s="9">
        <f>ABS(Prices!B580-Prices!B579)/Prices!B579</f>
        <v>6.1511423550081107E-4</v>
      </c>
      <c r="I580" s="13"/>
      <c r="J580" s="1">
        <f t="shared" ca="1" si="55"/>
        <v>4.005653048103304E-2</v>
      </c>
      <c r="K580" s="9"/>
      <c r="L580" s="9">
        <f ca="1">L579-O580*Prices!B580</f>
        <v>0.47991556755280157</v>
      </c>
      <c r="M580" s="1">
        <f t="shared" ca="1" si="50"/>
        <v>0.43180916151952414</v>
      </c>
      <c r="N580" s="9">
        <f ca="1">IF(Prices!D579&gt;OFFSET(Prices!D579,-$N$3,0),1,IF(Prices!D579&lt;OFFSET(Prices!D579,-$N$3,0),-1,0))</f>
        <v>1</v>
      </c>
      <c r="O580" s="1">
        <f ca="1">IF(N580=1,O$3*L579/Prices!B579,O$3*M579*N580)</f>
        <v>4.6854400456207999E-2</v>
      </c>
      <c r="P580" s="14"/>
      <c r="Q580" s="9">
        <f ca="1">Q579-T580*Prices!B580</f>
        <v>0.55330043985646693</v>
      </c>
      <c r="R580" s="1">
        <f t="shared" ca="1" si="51"/>
        <v>0.33309562878357302</v>
      </c>
      <c r="S580" s="9">
        <f ca="1">IF(Prices!C579&lt;OFFSET(Prices!C579,-S$3,0),1,IF(Prices!C579&gt;OFFSET(Prices!C579,-S$3,0),-1,0))</f>
        <v>-1</v>
      </c>
      <c r="T580" s="1">
        <f ca="1">IF(S580=1,T$3*Q579/Prices!B579,T$3*R579*S580)</f>
        <v>-6.7978699751749597E-3</v>
      </c>
    </row>
    <row r="581" spans="1:20" x14ac:dyDescent="0.2">
      <c r="A581" s="4">
        <v>34319</v>
      </c>
      <c r="B581" s="9">
        <f ca="1">Prices!B580*(1+J581/(50*(ABS(O581)+ABS(T581)+0.0001)))</f>
        <v>1.1538094778203185</v>
      </c>
      <c r="C581" s="13">
        <f t="shared" ca="1" si="52"/>
        <v>1</v>
      </c>
      <c r="D581" s="9">
        <f ca="1">D580+C581*(Prices!B581-Prices!B580)/Prices!B580</f>
        <v>-0.53834431672711014</v>
      </c>
      <c r="E581" s="9">
        <f t="shared" ca="1" si="53"/>
        <v>0.57446826798585648</v>
      </c>
      <c r="F581" s="9">
        <f t="shared" ca="1" si="54"/>
        <v>3.6123951258746317E-2</v>
      </c>
      <c r="G581" s="13">
        <f ca="1">IF((Prices!B581-Prices!B580)*B581&gt;0,1,0)</f>
        <v>1</v>
      </c>
      <c r="H581" s="9">
        <f>ABS(Prices!B581-Prices!B580)/Prices!B580</f>
        <v>1.934406049415264E-3</v>
      </c>
      <c r="I581" s="13"/>
      <c r="J581" s="1">
        <f t="shared" ca="1" si="55"/>
        <v>3.5535886382633441E-2</v>
      </c>
      <c r="K581" s="9"/>
      <c r="L581" s="9">
        <f ca="1">L580-O581*Prices!B581</f>
        <v>0.43183117563981316</v>
      </c>
      <c r="M581" s="1">
        <f t="shared" ca="1" si="50"/>
        <v>0.47400696047782903</v>
      </c>
      <c r="N581" s="9">
        <f ca="1">IF(Prices!D580&gt;OFFSET(Prices!D580,-$N$3,0),1,IF(Prices!D580&lt;OFFSET(Prices!D580,-$N$3,0),-1,0))</f>
        <v>1</v>
      </c>
      <c r="O581" s="1">
        <f ca="1">IF(N581=1,O$3*L580/Prices!B580,O$3*M580*N581)</f>
        <v>4.2197798958304902E-2</v>
      </c>
      <c r="P581" s="14"/>
      <c r="Q581" s="9">
        <f ca="1">Q580-T581*Prices!B581</f>
        <v>0.56089168923644461</v>
      </c>
      <c r="R581" s="1">
        <f t="shared" ca="1" si="51"/>
        <v>0.32643371620790157</v>
      </c>
      <c r="S581" s="9">
        <f ca="1">IF(Prices!C580&lt;OFFSET(Prices!C580,-S$3,0),1,IF(Prices!C580&gt;OFFSET(Prices!C580,-S$3,0),-1,0))</f>
        <v>-1</v>
      </c>
      <c r="T581" s="1">
        <f ca="1">IF(S581=1,T$3*Q580/Prices!B580,T$3*R580*S581)</f>
        <v>-6.6619125756714609E-3</v>
      </c>
    </row>
    <row r="582" spans="1:20" x14ac:dyDescent="0.2">
      <c r="A582" s="4">
        <v>34320</v>
      </c>
      <c r="B582" s="9">
        <f ca="1">Prices!B581*(1+J582/(50*(ABS(O582)+ABS(T582)+0.0001)))</f>
        <v>1.155555480699799</v>
      </c>
      <c r="C582" s="13">
        <f t="shared" ca="1" si="52"/>
        <v>1</v>
      </c>
      <c r="D582" s="9">
        <f ca="1">D581+C582*(Prices!B582-Prices!B581)/Prices!B581</f>
        <v>-0.53483400518696089</v>
      </c>
      <c r="E582" s="9">
        <f t="shared" ca="1" si="53"/>
        <v>0.57095795644570724</v>
      </c>
      <c r="F582" s="9">
        <f t="shared" ca="1" si="54"/>
        <v>3.6123951258746317E-2</v>
      </c>
      <c r="G582" s="13">
        <f ca="1">IF((Prices!B582-Prices!B581)*B582&gt;0,1,0)</f>
        <v>1</v>
      </c>
      <c r="H582" s="9">
        <f>ABS(Prices!B582-Prices!B581)/Prices!B581</f>
        <v>3.5103115401491913E-3</v>
      </c>
      <c r="I582" s="13"/>
      <c r="J582" s="1">
        <f t="shared" ca="1" si="55"/>
        <v>3.1367874656957652E-2</v>
      </c>
      <c r="K582" s="9"/>
      <c r="L582" s="9">
        <f ca="1">L581-O582*Prices!B582</f>
        <v>0.38849647187990738</v>
      </c>
      <c r="M582" s="1">
        <f t="shared" ca="1" si="50"/>
        <v>0.51190350945894469</v>
      </c>
      <c r="N582" s="9">
        <f ca="1">IF(Prices!D581&gt;OFFSET(Prices!D581,-$N$3,0),1,IF(Prices!D581&lt;OFFSET(Prices!D581,-$N$3,0),-1,0))</f>
        <v>1</v>
      </c>
      <c r="O582" s="1">
        <f ca="1">IF(N582=1,O$3*L581/Prices!B581,O$3*M581*N582)</f>
        <v>3.7896548981115684E-2</v>
      </c>
      <c r="P582" s="14"/>
      <c r="Q582" s="9">
        <f ca="1">Q581-T582*Prices!B582</f>
        <v>0.56835722832611935</v>
      </c>
      <c r="R582" s="1">
        <f t="shared" ca="1" si="51"/>
        <v>0.31990504188374352</v>
      </c>
      <c r="S582" s="9">
        <f ca="1">IF(Prices!C581&lt;OFFSET(Prices!C581,-S$3,0),1,IF(Prices!C581&gt;OFFSET(Prices!C581,-S$3,0),-1,0))</f>
        <v>-1</v>
      </c>
      <c r="T582" s="1">
        <f ca="1">IF(S582=1,T$3*Q581/Prices!B581,T$3*R581*S582)</f>
        <v>-6.5286743241580319E-3</v>
      </c>
    </row>
    <row r="583" spans="1:20" x14ac:dyDescent="0.2">
      <c r="A583" s="4">
        <v>34323</v>
      </c>
      <c r="B583" s="9">
        <f ca="1">Prices!B582*(1+J583/(50*(ABS(O583)+ABS(T583)+0.0001)))</f>
        <v>1.1206696439829686</v>
      </c>
      <c r="C583" s="13">
        <f t="shared" ca="1" si="52"/>
        <v>-1</v>
      </c>
      <c r="D583" s="9">
        <f ca="1">D582+C583*(Prices!B583-Prices!B582)/Prices!B582</f>
        <v>-0.53177322687476147</v>
      </c>
      <c r="E583" s="9">
        <f t="shared" ca="1" si="53"/>
        <v>0.56789717813350782</v>
      </c>
      <c r="F583" s="9">
        <f t="shared" ca="1" si="54"/>
        <v>3.6123951258746317E-2</v>
      </c>
      <c r="G583" s="13">
        <f ca="1">IF((Prices!B583-Prices!B582)*B583&gt;0,1,0)</f>
        <v>0</v>
      </c>
      <c r="H583" s="9">
        <f>ABS(Prices!B583-Prices!B582)/Prices!B582</f>
        <v>3.0607783121994392E-3</v>
      </c>
      <c r="I583" s="13"/>
      <c r="J583" s="1">
        <f t="shared" ca="1" si="55"/>
        <v>-5.758845178356934E-2</v>
      </c>
      <c r="K583" s="9"/>
      <c r="L583" s="9">
        <f ca="1">L582-O583*Prices!B583</f>
        <v>0.44685347195822706</v>
      </c>
      <c r="M583" s="1">
        <f t="shared" ca="1" si="50"/>
        <v>0.46071315851305022</v>
      </c>
      <c r="N583" s="9">
        <f ca="1">IF(Prices!D582&gt;OFFSET(Prices!D582,-$N$3,0),1,IF(Prices!D582&lt;OFFSET(Prices!D582,-$N$3,0),-1,0))</f>
        <v>-1</v>
      </c>
      <c r="O583" s="1">
        <f ca="1">IF(N583=1,O$3*L582/Prices!B582,O$3*M582*N583)</f>
        <v>-5.1190350945894469E-2</v>
      </c>
      <c r="P583" s="14"/>
      <c r="Q583" s="9">
        <f ca="1">Q582-T583*Prices!B583</f>
        <v>0.57565106328106874</v>
      </c>
      <c r="R583" s="1">
        <f t="shared" ca="1" si="51"/>
        <v>0.31350694104606863</v>
      </c>
      <c r="S583" s="9">
        <f ca="1">IF(Prices!C582&lt;OFFSET(Prices!C582,-S$3,0),1,IF(Prices!C582&gt;OFFSET(Prices!C582,-S$3,0),-1,0))</f>
        <v>-1</v>
      </c>
      <c r="T583" s="1">
        <f ca="1">IF(S583=1,T$3*Q582/Prices!B582,T$3*R582*S583)</f>
        <v>-6.3981008376748708E-3</v>
      </c>
    </row>
    <row r="584" spans="1:20" x14ac:dyDescent="0.2">
      <c r="A584" s="4">
        <v>34324</v>
      </c>
      <c r="B584" s="9">
        <f ca="1">Prices!B583*(1+J584/(50*(ABS(O584)+ABS(T584)+0.0001)))</f>
        <v>1.117243477054827</v>
      </c>
      <c r="C584" s="13">
        <f t="shared" ca="1" si="52"/>
        <v>-1</v>
      </c>
      <c r="D584" s="9">
        <f ca="1">D583+C584*(Prices!B584-Prices!B583)/Prices!B583</f>
        <v>-0.53703638476949833</v>
      </c>
      <c r="E584" s="9">
        <f t="shared" ca="1" si="53"/>
        <v>0.57316033602824468</v>
      </c>
      <c r="F584" s="9">
        <f t="shared" ca="1" si="54"/>
        <v>3.6123951258746317E-2</v>
      </c>
      <c r="G584" s="13">
        <f ca="1">IF((Prices!B584-Prices!B583)*B584&gt;0,1,0)</f>
        <v>1</v>
      </c>
      <c r="H584" s="9">
        <f>ABS(Prices!B584-Prices!B583)/Prices!B583</f>
        <v>5.2631578947368472E-3</v>
      </c>
      <c r="I584" s="13"/>
      <c r="J584" s="1">
        <f t="shared" ca="1" si="55"/>
        <v>-5.2341454672226402E-2</v>
      </c>
      <c r="K584" s="9"/>
      <c r="L584" s="9">
        <f ca="1">L583-O584*Prices!B584</f>
        <v>0.49965119992382262</v>
      </c>
      <c r="M584" s="1">
        <f t="shared" ca="1" si="50"/>
        <v>0.4146418426617452</v>
      </c>
      <c r="N584" s="9">
        <f ca="1">IF(Prices!D583&gt;OFFSET(Prices!D583,-$N$3,0),1,IF(Prices!D583&lt;OFFSET(Prices!D583,-$N$3,0),-1,0))</f>
        <v>-1</v>
      </c>
      <c r="O584" s="1">
        <f ca="1">IF(N584=1,O$3*L583/Prices!B583,O$3*M583*N584)</f>
        <v>-4.6071315851305028E-2</v>
      </c>
      <c r="P584" s="14"/>
      <c r="Q584" s="9">
        <f ca="1">Q583-T584*Prices!B584</f>
        <v>0.58283664236984467</v>
      </c>
      <c r="R584" s="1">
        <f t="shared" ca="1" si="51"/>
        <v>0.30723680222514727</v>
      </c>
      <c r="S584" s="9">
        <f ca="1">IF(Prices!C583&lt;OFFSET(Prices!C583,-S$3,0),1,IF(Prices!C583&gt;OFFSET(Prices!C583,-S$3,0),-1,0))</f>
        <v>-1</v>
      </c>
      <c r="T584" s="1">
        <f ca="1">IF(S584=1,T$3*Q583/Prices!B583,T$3*R583*S584)</f>
        <v>-6.2701388209213732E-3</v>
      </c>
    </row>
    <row r="585" spans="1:20" x14ac:dyDescent="0.2">
      <c r="A585" s="4">
        <v>34325</v>
      </c>
      <c r="B585" s="9">
        <f ca="1">Prices!B584*(1+J585/(50*(ABS(O585)+ABS(T585)+0.0001)))</f>
        <v>1.1632229272685317</v>
      </c>
      <c r="C585" s="13">
        <f t="shared" ca="1" si="52"/>
        <v>1</v>
      </c>
      <c r="D585" s="9">
        <f ca="1">D584+C585*(Prices!B585-Prices!B584)/Prices!B584</f>
        <v>-0.53441858372237783</v>
      </c>
      <c r="E585" s="9">
        <f t="shared" ca="1" si="53"/>
        <v>0.57054253498112417</v>
      </c>
      <c r="F585" s="9">
        <f t="shared" ca="1" si="54"/>
        <v>3.6123951258746317E-2</v>
      </c>
      <c r="G585" s="13">
        <f ca="1">IF((Prices!B585-Prices!B584)*B585&gt;0,1,0)</f>
        <v>1</v>
      </c>
      <c r="H585" s="9">
        <f>ABS(Prices!B585-Prices!B584)/Prices!B584</f>
        <v>2.6178010471205183E-3</v>
      </c>
      <c r="I585" s="13"/>
      <c r="J585" s="1">
        <f t="shared" ca="1" si="55"/>
        <v>3.7454845100682276E-2</v>
      </c>
      <c r="K585" s="9"/>
      <c r="L585" s="9">
        <f ca="1">L584-O585*Prices!B585</f>
        <v>0.44955528118800481</v>
      </c>
      <c r="M585" s="1">
        <f t="shared" ca="1" si="50"/>
        <v>0.45824142380693045</v>
      </c>
      <c r="N585" s="9">
        <f ca="1">IF(Prices!D584&gt;OFFSET(Prices!D584,-$N$3,0),1,IF(Prices!D584&lt;OFFSET(Prices!D584,-$N$3,0),-1,0))</f>
        <v>1</v>
      </c>
      <c r="O585" s="1">
        <f ca="1">IF(N585=1,O$3*L584/Prices!B584,O$3*M584*N585)</f>
        <v>4.3599581145185223E-2</v>
      </c>
      <c r="P585" s="14"/>
      <c r="Q585" s="9">
        <f ca="1">Q584-T585*Prices!B585</f>
        <v>0.5898969440849785</v>
      </c>
      <c r="R585" s="1">
        <f t="shared" ca="1" si="51"/>
        <v>0.30109206618064432</v>
      </c>
      <c r="S585" s="9">
        <f ca="1">IF(Prices!C584&lt;OFFSET(Prices!C584,-S$3,0),1,IF(Prices!C584&gt;OFFSET(Prices!C584,-S$3,0),-1,0))</f>
        <v>-1</v>
      </c>
      <c r="T585" s="1">
        <f ca="1">IF(S585=1,T$3*Q584/Prices!B584,T$3*R584*S585)</f>
        <v>-6.1447360445029452E-3</v>
      </c>
    </row>
    <row r="586" spans="1:20" x14ac:dyDescent="0.2">
      <c r="A586" s="4">
        <v>34326</v>
      </c>
      <c r="B586" s="9">
        <f ca="1">Prices!B585*(1+J586/(50*(ABS(O586)+ABS(T586)+0.0001)))</f>
        <v>1.1260642382612887</v>
      </c>
      <c r="C586" s="13">
        <f t="shared" ca="1" si="52"/>
        <v>-1</v>
      </c>
      <c r="D586" s="9">
        <f ca="1">D585+C586*(Prices!B586-Prices!B585)/Prices!B585</f>
        <v>-0.53729064638556323</v>
      </c>
      <c r="E586" s="9">
        <f t="shared" ca="1" si="53"/>
        <v>0.57341459764430958</v>
      </c>
      <c r="F586" s="9">
        <f t="shared" ca="1" si="54"/>
        <v>3.6123951258746317E-2</v>
      </c>
      <c r="G586" s="13">
        <f ca="1">IF((Prices!B586-Prices!B585)*B586&gt;0,1,0)</f>
        <v>1</v>
      </c>
      <c r="H586" s="9">
        <f>ABS(Prices!B586-Prices!B585)/Prices!B585</f>
        <v>2.8720626631854487E-3</v>
      </c>
      <c r="I586" s="13"/>
      <c r="J586" s="1">
        <f t="shared" ca="1" si="55"/>
        <v>-5.1845983704305931E-2</v>
      </c>
      <c r="K586" s="9"/>
      <c r="L586" s="9">
        <f ca="1">L585-O586*Prices!B586</f>
        <v>0.50235844045327738</v>
      </c>
      <c r="M586" s="1">
        <f t="shared" ca="1" si="50"/>
        <v>0.4124172814262374</v>
      </c>
      <c r="N586" s="9">
        <f ca="1">IF(Prices!D585&gt;OFFSET(Prices!D585,-$N$3,0),1,IF(Prices!D585&lt;OFFSET(Prices!D585,-$N$3,0),-1,0))</f>
        <v>-1</v>
      </c>
      <c r="O586" s="1">
        <f ca="1">IF(N586=1,O$3*L585/Prices!B585,O$3*M585*N586)</f>
        <v>-4.5824142380693045E-2</v>
      </c>
      <c r="P586" s="14"/>
      <c r="Q586" s="9">
        <f ca="1">Q585-T586*Prices!B586</f>
        <v>0.59683591184217766</v>
      </c>
      <c r="R586" s="1">
        <f t="shared" ca="1" si="51"/>
        <v>0.29507022485703144</v>
      </c>
      <c r="S586" s="9">
        <f ca="1">IF(Prices!C585&lt;OFFSET(Prices!C585,-S$3,0),1,IF(Prices!C585&gt;OFFSET(Prices!C585,-S$3,0),-1,0))</f>
        <v>-1</v>
      </c>
      <c r="T586" s="1">
        <f ca="1">IF(S586=1,T$3*Q585/Prices!B585,T$3*R585*S586)</f>
        <v>-6.0218413236128865E-3</v>
      </c>
    </row>
    <row r="587" spans="1:20" x14ac:dyDescent="0.2">
      <c r="A587" s="4">
        <v>34327</v>
      </c>
      <c r="B587" s="9">
        <f ca="1">Prices!B586*(1+J587/(50*(ABS(O587)+ABS(T587)+0.0001)))</f>
        <v>1.1293027816931527</v>
      </c>
      <c r="C587" s="13">
        <f t="shared" ca="1" si="52"/>
        <v>-1</v>
      </c>
      <c r="D587" s="9">
        <f ca="1">D586+C587*(Prices!B587-Prices!B586)/Prices!B586</f>
        <v>-0.53616246795980593</v>
      </c>
      <c r="E587" s="9">
        <f t="shared" ca="1" si="53"/>
        <v>0.57228641921855228</v>
      </c>
      <c r="F587" s="9">
        <f t="shared" ca="1" si="54"/>
        <v>3.6123951258746317E-2</v>
      </c>
      <c r="G587" s="13">
        <f ca="1">IF((Prices!B587-Prices!B586)*B587&gt;0,1,0)</f>
        <v>0</v>
      </c>
      <c r="H587" s="9">
        <f>ABS(Prices!B587-Prices!B586)/Prices!B586</f>
        <v>1.1281784257572496E-3</v>
      </c>
      <c r="I587" s="13"/>
      <c r="J587" s="1">
        <f t="shared" ca="1" si="55"/>
        <v>-4.7143132639764371E-2</v>
      </c>
      <c r="K587" s="9"/>
      <c r="L587" s="9">
        <f ca="1">L586-O587*Prices!B587</f>
        <v>0.54982766954543727</v>
      </c>
      <c r="M587" s="1">
        <f t="shared" ca="1" si="50"/>
        <v>0.37117555328361368</v>
      </c>
      <c r="N587" s="9">
        <f ca="1">IF(Prices!D586&gt;OFFSET(Prices!D586,-$N$3,0),1,IF(Prices!D586&lt;OFFSET(Prices!D586,-$N$3,0),-1,0))</f>
        <v>-1</v>
      </c>
      <c r="O587" s="1">
        <f ca="1">IF(N587=1,O$3*L586/Prices!B586,O$3*M586*N587)</f>
        <v>-4.1241728142623744E-2</v>
      </c>
      <c r="P587" s="14"/>
      <c r="Q587" s="9">
        <f ca="1">Q586-T587*Prices!B587</f>
        <v>0.60362842841838649</v>
      </c>
      <c r="R587" s="1">
        <f t="shared" ca="1" si="51"/>
        <v>0.28916882035989083</v>
      </c>
      <c r="S587" s="9">
        <f ca="1">IF(Prices!C586&lt;OFFSET(Prices!C586,-S$3,0),1,IF(Prices!C586&gt;OFFSET(Prices!C586,-S$3,0),-1,0))</f>
        <v>-1</v>
      </c>
      <c r="T587" s="1">
        <f ca="1">IF(S587=1,T$3*Q586/Prices!B586,T$3*R586*S587)</f>
        <v>-5.9014044971406289E-3</v>
      </c>
    </row>
    <row r="588" spans="1:20" x14ac:dyDescent="0.2">
      <c r="A588" s="4">
        <v>34330</v>
      </c>
      <c r="B588" s="9">
        <f ca="1">Prices!B587*(1+J588/(50*(ABS(O588)+ABS(T588)+0.0001)))</f>
        <v>1.1280335337237379</v>
      </c>
      <c r="C588" s="13">
        <f t="shared" ca="1" si="52"/>
        <v>-1</v>
      </c>
      <c r="D588" s="9">
        <f ca="1">D587+C588*(Prices!B588-Prices!B587)/Prices!B587</f>
        <v>-0.53616246795980593</v>
      </c>
      <c r="E588" s="9">
        <f t="shared" ca="1" si="53"/>
        <v>0.57228641921855228</v>
      </c>
      <c r="F588" s="9">
        <f t="shared" ca="1" si="54"/>
        <v>3.6123951258746317E-2</v>
      </c>
      <c r="G588" s="13">
        <f ca="1">IF((Prices!B588-Prices!B587)*B588&gt;0,1,0)</f>
        <v>0</v>
      </c>
      <c r="H588" s="9">
        <f>ABS(Prices!B588-Prices!B587)/Prices!B587</f>
        <v>0</v>
      </c>
      <c r="I588" s="13"/>
      <c r="J588" s="1">
        <f t="shared" ca="1" si="55"/>
        <v>-4.2900931735559186E-2</v>
      </c>
      <c r="K588" s="9"/>
      <c r="L588" s="9">
        <f ca="1">L587-O588*Prices!B588</f>
        <v>0.5925499757283812</v>
      </c>
      <c r="M588" s="1">
        <f t="shared" ca="1" si="50"/>
        <v>0.33405799795525232</v>
      </c>
      <c r="N588" s="9">
        <f ca="1">IF(Prices!D587&gt;OFFSET(Prices!D587,-$N$3,0),1,IF(Prices!D587&lt;OFFSET(Prices!D587,-$N$3,0),-1,0))</f>
        <v>-1</v>
      </c>
      <c r="O588" s="1">
        <f ca="1">IF(N588=1,O$3*L587/Prices!B587,O$3*M587*N588)</f>
        <v>-3.7117555328361369E-2</v>
      </c>
      <c r="P588" s="14"/>
      <c r="Q588" s="9">
        <f ca="1">Q587-T588*Prices!B588</f>
        <v>0.61028509466307113</v>
      </c>
      <c r="R588" s="1">
        <f t="shared" ca="1" si="51"/>
        <v>0.28338544395269299</v>
      </c>
      <c r="S588" s="9">
        <f ca="1">IF(Prices!C587&lt;OFFSET(Prices!C587,-S$3,0),1,IF(Prices!C587&gt;OFFSET(Prices!C587,-S$3,0),-1,0))</f>
        <v>-1</v>
      </c>
      <c r="T588" s="1">
        <f ca="1">IF(S588=1,T$3*Q587/Prices!B587,T$3*R587*S588)</f>
        <v>-5.7833764071978169E-3</v>
      </c>
    </row>
    <row r="589" spans="1:20" x14ac:dyDescent="0.2">
      <c r="A589" s="4">
        <v>34331</v>
      </c>
      <c r="B589" s="9">
        <f ca="1">Prices!B588*(1+J589/(50*(ABS(O589)+ABS(T589)+0.0001)))</f>
        <v>1.1280387642025922</v>
      </c>
      <c r="C589" s="13">
        <f t="shared" ca="1" si="52"/>
        <v>-1</v>
      </c>
      <c r="D589" s="9">
        <f ca="1">D588+C589*(Prices!B589-Prices!B588)/Prices!B588</f>
        <v>-0.53616246795980593</v>
      </c>
      <c r="E589" s="9">
        <f t="shared" ca="1" si="53"/>
        <v>0.57228641921855228</v>
      </c>
      <c r="F589" s="9">
        <f t="shared" ca="1" si="54"/>
        <v>3.6123951258746317E-2</v>
      </c>
      <c r="G589" s="13">
        <f ca="1">IF((Prices!B589-Prices!B588)*B589&gt;0,1,0)</f>
        <v>0</v>
      </c>
      <c r="H589" s="9">
        <f>ABS(Prices!B589-Prices!B588)/Prices!B588</f>
        <v>0</v>
      </c>
      <c r="I589" s="13"/>
      <c r="J589" s="1">
        <f t="shared" ca="1" si="55"/>
        <v>-3.9073508674579094E-2</v>
      </c>
      <c r="K589" s="9"/>
      <c r="L589" s="9">
        <f ca="1">L588-O589*Prices!B589</f>
        <v>0.63100005129303072</v>
      </c>
      <c r="M589" s="1">
        <f t="shared" ca="1" si="50"/>
        <v>0.3006521981597271</v>
      </c>
      <c r="N589" s="9">
        <f ca="1">IF(Prices!D588&gt;OFFSET(Prices!D588,-$N$3,0),1,IF(Prices!D588&lt;OFFSET(Prices!D588,-$N$3,0),-1,0))</f>
        <v>-1</v>
      </c>
      <c r="O589" s="1">
        <f ca="1">IF(N589=1,O$3*L588/Prices!B588,O$3*M588*N589)</f>
        <v>-3.3405799795525236E-2</v>
      </c>
      <c r="P589" s="14"/>
      <c r="Q589" s="9">
        <f ca="1">Q588-T589*Prices!B589</f>
        <v>0.61680862758286215</v>
      </c>
      <c r="R589" s="1">
        <f t="shared" ca="1" si="51"/>
        <v>0.27771773507363912</v>
      </c>
      <c r="S589" s="9">
        <f ca="1">IF(Prices!C588&lt;OFFSET(Prices!C588,-S$3,0),1,IF(Prices!C588&gt;OFFSET(Prices!C588,-S$3,0),-1,0))</f>
        <v>-1</v>
      </c>
      <c r="T589" s="1">
        <f ca="1">IF(S589=1,T$3*Q588/Prices!B588,T$3*R588*S589)</f>
        <v>-5.6677088790538597E-3</v>
      </c>
    </row>
    <row r="590" spans="1:20" x14ac:dyDescent="0.2">
      <c r="A590" s="4">
        <v>34332</v>
      </c>
      <c r="B590" s="9">
        <f ca="1">Prices!B589*(1+J590/(50*(ABS(O590)+ABS(T590)+0.0001)))</f>
        <v>1.1697534577299284</v>
      </c>
      <c r="C590" s="13">
        <f t="shared" ca="1" si="52"/>
        <v>1</v>
      </c>
      <c r="D590" s="9">
        <f ca="1">D589+C590*(Prices!B590-Prices!B589)/Prices!B589</f>
        <v>-0.54902085197370687</v>
      </c>
      <c r="E590" s="9">
        <f t="shared" ca="1" si="53"/>
        <v>0.58514480323245321</v>
      </c>
      <c r="F590" s="9">
        <f t="shared" ca="1" si="54"/>
        <v>3.6123951258746317E-2</v>
      </c>
      <c r="G590" s="13">
        <f ca="1">IF((Prices!B590-Prices!B589)*B590&gt;0,1,0)</f>
        <v>0</v>
      </c>
      <c r="H590" s="9">
        <f>ABS(Prices!B590-Prices!B589)/Prices!B589</f>
        <v>1.285838401390089E-2</v>
      </c>
      <c r="I590" s="13"/>
      <c r="J590" s="1">
        <f t="shared" ca="1" si="55"/>
        <v>4.9267543760128492E-2</v>
      </c>
      <c r="K590" s="9"/>
      <c r="L590" s="9">
        <f ca="1">L589-O590*Prices!B590</f>
        <v>0.56871141026095939</v>
      </c>
      <c r="M590" s="1">
        <f t="shared" ca="1" si="50"/>
        <v>0.35547409662132839</v>
      </c>
      <c r="N590" s="9">
        <f ca="1">IF(Prices!D589&gt;OFFSET(Prices!D589,-$N$3,0),1,IF(Prices!D589&lt;OFFSET(Prices!D589,-$N$3,0),-1,0))</f>
        <v>1</v>
      </c>
      <c r="O590" s="1">
        <f ca="1">IF(N590=1,O$3*L589/Prices!B589,O$3*M589*N590)</f>
        <v>5.4821898461601272E-2</v>
      </c>
      <c r="P590" s="14"/>
      <c r="Q590" s="9">
        <f ca="1">Q589-T590*Prices!B590</f>
        <v>0.62311948539467554</v>
      </c>
      <c r="R590" s="1">
        <f t="shared" ca="1" si="51"/>
        <v>0.27216338037216631</v>
      </c>
      <c r="S590" s="9">
        <f ca="1">IF(Prices!C589&lt;OFFSET(Prices!C589,-S$3,0),1,IF(Prices!C589&gt;OFFSET(Prices!C589,-S$3,0),-1,0))</f>
        <v>-1</v>
      </c>
      <c r="T590" s="1">
        <f ca="1">IF(S590=1,T$3*Q589/Prices!B589,T$3*R589*S590)</f>
        <v>-5.5543547014727827E-3</v>
      </c>
    </row>
    <row r="591" spans="1:20" x14ac:dyDescent="0.2">
      <c r="A591" s="4">
        <v>34333</v>
      </c>
      <c r="B591" s="9">
        <f ca="1">Prices!B590*(1+J591/(50*(ABS(O591)+ABS(T591)+0.0001)))</f>
        <v>1.1544335118547409</v>
      </c>
      <c r="C591" s="13">
        <f t="shared" ca="1" si="52"/>
        <v>1</v>
      </c>
      <c r="D591" s="9">
        <f ca="1">D590+C591*(Prices!B591-Prices!B590)/Prices!B590</f>
        <v>-0.55711801796560978</v>
      </c>
      <c r="E591" s="9">
        <f t="shared" ca="1" si="53"/>
        <v>0.59324196922435612</v>
      </c>
      <c r="F591" s="9">
        <f t="shared" ca="1" si="54"/>
        <v>3.6123951258746317E-2</v>
      </c>
      <c r="G591" s="13">
        <f ca="1">IF((Prices!B591-Prices!B590)*B591&gt;0,1,0)</f>
        <v>0</v>
      </c>
      <c r="H591" s="9">
        <f>ABS(Prices!B591-Prices!B590)/Prices!B590</f>
        <v>8.0971659919029191E-3</v>
      </c>
      <c r="I591" s="13"/>
      <c r="J591" s="1">
        <f t="shared" ca="1" si="55"/>
        <v>4.4610544244427772E-2</v>
      </c>
      <c r="K591" s="9"/>
      <c r="L591" s="9">
        <f ca="1">L590-O591*Prices!B591</f>
        <v>0.5123007643039007</v>
      </c>
      <c r="M591" s="1">
        <f t="shared" ca="1" si="50"/>
        <v>0.40552790847319947</v>
      </c>
      <c r="N591" s="9">
        <f ca="1">IF(Prices!D590&gt;OFFSET(Prices!D590,-$N$3,0),1,IF(Prices!D590&lt;OFFSET(Prices!D590,-$N$3,0),-1,0))</f>
        <v>1</v>
      </c>
      <c r="O591" s="1">
        <f ca="1">IF(N591=1,O$3*L590/Prices!B590,O$3*M590*N591)</f>
        <v>5.0053811851871098E-2</v>
      </c>
      <c r="P591" s="14"/>
      <c r="Q591" s="9">
        <f ca="1">Q590-T591*Prices!B591</f>
        <v>0.62925404798826412</v>
      </c>
      <c r="R591" s="1">
        <f t="shared" ca="1" si="51"/>
        <v>0.26672011276472296</v>
      </c>
      <c r="S591" s="9">
        <f ca="1">IF(Prices!C590&lt;OFFSET(Prices!C590,-S$3,0),1,IF(Prices!C590&gt;OFFSET(Prices!C590,-S$3,0),-1,0))</f>
        <v>-1</v>
      </c>
      <c r="T591" s="1">
        <f ca="1">IF(S591=1,T$3*Q590/Prices!B590,T$3*R590*S591)</f>
        <v>-5.4432676074433264E-3</v>
      </c>
    </row>
    <row r="592" spans="1:20" x14ac:dyDescent="0.2">
      <c r="A592" s="4">
        <v>34334</v>
      </c>
      <c r="B592" s="9">
        <f ca="1">Prices!B591*(1+J592/(50*(ABS(O592)+ABS(T592)+0.0001)))</f>
        <v>1.1447704577098696</v>
      </c>
      <c r="C592" s="13">
        <f t="shared" ca="1" si="52"/>
        <v>1</v>
      </c>
      <c r="D592" s="9">
        <f ca="1">D591+C592*(Prices!B592-Prices!B591)/Prices!B591</f>
        <v>-0.55942502772603564</v>
      </c>
      <c r="E592" s="9">
        <f t="shared" ca="1" si="53"/>
        <v>0.59554897898478198</v>
      </c>
      <c r="F592" s="9">
        <f t="shared" ca="1" si="54"/>
        <v>3.6123951258746317E-2</v>
      </c>
      <c r="G592" s="13">
        <f ca="1">IF((Prices!B592-Prices!B591)*B592&gt;0,1,0)</f>
        <v>0</v>
      </c>
      <c r="H592" s="9">
        <f>ABS(Prices!B592-Prices!B591)/Prices!B591</f>
        <v>2.3070097604258526E-3</v>
      </c>
      <c r="I592" s="13"/>
      <c r="J592" s="1">
        <f t="shared" ca="1" si="55"/>
        <v>4.0122630957119085E-2</v>
      </c>
      <c r="K592" s="9"/>
      <c r="L592" s="9">
        <f ca="1">L591-O592*Prices!B592</f>
        <v>0.46118887615986293</v>
      </c>
      <c r="M592" s="1">
        <f t="shared" ca="1" si="50"/>
        <v>0.45098494168561304</v>
      </c>
      <c r="N592" s="9">
        <f ca="1">IF(Prices!D591&gt;OFFSET(Prices!D591,-$N$3,0),1,IF(Prices!D591&lt;OFFSET(Prices!D591,-$N$3,0),-1,0))</f>
        <v>1</v>
      </c>
      <c r="O592" s="1">
        <f ca="1">IF(N592=1,O$3*L591/Prices!B591,O$3*M591*N592)</f>
        <v>4.5457033212413546E-2</v>
      </c>
      <c r="P592" s="14"/>
      <c r="Q592" s="9">
        <f ca="1">Q591-T592*Prices!B592</f>
        <v>0.63525204988411721</v>
      </c>
      <c r="R592" s="1">
        <f t="shared" ca="1" si="51"/>
        <v>0.26138571050942849</v>
      </c>
      <c r="S592" s="9">
        <f ca="1">IF(Prices!C591&lt;OFFSET(Prices!C591,-S$3,0),1,IF(Prices!C591&gt;OFFSET(Prices!C591,-S$3,0),-1,0))</f>
        <v>-1</v>
      </c>
      <c r="T592" s="1">
        <f ca="1">IF(S592=1,T$3*Q591/Prices!B591,T$3*R591*S592)</f>
        <v>-5.3344022552944594E-3</v>
      </c>
    </row>
    <row r="593" spans="1:20" x14ac:dyDescent="0.2">
      <c r="A593" s="4">
        <v>34337</v>
      </c>
      <c r="B593" s="9">
        <f ca="1">Prices!B592*(1+J593/(50*(ABS(O593)+ABS(T593)+0.0001)))</f>
        <v>1.141766092672833</v>
      </c>
      <c r="C593" s="13">
        <f t="shared" ca="1" si="52"/>
        <v>1</v>
      </c>
      <c r="D593" s="9">
        <f ca="1">D592+C593*(Prices!B593-Prices!B592)/Prices!B592</f>
        <v>-0.55764630129416082</v>
      </c>
      <c r="E593" s="9">
        <f t="shared" ca="1" si="53"/>
        <v>0.59377025255290716</v>
      </c>
      <c r="F593" s="9">
        <f t="shared" ca="1" si="54"/>
        <v>3.6123951258746317E-2</v>
      </c>
      <c r="G593" s="13">
        <f ca="1">IF((Prices!B593-Prices!B592)*B593&gt;0,1,0)</f>
        <v>1</v>
      </c>
      <c r="H593" s="9">
        <f>ABS(Prices!B593-Prices!B592)/Prices!B592</f>
        <v>1.7787264318747792E-3</v>
      </c>
      <c r="I593" s="13"/>
      <c r="J593" s="1">
        <f t="shared" ca="1" si="55"/>
        <v>3.5788727995420017E-2</v>
      </c>
      <c r="K593" s="9"/>
      <c r="L593" s="9">
        <f ca="1">L592-O593*Prices!B593</f>
        <v>0.41498795565946539</v>
      </c>
      <c r="M593" s="1">
        <f t="shared" ca="1" si="50"/>
        <v>0.49200138389122161</v>
      </c>
      <c r="N593" s="9">
        <f ca="1">IF(Prices!D592&gt;OFFSET(Prices!D592,-$N$3,0),1,IF(Prices!D592&lt;OFFSET(Prices!D592,-$N$3,0),-1,0))</f>
        <v>1</v>
      </c>
      <c r="O593" s="1">
        <f ca="1">IF(N593=1,O$3*L592/Prices!B592,O$3*M592*N593)</f>
        <v>4.1016442205608586E-2</v>
      </c>
      <c r="P593" s="14"/>
      <c r="Q593" s="9">
        <f ca="1">Q592-T593*Prices!B593</f>
        <v>0.64114054717047364</v>
      </c>
      <c r="R593" s="1">
        <f t="shared" ca="1" si="51"/>
        <v>0.25615799629923991</v>
      </c>
      <c r="S593" s="9">
        <f ca="1">IF(Prices!C592&lt;OFFSET(Prices!C592,-S$3,0),1,IF(Prices!C592&gt;OFFSET(Prices!C592,-S$3,0),-1,0))</f>
        <v>-1</v>
      </c>
      <c r="T593" s="1">
        <f ca="1">IF(S593=1,T$3*Q592/Prices!B592,T$3*R592*S593)</f>
        <v>-5.2277142101885702E-3</v>
      </c>
    </row>
    <row r="594" spans="1:20" x14ac:dyDescent="0.2">
      <c r="A594" s="4">
        <v>34338</v>
      </c>
      <c r="B594" s="9">
        <f ca="1">Prices!B593*(1+J594/(50*(ABS(O594)+ABS(T594)+0.0001)))</f>
        <v>1.1433870236309589</v>
      </c>
      <c r="C594" s="13">
        <f t="shared" ca="1" si="52"/>
        <v>1</v>
      </c>
      <c r="D594" s="9">
        <f ca="1">D593+C594*(Prices!B594-Prices!B593)/Prices!B593</f>
        <v>-0.55924431265779717</v>
      </c>
      <c r="E594" s="9">
        <f t="shared" ca="1" si="53"/>
        <v>0.59536826391654352</v>
      </c>
      <c r="F594" s="9">
        <f t="shared" ca="1" si="54"/>
        <v>3.6123951258746317E-2</v>
      </c>
      <c r="G594" s="13">
        <f ca="1">IF((Prices!B594-Prices!B593)*B594&gt;0,1,0)</f>
        <v>0</v>
      </c>
      <c r="H594" s="9">
        <f>ABS(Prices!B594-Prices!B593)/Prices!B593</f>
        <v>1.5980113636363848E-3</v>
      </c>
      <c r="I594" s="13"/>
      <c r="J594" s="1">
        <f t="shared" ca="1" si="55"/>
        <v>3.1718810569351268E-2</v>
      </c>
      <c r="K594" s="9"/>
      <c r="L594" s="9">
        <f ca="1">L593-O594*Prices!B594</f>
        <v>0.37355547564041047</v>
      </c>
      <c r="M594" s="1">
        <f t="shared" ref="M594:M657" ca="1" si="56">M593+O594</f>
        <v>0.52884335438655772</v>
      </c>
      <c r="N594" s="9">
        <f ca="1">IF(Prices!D593&gt;OFFSET(Prices!D593,-$N$3,0),1,IF(Prices!D593&lt;OFFSET(Prices!D593,-$N$3,0),-1,0))</f>
        <v>1</v>
      </c>
      <c r="O594" s="1">
        <f ca="1">IF(N594=1,O$3*L593/Prices!B593,O$3*M593*N594)</f>
        <v>3.6841970495336065E-2</v>
      </c>
      <c r="P594" s="14"/>
      <c r="Q594" s="9">
        <f ca="1">Q593-T594*Prices!B594</f>
        <v>0.6469020528232361</v>
      </c>
      <c r="R594" s="1">
        <f t="shared" ref="R594:R657" ca="1" si="57">R593+T594</f>
        <v>0.25103483637325513</v>
      </c>
      <c r="S594" s="9">
        <f ca="1">IF(Prices!C593&lt;OFFSET(Prices!C593,-S$3,0),1,IF(Prices!C593&gt;OFFSET(Prices!C593,-S$3,0),-1,0))</f>
        <v>-1</v>
      </c>
      <c r="T594" s="1">
        <f ca="1">IF(S594=1,T$3*Q593/Prices!B593,T$3*R593*S594)</f>
        <v>-5.1231599259847979E-3</v>
      </c>
    </row>
    <row r="595" spans="1:20" x14ac:dyDescent="0.2">
      <c r="A595" s="4">
        <v>34339</v>
      </c>
      <c r="B595" s="9">
        <f ca="1">Prices!B594*(1+J595/(50*(ABS(O595)+ABS(T595)+0.0001)))</f>
        <v>1.1411421965768305</v>
      </c>
      <c r="C595" s="13">
        <f t="shared" ca="1" si="52"/>
        <v>1</v>
      </c>
      <c r="D595" s="9">
        <f ca="1">D594+C595*(Prices!B595-Prices!B594)/Prices!B594</f>
        <v>-0.55871078962738641</v>
      </c>
      <c r="E595" s="9">
        <f t="shared" ca="1" si="53"/>
        <v>0.59483474088613275</v>
      </c>
      <c r="F595" s="9">
        <f t="shared" ca="1" si="54"/>
        <v>3.6123951258746317E-2</v>
      </c>
      <c r="G595" s="13">
        <f ca="1">IF((Prices!B595-Prices!B594)*B595&gt;0,1,0)</f>
        <v>1</v>
      </c>
      <c r="H595" s="9">
        <f>ABS(Prices!B595-Prices!B594)/Prices!B594</f>
        <v>5.3352303041075393E-4</v>
      </c>
      <c r="I595" s="13"/>
      <c r="J595" s="1">
        <f t="shared" ca="1" si="55"/>
        <v>2.8196044837572282E-2</v>
      </c>
      <c r="K595" s="9"/>
      <c r="L595" s="9">
        <f ca="1">L594-O595*Prices!B595</f>
        <v>0.33617999803143039</v>
      </c>
      <c r="M595" s="1">
        <f t="shared" ca="1" si="56"/>
        <v>0.56206009595159512</v>
      </c>
      <c r="N595" s="9">
        <f ca="1">IF(Prices!D594&gt;OFFSET(Prices!D594,-$N$3,0),1,IF(Prices!D594&lt;OFFSET(Prices!D594,-$N$3,0),-1,0))</f>
        <v>1</v>
      </c>
      <c r="O595" s="1">
        <f ca="1">IF(N595=1,O$3*L594/Prices!B594,O$3*M594*N595)</f>
        <v>3.3216741565037386E-2</v>
      </c>
      <c r="P595" s="14"/>
      <c r="Q595" s="9">
        <f ca="1">Q594-T595*Prices!B595</f>
        <v>0.65255134078097987</v>
      </c>
      <c r="R595" s="1">
        <f t="shared" ca="1" si="57"/>
        <v>0.24601413964579003</v>
      </c>
      <c r="S595" s="9">
        <f ca="1">IF(Prices!C594&lt;OFFSET(Prices!C594,-S$3,0),1,IF(Prices!C594&gt;OFFSET(Prices!C594,-S$3,0),-1,0))</f>
        <v>-1</v>
      </c>
      <c r="T595" s="1">
        <f ca="1">IF(S595=1,T$3*Q594/Prices!B594,T$3*R594*S595)</f>
        <v>-5.0206967274651028E-3</v>
      </c>
    </row>
    <row r="596" spans="1:20" x14ac:dyDescent="0.2">
      <c r="A596" s="4">
        <v>34340</v>
      </c>
      <c r="B596" s="9">
        <f ca="1">Prices!B595*(1+J596/(50*(ABS(O596)+ABS(T596)+0.0001)))</f>
        <v>1.1027327554511668</v>
      </c>
      <c r="C596" s="13">
        <f t="shared" ca="1" si="52"/>
        <v>-1</v>
      </c>
      <c r="D596" s="9">
        <f ca="1">D595+C596*(Prices!B596-Prices!B595)/Prices!B595</f>
        <v>-0.55871078962738641</v>
      </c>
      <c r="E596" s="9">
        <f t="shared" ca="1" si="53"/>
        <v>0.59483474088613275</v>
      </c>
      <c r="F596" s="9">
        <f t="shared" ca="1" si="54"/>
        <v>3.6123951258746317E-2</v>
      </c>
      <c r="G596" s="13">
        <f ca="1">IF((Prices!B596-Prices!B595)*B596&gt;0,1,0)</f>
        <v>0</v>
      </c>
      <c r="H596" s="9">
        <f>ABS(Prices!B596-Prices!B595)/Prices!B595</f>
        <v>0</v>
      </c>
      <c r="I596" s="13"/>
      <c r="J596" s="1">
        <f t="shared" ca="1" si="55"/>
        <v>-6.1126292388075314E-2</v>
      </c>
      <c r="K596" s="9"/>
      <c r="L596" s="9">
        <f ca="1">L595-O596*Prices!B596</f>
        <v>0.39942300002790387</v>
      </c>
      <c r="M596" s="1">
        <f t="shared" ca="1" si="56"/>
        <v>0.50585408635643558</v>
      </c>
      <c r="N596" s="9">
        <f ca="1">IF(Prices!D595&gt;OFFSET(Prices!D595,-$N$3,0),1,IF(Prices!D595&lt;OFFSET(Prices!D595,-$N$3,0),-1,0))</f>
        <v>-1</v>
      </c>
      <c r="O596" s="1">
        <f ca="1">IF(N596=1,O$3*L595/Prices!B595,O$3*M595*N596)</f>
        <v>-5.6206009595159513E-2</v>
      </c>
      <c r="P596" s="14"/>
      <c r="Q596" s="9">
        <f ca="1">Q595-T596*Prices!B596</f>
        <v>0.65808764297956868</v>
      </c>
      <c r="R596" s="1">
        <f t="shared" ca="1" si="57"/>
        <v>0.24109385685287421</v>
      </c>
      <c r="S596" s="9">
        <f ca="1">IF(Prices!C595&lt;OFFSET(Prices!C595,-S$3,0),1,IF(Prices!C595&gt;OFFSET(Prices!C595,-S$3,0),-1,0))</f>
        <v>-1</v>
      </c>
      <c r="T596" s="1">
        <f ca="1">IF(S596=1,T$3*Q595/Prices!B595,T$3*R595*S596)</f>
        <v>-4.9202827929158005E-3</v>
      </c>
    </row>
    <row r="597" spans="1:20" x14ac:dyDescent="0.2">
      <c r="A597" s="4">
        <v>34341</v>
      </c>
      <c r="B597" s="9">
        <f ca="1">Prices!B596*(1+J597/(50*(ABS(O597)+ABS(T597)+0.0001)))</f>
        <v>1.1027365424255333</v>
      </c>
      <c r="C597" s="13">
        <f t="shared" ca="1" si="52"/>
        <v>-1</v>
      </c>
      <c r="D597" s="9">
        <f ca="1">D596+C597*(Prices!B597-Prices!B596)/Prices!B596</f>
        <v>-0.5623545862857583</v>
      </c>
      <c r="E597" s="9">
        <f t="shared" ca="1" si="53"/>
        <v>0.59847853754450464</v>
      </c>
      <c r="F597" s="9">
        <f t="shared" ca="1" si="54"/>
        <v>3.6123951258746317E-2</v>
      </c>
      <c r="G597" s="13">
        <f ca="1">IF((Prices!B597-Prices!B596)*B597&gt;0,1,0)</f>
        <v>1</v>
      </c>
      <c r="H597" s="9">
        <f>ABS(Prices!B597-Prices!B596)/Prices!B596</f>
        <v>3.6437966583718383E-3</v>
      </c>
      <c r="I597" s="13"/>
      <c r="J597" s="1">
        <f t="shared" ca="1" si="55"/>
        <v>-5.540728577270105E-2</v>
      </c>
      <c r="K597" s="9"/>
      <c r="L597" s="9">
        <f ca="1">L596-O597*Prices!B597</f>
        <v>0.45654910200013615</v>
      </c>
      <c r="M597" s="1">
        <f t="shared" ca="1" si="56"/>
        <v>0.45526867772079205</v>
      </c>
      <c r="N597" s="9">
        <f ca="1">IF(Prices!D596&gt;OFFSET(Prices!D596,-$N$3,0),1,IF(Prices!D596&lt;OFFSET(Prices!D596,-$N$3,0),-1,0))</f>
        <v>-1</v>
      </c>
      <c r="O597" s="1">
        <f ca="1">IF(N597=1,O$3*L596/Prices!B596,O$3*M596*N597)</f>
        <v>-5.0585408635643564E-2</v>
      </c>
      <c r="P597" s="14"/>
      <c r="Q597" s="9">
        <f ca="1">Q596-T597*Prices!B597</f>
        <v>0.66353298883044765</v>
      </c>
      <c r="R597" s="1">
        <f t="shared" ca="1" si="57"/>
        <v>0.23627197971581673</v>
      </c>
      <c r="S597" s="9">
        <f ca="1">IF(Prices!C596&lt;OFFSET(Prices!C596,-S$3,0),1,IF(Prices!C596&gt;OFFSET(Prices!C596,-S$3,0),-1,0))</f>
        <v>-1</v>
      </c>
      <c r="T597" s="1">
        <f ca="1">IF(S597=1,T$3*Q596/Prices!B596,T$3*R596*S597)</f>
        <v>-4.8218771370574847E-3</v>
      </c>
    </row>
    <row r="598" spans="1:20" x14ac:dyDescent="0.2">
      <c r="A598" s="4">
        <v>34344</v>
      </c>
      <c r="B598" s="9">
        <f ca="1">Prices!B597*(1+J598/(50*(ABS(O598)+ABS(T598)+0.0001)))</f>
        <v>1.1160047406629017</v>
      </c>
      <c r="C598" s="13">
        <f t="shared" ca="1" si="52"/>
        <v>-1</v>
      </c>
      <c r="D598" s="9">
        <f ca="1">D597+C598*(Prices!B598-Prices!B597)/Prices!B597</f>
        <v>-0.56022937597848832</v>
      </c>
      <c r="E598" s="9">
        <f t="shared" ca="1" si="53"/>
        <v>0.59635332723723466</v>
      </c>
      <c r="F598" s="9">
        <f t="shared" ca="1" si="54"/>
        <v>3.6123951258746317E-2</v>
      </c>
      <c r="G598" s="13">
        <f ca="1">IF((Prices!B598-Prices!B597)*B598&gt;0,1,0)</f>
        <v>0</v>
      </c>
      <c r="H598" s="9">
        <f>ABS(Prices!B598-Prices!B597)/Prices!B597</f>
        <v>2.1252103072699527E-3</v>
      </c>
      <c r="I598" s="13"/>
      <c r="J598" s="1">
        <f t="shared" ca="1" si="55"/>
        <v>-3.377564154644478E-2</v>
      </c>
      <c r="K598" s="9"/>
      <c r="L598" s="9">
        <f ca="1">L597-O598*Prices!B598</f>
        <v>0.50785332929249216</v>
      </c>
      <c r="M598" s="1">
        <f t="shared" ca="1" si="56"/>
        <v>0.40974180994871284</v>
      </c>
      <c r="N598" s="9">
        <f ca="1">IF(Prices!D597&gt;OFFSET(Prices!D597,-$N$3,0),1,IF(Prices!D597&lt;OFFSET(Prices!D597,-$N$3,0),-1,0))</f>
        <v>-1</v>
      </c>
      <c r="O598" s="1">
        <f ca="1">IF(N598=1,O$3*L597/Prices!B597,O$3*M597*N598)</f>
        <v>-4.5526867772079205E-2</v>
      </c>
      <c r="P598" s="14"/>
      <c r="Q598" s="9">
        <f ca="1">Q597-T598*Prices!B598</f>
        <v>0.65029053199678022</v>
      </c>
      <c r="R598" s="1">
        <f t="shared" ca="1" si="57"/>
        <v>0.24802320594145116</v>
      </c>
      <c r="S598" s="9">
        <f ca="1">IF(Prices!C597&lt;OFFSET(Prices!C597,-S$3,0),1,IF(Prices!C597&gt;OFFSET(Prices!C597,-S$3,0),-1,0))</f>
        <v>1</v>
      </c>
      <c r="T598" s="1">
        <f ca="1">IF(S598=1,T$3*Q597/Prices!B597,T$3*R597*S598)</f>
        <v>1.1751226225634423E-2</v>
      </c>
    </row>
    <row r="599" spans="1:20" x14ac:dyDescent="0.2">
      <c r="A599" s="4">
        <v>34345</v>
      </c>
      <c r="B599" s="9">
        <f ca="1">Prices!B598*(1+J599/(50*(ABS(O599)+ABS(T599)+0.0001)))</f>
        <v>1.1142922890250149</v>
      </c>
      <c r="C599" s="13">
        <f t="shared" ca="1" si="52"/>
        <v>-1</v>
      </c>
      <c r="D599" s="9">
        <f ca="1">D598+C599*(Prices!B599-Prices!B598)/Prices!B598</f>
        <v>-0.55676855425517657</v>
      </c>
      <c r="E599" s="9">
        <f t="shared" ca="1" si="53"/>
        <v>0.59289250551392292</v>
      </c>
      <c r="F599" s="9">
        <f t="shared" ca="1" si="54"/>
        <v>3.6123951258746317E-2</v>
      </c>
      <c r="G599" s="13">
        <f ca="1">IF((Prices!B599-Prices!B598)*B599&gt;0,1,0)</f>
        <v>0</v>
      </c>
      <c r="H599" s="9">
        <f>ABS(Prices!B599-Prices!B598)/Prices!B598</f>
        <v>3.4608217233117532E-3</v>
      </c>
      <c r="I599" s="13"/>
      <c r="J599" s="1">
        <f t="shared" ca="1" si="55"/>
        <v>-2.943295227898203E-2</v>
      </c>
      <c r="K599" s="9"/>
      <c r="L599" s="9">
        <f ca="1">L598-O599*Prices!B599</f>
        <v>0.55386733454973258</v>
      </c>
      <c r="M599" s="1">
        <f t="shared" ca="1" si="56"/>
        <v>0.36876762895384158</v>
      </c>
      <c r="N599" s="9">
        <f ca="1">IF(Prices!D598&gt;OFFSET(Prices!D598,-$N$3,0),1,IF(Prices!D598&lt;OFFSET(Prices!D598,-$N$3,0),-1,0))</f>
        <v>-1</v>
      </c>
      <c r="O599" s="1">
        <f ca="1">IF(N599=1,O$3*L598/Prices!B598,O$3*M598*N599)</f>
        <v>-4.0974180994871288E-2</v>
      </c>
      <c r="P599" s="14"/>
      <c r="Q599" s="9">
        <f ca="1">Q598-T599*Prices!B599</f>
        <v>0.63732973214883659</v>
      </c>
      <c r="R599" s="1">
        <f t="shared" ca="1" si="57"/>
        <v>0.25956443465734041</v>
      </c>
      <c r="S599" s="9">
        <f ca="1">IF(Prices!C598&lt;OFFSET(Prices!C598,-S$3,0),1,IF(Prices!C598&gt;OFFSET(Prices!C598,-S$3,0),-1,0))</f>
        <v>1</v>
      </c>
      <c r="T599" s="1">
        <f ca="1">IF(S599=1,T$3*Q598/Prices!B598,T$3*R598*S599)</f>
        <v>1.1541228715889256E-2</v>
      </c>
    </row>
    <row r="600" spans="1:20" x14ac:dyDescent="0.2">
      <c r="A600" s="4">
        <v>34346</v>
      </c>
      <c r="B600" s="9">
        <f ca="1">Prices!B599*(1+J600/(50*(ABS(O600)+ABS(T600)+0.0001)))</f>
        <v>1.1111367090644413</v>
      </c>
      <c r="C600" s="13">
        <f t="shared" ca="1" si="52"/>
        <v>-1</v>
      </c>
      <c r="D600" s="9">
        <f ca="1">D599+C600*(Prices!B600-Prices!B599)/Prices!B599</f>
        <v>-0.55970711169061738</v>
      </c>
      <c r="E600" s="9">
        <f t="shared" ca="1" si="53"/>
        <v>0.59583106294936372</v>
      </c>
      <c r="F600" s="9">
        <f t="shared" ca="1" si="54"/>
        <v>3.6123951258746317E-2</v>
      </c>
      <c r="G600" s="13">
        <f ca="1">IF((Prices!B600-Prices!B599)*B600&gt;0,1,0)</f>
        <v>1</v>
      </c>
      <c r="H600" s="9">
        <f>ABS(Prices!B600-Prices!B599)/Prices!B599</f>
        <v>2.9385574354408553E-3</v>
      </c>
      <c r="I600" s="13"/>
      <c r="J600" s="1">
        <f t="shared" ca="1" si="55"/>
        <v>-2.5526277906090536E-2</v>
      </c>
      <c r="K600" s="9"/>
      <c r="L600" s="9">
        <f ca="1">L599-O600*Prices!B600</f>
        <v>0.59540163259880374</v>
      </c>
      <c r="M600" s="1">
        <f t="shared" ca="1" si="56"/>
        <v>0.33189086605845741</v>
      </c>
      <c r="N600" s="9">
        <f ca="1">IF(Prices!D599&gt;OFFSET(Prices!D599,-$N$3,0),1,IF(Prices!D599&lt;OFFSET(Prices!D599,-$N$3,0),-1,0))</f>
        <v>-1</v>
      </c>
      <c r="O600" s="1">
        <f ca="1">IF(N600=1,O$3*L599/Prices!B599,O$3*M599*N600)</f>
        <v>-3.6876762895384156E-2</v>
      </c>
      <c r="P600" s="14"/>
      <c r="Q600" s="9">
        <f ca="1">Q599-T600*Prices!B600</f>
        <v>0.6245456809053952</v>
      </c>
      <c r="R600" s="1">
        <f t="shared" ca="1" si="57"/>
        <v>0.27091491964663406</v>
      </c>
      <c r="S600" s="9">
        <f ca="1">IF(Prices!C599&lt;OFFSET(Prices!C599,-S$3,0),1,IF(Prices!C599&gt;OFFSET(Prices!C599,-S$3,0),-1,0))</f>
        <v>1</v>
      </c>
      <c r="T600" s="1">
        <f ca="1">IF(S600=1,T$3*Q599/Prices!B599,T$3*R599*S600)</f>
        <v>1.1350484989293618E-2</v>
      </c>
    </row>
    <row r="601" spans="1:20" x14ac:dyDescent="0.2">
      <c r="A601" s="4">
        <v>34347</v>
      </c>
      <c r="B601" s="9">
        <f ca="1">Prices!B600*(1+J601/(50*(ABS(O601)+ABS(T601)+0.0001)))</f>
        <v>1.1150830806241869</v>
      </c>
      <c r="C601" s="13">
        <f t="shared" ca="1" si="52"/>
        <v>-1</v>
      </c>
      <c r="D601" s="9">
        <f ca="1">D600+C601*(Prices!B601-Prices!B600)/Prices!B600</f>
        <v>-0.55251542208749216</v>
      </c>
      <c r="E601" s="9">
        <f t="shared" ca="1" si="53"/>
        <v>0.5886393733462385</v>
      </c>
      <c r="F601" s="9">
        <f t="shared" ca="1" si="54"/>
        <v>3.6123951258746317E-2</v>
      </c>
      <c r="G601" s="13">
        <f ca="1">IF((Prices!B601-Prices!B600)*B601&gt;0,1,0)</f>
        <v>0</v>
      </c>
      <c r="H601" s="9">
        <f>ABS(Prices!B601-Prices!B600)/Prices!B600</f>
        <v>7.1916896031252731E-3</v>
      </c>
      <c r="I601" s="13"/>
      <c r="J601" s="1">
        <f t="shared" ca="1" si="55"/>
        <v>-2.2098867642773821E-2</v>
      </c>
      <c r="K601" s="9"/>
      <c r="L601" s="9">
        <f ca="1">L600-O601*Prices!B601</f>
        <v>0.63251366924146046</v>
      </c>
      <c r="M601" s="1">
        <f t="shared" ca="1" si="56"/>
        <v>0.29870177945261167</v>
      </c>
      <c r="N601" s="9">
        <f ca="1">IF(Prices!D600&gt;OFFSET(Prices!D600,-$N$3,0),1,IF(Prices!D600&lt;OFFSET(Prices!D600,-$N$3,0),-1,0))</f>
        <v>-1</v>
      </c>
      <c r="O601" s="1">
        <f ca="1">IF(N601=1,O$3*L600/Prices!B600,O$3*M600*N601)</f>
        <v>-3.3189086605845741E-2</v>
      </c>
      <c r="P601" s="14"/>
      <c r="Q601" s="9">
        <f ca="1">Q600-T601*Prices!B601</f>
        <v>0.61214459806088817</v>
      </c>
      <c r="R601" s="1">
        <f t="shared" ca="1" si="57"/>
        <v>0.282005138609706</v>
      </c>
      <c r="S601" s="9">
        <f ca="1">IF(Prices!C600&lt;OFFSET(Prices!C600,-S$3,0),1,IF(Prices!C600&gt;OFFSET(Prices!C600,-S$3,0),-1,0))</f>
        <v>1</v>
      </c>
      <c r="T601" s="1">
        <f ca="1">IF(S601=1,T$3*Q600/Prices!B600,T$3*R600*S601)</f>
        <v>1.109021896307192E-2</v>
      </c>
    </row>
    <row r="602" spans="1:20" x14ac:dyDescent="0.2">
      <c r="A602" s="4">
        <v>34348</v>
      </c>
      <c r="B602" s="9">
        <f ca="1">Prices!B601*(1+J602/(50*(ABS(O602)+ABS(T602)+0.0001)))</f>
        <v>1.1405309240553556</v>
      </c>
      <c r="C602" s="13">
        <f t="shared" ca="1" si="52"/>
        <v>1</v>
      </c>
      <c r="D602" s="9">
        <f ca="1">D601+C602*(Prices!B602-Prices!B601)/Prices!B601</f>
        <v>-0.55296256928835086</v>
      </c>
      <c r="E602" s="9">
        <f t="shared" ca="1" si="53"/>
        <v>0.5890865205470972</v>
      </c>
      <c r="F602" s="9">
        <f t="shared" ca="1" si="54"/>
        <v>3.6123951258746317E-2</v>
      </c>
      <c r="G602" s="13">
        <f ca="1">IF((Prices!B602-Prices!B601)*B602&gt;0,1,0)</f>
        <v>0</v>
      </c>
      <c r="H602" s="9">
        <f>ABS(Prices!B602-Prices!B601)/Prices!B601</f>
        <v>4.4714720085867193E-4</v>
      </c>
      <c r="I602" s="13"/>
      <c r="J602" s="1">
        <f t="shared" ca="1" si="55"/>
        <v>6.7514093082958165E-2</v>
      </c>
      <c r="K602" s="9"/>
      <c r="L602" s="9">
        <f ca="1">L601-O602*Prices!B602</f>
        <v>0.56929058498898499</v>
      </c>
      <c r="M602" s="1">
        <f t="shared" ca="1" si="56"/>
        <v>0.35526712279382616</v>
      </c>
      <c r="N602" s="9">
        <f ca="1">IF(Prices!D601&gt;OFFSET(Prices!D601,-$N$3,0),1,IF(Prices!D601&lt;OFFSET(Prices!D601,-$N$3,0),-1,0))</f>
        <v>1</v>
      </c>
      <c r="O602" s="1">
        <f ca="1">IF(N602=1,O$3*L601/Prices!B601,O$3*M601*N602)</f>
        <v>5.6565343341214498E-2</v>
      </c>
      <c r="P602" s="14"/>
      <c r="Q602" s="9">
        <f ca="1">Q601-T602*Prices!B602</f>
        <v>0.59990718047454128</v>
      </c>
      <c r="R602" s="1">
        <f t="shared" ca="1" si="57"/>
        <v>0.29295388835144964</v>
      </c>
      <c r="S602" s="9">
        <f ca="1">IF(Prices!C601&lt;OFFSET(Prices!C601,-S$3,0),1,IF(Prices!C601&gt;OFFSET(Prices!C601,-S$3,0),-1,0))</f>
        <v>1</v>
      </c>
      <c r="T602" s="1">
        <f ca="1">IF(S602=1,T$3*Q601/Prices!B601,T$3*R601*S602)</f>
        <v>1.0948749741743662E-2</v>
      </c>
    </row>
    <row r="603" spans="1:20" x14ac:dyDescent="0.2">
      <c r="A603" s="4">
        <v>34351</v>
      </c>
      <c r="B603" s="9">
        <f ca="1">Prices!B602*(1+J603/(50*(ABS(O603)+ABS(T603)+0.0001)))</f>
        <v>1.1400178102001854</v>
      </c>
      <c r="C603" s="13">
        <f t="shared" ca="1" si="52"/>
        <v>1</v>
      </c>
      <c r="D603" s="9">
        <f ca="1">D602+C603*(Prices!B603-Prices!B602)/Prices!B602</f>
        <v>-0.55385726375019206</v>
      </c>
      <c r="E603" s="9">
        <f t="shared" ca="1" si="53"/>
        <v>0.58998121500893841</v>
      </c>
      <c r="F603" s="9">
        <f t="shared" ca="1" si="54"/>
        <v>3.6123951258746317E-2</v>
      </c>
      <c r="G603" s="13">
        <f ca="1">IF((Prices!B603-Prices!B602)*B603&gt;0,1,0)</f>
        <v>0</v>
      </c>
      <c r="H603" s="9">
        <f>ABS(Prices!B603-Prices!B602)/Prices!B602</f>
        <v>8.9469446184118272E-4</v>
      </c>
      <c r="I603" s="13"/>
      <c r="J603" s="1">
        <f t="shared" ca="1" si="55"/>
        <v>6.1668785996590619E-2</v>
      </c>
      <c r="K603" s="9"/>
      <c r="L603" s="9">
        <f ca="1">L602-O603*Prices!B603</f>
        <v>0.51241246060344325</v>
      </c>
      <c r="M603" s="1">
        <f t="shared" ca="1" si="56"/>
        <v>0.40620123615062897</v>
      </c>
      <c r="N603" s="9">
        <f ca="1">IF(Prices!D602&gt;OFFSET(Prices!D602,-$N$3,0),1,IF(Prices!D602&lt;OFFSET(Prices!D602,-$N$3,0),-1,0))</f>
        <v>1</v>
      </c>
      <c r="O603" s="1">
        <f ca="1">IF(N603=1,O$3*L602/Prices!B602,O$3*M602*N603)</f>
        <v>5.093411335680282E-2</v>
      </c>
      <c r="P603" s="14"/>
      <c r="Q603" s="9">
        <f ca="1">Q602-T603*Prices!B603</f>
        <v>0.58791977153769026</v>
      </c>
      <c r="R603" s="1">
        <f t="shared" ca="1" si="57"/>
        <v>0.30368856099123742</v>
      </c>
      <c r="S603" s="9">
        <f ca="1">IF(Prices!C602&lt;OFFSET(Prices!C602,-S$3,0),1,IF(Prices!C602&gt;OFFSET(Prices!C602,-S$3,0),-1,0))</f>
        <v>1</v>
      </c>
      <c r="T603" s="1">
        <f ca="1">IF(S603=1,T$3*Q602/Prices!B602,T$3*R602*S603)</f>
        <v>1.0734672639787802E-2</v>
      </c>
    </row>
    <row r="604" spans="1:20" x14ac:dyDescent="0.2">
      <c r="A604" s="4">
        <v>34352</v>
      </c>
      <c r="B604" s="9">
        <f ca="1">Prices!B603*(1+J604/(50*(ABS(O604)+ABS(T604)+0.0001)))</f>
        <v>1.1389944819212108</v>
      </c>
      <c r="C604" s="13">
        <f t="shared" ca="1" si="52"/>
        <v>1</v>
      </c>
      <c r="D604" s="9">
        <f ca="1">D603+C604*(Prices!B604-Prices!B603)/Prices!B603</f>
        <v>-0.5488424880718541</v>
      </c>
      <c r="E604" s="9">
        <f t="shared" ca="1" si="53"/>
        <v>0.58496643933060044</v>
      </c>
      <c r="F604" s="9">
        <f t="shared" ca="1" si="54"/>
        <v>3.6123951258746317E-2</v>
      </c>
      <c r="G604" s="13">
        <f ca="1">IF((Prices!B604-Prices!B603)*B604&gt;0,1,0)</f>
        <v>1</v>
      </c>
      <c r="H604" s="9">
        <f>ABS(Prices!B604-Prices!B603)/Prices!B603</f>
        <v>5.0147756783380038E-3</v>
      </c>
      <c r="I604" s="13"/>
      <c r="J604" s="1">
        <f t="shared" ca="1" si="55"/>
        <v>5.6415905338137493E-2</v>
      </c>
      <c r="K604" s="9"/>
      <c r="L604" s="9">
        <f ca="1">L603-O604*Prices!B604</f>
        <v>0.46091425118862778</v>
      </c>
      <c r="M604" s="1">
        <f t="shared" ca="1" si="56"/>
        <v>0.45208754944904783</v>
      </c>
      <c r="N604" s="9">
        <f ca="1">IF(Prices!D603&gt;OFFSET(Prices!D603,-$N$3,0),1,IF(Prices!D603&lt;OFFSET(Prices!D603,-$N$3,0),-1,0))</f>
        <v>1</v>
      </c>
      <c r="O604" s="1">
        <f ca="1">IF(N604=1,O$3*L603/Prices!B603,O$3*M603*N604)</f>
        <v>4.588631329841885E-2</v>
      </c>
      <c r="P604" s="14"/>
      <c r="Q604" s="9">
        <f ca="1">Q603-T604*Prices!B604</f>
        <v>0.576102410391514</v>
      </c>
      <c r="R604" s="1">
        <f t="shared" ca="1" si="57"/>
        <v>0.31421815303095607</v>
      </c>
      <c r="S604" s="9">
        <f ca="1">IF(Prices!C603&lt;OFFSET(Prices!C603,-S$3,0),1,IF(Prices!C603&gt;OFFSET(Prices!C603,-S$3,0),-1,0))</f>
        <v>1</v>
      </c>
      <c r="T604" s="1">
        <f ca="1">IF(S604=1,T$3*Q603/Prices!B603,T$3*R603*S604)</f>
        <v>1.0529592039718641E-2</v>
      </c>
    </row>
    <row r="605" spans="1:20" x14ac:dyDescent="0.2">
      <c r="A605" s="4">
        <v>34353</v>
      </c>
      <c r="B605" s="9">
        <f ca="1">Prices!B604*(1+J605/(50*(ABS(O605)+ABS(T605)+0.0001)))</f>
        <v>1.1081873285828912</v>
      </c>
      <c r="C605" s="13">
        <f t="shared" ca="1" si="52"/>
        <v>-1</v>
      </c>
      <c r="D605" s="9">
        <f ca="1">D604+C605*(Prices!B605-Prices!B604)/Prices!B604</f>
        <v>-0.54955530995548585</v>
      </c>
      <c r="E605" s="9">
        <f t="shared" ca="1" si="53"/>
        <v>0.58567926121423219</v>
      </c>
      <c r="F605" s="9">
        <f t="shared" ca="1" si="54"/>
        <v>3.6123951258746317E-2</v>
      </c>
      <c r="G605" s="13">
        <f ca="1">IF((Prices!B605-Prices!B604)*B605&gt;0,1,0)</f>
        <v>1</v>
      </c>
      <c r="H605" s="9">
        <f>ABS(Prices!B605-Prices!B604)/Prices!B604</f>
        <v>7.1282188363174892E-4</v>
      </c>
      <c r="I605" s="13"/>
      <c r="J605" s="1">
        <f t="shared" ca="1" si="55"/>
        <v>-3.4942294811401903E-2</v>
      </c>
      <c r="K605" s="9"/>
      <c r="L605" s="9">
        <f ca="1">L604-O605*Prices!B605</f>
        <v>0.51168820386725034</v>
      </c>
      <c r="M605" s="1">
        <f t="shared" ca="1" si="56"/>
        <v>0.40687879450414305</v>
      </c>
      <c r="N605" s="9">
        <f ca="1">IF(Prices!D604&gt;OFFSET(Prices!D604,-$N$3,0),1,IF(Prices!D604&lt;OFFSET(Prices!D604,-$N$3,0),-1,0))</f>
        <v>-1</v>
      </c>
      <c r="O605" s="1">
        <f ca="1">IF(N605=1,O$3*L604/Prices!B604,O$3*M604*N605)</f>
        <v>-4.5208754944904783E-2</v>
      </c>
      <c r="P605" s="14"/>
      <c r="Q605" s="9">
        <f ca="1">Q604-T605*Prices!B605</f>
        <v>0.56457214901557695</v>
      </c>
      <c r="R605" s="1">
        <f t="shared" ca="1" si="57"/>
        <v>0.32448461316445892</v>
      </c>
      <c r="S605" s="9">
        <f ca="1">IF(Prices!C604&lt;OFFSET(Prices!C604,-S$3,0),1,IF(Prices!C604&gt;OFFSET(Prices!C604,-S$3,0),-1,0))</f>
        <v>1</v>
      </c>
      <c r="T605" s="1">
        <f ca="1">IF(S605=1,T$3*Q604/Prices!B604,T$3*R604*S605)</f>
        <v>1.0266460133502879E-2</v>
      </c>
    </row>
    <row r="606" spans="1:20" x14ac:dyDescent="0.2">
      <c r="A606" s="4">
        <v>34354</v>
      </c>
      <c r="B606" s="9">
        <f ca="1">Prices!B605*(1+J606/(50*(ABS(O606)+ABS(T606)+0.0001)))</f>
        <v>1.1095657884511678</v>
      </c>
      <c r="C606" s="13">
        <f t="shared" ca="1" si="52"/>
        <v>-1</v>
      </c>
      <c r="D606" s="9">
        <f ca="1">D605+C606*(Prices!B606-Prices!B605)/Prices!B605</f>
        <v>-0.55267168427656155</v>
      </c>
      <c r="E606" s="9">
        <f t="shared" ca="1" si="53"/>
        <v>0.58879563553530789</v>
      </c>
      <c r="F606" s="9">
        <f t="shared" ca="1" si="54"/>
        <v>3.6123951258746317E-2</v>
      </c>
      <c r="G606" s="13">
        <f ca="1">IF((Prices!B606-Prices!B605)*B606&gt;0,1,0)</f>
        <v>1</v>
      </c>
      <c r="H606" s="9">
        <f>ABS(Prices!B606-Prices!B605)/Prices!B605</f>
        <v>3.1163743210756464E-3</v>
      </c>
      <c r="I606" s="13"/>
      <c r="J606" s="1">
        <f t="shared" ca="1" si="55"/>
        <v>-3.0634061464205116E-2</v>
      </c>
      <c r="K606" s="9"/>
      <c r="L606" s="9">
        <f ca="1">L605-O606*Prices!B606</f>
        <v>0.55752716885608711</v>
      </c>
      <c r="M606" s="1">
        <f t="shared" ca="1" si="56"/>
        <v>0.36619091505372875</v>
      </c>
      <c r="N606" s="9">
        <f ca="1">IF(Prices!D605&gt;OFFSET(Prices!D605,-$N$3,0),1,IF(Prices!D605&lt;OFFSET(Prices!D605,-$N$3,0),-1,0))</f>
        <v>-1</v>
      </c>
      <c r="O606" s="1">
        <f ca="1">IF(N606=1,O$3*L605/Prices!B605,O$3*M605*N606)</f>
        <v>-4.0687879450414306E-2</v>
      </c>
      <c r="P606" s="14"/>
      <c r="Q606" s="9">
        <f ca="1">Q605-T606*Prices!B606</f>
        <v>0.55324551767231367</v>
      </c>
      <c r="R606" s="1">
        <f t="shared" ca="1" si="57"/>
        <v>0.33453843115066811</v>
      </c>
      <c r="S606" s="9">
        <f ca="1">IF(Prices!C605&lt;OFFSET(Prices!C605,-S$3,0),1,IF(Prices!C605&gt;OFFSET(Prices!C605,-S$3,0),-1,0))</f>
        <v>1</v>
      </c>
      <c r="T606" s="1">
        <f ca="1">IF(S606=1,T$3*Q605/Prices!B605,T$3*R605*S606)</f>
        <v>1.0053817986209189E-2</v>
      </c>
    </row>
    <row r="607" spans="1:20" x14ac:dyDescent="0.2">
      <c r="A607" s="4">
        <v>34355</v>
      </c>
      <c r="B607" s="9">
        <f ca="1">Prices!B606*(1+J607/(50*(ABS(O607)+ABS(T607)+0.0001)))</f>
        <v>1.1041199052582371</v>
      </c>
      <c r="C607" s="13">
        <f t="shared" ca="1" si="52"/>
        <v>-1</v>
      </c>
      <c r="D607" s="9">
        <f ca="1">D606+C607*(Prices!B607-Prices!B606)/Prices!B606</f>
        <v>-0.54778973859930247</v>
      </c>
      <c r="E607" s="9">
        <f t="shared" ca="1" si="53"/>
        <v>0.58391368985804881</v>
      </c>
      <c r="F607" s="9">
        <f t="shared" ca="1" si="54"/>
        <v>3.6123951258746317E-2</v>
      </c>
      <c r="G607" s="13">
        <f ca="1">IF((Prices!B607-Prices!B606)*B607&gt;0,1,0)</f>
        <v>0</v>
      </c>
      <c r="H607" s="9">
        <f>ABS(Prices!B607-Prices!B606)/Prices!B606</f>
        <v>4.8819456772590626E-3</v>
      </c>
      <c r="I607" s="13"/>
      <c r="J607" s="1">
        <f t="shared" ca="1" si="55"/>
        <v>-4.3309860128386238E-2</v>
      </c>
      <c r="K607" s="9"/>
      <c r="L607" s="9">
        <f ca="1">L606-O607*Prices!B607</f>
        <v>0.5985808323427606</v>
      </c>
      <c r="M607" s="1">
        <f t="shared" ca="1" si="56"/>
        <v>0.3295718235483559</v>
      </c>
      <c r="N607" s="9">
        <f ca="1">IF(Prices!D606&gt;OFFSET(Prices!D606,-$N$3,0),1,IF(Prices!D606&lt;OFFSET(Prices!D606,-$N$3,0),-1,0))</f>
        <v>-1</v>
      </c>
      <c r="O607" s="1">
        <f ca="1">IF(N607=1,O$3*L606/Prices!B606,O$3*M606*N607)</f>
        <v>-3.6619091505372875E-2</v>
      </c>
      <c r="P607" s="14"/>
      <c r="Q607" s="9">
        <f ca="1">Q606-T607*Prices!B607</f>
        <v>0.56074653837557398</v>
      </c>
      <c r="R607" s="1">
        <f t="shared" ca="1" si="57"/>
        <v>0.32784766252765474</v>
      </c>
      <c r="S607" s="9">
        <f ca="1">IF(Prices!C606&lt;OFFSET(Prices!C606,-S$3,0),1,IF(Prices!C606&gt;OFFSET(Prices!C606,-S$3,0),-1,0))</f>
        <v>-1</v>
      </c>
      <c r="T607" s="1">
        <f ca="1">IF(S607=1,T$3*Q606/Prices!B606,T$3*R606*S607)</f>
        <v>-6.6907686230133628E-3</v>
      </c>
    </row>
    <row r="608" spans="1:20" x14ac:dyDescent="0.2">
      <c r="A608" s="4">
        <v>34358</v>
      </c>
      <c r="B608" s="9">
        <f ca="1">Prices!B607*(1+J608/(50*(ABS(O608)+ABS(T608)+0.0001)))</f>
        <v>1.0987346010078407</v>
      </c>
      <c r="C608" s="13">
        <f t="shared" ca="1" si="52"/>
        <v>-1</v>
      </c>
      <c r="D608" s="9">
        <f ca="1">D607+C608*(Prices!B608-Prices!B607)/Prices!B607</f>
        <v>-0.5468977575093017</v>
      </c>
      <c r="E608" s="9">
        <f t="shared" ca="1" si="53"/>
        <v>0.58302170876804804</v>
      </c>
      <c r="F608" s="9">
        <f t="shared" ca="1" si="54"/>
        <v>3.6123951258746317E-2</v>
      </c>
      <c r="G608" s="13">
        <f ca="1">IF((Prices!B608-Prices!B607)*B608&gt;0,1,0)</f>
        <v>0</v>
      </c>
      <c r="H608" s="9">
        <f>ABS(Prices!B608-Prices!B607)/Prices!B607</f>
        <v>8.9198109000079373E-4</v>
      </c>
      <c r="I608" s="13"/>
      <c r="J608" s="1">
        <f t="shared" ca="1" si="55"/>
        <v>-3.9514135605388689E-2</v>
      </c>
      <c r="K608" s="9"/>
      <c r="L608" s="9">
        <f ca="1">L607-O608*Prices!B608</f>
        <v>0.63549617229841193</v>
      </c>
      <c r="M608" s="1">
        <f t="shared" ca="1" si="56"/>
        <v>0.29661464119352032</v>
      </c>
      <c r="N608" s="9">
        <f ca="1">IF(Prices!D607&gt;OFFSET(Prices!D607,-$N$3,0),1,IF(Prices!D607&lt;OFFSET(Prices!D607,-$N$3,0),-1,0))</f>
        <v>-1</v>
      </c>
      <c r="O608" s="1">
        <f ca="1">IF(N608=1,O$3*L607/Prices!B607,O$3*M607*N608)</f>
        <v>-3.2957182354835593E-2</v>
      </c>
      <c r="P608" s="14"/>
      <c r="Q608" s="9">
        <f ca="1">Q607-T608*Prices!B608</f>
        <v>0.56809098171151851</v>
      </c>
      <c r="R608" s="1">
        <f t="shared" ca="1" si="57"/>
        <v>0.32129070927710163</v>
      </c>
      <c r="S608" s="9">
        <f ca="1">IF(Prices!C607&lt;OFFSET(Prices!C607,-S$3,0),1,IF(Prices!C607&gt;OFFSET(Prices!C607,-S$3,0),-1,0))</f>
        <v>-1</v>
      </c>
      <c r="T608" s="1">
        <f ca="1">IF(S608=1,T$3*Q607/Prices!B607,T$3*R607*S608)</f>
        <v>-6.5569532505530947E-3</v>
      </c>
    </row>
    <row r="609" spans="1:20" x14ac:dyDescent="0.2">
      <c r="A609" s="4">
        <v>34359</v>
      </c>
      <c r="B609" s="9">
        <f ca="1">Prices!B608*(1+J609/(50*(ABS(O609)+ABS(T609)+0.0001)))</f>
        <v>1.1379156010229501</v>
      </c>
      <c r="C609" s="13">
        <f t="shared" ca="1" si="52"/>
        <v>1</v>
      </c>
      <c r="D609" s="9">
        <f ca="1">D608+C609*(Prices!B609-Prices!B608)/Prices!B608</f>
        <v>-0.54671920202318436</v>
      </c>
      <c r="E609" s="9">
        <f t="shared" ca="1" si="53"/>
        <v>0.5828431532819307</v>
      </c>
      <c r="F609" s="9">
        <f t="shared" ca="1" si="54"/>
        <v>3.6123951258746317E-2</v>
      </c>
      <c r="G609" s="13">
        <f ca="1">IF((Prices!B609-Prices!B608)*B609&gt;0,1,0)</f>
        <v>1</v>
      </c>
      <c r="H609" s="9">
        <f>ABS(Prices!B609-Prices!B608)/Prices!B608</f>
        <v>1.7855548611729128E-4</v>
      </c>
      <c r="I609" s="13"/>
      <c r="J609" s="1">
        <f t="shared" ca="1" si="55"/>
        <v>5.0309849799674629E-2</v>
      </c>
      <c r="K609" s="9"/>
      <c r="L609" s="9">
        <f ca="1">L608-O609*Prices!B609</f>
        <v>0.57193520793577368</v>
      </c>
      <c r="M609" s="1">
        <f t="shared" ca="1" si="56"/>
        <v>0.353350305178737</v>
      </c>
      <c r="N609" s="9">
        <f ca="1">IF(Prices!D608&gt;OFFSET(Prices!D608,-$N$3,0),1,IF(Prices!D608&lt;OFFSET(Prices!D608,-$N$3,0),-1,0))</f>
        <v>1</v>
      </c>
      <c r="O609" s="1">
        <f ca="1">IF(N609=1,O$3*L608/Prices!B608,O$3*M608*N609)</f>
        <v>5.6735663985216664E-2</v>
      </c>
      <c r="P609" s="14"/>
      <c r="Q609" s="9">
        <f ca="1">Q608-T609*Prices!B609</f>
        <v>0.5752898213435812</v>
      </c>
      <c r="R609" s="1">
        <f t="shared" ca="1" si="57"/>
        <v>0.31486489509155957</v>
      </c>
      <c r="S609" s="9">
        <f ca="1">IF(Prices!C608&lt;OFFSET(Prices!C608,-S$3,0),1,IF(Prices!C608&gt;OFFSET(Prices!C608,-S$3,0),-1,0))</f>
        <v>-1</v>
      </c>
      <c r="T609" s="1">
        <f ca="1">IF(S609=1,T$3*Q608/Prices!B608,T$3*R608*S609)</f>
        <v>-6.4258141855420324E-3</v>
      </c>
    </row>
    <row r="610" spans="1:20" x14ac:dyDescent="0.2">
      <c r="A610" s="4">
        <v>34360</v>
      </c>
      <c r="B610" s="9">
        <f ca="1">Prices!B609*(1+J610/(50*(ABS(O610)+ABS(T610)+0.0001)))</f>
        <v>1.1426695213626619</v>
      </c>
      <c r="C610" s="13">
        <f t="shared" ca="1" si="52"/>
        <v>1</v>
      </c>
      <c r="D610" s="9">
        <f ca="1">D609+C610*(Prices!B610-Prices!B609)/Prices!B609</f>
        <v>-0.54457691870621572</v>
      </c>
      <c r="E610" s="9">
        <f t="shared" ca="1" si="53"/>
        <v>0.58070086996496206</v>
      </c>
      <c r="F610" s="9">
        <f t="shared" ca="1" si="54"/>
        <v>3.6123951258746317E-2</v>
      </c>
      <c r="G610" s="13">
        <f ca="1">IF((Prices!B610-Prices!B609)*B610&gt;0,1,0)</f>
        <v>1</v>
      </c>
      <c r="H610" s="9">
        <f>ABS(Prices!B610-Prices!B609)/Prices!B609</f>
        <v>2.1422833169686311E-3</v>
      </c>
      <c r="I610" s="13"/>
      <c r="J610" s="1">
        <f t="shared" ca="1" si="55"/>
        <v>6.1322250486877609E-2</v>
      </c>
      <c r="K610" s="9"/>
      <c r="L610" s="9">
        <f ca="1">L609-O610*Prices!B610</f>
        <v>0.51461916241676153</v>
      </c>
      <c r="M610" s="1">
        <f t="shared" ca="1" si="56"/>
        <v>0.40440227410989593</v>
      </c>
      <c r="N610" s="9">
        <f ca="1">IF(Prices!D609&gt;OFFSET(Prices!D609,-$N$3,0),1,IF(Prices!D609&lt;OFFSET(Prices!D609,-$N$3,0),-1,0))</f>
        <v>1</v>
      </c>
      <c r="O610" s="1">
        <f ca="1">IF(N610=1,O$3*L609/Prices!B609,O$3*M609*N610)</f>
        <v>5.1051968931158945E-2</v>
      </c>
      <c r="P610" s="14"/>
      <c r="Q610" s="9">
        <f ca="1">Q609-T610*Prices!B610</f>
        <v>0.56375937624097583</v>
      </c>
      <c r="R610" s="1">
        <f t="shared" ca="1" si="57"/>
        <v>0.32513517664727826</v>
      </c>
      <c r="S610" s="9">
        <f ca="1">IF(Prices!C609&lt;OFFSET(Prices!C609,-S$3,0),1,IF(Prices!C609&gt;OFFSET(Prices!C609,-S$3,0),-1,0))</f>
        <v>1</v>
      </c>
      <c r="T610" s="1">
        <f ca="1">IF(S610=1,T$3*Q609/Prices!B609,T$3*R609*S610)</f>
        <v>1.0270281555718666E-2</v>
      </c>
    </row>
    <row r="611" spans="1:20" x14ac:dyDescent="0.2">
      <c r="A611" s="4">
        <v>34361</v>
      </c>
      <c r="B611" s="9">
        <f ca="1">Prices!B610*(1+J611/(50*(ABS(O611)+ABS(T611)+0.0001)))</f>
        <v>1.1451138896468029</v>
      </c>
      <c r="C611" s="13">
        <f t="shared" ca="1" si="52"/>
        <v>1</v>
      </c>
      <c r="D611" s="9">
        <f ca="1">D610+C611*(Prices!B611-Prices!B610)/Prices!B610</f>
        <v>-0.54235014396674841</v>
      </c>
      <c r="E611" s="9">
        <f t="shared" ca="1" si="53"/>
        <v>0.57847409522549476</v>
      </c>
      <c r="F611" s="9">
        <f t="shared" ca="1" si="54"/>
        <v>3.6123951258746317E-2</v>
      </c>
      <c r="G611" s="13">
        <f ca="1">IF((Prices!B611-Prices!B610)*B611&gt;0,1,0)</f>
        <v>1</v>
      </c>
      <c r="H611" s="9">
        <f>ABS(Prices!B611-Prices!B610)/Prices!B610</f>
        <v>2.2267747394673081E-3</v>
      </c>
      <c r="I611" s="13"/>
      <c r="J611" s="1">
        <f t="shared" ca="1" si="55"/>
        <v>5.588055915782994E-2</v>
      </c>
      <c r="K611" s="9"/>
      <c r="L611" s="9">
        <f ca="1">L610-O611*Prices!B611</f>
        <v>0.46304265207995382</v>
      </c>
      <c r="M611" s="1">
        <f t="shared" ca="1" si="56"/>
        <v>0.45023991216251563</v>
      </c>
      <c r="N611" s="9">
        <f ca="1">IF(Prices!D610&gt;OFFSET(Prices!D610,-$N$3,0),1,IF(Prices!D610&lt;OFFSET(Prices!D610,-$N$3,0),-1,0))</f>
        <v>1</v>
      </c>
      <c r="O611" s="1">
        <f ca="1">IF(N611=1,O$3*L610/Prices!B610,O$3*M610*N611)</f>
        <v>4.5837638052619714E-2</v>
      </c>
      <c r="P611" s="14"/>
      <c r="Q611" s="9">
        <f ca="1">Q610-T611*Prices!B611</f>
        <v>0.55245908141339328</v>
      </c>
      <c r="R611" s="1">
        <f t="shared" ca="1" si="57"/>
        <v>0.33517809775248847</v>
      </c>
      <c r="S611" s="9">
        <f ca="1">IF(Prices!C610&lt;OFFSET(Prices!C610,-S$3,0),1,IF(Prices!C610&gt;OFFSET(Prices!C610,-S$3,0),-1,0))</f>
        <v>1</v>
      </c>
      <c r="T611" s="1">
        <f ca="1">IF(S611=1,T$3*Q610/Prices!B610,T$3*R610*S611)</f>
        <v>1.0042921105210222E-2</v>
      </c>
    </row>
    <row r="612" spans="1:20" x14ac:dyDescent="0.2">
      <c r="A612" s="4">
        <v>34362</v>
      </c>
      <c r="B612" s="9">
        <f ca="1">Prices!B611*(1+J612/(50*(ABS(O612)+ABS(T612)+0.0001)))</f>
        <v>1.1107809549557082</v>
      </c>
      <c r="C612" s="13">
        <f t="shared" ca="1" si="52"/>
        <v>-1</v>
      </c>
      <c r="D612" s="9">
        <f ca="1">D611+C612*(Prices!B612-Prices!B611)/Prices!B611</f>
        <v>-0.54999322964040642</v>
      </c>
      <c r="E612" s="9">
        <f t="shared" ca="1" si="53"/>
        <v>0.58611718089915277</v>
      </c>
      <c r="F612" s="9">
        <f t="shared" ca="1" si="54"/>
        <v>3.6123951258746317E-2</v>
      </c>
      <c r="G612" s="13">
        <f ca="1">IF((Prices!B612-Prices!B611)*B612&gt;0,1,0)</f>
        <v>1</v>
      </c>
      <c r="H612" s="9">
        <f>ABS(Prices!B612-Prices!B611)/Prices!B611</f>
        <v>7.6430856736579645E-3</v>
      </c>
      <c r="I612" s="13"/>
      <c r="J612" s="1">
        <f t="shared" ca="1" si="55"/>
        <v>-3.5204242168733017E-2</v>
      </c>
      <c r="K612" s="9"/>
      <c r="L612" s="9">
        <f ca="1">L611-O612*Prices!B612</f>
        <v>0.51409085332093984</v>
      </c>
      <c r="M612" s="1">
        <f t="shared" ca="1" si="56"/>
        <v>0.40521592094626407</v>
      </c>
      <c r="N612" s="9">
        <f ca="1">IF(Prices!D611&gt;OFFSET(Prices!D611,-$N$3,0),1,IF(Prices!D611&lt;OFFSET(Prices!D611,-$N$3,0),-1,0))</f>
        <v>-1</v>
      </c>
      <c r="O612" s="1">
        <f ca="1">IF(N612=1,O$3*L611/Prices!B611,O$3*M611*N612)</f>
        <v>-4.5023991216251565E-2</v>
      </c>
      <c r="P612" s="14"/>
      <c r="Q612" s="9">
        <f ca="1">Q611-T612*Prices!B612</f>
        <v>0.54132544994331677</v>
      </c>
      <c r="R612" s="1">
        <f t="shared" ca="1" si="57"/>
        <v>0.344997846800007</v>
      </c>
      <c r="S612" s="9">
        <f ca="1">IF(Prices!C611&lt;OFFSET(Prices!C611,-S$3,0),1,IF(Prices!C611&gt;OFFSET(Prices!C611,-S$3,0),-1,0))</f>
        <v>1</v>
      </c>
      <c r="T612" s="1">
        <f ca="1">IF(S612=1,T$3*Q611/Prices!B611,T$3*R611*S612)</f>
        <v>9.8197490475185455E-3</v>
      </c>
    </row>
    <row r="613" spans="1:20" x14ac:dyDescent="0.2">
      <c r="A613" s="4">
        <v>34365</v>
      </c>
      <c r="B613" s="9">
        <f ca="1">Prices!B612*(1+J613/(50*(ABS(O613)+ABS(T613)+0.0001)))</f>
        <v>1.119800977255214</v>
      </c>
      <c r="C613" s="13">
        <f t="shared" ca="1" si="52"/>
        <v>-1</v>
      </c>
      <c r="D613" s="9">
        <f ca="1">D612+C613*(Prices!B613-Prices!B612)/Prices!B612</f>
        <v>-0.54311370944284065</v>
      </c>
      <c r="E613" s="9">
        <f t="shared" ca="1" si="53"/>
        <v>0.579237660701587</v>
      </c>
      <c r="F613" s="9">
        <f t="shared" ca="1" si="54"/>
        <v>3.6123951258746317E-2</v>
      </c>
      <c r="G613" s="13">
        <f ca="1">IF((Prices!B613-Prices!B612)*B613&gt;0,1,0)</f>
        <v>0</v>
      </c>
      <c r="H613" s="9">
        <f>ABS(Prices!B613-Prices!B612)/Prices!B612</f>
        <v>6.8795201975657347E-3</v>
      </c>
      <c r="I613" s="13"/>
      <c r="J613" s="1">
        <f t="shared" ca="1" si="55"/>
        <v>-3.0972721924520278E-2</v>
      </c>
      <c r="K613" s="9"/>
      <c r="L613" s="9">
        <f ca="1">L612-O613*Prices!B613</f>
        <v>0.5597181660194892</v>
      </c>
      <c r="M613" s="1">
        <f t="shared" ca="1" si="56"/>
        <v>0.36469432885163766</v>
      </c>
      <c r="N613" s="9">
        <f ca="1">IF(Prices!D612&gt;OFFSET(Prices!D612,-$N$3,0),1,IF(Prices!D612&lt;OFFSET(Prices!D612,-$N$3,0),-1,0))</f>
        <v>-1</v>
      </c>
      <c r="O613" s="1">
        <f ca="1">IF(N613=1,O$3*L612/Prices!B612,O$3*M612*N613)</f>
        <v>-4.0521592094626413E-2</v>
      </c>
      <c r="P613" s="14"/>
      <c r="Q613" s="9">
        <f ca="1">Q612-T613*Prices!B613</f>
        <v>0.53057342213177727</v>
      </c>
      <c r="R613" s="1">
        <f t="shared" ca="1" si="57"/>
        <v>0.35454671697011314</v>
      </c>
      <c r="S613" s="9">
        <f ca="1">IF(Prices!C612&lt;OFFSET(Prices!C612,-S$3,0),1,IF(Prices!C612&gt;OFFSET(Prices!C612,-S$3,0),-1,0))</f>
        <v>1</v>
      </c>
      <c r="T613" s="1">
        <f ca="1">IF(S613=1,T$3*Q612/Prices!B612,T$3*R612*S613)</f>
        <v>9.548870170106135E-3</v>
      </c>
    </row>
    <row r="614" spans="1:20" x14ac:dyDescent="0.2">
      <c r="A614" s="4">
        <v>34366</v>
      </c>
      <c r="B614" s="9">
        <f ca="1">Prices!B613*(1+J614/(50*(ABS(O614)+ABS(T614)+0.0001)))</f>
        <v>1.1127576369310659</v>
      </c>
      <c r="C614" s="13">
        <f t="shared" ca="1" si="52"/>
        <v>-1</v>
      </c>
      <c r="D614" s="9">
        <f ca="1">D613+C614*(Prices!B614-Prices!B613)/Prices!B613</f>
        <v>-0.55199470411424389</v>
      </c>
      <c r="E614" s="9">
        <f t="shared" ca="1" si="53"/>
        <v>0.58811865537299024</v>
      </c>
      <c r="F614" s="9">
        <f t="shared" ca="1" si="54"/>
        <v>3.6123951258746317E-2</v>
      </c>
      <c r="G614" s="13">
        <f ca="1">IF((Prices!B614-Prices!B613)*B614&gt;0,1,0)</f>
        <v>1</v>
      </c>
      <c r="H614" s="9">
        <f>ABS(Prices!B614-Prices!B613)/Prices!B613</f>
        <v>8.8809946714032053E-3</v>
      </c>
      <c r="I614" s="13"/>
      <c r="J614" s="1">
        <f t="shared" ca="1" si="55"/>
        <v>-2.7045393415682815E-2</v>
      </c>
      <c r="K614" s="9"/>
      <c r="L614" s="9">
        <f ca="1">L613-O614*Prices!B614</f>
        <v>0.60114744177703527</v>
      </c>
      <c r="M614" s="1">
        <f t="shared" ca="1" si="56"/>
        <v>0.32822489596647392</v>
      </c>
      <c r="N614" s="9">
        <f ca="1">IF(Prices!D613&gt;OFFSET(Prices!D613,-$N$3,0),1,IF(Prices!D613&lt;OFFSET(Prices!D613,-$N$3,0),-1,0))</f>
        <v>-1</v>
      </c>
      <c r="O614" s="1">
        <f ca="1">IF(N614=1,O$3*L613/Prices!B613,O$3*M613*N614)</f>
        <v>-3.6469432885163765E-2</v>
      </c>
      <c r="P614" s="14"/>
      <c r="Q614" s="9">
        <f ca="1">Q613-T614*Prices!B614</f>
        <v>0.51986771329444692</v>
      </c>
      <c r="R614" s="1">
        <f t="shared" ca="1" si="57"/>
        <v>0.36397075643959409</v>
      </c>
      <c r="S614" s="9">
        <f ca="1">IF(Prices!C613&lt;OFFSET(Prices!C613,-S$3,0),1,IF(Prices!C613&gt;OFFSET(Prices!C613,-S$3,0),-1,0))</f>
        <v>1</v>
      </c>
      <c r="T614" s="1">
        <f ca="1">IF(S614=1,T$3*Q613/Prices!B613,T$3*R613*S614)</f>
        <v>9.4240394694809475E-3</v>
      </c>
    </row>
    <row r="615" spans="1:20" x14ac:dyDescent="0.2">
      <c r="A615" s="4">
        <v>34367</v>
      </c>
      <c r="B615" s="9">
        <f ca="1">Prices!B614*(1+J615/(50*(ABS(O615)+ABS(T615)+0.0001)))</f>
        <v>1.1586834553419381</v>
      </c>
      <c r="C615" s="13">
        <f t="shared" ca="1" si="52"/>
        <v>1</v>
      </c>
      <c r="D615" s="9">
        <f ca="1">D614+C615*(Prices!B615-Prices!B614)/Prices!B614</f>
        <v>-0.55630808439593393</v>
      </c>
      <c r="E615" s="9">
        <f t="shared" ca="1" si="53"/>
        <v>0.59243203565468028</v>
      </c>
      <c r="F615" s="9">
        <f t="shared" ca="1" si="54"/>
        <v>3.6123951258746317E-2</v>
      </c>
      <c r="G615" s="13">
        <f ca="1">IF((Prices!B615-Prices!B614)*B615&gt;0,1,0)</f>
        <v>0</v>
      </c>
      <c r="H615" s="9">
        <f>ABS(Prices!B615-Prices!B614)/Prices!B614</f>
        <v>4.313380281690057E-3</v>
      </c>
      <c r="I615" s="13"/>
      <c r="J615" s="1">
        <f t="shared" ca="1" si="55"/>
        <v>6.207050919330323E-2</v>
      </c>
      <c r="K615" s="9"/>
      <c r="L615" s="9">
        <f ca="1">L614-O615*Prices!B615</f>
        <v>0.54129199535150674</v>
      </c>
      <c r="M615" s="1">
        <f t="shared" ca="1" si="56"/>
        <v>0.38114280457360733</v>
      </c>
      <c r="N615" s="9">
        <f ca="1">IF(Prices!D614&gt;OFFSET(Prices!D614,-$N$3,0),1,IF(Prices!D614&lt;OFFSET(Prices!D614,-$N$3,0),-1,0))</f>
        <v>1</v>
      </c>
      <c r="O615" s="1">
        <f ca="1">IF(N615=1,O$3*L614/Prices!B614,O$3*M614*N615)</f>
        <v>5.2917908607133392E-2</v>
      </c>
      <c r="P615" s="14"/>
      <c r="Q615" s="9">
        <f ca="1">Q614-T615*Prices!B615</f>
        <v>0.50951520677143025</v>
      </c>
      <c r="R615" s="1">
        <f t="shared" ca="1" si="57"/>
        <v>0.37312335702576394</v>
      </c>
      <c r="S615" s="9">
        <f ca="1">IF(Prices!C614&lt;OFFSET(Prices!C614,-S$3,0),1,IF(Prices!C614&gt;OFFSET(Prices!C614,-S$3,0),-1,0))</f>
        <v>1</v>
      </c>
      <c r="T615" s="1">
        <f ca="1">IF(S615=1,T$3*Q614/Prices!B614,T$3*R614*S615)</f>
        <v>9.1526005861698404E-3</v>
      </c>
    </row>
    <row r="616" spans="1:20" x14ac:dyDescent="0.2">
      <c r="A616" s="4">
        <v>34368</v>
      </c>
      <c r="B616" s="9">
        <f ca="1">Prices!B615*(1+J616/(50*(ABS(O616)+ABS(T616)+0.0001)))</f>
        <v>1.1536822875892465</v>
      </c>
      <c r="C616" s="13">
        <f t="shared" ref="C616:C679" ca="1" si="58">IF(J616&gt;0,1,IF(J616&lt;0,-1,0))</f>
        <v>1</v>
      </c>
      <c r="D616" s="9">
        <f ca="1">D615+C616*(Prices!B616-Prices!B615)/Prices!B615</f>
        <v>-0.55427466560007155</v>
      </c>
      <c r="E616" s="9">
        <f t="shared" ref="E616:E679" ca="1" si="59">F616-D616</f>
        <v>0.59039861685881789</v>
      </c>
      <c r="F616" s="9">
        <f t="shared" ref="F616:F679" ca="1" si="60">MAX(F615,D616)</f>
        <v>3.6123951258746317E-2</v>
      </c>
      <c r="G616" s="13">
        <f ca="1">IF((Prices!B616-Prices!B615)*B616&gt;0,1,0)</f>
        <v>1</v>
      </c>
      <c r="H616" s="9">
        <f>ABS(Prices!B616-Prices!B615)/Prices!B615</f>
        <v>2.0334187958624072E-3</v>
      </c>
      <c r="I616" s="13"/>
      <c r="J616" s="1">
        <f t="shared" ref="J616:J679" ca="1" si="61">O616+T616</f>
        <v>5.6864559871434253E-2</v>
      </c>
      <c r="K616" s="9"/>
      <c r="L616" s="9">
        <f ca="1">L615-O616*Prices!B616</f>
        <v>0.48705272848461628</v>
      </c>
      <c r="M616" s="1">
        <f t="shared" ca="1" si="56"/>
        <v>0.42899816619959147</v>
      </c>
      <c r="N616" s="9">
        <f ca="1">IF(Prices!D615&gt;OFFSET(Prices!D615,-$N$3,0),1,IF(Prices!D615&lt;OFFSET(Prices!D615,-$N$3,0),-1,0))</f>
        <v>1</v>
      </c>
      <c r="O616" s="1">
        <f ca="1">IF(N616=1,O$3*L615/Prices!B615,O$3*M615*N616)</f>
        <v>4.7855361625984152E-2</v>
      </c>
      <c r="P616" s="14"/>
      <c r="Q616" s="9">
        <f ca="1">Q615-T616*Prices!B616</f>
        <v>0.49930418148003713</v>
      </c>
      <c r="R616" s="1">
        <f t="shared" ca="1" si="57"/>
        <v>0.38213255527121404</v>
      </c>
      <c r="S616" s="9">
        <f ca="1">IF(Prices!C615&lt;OFFSET(Prices!C615,-S$3,0),1,IF(Prices!C615&gt;OFFSET(Prices!C615,-S$3,0),-1,0))</f>
        <v>1</v>
      </c>
      <c r="T616" s="1">
        <f ca="1">IF(S616=1,T$3*Q615/Prices!B615,T$3*R615*S616)</f>
        <v>9.0091982454500973E-3</v>
      </c>
    </row>
    <row r="617" spans="1:20" x14ac:dyDescent="0.2">
      <c r="A617" s="4">
        <v>34369</v>
      </c>
      <c r="B617" s="9">
        <f ca="1">Prices!B616*(1+J617/(50*(ABS(O617)+ABS(T617)+0.0001)))</f>
        <v>1.1560243097630991</v>
      </c>
      <c r="C617" s="13">
        <f t="shared" ca="1" si="58"/>
        <v>1</v>
      </c>
      <c r="D617" s="9">
        <f ca="1">D616+C617*(Prices!B617-Prices!B616)/Prices!B616</f>
        <v>-0.55577457736996749</v>
      </c>
      <c r="E617" s="9">
        <f t="shared" ca="1" si="59"/>
        <v>0.59189852862871384</v>
      </c>
      <c r="F617" s="9">
        <f t="shared" ca="1" si="60"/>
        <v>3.6123951258746317E-2</v>
      </c>
      <c r="G617" s="13">
        <f ca="1">IF((Prices!B617-Prices!B616)*B617&gt;0,1,0)</f>
        <v>0</v>
      </c>
      <c r="H617" s="9">
        <f>ABS(Prices!B617-Prices!B616)/Prices!B616</f>
        <v>1.4999117698959192E-3</v>
      </c>
      <c r="I617" s="13"/>
      <c r="J617" s="1">
        <f t="shared" ca="1" si="61"/>
        <v>5.1783444925059444E-2</v>
      </c>
      <c r="K617" s="9"/>
      <c r="L617" s="9">
        <f ca="1">L616-O617*Prices!B617</f>
        <v>0.43842050924815607</v>
      </c>
      <c r="M617" s="1">
        <f t="shared" ca="1" si="56"/>
        <v>0.47197087914159042</v>
      </c>
      <c r="N617" s="9">
        <f ca="1">IF(Prices!D616&gt;OFFSET(Prices!D616,-$N$3,0),1,IF(Prices!D616&lt;OFFSET(Prices!D616,-$N$3,0),-1,0))</f>
        <v>1</v>
      </c>
      <c r="O617" s="1">
        <f ca="1">IF(N617=1,O$3*L616/Prices!B616,O$3*M616*N617)</f>
        <v>4.2972712941998968E-2</v>
      </c>
      <c r="P617" s="14"/>
      <c r="Q617" s="9">
        <f ca="1">Q616-T617*Prices!B617</f>
        <v>0.48933307609480758</v>
      </c>
      <c r="R617" s="1">
        <f t="shared" ca="1" si="57"/>
        <v>0.39094328725427452</v>
      </c>
      <c r="S617" s="9">
        <f ca="1">IF(Prices!C616&lt;OFFSET(Prices!C616,-S$3,0),1,IF(Prices!C616&gt;OFFSET(Prices!C616,-S$3,0),-1,0))</f>
        <v>1</v>
      </c>
      <c r="T617" s="1">
        <f ca="1">IF(S617=1,T$3*Q616/Prices!B616,T$3*R616*S617)</f>
        <v>8.8107319830604755E-3</v>
      </c>
    </row>
    <row r="618" spans="1:20" x14ac:dyDescent="0.2">
      <c r="A618" s="4">
        <v>34372</v>
      </c>
      <c r="B618" s="9">
        <f ca="1">Prices!B617*(1+J618/(50*(ABS(O618)+ABS(T618)+0.0001)))</f>
        <v>1.1466996982100057</v>
      </c>
      <c r="C618" s="13">
        <f t="shared" ca="1" si="58"/>
        <v>1</v>
      </c>
      <c r="D618" s="9">
        <f ca="1">D617+C618*(Prices!B618-Prices!B617)/Prices!B617</f>
        <v>-0.56991259981407816</v>
      </c>
      <c r="E618" s="9">
        <f t="shared" ca="1" si="59"/>
        <v>0.6060365510728245</v>
      </c>
      <c r="F618" s="9">
        <f t="shared" ca="1" si="60"/>
        <v>3.6123951258746317E-2</v>
      </c>
      <c r="G618" s="13">
        <f ca="1">IF((Prices!B618-Prices!B617)*B618&gt;0,1,0)</f>
        <v>0</v>
      </c>
      <c r="H618" s="9">
        <f>ABS(Prices!B618-Prices!B617)/Prices!B617</f>
        <v>1.4138022444110644E-2</v>
      </c>
      <c r="I618" s="13"/>
      <c r="J618" s="1">
        <f t="shared" ca="1" si="61"/>
        <v>3.0921128003094777E-2</v>
      </c>
      <c r="K618" s="9"/>
      <c r="L618" s="9">
        <f ca="1">L617-O618*Prices!B618</f>
        <v>0.39519829822331132</v>
      </c>
      <c r="M618" s="1">
        <f t="shared" ca="1" si="56"/>
        <v>0.51071087288977068</v>
      </c>
      <c r="N618" s="9">
        <f ca="1">IF(Prices!D617&gt;OFFSET(Prices!D617,-$N$3,0),1,IF(Prices!D617&lt;OFFSET(Prices!D617,-$N$3,0),-1,0))</f>
        <v>1</v>
      </c>
      <c r="O618" s="1">
        <f ca="1">IF(N618=1,O$3*L617/Prices!B617,O$3*M617*N618)</f>
        <v>3.8739993748180268E-2</v>
      </c>
      <c r="P618" s="14"/>
      <c r="Q618" s="9">
        <f ca="1">Q617-T618*Prices!B618</f>
        <v>0.49805658460659946</v>
      </c>
      <c r="R618" s="1">
        <f t="shared" ca="1" si="57"/>
        <v>0.38312442150918902</v>
      </c>
      <c r="S618" s="9">
        <f ca="1">IF(Prices!C617&lt;OFFSET(Prices!C617,-S$3,0),1,IF(Prices!C617&gt;OFFSET(Prices!C617,-S$3,0),-1,0))</f>
        <v>-1</v>
      </c>
      <c r="T618" s="1">
        <f ca="1">IF(S618=1,T$3*Q617/Prices!B617,T$3*R617*S618)</f>
        <v>-7.8188657450854911E-3</v>
      </c>
    </row>
    <row r="619" spans="1:20" x14ac:dyDescent="0.2">
      <c r="A619" s="4">
        <v>34373</v>
      </c>
      <c r="B619" s="9">
        <f ca="1">Prices!B618*(1+J619/(50*(ABS(O619)+ABS(T619)+0.0001)))</f>
        <v>1.130043627153229</v>
      </c>
      <c r="C619" s="13">
        <f t="shared" ca="1" si="58"/>
        <v>1</v>
      </c>
      <c r="D619" s="9">
        <f ca="1">D618+C619*(Prices!B619-Prices!B618)/Prices!B618</f>
        <v>-0.57134667707499043</v>
      </c>
      <c r="E619" s="9">
        <f t="shared" ca="1" si="59"/>
        <v>0.60747062833373677</v>
      </c>
      <c r="F619" s="9">
        <f t="shared" ca="1" si="60"/>
        <v>3.6123951258746317E-2</v>
      </c>
      <c r="G619" s="13">
        <f ca="1">IF((Prices!B619-Prices!B618)*B619&gt;0,1,0)</f>
        <v>0</v>
      </c>
      <c r="H619" s="9">
        <f>ABS(Prices!B619-Prices!B618)/Prices!B618</f>
        <v>1.4340772609122737E-3</v>
      </c>
      <c r="I619" s="13"/>
      <c r="J619" s="1">
        <f t="shared" ca="1" si="61"/>
        <v>2.775906738440001E-2</v>
      </c>
      <c r="K619" s="9"/>
      <c r="L619" s="9">
        <f ca="1">L618-O619*Prices!B619</f>
        <v>0.35573514289028352</v>
      </c>
      <c r="M619" s="1">
        <f t="shared" ca="1" si="56"/>
        <v>0.54613242870435452</v>
      </c>
      <c r="N619" s="9">
        <f ca="1">IF(Prices!D618&gt;OFFSET(Prices!D618,-$N$3,0),1,IF(Prices!D618&lt;OFFSET(Prices!D618,-$N$3,0),-1,0))</f>
        <v>1</v>
      </c>
      <c r="O619" s="1">
        <f ca="1">IF(N619=1,O$3*L618/Prices!B618,O$3*M618*N619)</f>
        <v>3.542155581458379E-2</v>
      </c>
      <c r="P619" s="14"/>
      <c r="Q619" s="9">
        <f ca="1">Q618-T619*Prices!B619</f>
        <v>0.50659336296666724</v>
      </c>
      <c r="R619" s="1">
        <f t="shared" ca="1" si="57"/>
        <v>0.37546193307900522</v>
      </c>
      <c r="S619" s="9">
        <f ca="1">IF(Prices!C618&lt;OFFSET(Prices!C618,-S$3,0),1,IF(Prices!C618&gt;OFFSET(Prices!C618,-S$3,0),-1,0))</f>
        <v>-1</v>
      </c>
      <c r="T619" s="1">
        <f ca="1">IF(S619=1,T$3*Q618/Prices!B618,T$3*R618*S619)</f>
        <v>-7.6624884301837804E-3</v>
      </c>
    </row>
    <row r="620" spans="1:20" x14ac:dyDescent="0.2">
      <c r="A620" s="4">
        <v>34374</v>
      </c>
      <c r="B620" s="9">
        <f ca="1">Prices!B619*(1+J620/(50*(ABS(O620)+ABS(T620)+0.0001)))</f>
        <v>1.1278621695966502</v>
      </c>
      <c r="C620" s="13">
        <f t="shared" ca="1" si="58"/>
        <v>1</v>
      </c>
      <c r="D620" s="9">
        <f ca="1">D619+C620*(Prices!B620-Prices!B619)/Prices!B619</f>
        <v>-0.56793585219392073</v>
      </c>
      <c r="E620" s="9">
        <f t="shared" ca="1" si="59"/>
        <v>0.60405980345266708</v>
      </c>
      <c r="F620" s="9">
        <f t="shared" ca="1" si="60"/>
        <v>3.6123951258746317E-2</v>
      </c>
      <c r="G620" s="13">
        <f ca="1">IF((Prices!B620-Prices!B619)*B620&gt;0,1,0)</f>
        <v>1</v>
      </c>
      <c r="H620" s="9">
        <f>ABS(Prices!B620-Prices!B619)/Prices!B619</f>
        <v>3.4108248810697452E-3</v>
      </c>
      <c r="I620" s="13"/>
      <c r="J620" s="1">
        <f t="shared" ca="1" si="61"/>
        <v>2.4421031771081549E-2</v>
      </c>
      <c r="K620" s="9"/>
      <c r="L620" s="9">
        <f ca="1">L619-O620*Prices!B620</f>
        <v>0.32004029357361108</v>
      </c>
      <c r="M620" s="1">
        <f t="shared" ca="1" si="56"/>
        <v>0.57806269913701613</v>
      </c>
      <c r="N620" s="9">
        <f ca="1">IF(Prices!D619&gt;OFFSET(Prices!D619,-$N$3,0),1,IF(Prices!D619&lt;OFFSET(Prices!D619,-$N$3,0),-1,0))</f>
        <v>1</v>
      </c>
      <c r="O620" s="1">
        <f ca="1">IF(N620=1,O$3*L619/Prices!B619,O$3*M619*N620)</f>
        <v>3.1930270432661653E-2</v>
      </c>
      <c r="P620" s="14"/>
      <c r="Q620" s="9">
        <f ca="1">Q619-T620*Prices!B620</f>
        <v>0.51498794086644761</v>
      </c>
      <c r="R620" s="1">
        <f t="shared" ca="1" si="57"/>
        <v>0.36795269441742512</v>
      </c>
      <c r="S620" s="9">
        <f ca="1">IF(Prices!C619&lt;OFFSET(Prices!C619,-S$3,0),1,IF(Prices!C619&gt;OFFSET(Prices!C619,-S$3,0),-1,0))</f>
        <v>-1</v>
      </c>
      <c r="T620" s="1">
        <f ca="1">IF(S620=1,T$3*Q619/Prices!B619,T$3*R619*S620)</f>
        <v>-7.5092386615801046E-3</v>
      </c>
    </row>
    <row r="621" spans="1:20" x14ac:dyDescent="0.2">
      <c r="A621" s="4">
        <v>34375</v>
      </c>
      <c r="B621" s="9">
        <f ca="1">Prices!B620*(1+J621/(50*(ABS(O621)+ABS(T621)+0.0001)))</f>
        <v>1.1401990735176186</v>
      </c>
      <c r="C621" s="13">
        <f t="shared" ca="1" si="58"/>
        <v>1</v>
      </c>
      <c r="D621" s="9">
        <f ca="1">D620+C621*(Prices!B621-Prices!B620)/Prices!B620</f>
        <v>-0.56659405060164947</v>
      </c>
      <c r="E621" s="9">
        <f t="shared" ca="1" si="59"/>
        <v>0.60271800186039581</v>
      </c>
      <c r="F621" s="9">
        <f t="shared" ca="1" si="60"/>
        <v>3.6123951258746317E-2</v>
      </c>
      <c r="G621" s="13">
        <f ca="1">IF((Prices!B621-Prices!B620)*B621&gt;0,1,0)</f>
        <v>1</v>
      </c>
      <c r="H621" s="9">
        <f>ABS(Prices!B621-Prices!B620)/Prices!B620</f>
        <v>1.3418015922712738E-3</v>
      </c>
      <c r="I621" s="13"/>
      <c r="J621" s="1">
        <f t="shared" ca="1" si="61"/>
        <v>3.7842193554602443E-2</v>
      </c>
      <c r="K621" s="9"/>
      <c r="L621" s="9">
        <f ca="1">L620-O621*Prices!B621</f>
        <v>0.28799332115869913</v>
      </c>
      <c r="M621" s="1">
        <f t="shared" ca="1" si="56"/>
        <v>0.60669140417088419</v>
      </c>
      <c r="N621" s="9">
        <f ca="1">IF(Prices!D620&gt;OFFSET(Prices!D620,-$N$3,0),1,IF(Prices!D620&lt;OFFSET(Prices!D620,-$N$3,0),-1,0))</f>
        <v>1</v>
      </c>
      <c r="O621" s="1">
        <f ca="1">IF(N621=1,O$3*L620/Prices!B620,O$3*M620*N621)</f>
        <v>2.8628705033868069E-2</v>
      </c>
      <c r="P621" s="14"/>
      <c r="Q621" s="9">
        <f ca="1">Q620-T621*Prices!B621</f>
        <v>0.50467436181633751</v>
      </c>
      <c r="R621" s="1">
        <f t="shared" ca="1" si="57"/>
        <v>0.37716618293815951</v>
      </c>
      <c r="S621" s="9">
        <f ca="1">IF(Prices!C620&lt;OFFSET(Prices!C620,-S$3,0),1,IF(Prices!C620&gt;OFFSET(Prices!C620,-S$3,0),-1,0))</f>
        <v>1</v>
      </c>
      <c r="T621" s="1">
        <f ca="1">IF(S621=1,T$3*Q620/Prices!B620,T$3*R620*S621)</f>
        <v>9.2134885207343711E-3</v>
      </c>
    </row>
    <row r="622" spans="1:20" x14ac:dyDescent="0.2">
      <c r="A622" s="4">
        <v>34376</v>
      </c>
      <c r="B622" s="9">
        <f ca="1">Prices!B621*(1+J622/(50*(ABS(O622)+ABS(T622)+0.0001)))</f>
        <v>1.1028294736118653</v>
      </c>
      <c r="C622" s="13">
        <f t="shared" ca="1" si="58"/>
        <v>-1</v>
      </c>
      <c r="D622" s="9">
        <f ca="1">D621+C622*(Prices!B622-Prices!B621)/Prices!B621</f>
        <v>-0.56775538703188</v>
      </c>
      <c r="E622" s="9">
        <f t="shared" ca="1" si="59"/>
        <v>0.60387933829062634</v>
      </c>
      <c r="F622" s="9">
        <f t="shared" ca="1" si="60"/>
        <v>3.6123951258746317E-2</v>
      </c>
      <c r="G622" s="13">
        <f ca="1">IF((Prices!B622-Prices!B621)*B622&gt;0,1,0)</f>
        <v>1</v>
      </c>
      <c r="H622" s="9">
        <f>ABS(Prices!B622-Prices!B621)/Prices!B621</f>
        <v>1.1613364302305511E-3</v>
      </c>
      <c r="I622" s="13"/>
      <c r="J622" s="1">
        <f t="shared" ca="1" si="61"/>
        <v>-5.1652267774309479E-2</v>
      </c>
      <c r="K622" s="9"/>
      <c r="L622" s="9">
        <f ca="1">L621-O622*Prices!B622</f>
        <v>0.35598522682413014</v>
      </c>
      <c r="M622" s="1">
        <f t="shared" ca="1" si="56"/>
        <v>0.54602226375379581</v>
      </c>
      <c r="N622" s="9">
        <f ca="1">IF(Prices!D621&gt;OFFSET(Prices!D621,-$N$3,0),1,IF(Prices!D621&lt;OFFSET(Prices!D621,-$N$3,0),-1,0))</f>
        <v>-1</v>
      </c>
      <c r="O622" s="1">
        <f ca="1">IF(N622=1,O$3*L621/Prices!B621,O$3*M621*N622)</f>
        <v>-6.0669140417088423E-2</v>
      </c>
      <c r="P622" s="14"/>
      <c r="Q622" s="9">
        <f ca="1">Q621-T622*Prices!B622</f>
        <v>0.49456915264557516</v>
      </c>
      <c r="R622" s="1">
        <f t="shared" ca="1" si="57"/>
        <v>0.38618305558093846</v>
      </c>
      <c r="S622" s="9">
        <f ca="1">IF(Prices!C621&lt;OFFSET(Prices!C621,-S$3,0),1,IF(Prices!C621&gt;OFFSET(Prices!C621,-S$3,0),-1,0))</f>
        <v>1</v>
      </c>
      <c r="T622" s="1">
        <f ca="1">IF(S622=1,T$3*Q621/Prices!B621,T$3*R621*S622)</f>
        <v>9.0168726427789451E-3</v>
      </c>
    </row>
    <row r="623" spans="1:20" x14ac:dyDescent="0.2">
      <c r="A623" s="4">
        <v>34379</v>
      </c>
      <c r="B623" s="9">
        <f ca="1">Prices!B622*(1+J623/(50*(ABS(O623)+ABS(T623)+0.0001)))</f>
        <v>1.1045492985461403</v>
      </c>
      <c r="C623" s="13">
        <f t="shared" ca="1" si="58"/>
        <v>-1</v>
      </c>
      <c r="D623" s="9">
        <f ca="1">D622+C623*(Prices!B623-Prices!B622)/Prices!B622</f>
        <v>-0.57248457414707576</v>
      </c>
      <c r="E623" s="9">
        <f t="shared" ca="1" si="59"/>
        <v>0.60860852540582211</v>
      </c>
      <c r="F623" s="9">
        <f t="shared" ca="1" si="60"/>
        <v>3.6123951258746317E-2</v>
      </c>
      <c r="G623" s="13">
        <f ca="1">IF((Prices!B623-Prices!B622)*B623&gt;0,1,0)</f>
        <v>1</v>
      </c>
      <c r="H623" s="9">
        <f>ABS(Prices!B623-Prices!B622)/Prices!B622</f>
        <v>4.729187115195735E-3</v>
      </c>
      <c r="I623" s="13"/>
      <c r="J623" s="1">
        <f t="shared" ca="1" si="61"/>
        <v>-4.577615066117284E-2</v>
      </c>
      <c r="K623" s="9"/>
      <c r="L623" s="9">
        <f ca="1">L622-O623*Prices!B623</f>
        <v>0.41746733372280753</v>
      </c>
      <c r="M623" s="1">
        <f t="shared" ca="1" si="56"/>
        <v>0.49142003737841622</v>
      </c>
      <c r="N623" s="9">
        <f ca="1">IF(Prices!D622&gt;OFFSET(Prices!D622,-$N$3,0),1,IF(Prices!D622&lt;OFFSET(Prices!D622,-$N$3,0),-1,0))</f>
        <v>-1</v>
      </c>
      <c r="O623" s="1">
        <f ca="1">IF(N623=1,O$3*L622/Prices!B622,O$3*M622*N623)</f>
        <v>-5.4602226375379585E-2</v>
      </c>
      <c r="P623" s="14"/>
      <c r="Q623" s="9">
        <f ca="1">Q622-T623*Prices!B623</f>
        <v>0.48463099139137839</v>
      </c>
      <c r="R623" s="1">
        <f t="shared" ca="1" si="57"/>
        <v>0.3950091312951452</v>
      </c>
      <c r="S623" s="9">
        <f ca="1">IF(Prices!C622&lt;OFFSET(Prices!C622,-S$3,0),1,IF(Prices!C622&gt;OFFSET(Prices!C622,-S$3,0),-1,0))</f>
        <v>1</v>
      </c>
      <c r="T623" s="1">
        <f ca="1">IF(S623=1,T$3*Q622/Prices!B622,T$3*R622*S623)</f>
        <v>8.8260757142067485E-3</v>
      </c>
    </row>
    <row r="624" spans="1:20" x14ac:dyDescent="0.2">
      <c r="A624" s="4">
        <v>34380</v>
      </c>
      <c r="B624" s="9">
        <f ca="1">Prices!B623*(1+J624/(50*(ABS(O624)+ABS(T624)+0.0001)))</f>
        <v>1.1102208244962732</v>
      </c>
      <c r="C624" s="13">
        <f t="shared" ca="1" si="58"/>
        <v>-1</v>
      </c>
      <c r="D624" s="9">
        <f ca="1">D623+C624*(Prices!B624-Prices!B623)/Prices!B623</f>
        <v>-0.58136556881847901</v>
      </c>
      <c r="E624" s="9">
        <f t="shared" ca="1" si="59"/>
        <v>0.61748952007722535</v>
      </c>
      <c r="F624" s="9">
        <f t="shared" ca="1" si="60"/>
        <v>3.6123951258746317E-2</v>
      </c>
      <c r="G624" s="13">
        <f ca="1">IF((Prices!B624-Prices!B623)*B624&gt;0,1,0)</f>
        <v>1</v>
      </c>
      <c r="H624" s="9">
        <f>ABS(Prices!B624-Prices!B623)/Prices!B623</f>
        <v>8.8809946714032053E-3</v>
      </c>
      <c r="I624" s="13"/>
      <c r="J624" s="1">
        <f t="shared" ca="1" si="61"/>
        <v>-4.0533993233554264E-2</v>
      </c>
      <c r="K624" s="9"/>
      <c r="L624" s="9">
        <f ca="1">L623-O624*Prices!B624</f>
        <v>0.47329264996899562</v>
      </c>
      <c r="M624" s="1">
        <f t="shared" ca="1" si="56"/>
        <v>0.44227803364057461</v>
      </c>
      <c r="N624" s="9">
        <f ca="1">IF(Prices!D623&gt;OFFSET(Prices!D623,-$N$3,0),1,IF(Prices!D623&lt;OFFSET(Prices!D623,-$N$3,0),-1,0))</f>
        <v>-1</v>
      </c>
      <c r="O624" s="1">
        <f ca="1">IF(N624=1,O$3*L623/Prices!B623,O$3*M623*N624)</f>
        <v>-4.9142003737841625E-2</v>
      </c>
      <c r="P624" s="14"/>
      <c r="Q624" s="9">
        <f ca="1">Q623-T624*Prices!B624</f>
        <v>0.47485229145850794</v>
      </c>
      <c r="R624" s="1">
        <f t="shared" ca="1" si="57"/>
        <v>0.40361714179943253</v>
      </c>
      <c r="S624" s="9">
        <f ca="1">IF(Prices!C623&lt;OFFSET(Prices!C623,-S$3,0),1,IF(Prices!C623&gt;OFFSET(Prices!C623,-S$3,0),-1,0))</f>
        <v>1</v>
      </c>
      <c r="T624" s="1">
        <f ca="1">IF(S624=1,T$3*Q623/Prices!B623,T$3*R623*S624)</f>
        <v>8.6080105042873611E-3</v>
      </c>
    </row>
    <row r="625" spans="1:20" x14ac:dyDescent="0.2">
      <c r="A625" s="4">
        <v>34381</v>
      </c>
      <c r="B625" s="9">
        <f ca="1">Prices!B624*(1+J625/(50*(ABS(O625)+ABS(T625)+0.0001)))</f>
        <v>1.1205331641245657</v>
      </c>
      <c r="C625" s="13">
        <f t="shared" ca="1" si="58"/>
        <v>-1</v>
      </c>
      <c r="D625" s="9">
        <f ca="1">D624+C625*(Prices!B625-Prices!B624)/Prices!B624</f>
        <v>-0.58250993501566217</v>
      </c>
      <c r="E625" s="9">
        <f t="shared" ca="1" si="59"/>
        <v>0.61863388627440852</v>
      </c>
      <c r="F625" s="9">
        <f t="shared" ca="1" si="60"/>
        <v>3.6123951258746317E-2</v>
      </c>
      <c r="G625" s="13">
        <f ca="1">IF((Prices!B625-Prices!B624)*B625&gt;0,1,0)</f>
        <v>1</v>
      </c>
      <c r="H625" s="9">
        <f>ABS(Prices!B625-Prices!B624)/Prices!B624</f>
        <v>1.1443661971831682E-3</v>
      </c>
      <c r="I625" s="13"/>
      <c r="J625" s="1">
        <f t="shared" ca="1" si="61"/>
        <v>-3.5867727810210491E-2</v>
      </c>
      <c r="K625" s="9"/>
      <c r="L625" s="9">
        <f ca="1">L624-O625*Prices!B625</f>
        <v>0.52359293073493818</v>
      </c>
      <c r="M625" s="1">
        <f t="shared" ca="1" si="56"/>
        <v>0.39805023027651715</v>
      </c>
      <c r="N625" s="9">
        <f ca="1">IF(Prices!D624&gt;OFFSET(Prices!D624,-$N$3,0),1,IF(Prices!D624&lt;OFFSET(Prices!D624,-$N$3,0),-1,0))</f>
        <v>-1</v>
      </c>
      <c r="O625" s="1">
        <f ca="1">IF(N625=1,O$3*L624/Prices!B624,O$3*M624*N625)</f>
        <v>-4.4227803364057461E-2</v>
      </c>
      <c r="P625" s="14"/>
      <c r="Q625" s="9">
        <f ca="1">Q624-T625*Prices!B625</f>
        <v>0.46534437753111779</v>
      </c>
      <c r="R625" s="1">
        <f t="shared" ca="1" si="57"/>
        <v>0.41197721735327952</v>
      </c>
      <c r="S625" s="9">
        <f ca="1">IF(Prices!C624&lt;OFFSET(Prices!C624,-S$3,0),1,IF(Prices!C624&gt;OFFSET(Prices!C624,-S$3,0),-1,0))</f>
        <v>1</v>
      </c>
      <c r="T625" s="1">
        <f ca="1">IF(S625=1,T$3*Q624/Prices!B624,T$3*R624*S625)</f>
        <v>8.3600755538469716E-3</v>
      </c>
    </row>
    <row r="626" spans="1:20" x14ac:dyDescent="0.2">
      <c r="A626" s="4">
        <v>34382</v>
      </c>
      <c r="B626" s="9">
        <f ca="1">Prices!B625*(1+J626/(50*(ABS(O626)+ABS(T626)+0.0001)))</f>
        <v>1.1223427923370726</v>
      </c>
      <c r="C626" s="13">
        <f t="shared" ca="1" si="58"/>
        <v>-1</v>
      </c>
      <c r="D626" s="9">
        <f ca="1">D625+C626*(Prices!B626-Prices!B625)/Prices!B625</f>
        <v>-0.57864112291683167</v>
      </c>
      <c r="E626" s="9">
        <f t="shared" ca="1" si="59"/>
        <v>0.61476507417557802</v>
      </c>
      <c r="F626" s="9">
        <f t="shared" ca="1" si="60"/>
        <v>3.6123951258746317E-2</v>
      </c>
      <c r="G626" s="13">
        <f ca="1">IF((Prices!B626-Prices!B625)*B626&gt;0,1,0)</f>
        <v>0</v>
      </c>
      <c r="H626" s="9">
        <f>ABS(Prices!B626-Prices!B625)/Prices!B625</f>
        <v>3.8688120988305281E-3</v>
      </c>
      <c r="I626" s="13"/>
      <c r="J626" s="1">
        <f t="shared" ca="1" si="61"/>
        <v>-3.1621705037128231E-2</v>
      </c>
      <c r="K626" s="9"/>
      <c r="L626" s="9">
        <f ca="1">L625-O626*Prices!B626</f>
        <v>0.5686880413229648</v>
      </c>
      <c r="M626" s="1">
        <f t="shared" ca="1" si="56"/>
        <v>0.35824520724886544</v>
      </c>
      <c r="N626" s="9">
        <f ca="1">IF(Prices!D625&gt;OFFSET(Prices!D625,-$N$3,0),1,IF(Prices!D625&lt;OFFSET(Prices!D625,-$N$3,0),-1,0))</f>
        <v>-1</v>
      </c>
      <c r="O626" s="1">
        <f ca="1">IF(N626=1,O$3*L625/Prices!B625,O$3*M625*N626)</f>
        <v>-3.9805023027651716E-2</v>
      </c>
      <c r="P626" s="14"/>
      <c r="Q626" s="9">
        <f ca="1">Q625-T626*Prices!B626</f>
        <v>0.45607349657965374</v>
      </c>
      <c r="R626" s="1">
        <f t="shared" ca="1" si="57"/>
        <v>0.42016053534380299</v>
      </c>
      <c r="S626" s="9">
        <f ca="1">IF(Prices!C625&lt;OFFSET(Prices!C625,-S$3,0),1,IF(Prices!C625&gt;OFFSET(Prices!C625,-S$3,0),-1,0))</f>
        <v>1</v>
      </c>
      <c r="T626" s="1">
        <f ca="1">IF(S626=1,T$3*Q625/Prices!B625,T$3*R625*S626)</f>
        <v>8.1833179905234834E-3</v>
      </c>
    </row>
    <row r="627" spans="1:20" x14ac:dyDescent="0.2">
      <c r="A627" s="4">
        <v>34383</v>
      </c>
      <c r="B627" s="9">
        <f ca="1">Prices!B626*(1+J627/(50*(ABS(O627)+ABS(T627)+0.0001)))</f>
        <v>1.1555191681328179</v>
      </c>
      <c r="C627" s="13">
        <f t="shared" ca="1" si="58"/>
        <v>1</v>
      </c>
      <c r="D627" s="9">
        <f ca="1">D626+C627*(Prices!B627-Prices!B626)/Prices!B626</f>
        <v>-0.57184440652527013</v>
      </c>
      <c r="E627" s="9">
        <f t="shared" ca="1" si="59"/>
        <v>0.60796835778401648</v>
      </c>
      <c r="F627" s="9">
        <f t="shared" ca="1" si="60"/>
        <v>3.6123951258746317E-2</v>
      </c>
      <c r="G627" s="13">
        <f ca="1">IF((Prices!B627-Prices!B626)*B627&gt;0,1,0)</f>
        <v>1</v>
      </c>
      <c r="H627" s="9">
        <f>ABS(Prices!B627-Prices!B626)/Prices!B626</f>
        <v>6.7967163915615145E-3</v>
      </c>
      <c r="I627" s="13"/>
      <c r="J627" s="1">
        <f t="shared" ca="1" si="61"/>
        <v>5.8248984079697724E-2</v>
      </c>
      <c r="K627" s="9"/>
      <c r="L627" s="9">
        <f ca="1">L626-O627*Prices!B627</f>
        <v>0.51143271605745388</v>
      </c>
      <c r="M627" s="1">
        <f t="shared" ca="1" si="56"/>
        <v>0.40844275701697957</v>
      </c>
      <c r="N627" s="9">
        <f ca="1">IF(Prices!D626&gt;OFFSET(Prices!D626,-$N$3,0),1,IF(Prices!D626&lt;OFFSET(Prices!D626,-$N$3,0),-1,0))</f>
        <v>1</v>
      </c>
      <c r="O627" s="1">
        <f ca="1">IF(N627=1,O$3*L626/Prices!B626,O$3*M626*N627)</f>
        <v>5.0197549768114115E-2</v>
      </c>
      <c r="P627" s="14"/>
      <c r="Q627" s="9">
        <f ca="1">Q626-T627*Prices!B627</f>
        <v>0.44689003060386145</v>
      </c>
      <c r="R627" s="1">
        <f t="shared" ca="1" si="57"/>
        <v>0.4282119696553866</v>
      </c>
      <c r="S627" s="9">
        <f ca="1">IF(Prices!C626&lt;OFFSET(Prices!C626,-S$3,0),1,IF(Prices!C626&gt;OFFSET(Prices!C626,-S$3,0),-1,0))</f>
        <v>1</v>
      </c>
      <c r="T627" s="1">
        <f ca="1">IF(S627=1,T$3*Q626/Prices!B626,T$3*R626*S627)</f>
        <v>8.0514343115836128E-3</v>
      </c>
    </row>
    <row r="628" spans="1:20" x14ac:dyDescent="0.2">
      <c r="A628" s="4">
        <v>34386</v>
      </c>
      <c r="B628" s="9">
        <f ca="1">Prices!B627*(1+J628/(50*(ABS(O628)+ABS(T628)+0.0001)))</f>
        <v>1.1560663391820754</v>
      </c>
      <c r="C628" s="13">
        <f t="shared" ca="1" si="58"/>
        <v>1</v>
      </c>
      <c r="D628" s="9">
        <f ca="1">D627+C628*(Prices!B628-Prices!B627)/Prices!B627</f>
        <v>-0.5764910837127154</v>
      </c>
      <c r="E628" s="9">
        <f t="shared" ca="1" si="59"/>
        <v>0.61261503497146175</v>
      </c>
      <c r="F628" s="9">
        <f t="shared" ca="1" si="60"/>
        <v>3.6123951258746317E-2</v>
      </c>
      <c r="G628" s="13">
        <f ca="1">IF((Prices!B628-Prices!B627)*B628&gt;0,1,0)</f>
        <v>0</v>
      </c>
      <c r="H628" s="9">
        <f>ABS(Prices!B628-Prices!B627)/Prices!B627</f>
        <v>4.6466771874452764E-3</v>
      </c>
      <c r="I628" s="13"/>
      <c r="J628" s="1">
        <f t="shared" ca="1" si="61"/>
        <v>3.6274680127973621E-2</v>
      </c>
      <c r="K628" s="9"/>
      <c r="L628" s="9">
        <f ca="1">L627-O628*Prices!B628</f>
        <v>0.46052709072517023</v>
      </c>
      <c r="M628" s="1">
        <f t="shared" ca="1" si="56"/>
        <v>0.45328167653806095</v>
      </c>
      <c r="N628" s="9">
        <f ca="1">IF(Prices!D627&gt;OFFSET(Prices!D627,-$N$3,0),1,IF(Prices!D627&lt;OFFSET(Prices!D627,-$N$3,0),-1,0))</f>
        <v>1</v>
      </c>
      <c r="O628" s="1">
        <f ca="1">IF(N628=1,O$3*L627/Prices!B627,O$3*M627*N628)</f>
        <v>4.483891952108135E-2</v>
      </c>
      <c r="P628" s="14"/>
      <c r="Q628" s="9">
        <f ca="1">Q627-T628*Prices!B628</f>
        <v>0.45661301158685669</v>
      </c>
      <c r="R628" s="1">
        <f t="shared" ca="1" si="57"/>
        <v>0.41964773026227886</v>
      </c>
      <c r="S628" s="9">
        <f ca="1">IF(Prices!C627&lt;OFFSET(Prices!C627,-S$3,0),1,IF(Prices!C627&gt;OFFSET(Prices!C627,-S$3,0),-1,0))</f>
        <v>-1</v>
      </c>
      <c r="T628" s="1">
        <f ca="1">IF(S628=1,T$3*Q627/Prices!B627,T$3*R627*S628)</f>
        <v>-8.5642393931077317E-3</v>
      </c>
    </row>
    <row r="629" spans="1:20" x14ac:dyDescent="0.2">
      <c r="A629" s="4">
        <v>34387</v>
      </c>
      <c r="B629" s="9">
        <f ca="1">Prices!B628*(1+J629/(50*(ABS(O629)+ABS(T629)+0.0001)))</f>
        <v>1.1501904169734218</v>
      </c>
      <c r="C629" s="13">
        <f t="shared" ca="1" si="58"/>
        <v>1</v>
      </c>
      <c r="D629" s="9">
        <f ca="1">D628+C629*(Prices!B629-Prices!B628)/Prices!B628</f>
        <v>-0.57596258904170339</v>
      </c>
      <c r="E629" s="9">
        <f t="shared" ca="1" si="59"/>
        <v>0.61208654030044973</v>
      </c>
      <c r="F629" s="9">
        <f t="shared" ca="1" si="60"/>
        <v>3.6123951258746317E-2</v>
      </c>
      <c r="G629" s="13">
        <f ca="1">IF((Prices!B629-Prices!B628)*B629&gt;0,1,0)</f>
        <v>1</v>
      </c>
      <c r="H629" s="9">
        <f>ABS(Prices!B629-Prices!B628)/Prices!B628</f>
        <v>5.284946710120091E-4</v>
      </c>
      <c r="I629" s="13"/>
      <c r="J629" s="1">
        <f t="shared" ca="1" si="61"/>
        <v>3.2171397612244974E-2</v>
      </c>
      <c r="K629" s="9"/>
      <c r="L629" s="9">
        <f ca="1">L628-O629*Prices!B629</f>
        <v>0.41445004304132271</v>
      </c>
      <c r="M629" s="1">
        <f t="shared" ca="1" si="56"/>
        <v>0.4938460287555515</v>
      </c>
      <c r="N629" s="9">
        <f ca="1">IF(Prices!D628&gt;OFFSET(Prices!D628,-$N$3,0),1,IF(Prices!D628&lt;OFFSET(Prices!D628,-$N$3,0),-1,0))</f>
        <v>1</v>
      </c>
      <c r="O629" s="1">
        <f ca="1">IF(N629=1,O$3*L628/Prices!B628,O$3*M628*N629)</f>
        <v>4.0564352217490551E-2</v>
      </c>
      <c r="P629" s="14"/>
      <c r="Q629" s="9">
        <f ca="1">Q628-T629*Prices!B629</f>
        <v>0.46614656872295512</v>
      </c>
      <c r="R629" s="1">
        <f t="shared" ca="1" si="57"/>
        <v>0.41125477565703328</v>
      </c>
      <c r="S629" s="9">
        <f ca="1">IF(Prices!C628&lt;OFFSET(Prices!C628,-S$3,0),1,IF(Prices!C628&gt;OFFSET(Prices!C628,-S$3,0),-1,0))</f>
        <v>-1</v>
      </c>
      <c r="T629" s="1">
        <f ca="1">IF(S629=1,T$3*Q628/Prices!B628,T$3*R628*S629)</f>
        <v>-8.392954605245577E-3</v>
      </c>
    </row>
    <row r="630" spans="1:20" x14ac:dyDescent="0.2">
      <c r="A630" s="4">
        <v>34388</v>
      </c>
      <c r="B630" s="9">
        <f ca="1">Prices!B629*(1+J630/(50*(ABS(O630)+ABS(T630)+0.0001)))</f>
        <v>1.1132213660002293</v>
      </c>
      <c r="C630" s="13">
        <f t="shared" ca="1" si="58"/>
        <v>-1</v>
      </c>
      <c r="D630" s="9">
        <f ca="1">D629+C630*(Prices!B630-Prices!B629)/Prices!B629</f>
        <v>-0.57517026577381014</v>
      </c>
      <c r="E630" s="9">
        <f t="shared" ca="1" si="59"/>
        <v>0.61129421703255649</v>
      </c>
      <c r="F630" s="9">
        <f t="shared" ca="1" si="60"/>
        <v>3.6123951258746317E-2</v>
      </c>
      <c r="G630" s="13">
        <f ca="1">IF((Prices!B630-Prices!B629)*B630&gt;0,1,0)</f>
        <v>0</v>
      </c>
      <c r="H630" s="9">
        <f>ABS(Prices!B630-Prices!B629)/Prices!B629</f>
        <v>7.9232326789321331E-4</v>
      </c>
      <c r="I630" s="13"/>
      <c r="J630" s="1">
        <f t="shared" ca="1" si="61"/>
        <v>-5.7609698388695819E-2</v>
      </c>
      <c r="K630" s="9"/>
      <c r="L630" s="9">
        <f ca="1">L629-O630*Prices!B630</f>
        <v>0.47050156730507781</v>
      </c>
      <c r="M630" s="1">
        <f t="shared" ca="1" si="56"/>
        <v>0.44446142587999637</v>
      </c>
      <c r="N630" s="9">
        <f ca="1">IF(Prices!D629&gt;OFFSET(Prices!D629,-$N$3,0),1,IF(Prices!D629&lt;OFFSET(Prices!D629,-$N$3,0),-1,0))</f>
        <v>-1</v>
      </c>
      <c r="O630" s="1">
        <f ca="1">IF(N630=1,O$3*L629/Prices!B629,O$3*M629*N630)</f>
        <v>-4.9384602875555156E-2</v>
      </c>
      <c r="P630" s="14"/>
      <c r="Q630" s="9">
        <f ca="1">Q629-T630*Prices!B630</f>
        <v>0.47548205213036976</v>
      </c>
      <c r="R630" s="1">
        <f t="shared" ca="1" si="57"/>
        <v>0.40302968014389262</v>
      </c>
      <c r="S630" s="9">
        <f ca="1">IF(Prices!C629&lt;OFFSET(Prices!C629,-S$3,0),1,IF(Prices!C629&gt;OFFSET(Prices!C629,-S$3,0),-1,0))</f>
        <v>-1</v>
      </c>
      <c r="T630" s="1">
        <f ca="1">IF(S630=1,T$3*Q629/Prices!B629,T$3*R629*S630)</f>
        <v>-8.2250955131406654E-3</v>
      </c>
    </row>
    <row r="631" spans="1:20" x14ac:dyDescent="0.2">
      <c r="A631" s="4">
        <v>34389</v>
      </c>
      <c r="B631" s="9">
        <f ca="1">Prices!B630*(1+J631/(50*(ABS(O631)+ABS(T631)+0.0001)))</f>
        <v>1.1502783566030412</v>
      </c>
      <c r="C631" s="13">
        <f t="shared" ca="1" si="58"/>
        <v>1</v>
      </c>
      <c r="D631" s="9">
        <f ca="1">D630+C631*(Prices!B631-Prices!B630)/Prices!B630</f>
        <v>-0.57666806313063834</v>
      </c>
      <c r="E631" s="9">
        <f t="shared" ca="1" si="59"/>
        <v>0.61279201438938469</v>
      </c>
      <c r="F631" s="9">
        <f t="shared" ca="1" si="60"/>
        <v>3.6123951258746317E-2</v>
      </c>
      <c r="G631" s="13">
        <f ca="1">IF((Prices!B631-Prices!B630)*B631&gt;0,1,0)</f>
        <v>0</v>
      </c>
      <c r="H631" s="9">
        <f>ABS(Prices!B631-Prices!B630)/Prices!B630</f>
        <v>1.4977973568282245E-3</v>
      </c>
      <c r="I631" s="13"/>
      <c r="J631" s="1">
        <f t="shared" ca="1" si="61"/>
        <v>3.3393288979067334E-2</v>
      </c>
      <c r="K631" s="9"/>
      <c r="L631" s="9">
        <f ca="1">L630-O631*Prices!B631</f>
        <v>0.42352188217495934</v>
      </c>
      <c r="M631" s="1">
        <f t="shared" ca="1" si="56"/>
        <v>0.48591530846194153</v>
      </c>
      <c r="N631" s="9">
        <f ca="1">IF(Prices!D630&gt;OFFSET(Prices!D630,-$N$3,0),1,IF(Prices!D630&lt;OFFSET(Prices!D630,-$N$3,0),-1,0))</f>
        <v>1</v>
      </c>
      <c r="O631" s="1">
        <f ca="1">IF(N631=1,O$3*L630/Prices!B630,O$3*M630*N631)</f>
        <v>4.1453882581945184E-2</v>
      </c>
      <c r="P631" s="14"/>
      <c r="Q631" s="9">
        <f ca="1">Q630-T631*Prices!B631</f>
        <v>0.48461712286051123</v>
      </c>
      <c r="R631" s="1">
        <f t="shared" ca="1" si="57"/>
        <v>0.39496908654101476</v>
      </c>
      <c r="S631" s="9">
        <f ca="1">IF(Prices!C630&lt;OFFSET(Prices!C630,-S$3,0),1,IF(Prices!C630&gt;OFFSET(Prices!C630,-S$3,0),-1,0))</f>
        <v>-1</v>
      </c>
      <c r="T631" s="1">
        <f ca="1">IF(S631=1,T$3*Q630/Prices!B630,T$3*R630*S631)</f>
        <v>-8.0605936028778531E-3</v>
      </c>
    </row>
    <row r="632" spans="1:20" x14ac:dyDescent="0.2">
      <c r="A632" s="4">
        <v>34390</v>
      </c>
      <c r="B632" s="9">
        <f ca="1">Prices!B631*(1+J632/(50*(ABS(O632)+ABS(T632)+0.0001)))</f>
        <v>1.1480232866139315</v>
      </c>
      <c r="C632" s="13">
        <f t="shared" ca="1" si="58"/>
        <v>1</v>
      </c>
      <c r="D632" s="9">
        <f ca="1">D631+C632*(Prices!B632-Prices!B631)/Prices!B631</f>
        <v>-0.56475594806843055</v>
      </c>
      <c r="E632" s="9">
        <f t="shared" ca="1" si="59"/>
        <v>0.60087989932717689</v>
      </c>
      <c r="F632" s="9">
        <f t="shared" ca="1" si="60"/>
        <v>3.6123951258746317E-2</v>
      </c>
      <c r="G632" s="13">
        <f ca="1">IF((Prices!B632-Prices!B631)*B632&gt;0,1,0)</f>
        <v>1</v>
      </c>
      <c r="H632" s="9">
        <f>ABS(Prices!B632-Prices!B631)/Prices!B631</f>
        <v>1.1912115062207771E-2</v>
      </c>
      <c r="I632" s="13"/>
      <c r="J632" s="1">
        <f t="shared" ca="1" si="61"/>
        <v>2.947129524570484E-2</v>
      </c>
      <c r="K632" s="9"/>
      <c r="L632" s="9">
        <f ca="1">L631-O632*Prices!B632</f>
        <v>0.38066518981828029</v>
      </c>
      <c r="M632" s="1">
        <f t="shared" ca="1" si="56"/>
        <v>0.52328598543846672</v>
      </c>
      <c r="N632" s="9">
        <f ca="1">IF(Prices!D631&gt;OFFSET(Prices!D631,-$N$3,0),1,IF(Prices!D631&lt;OFFSET(Prices!D631,-$N$3,0),-1,0))</f>
        <v>1</v>
      </c>
      <c r="O632" s="1">
        <f ca="1">IF(N632=1,O$3*L631/Prices!B631,O$3*M631*N632)</f>
        <v>3.7370676976525137E-2</v>
      </c>
      <c r="P632" s="14"/>
      <c r="Q632" s="9">
        <f ca="1">Q631-T632*Prices!B632</f>
        <v>0.49367613382941594</v>
      </c>
      <c r="R632" s="1">
        <f t="shared" ca="1" si="57"/>
        <v>0.38706970481019448</v>
      </c>
      <c r="S632" s="9">
        <f ca="1">IF(Prices!C631&lt;OFFSET(Prices!C631,-S$3,0),1,IF(Prices!C631&gt;OFFSET(Prices!C631,-S$3,0),-1,0))</f>
        <v>-1</v>
      </c>
      <c r="T632" s="1">
        <f ca="1">IF(S632=1,T$3*Q631/Prices!B631,T$3*R631*S632)</f>
        <v>-7.8993817308202954E-3</v>
      </c>
    </row>
    <row r="633" spans="1:20" x14ac:dyDescent="0.2">
      <c r="A633" s="4">
        <v>34393</v>
      </c>
      <c r="B633" s="9">
        <f ca="1">Prices!B632*(1+J633/(50*(ABS(O633)+ABS(T633)+0.0001)))</f>
        <v>1.1696812644737247</v>
      </c>
      <c r="C633" s="13">
        <f t="shared" ca="1" si="58"/>
        <v>1</v>
      </c>
      <c r="D633" s="9">
        <f ca="1">D632+C633*(Prices!B633-Prices!B632)/Prices!B632</f>
        <v>-0.56571513886019908</v>
      </c>
      <c r="E633" s="9">
        <f t="shared" ca="1" si="59"/>
        <v>0.60183909011894543</v>
      </c>
      <c r="F633" s="9">
        <f t="shared" ca="1" si="60"/>
        <v>3.6123951258746317E-2</v>
      </c>
      <c r="G633" s="13">
        <f ca="1">IF((Prices!B633-Prices!B632)*B633&gt;0,1,0)</f>
        <v>0</v>
      </c>
      <c r="H633" s="9">
        <f>ABS(Prices!B633-Prices!B632)/Prices!B632</f>
        <v>9.5919079176848699E-4</v>
      </c>
      <c r="I633" s="13"/>
      <c r="J633" s="1">
        <f t="shared" ca="1" si="61"/>
        <v>4.1803315014314918E-2</v>
      </c>
      <c r="K633" s="9"/>
      <c r="L633" s="9">
        <f ca="1">L632-O633*Prices!B633</f>
        <v>0.34263518389093434</v>
      </c>
      <c r="M633" s="1">
        <f t="shared" ca="1" si="56"/>
        <v>0.55647967133123621</v>
      </c>
      <c r="N633" s="9">
        <f ca="1">IF(Prices!D632&gt;OFFSET(Prices!D632,-$N$3,0),1,IF(Prices!D632&lt;OFFSET(Prices!D632,-$N$3,0),-1,0))</f>
        <v>1</v>
      </c>
      <c r="O633" s="1">
        <f ca="1">IF(N633=1,O$3*L632/Prices!B632,O$3*M632*N633)</f>
        <v>3.319368589276947E-2</v>
      </c>
      <c r="P633" s="14"/>
      <c r="Q633" s="9">
        <f ca="1">Q632-T633*Prices!B633</f>
        <v>0.48381208174486134</v>
      </c>
      <c r="R633" s="1">
        <f t="shared" ca="1" si="57"/>
        <v>0.39567933393173993</v>
      </c>
      <c r="S633" s="9">
        <f ca="1">IF(Prices!C632&lt;OFFSET(Prices!C632,-S$3,0),1,IF(Prices!C632&gt;OFFSET(Prices!C632,-S$3,0),-1,0))</f>
        <v>1</v>
      </c>
      <c r="T633" s="1">
        <f ca="1">IF(S633=1,T$3*Q632/Prices!B632,T$3*R632*S633)</f>
        <v>8.6096291215454479E-3</v>
      </c>
    </row>
    <row r="634" spans="1:20" x14ac:dyDescent="0.2">
      <c r="A634" s="4">
        <v>34394</v>
      </c>
      <c r="B634" s="9">
        <f ca="1">Prices!B633*(1+J634/(50*(ABS(O634)+ABS(T634)+0.0001)))</f>
        <v>1.1288511005953599</v>
      </c>
      <c r="C634" s="13">
        <f t="shared" ca="1" si="58"/>
        <v>-1</v>
      </c>
      <c r="D634" s="9">
        <f ca="1">D633+C634*(Prices!B634-Prices!B633)/Prices!B633</f>
        <v>-0.56370763253219003</v>
      </c>
      <c r="E634" s="9">
        <f t="shared" ca="1" si="59"/>
        <v>0.59983158379093637</v>
      </c>
      <c r="F634" s="9">
        <f t="shared" ca="1" si="60"/>
        <v>3.6123951258746317E-2</v>
      </c>
      <c r="G634" s="13">
        <f ca="1">IF((Prices!B634-Prices!B633)*B634&gt;0,1,0)</f>
        <v>0</v>
      </c>
      <c r="H634" s="9">
        <f>ABS(Prices!B634-Prices!B633)/Prices!B633</f>
        <v>2.0075063280090501E-3</v>
      </c>
      <c r="I634" s="13"/>
      <c r="J634" s="1">
        <f t="shared" ca="1" si="61"/>
        <v>-4.7202264388166632E-2</v>
      </c>
      <c r="K634" s="9"/>
      <c r="L634" s="9">
        <f ca="1">L633-O634*Prices!B634</f>
        <v>0.40626306951094787</v>
      </c>
      <c r="M634" s="1">
        <f t="shared" ca="1" si="56"/>
        <v>0.50083170419811263</v>
      </c>
      <c r="N634" s="9">
        <f ca="1">IF(Prices!D633&gt;OFFSET(Prices!D633,-$N$3,0),1,IF(Prices!D633&lt;OFFSET(Prices!D633,-$N$3,0),-1,0))</f>
        <v>-1</v>
      </c>
      <c r="O634" s="1">
        <f ca="1">IF(N634=1,O$3*L633/Prices!B633,O$3*M633*N634)</f>
        <v>-5.5647967133123623E-2</v>
      </c>
      <c r="P634" s="14"/>
      <c r="Q634" s="9">
        <f ca="1">Q633-T634*Prices!B634</f>
        <v>0.47415526522627754</v>
      </c>
      <c r="R634" s="1">
        <f t="shared" ca="1" si="57"/>
        <v>0.40412503667669691</v>
      </c>
      <c r="S634" s="9">
        <f ca="1">IF(Prices!C633&lt;OFFSET(Prices!C633,-S$3,0),1,IF(Prices!C633&gt;OFFSET(Prices!C633,-S$3,0),-1,0))</f>
        <v>1</v>
      </c>
      <c r="T634" s="1">
        <f ca="1">IF(S634=1,T$3*Q633/Prices!B633,T$3*R633*S634)</f>
        <v>8.445702744956993E-3</v>
      </c>
    </row>
    <row r="635" spans="1:20" x14ac:dyDescent="0.2">
      <c r="A635" s="4">
        <v>34395</v>
      </c>
      <c r="B635" s="9">
        <f ca="1">Prices!B634*(1+J635/(50*(ABS(O635)+ABS(T635)+0.0001)))</f>
        <v>1.16621593843545</v>
      </c>
      <c r="C635" s="13">
        <f t="shared" ca="1" si="58"/>
        <v>1</v>
      </c>
      <c r="D635" s="9">
        <f ca="1">D634+C635*(Prices!B635-Prices!B634)/Prices!B634</f>
        <v>-0.56134625418690409</v>
      </c>
      <c r="E635" s="9">
        <f t="shared" ca="1" si="59"/>
        <v>0.59747020544565044</v>
      </c>
      <c r="F635" s="9">
        <f t="shared" ca="1" si="60"/>
        <v>3.6123951258746317E-2</v>
      </c>
      <c r="G635" s="13">
        <f ca="1">IF((Prices!B635-Prices!B634)*B635&gt;0,1,0)</f>
        <v>1</v>
      </c>
      <c r="H635" s="9">
        <f>ABS(Prices!B635-Prices!B634)/Prices!B634</f>
        <v>2.3613783452859235E-3</v>
      </c>
      <c r="I635" s="13"/>
      <c r="J635" s="1">
        <f t="shared" ca="1" si="61"/>
        <v>4.3824918887196376E-2</v>
      </c>
      <c r="K635" s="9"/>
      <c r="L635" s="9">
        <f ca="1">L634-O635*Prices!B635</f>
        <v>0.36554082847836983</v>
      </c>
      <c r="M635" s="1">
        <f t="shared" ca="1" si="56"/>
        <v>0.53636284548820778</v>
      </c>
      <c r="N635" s="9">
        <f ca="1">IF(Prices!D634&gt;OFFSET(Prices!D634,-$N$3,0),1,IF(Prices!D634&lt;OFFSET(Prices!D634,-$N$3,0),-1,0))</f>
        <v>1</v>
      </c>
      <c r="O635" s="1">
        <f ca="1">IF(N635=1,O$3*L634/Prices!B634,O$3*M634*N635)</f>
        <v>3.5531141290095145E-2</v>
      </c>
      <c r="P635" s="14"/>
      <c r="Q635" s="9">
        <f ca="1">Q634-T635*Prices!B635</f>
        <v>0.46464976672223984</v>
      </c>
      <c r="R635" s="1">
        <f t="shared" ca="1" si="57"/>
        <v>0.41241881427379817</v>
      </c>
      <c r="S635" s="9">
        <f ca="1">IF(Prices!C634&lt;OFFSET(Prices!C634,-S$3,0),1,IF(Prices!C634&gt;OFFSET(Prices!C634,-S$3,0),-1,0))</f>
        <v>1</v>
      </c>
      <c r="T635" s="1">
        <f ca="1">IF(S635=1,T$3*Q634/Prices!B634,T$3*R634*S635)</f>
        <v>8.2937775971012335E-3</v>
      </c>
    </row>
    <row r="636" spans="1:20" x14ac:dyDescent="0.2">
      <c r="A636" s="4">
        <v>34396</v>
      </c>
      <c r="B636" s="9">
        <f ca="1">Prices!B635*(1+J636/(50*(ABS(O636)+ABS(T636)+0.0001)))</f>
        <v>1.1689648417335416</v>
      </c>
      <c r="C636" s="13">
        <f t="shared" ca="1" si="58"/>
        <v>1</v>
      </c>
      <c r="D636" s="9">
        <f ca="1">D635+C636*(Prices!B636-Prices!B635)/Prices!B635</f>
        <v>-0.56248053566321499</v>
      </c>
      <c r="E636" s="9">
        <f t="shared" ca="1" si="59"/>
        <v>0.59860448692196133</v>
      </c>
      <c r="F636" s="9">
        <f t="shared" ca="1" si="60"/>
        <v>3.6123951258746317E-2</v>
      </c>
      <c r="G636" s="13">
        <f ca="1">IF((Prices!B636-Prices!B635)*B636&gt;0,1,0)</f>
        <v>0</v>
      </c>
      <c r="H636" s="9">
        <f>ABS(Prices!B636-Prices!B635)/Prices!B635</f>
        <v>1.1342814763108428E-3</v>
      </c>
      <c r="I636" s="13"/>
      <c r="J636" s="1">
        <f t="shared" ca="1" si="61"/>
        <v>4.0002685788571489E-2</v>
      </c>
      <c r="K636" s="9"/>
      <c r="L636" s="9">
        <f ca="1">L635-O636*Prices!B636</f>
        <v>0.32902820824959067</v>
      </c>
      <c r="M636" s="1">
        <f t="shared" ca="1" si="56"/>
        <v>0.56825716784039082</v>
      </c>
      <c r="N636" s="9">
        <f ca="1">IF(Prices!D635&gt;OFFSET(Prices!D635,-$N$3,0),1,IF(Prices!D635&lt;OFFSET(Prices!D635,-$N$3,0),-1,0))</f>
        <v>1</v>
      </c>
      <c r="O636" s="1">
        <f ca="1">IF(N636=1,O$3*L635/Prices!B635,O$3*M635*N636)</f>
        <v>3.1894322352183042E-2</v>
      </c>
      <c r="P636" s="14"/>
      <c r="Q636" s="9">
        <f ca="1">Q635-T636*Prices!B636</f>
        <v>0.45536731226026234</v>
      </c>
      <c r="R636" s="1">
        <f t="shared" ca="1" si="57"/>
        <v>0.42052717771018661</v>
      </c>
      <c r="S636" s="9">
        <f ca="1">IF(Prices!C635&lt;OFFSET(Prices!C635,-S$3,0),1,IF(Prices!C635&gt;OFFSET(Prices!C635,-S$3,0),-1,0))</f>
        <v>1</v>
      </c>
      <c r="T636" s="1">
        <f ca="1">IF(S636=1,T$3*Q635/Prices!B635,T$3*R635*S636)</f>
        <v>8.1083634363884449E-3</v>
      </c>
    </row>
    <row r="637" spans="1:20" x14ac:dyDescent="0.2">
      <c r="A637" s="4">
        <v>34397</v>
      </c>
      <c r="B637" s="9">
        <f ca="1">Prices!B636*(1+J637/(50*(ABS(O637)+ABS(T637)+0.0001)))</f>
        <v>1.1676337767112059</v>
      </c>
      <c r="C637" s="13">
        <f t="shared" ca="1" si="58"/>
        <v>1</v>
      </c>
      <c r="D637" s="9">
        <f ca="1">D636+C637*(Prices!B637-Prices!B636)/Prices!B636</f>
        <v>-0.56824573482464047</v>
      </c>
      <c r="E637" s="9">
        <f t="shared" ca="1" si="59"/>
        <v>0.60436968608338681</v>
      </c>
      <c r="F637" s="9">
        <f t="shared" ca="1" si="60"/>
        <v>3.6123951258746317E-2</v>
      </c>
      <c r="G637" s="13">
        <f ca="1">IF((Prices!B637-Prices!B636)*B637&gt;0,1,0)</f>
        <v>0</v>
      </c>
      <c r="H637" s="9">
        <f>ABS(Prices!B637-Prices!B636)/Prices!B636</f>
        <v>5.7651991614255235E-3</v>
      </c>
      <c r="I637" s="13"/>
      <c r="J637" s="1">
        <f t="shared" ca="1" si="61"/>
        <v>3.6696512115796914E-2</v>
      </c>
      <c r="K637" s="9"/>
      <c r="L637" s="9">
        <f ca="1">L636-O637*Prices!B637</f>
        <v>0.29631507873966018</v>
      </c>
      <c r="M637" s="1">
        <f t="shared" ca="1" si="56"/>
        <v>0.59699827617805601</v>
      </c>
      <c r="N637" s="9">
        <f ca="1">IF(Prices!D636&gt;OFFSET(Prices!D636,-$N$3,0),1,IF(Prices!D636&lt;OFFSET(Prices!D636,-$N$3,0),-1,0))</f>
        <v>1</v>
      </c>
      <c r="O637" s="1">
        <f ca="1">IF(N637=1,O$3*L636/Prices!B636,O$3*M636*N637)</f>
        <v>2.8741108337665151E-2</v>
      </c>
      <c r="P637" s="14"/>
      <c r="Q637" s="9">
        <f ca="1">Q636-T637*Prices!B637</f>
        <v>0.44631247167999277</v>
      </c>
      <c r="R637" s="1">
        <f t="shared" ca="1" si="57"/>
        <v>0.42848258148831836</v>
      </c>
      <c r="S637" s="9">
        <f ca="1">IF(Prices!C636&lt;OFFSET(Prices!C636,-S$3,0),1,IF(Prices!C636&gt;OFFSET(Prices!C636,-S$3,0),-1,0))</f>
        <v>1</v>
      </c>
      <c r="T637" s="1">
        <f ca="1">IF(S637=1,T$3*Q636/Prices!B636,T$3*R636*S637)</f>
        <v>7.9554037781317671E-3</v>
      </c>
    </row>
    <row r="638" spans="1:20" x14ac:dyDescent="0.2">
      <c r="A638" s="4">
        <v>34400</v>
      </c>
      <c r="B638" s="9">
        <f ca="1">Prices!B637*(1+J638/(50*(ABS(O638)+ABS(T638)+0.0001)))</f>
        <v>1.1496556977056234</v>
      </c>
      <c r="C638" s="13">
        <f t="shared" ca="1" si="58"/>
        <v>1</v>
      </c>
      <c r="D638" s="9">
        <f ca="1">D637+C638*(Prices!B638-Prices!B637)/Prices!B637</f>
        <v>-0.56745501263170439</v>
      </c>
      <c r="E638" s="9">
        <f t="shared" ca="1" si="59"/>
        <v>0.60357896389045074</v>
      </c>
      <c r="F638" s="9">
        <f t="shared" ca="1" si="60"/>
        <v>3.6123951258746317E-2</v>
      </c>
      <c r="G638" s="13">
        <f ca="1">IF((Prices!B638-Prices!B637)*B638&gt;0,1,0)</f>
        <v>1</v>
      </c>
      <c r="H638" s="9">
        <f>ABS(Prices!B638-Prices!B637)/Prices!B637</f>
        <v>7.907221929361279E-4</v>
      </c>
      <c r="I638" s="13"/>
      <c r="J638" s="1">
        <f t="shared" ca="1" si="61"/>
        <v>1.7464004910354894E-2</v>
      </c>
      <c r="K638" s="9"/>
      <c r="L638" s="9">
        <f ca="1">L637-O638*Prices!B638</f>
        <v>0.26666014057480802</v>
      </c>
      <c r="M638" s="1">
        <f t="shared" ca="1" si="56"/>
        <v>0.62303193271817725</v>
      </c>
      <c r="N638" s="9">
        <f ca="1">IF(Prices!D637&gt;OFFSET(Prices!D637,-$N$3,0),1,IF(Prices!D637&lt;OFFSET(Prices!D637,-$N$3,0),-1,0))</f>
        <v>1</v>
      </c>
      <c r="O638" s="1">
        <f ca="1">IF(N638=1,O$3*L637/Prices!B637,O$3*M637*N638)</f>
        <v>2.6033656540121259E-2</v>
      </c>
      <c r="P638" s="14"/>
      <c r="Q638" s="9">
        <f ca="1">Q637-T638*Prices!B638</f>
        <v>0.45607416185145966</v>
      </c>
      <c r="R638" s="1">
        <f t="shared" ca="1" si="57"/>
        <v>0.419912929858552</v>
      </c>
      <c r="S638" s="9">
        <f ca="1">IF(Prices!C637&lt;OFFSET(Prices!C637,-S$3,0),1,IF(Prices!C637&gt;OFFSET(Prices!C637,-S$3,0),-1,0))</f>
        <v>-1</v>
      </c>
      <c r="T638" s="1">
        <f ca="1">IF(S638=1,T$3*Q637/Prices!B637,T$3*R637*S638)</f>
        <v>-8.5696516297663668E-3</v>
      </c>
    </row>
    <row r="639" spans="1:20" x14ac:dyDescent="0.2">
      <c r="A639" s="4">
        <v>34401</v>
      </c>
      <c r="B639" s="9">
        <f ca="1">Prices!B638*(1+J639/(50*(ABS(O639)+ABS(T639)+0.0001)))</f>
        <v>1.1163501773062539</v>
      </c>
      <c r="C639" s="13">
        <f t="shared" ca="1" si="58"/>
        <v>-1</v>
      </c>
      <c r="D639" s="9">
        <f ca="1">D638+C639*(Prices!B639-Prices!B638)/Prices!B638</f>
        <v>-0.56824511007705591</v>
      </c>
      <c r="E639" s="9">
        <f t="shared" ca="1" si="59"/>
        <v>0.60436906133580226</v>
      </c>
      <c r="F639" s="9">
        <f t="shared" ca="1" si="60"/>
        <v>3.6123951258746317E-2</v>
      </c>
      <c r="G639" s="13">
        <f ca="1">IF((Prices!B639-Prices!B638)*B639&gt;0,1,0)</f>
        <v>1</v>
      </c>
      <c r="H639" s="9">
        <f>ABS(Prices!B639-Prices!B638)/Prices!B638</f>
        <v>7.9009744535150635E-4</v>
      </c>
      <c r="I639" s="13"/>
      <c r="J639" s="1">
        <f t="shared" ca="1" si="61"/>
        <v>-7.0701451868988768E-2</v>
      </c>
      <c r="K639" s="9"/>
      <c r="L639" s="9">
        <f ca="1">L638-O639*Prices!B639</f>
        <v>0.33768578090468021</v>
      </c>
      <c r="M639" s="1">
        <f t="shared" ca="1" si="56"/>
        <v>0.56072873944635948</v>
      </c>
      <c r="N639" s="9">
        <f ca="1">IF(Prices!D638&gt;OFFSET(Prices!D638,-$N$3,0),1,IF(Prices!D638&lt;OFFSET(Prices!D638,-$N$3,0),-1,0))</f>
        <v>-1</v>
      </c>
      <c r="O639" s="1">
        <f ca="1">IF(N639=1,O$3*L638/Prices!B638,O$3*M638*N639)</f>
        <v>-6.2303193271817728E-2</v>
      </c>
      <c r="P639" s="14"/>
      <c r="Q639" s="9">
        <f ca="1">Q638-T639*Prices!B639</f>
        <v>0.46564817665223462</v>
      </c>
      <c r="R639" s="1">
        <f t="shared" ca="1" si="57"/>
        <v>0.41151467126138097</v>
      </c>
      <c r="S639" s="9">
        <f ca="1">IF(Prices!C638&lt;OFFSET(Prices!C638,-S$3,0),1,IF(Prices!C638&gt;OFFSET(Prices!C638,-S$3,0),-1,0))</f>
        <v>-1</v>
      </c>
      <c r="T639" s="1">
        <f ca="1">IF(S639=1,T$3*Q638/Prices!B638,T$3*R638*S639)</f>
        <v>-8.3982585971710405E-3</v>
      </c>
    </row>
    <row r="640" spans="1:20" x14ac:dyDescent="0.2">
      <c r="A640" s="4">
        <v>34402</v>
      </c>
      <c r="B640" s="9">
        <f ca="1">Prices!B639*(1+J640/(50*(ABS(O640)+ABS(T640)+0.0001)))</f>
        <v>1.1172354019855406</v>
      </c>
      <c r="C640" s="13">
        <f t="shared" ca="1" si="58"/>
        <v>-1</v>
      </c>
      <c r="D640" s="9">
        <f ca="1">D639+C640*(Prices!B640-Prices!B639)/Prices!B639</f>
        <v>-0.57175388200688049</v>
      </c>
      <c r="E640" s="9">
        <f t="shared" ca="1" si="59"/>
        <v>0.60787783326562683</v>
      </c>
      <c r="F640" s="9">
        <f t="shared" ca="1" si="60"/>
        <v>3.6123951258746317E-2</v>
      </c>
      <c r="G640" s="13">
        <f ca="1">IF((Prices!B640-Prices!B639)*B640&gt;0,1,0)</f>
        <v>1</v>
      </c>
      <c r="H640" s="9">
        <f>ABS(Prices!B640-Prices!B639)/Prices!B639</f>
        <v>3.5087719298245649E-3</v>
      </c>
      <c r="I640" s="13"/>
      <c r="J640" s="1">
        <f t="shared" ca="1" si="61"/>
        <v>-6.4303167369863565E-2</v>
      </c>
      <c r="K640" s="9"/>
      <c r="L640" s="9">
        <f ca="1">L639-O640*Prices!B640</f>
        <v>0.40183314869734371</v>
      </c>
      <c r="M640" s="1">
        <f t="shared" ca="1" si="56"/>
        <v>0.50465586550172348</v>
      </c>
      <c r="N640" s="9">
        <f ca="1">IF(Prices!D639&gt;OFFSET(Prices!D639,-$N$3,0),1,IF(Prices!D639&lt;OFFSET(Prices!D639,-$N$3,0),-1,0))</f>
        <v>-1</v>
      </c>
      <c r="O640" s="1">
        <f ca="1">IF(N640=1,O$3*L639/Prices!B639,O$3*M639*N640)</f>
        <v>-5.6072873944635948E-2</v>
      </c>
      <c r="P640" s="14"/>
      <c r="Q640" s="9">
        <f ca="1">Q639-T640*Prices!B640</f>
        <v>0.47506363233069504</v>
      </c>
      <c r="R640" s="1">
        <f t="shared" ca="1" si="57"/>
        <v>0.40328437783615334</v>
      </c>
      <c r="S640" s="9">
        <f ca="1">IF(Prices!C639&lt;OFFSET(Prices!C639,-S$3,0),1,IF(Prices!C639&gt;OFFSET(Prices!C639,-S$3,0),-1,0))</f>
        <v>-1</v>
      </c>
      <c r="T640" s="1">
        <f ca="1">IF(S640=1,T$3*Q639/Prices!B639,T$3*R639*S640)</f>
        <v>-8.2302934252276201E-3</v>
      </c>
    </row>
    <row r="641" spans="1:20" x14ac:dyDescent="0.2">
      <c r="A641" s="4">
        <v>34403</v>
      </c>
      <c r="B641" s="9">
        <f ca="1">Prices!B640*(1+J641/(50*(ABS(O641)+ABS(T641)+0.0001)))</f>
        <v>1.1583014459868759</v>
      </c>
      <c r="C641" s="13">
        <f t="shared" ca="1" si="58"/>
        <v>1</v>
      </c>
      <c r="D641" s="9">
        <f ca="1">D640+C641*(Prices!B641-Prices!B640)/Prices!B640</f>
        <v>-0.56143919669219511</v>
      </c>
      <c r="E641" s="9">
        <f t="shared" ca="1" si="59"/>
        <v>0.59756314795094145</v>
      </c>
      <c r="F641" s="9">
        <f t="shared" ca="1" si="60"/>
        <v>3.6123951258746317E-2</v>
      </c>
      <c r="G641" s="13">
        <f ca="1">IF((Prices!B641-Prices!B640)*B641&gt;0,1,0)</f>
        <v>1</v>
      </c>
      <c r="H641" s="9">
        <f>ABS(Prices!B641-Prices!B640)/Prices!B640</f>
        <v>1.0314685314685344E-2</v>
      </c>
      <c r="I641" s="13"/>
      <c r="J641" s="1">
        <f t="shared" ca="1" si="61"/>
        <v>2.7059587679058729E-2</v>
      </c>
      <c r="K641" s="9"/>
      <c r="L641" s="9">
        <f ca="1">L640-O641*Prices!B641</f>
        <v>0.36123535557982711</v>
      </c>
      <c r="M641" s="1">
        <f t="shared" ca="1" si="56"/>
        <v>0.53978114073750527</v>
      </c>
      <c r="N641" s="9">
        <f ca="1">IF(Prices!D640&gt;OFFSET(Prices!D640,-$N$3,0),1,IF(Prices!D640&lt;OFFSET(Prices!D640,-$N$3,0),-1,0))</f>
        <v>1</v>
      </c>
      <c r="O641" s="1">
        <f ca="1">IF(N641=1,O$3*L640/Prices!B640,O$3*M640*N641)</f>
        <v>3.5125275235781794E-2</v>
      </c>
      <c r="P641" s="14"/>
      <c r="Q641" s="9">
        <f ca="1">Q640-T641*Prices!B641</f>
        <v>0.48438595400875556</v>
      </c>
      <c r="R641" s="1">
        <f t="shared" ca="1" si="57"/>
        <v>0.3952186902794303</v>
      </c>
      <c r="S641" s="9">
        <f ca="1">IF(Prices!C640&lt;OFFSET(Prices!C640,-S$3,0),1,IF(Prices!C640&gt;OFFSET(Prices!C640,-S$3,0),-1,0))</f>
        <v>-1</v>
      </c>
      <c r="T641" s="1">
        <f ca="1">IF(S641=1,T$3*Q640/Prices!B640,T$3*R640*S641)</f>
        <v>-8.0656875567230672E-3</v>
      </c>
    </row>
    <row r="642" spans="1:20" x14ac:dyDescent="0.2">
      <c r="A642" s="4">
        <v>34404</v>
      </c>
      <c r="B642" s="9">
        <f ca="1">Prices!B641*(1+J642/(50*(ABS(O642)+ABS(T642)+0.0001)))</f>
        <v>1.1788578260086711</v>
      </c>
      <c r="C642" s="13">
        <f t="shared" ca="1" si="58"/>
        <v>1</v>
      </c>
      <c r="D642" s="9">
        <f ca="1">D641+C642*(Prices!B642-Prices!B641)/Prices!B641</f>
        <v>-0.55495018475241309</v>
      </c>
      <c r="E642" s="9">
        <f t="shared" ca="1" si="59"/>
        <v>0.59107413601115943</v>
      </c>
      <c r="F642" s="9">
        <f t="shared" ca="1" si="60"/>
        <v>3.6123951258746317E-2</v>
      </c>
      <c r="G642" s="13">
        <f ca="1">IF((Prices!B642-Prices!B641)*B642&gt;0,1,0)</f>
        <v>1</v>
      </c>
      <c r="H642" s="9">
        <f>ABS(Prices!B642-Prices!B641)/Prices!B641</f>
        <v>6.4890119397820233E-3</v>
      </c>
      <c r="I642" s="13"/>
      <c r="J642" s="1">
        <f t="shared" ca="1" si="61"/>
        <v>3.963597044311977E-2</v>
      </c>
      <c r="K642" s="9"/>
      <c r="L642" s="9">
        <f ca="1">L641-O642*Prices!B642</f>
        <v>0.3248774139683015</v>
      </c>
      <c r="M642" s="1">
        <f t="shared" ca="1" si="56"/>
        <v>0.57103528120989044</v>
      </c>
      <c r="N642" s="9">
        <f ca="1">IF(Prices!D641&gt;OFFSET(Prices!D641,-$N$3,0),1,IF(Prices!D641&lt;OFFSET(Prices!D641,-$N$3,0),-1,0))</f>
        <v>1</v>
      </c>
      <c r="O642" s="1">
        <f ca="1">IF(N642=1,O$3*L641/Prices!B641,O$3*M641*N642)</f>
        <v>3.1254140472385117E-2</v>
      </c>
      <c r="P642" s="14"/>
      <c r="Q642" s="9">
        <f ca="1">Q641-T642*Prices!B642</f>
        <v>0.47463537120379995</v>
      </c>
      <c r="R642" s="1">
        <f t="shared" ca="1" si="57"/>
        <v>0.40360052025016496</v>
      </c>
      <c r="S642" s="9">
        <f ca="1">IF(Prices!C641&lt;OFFSET(Prices!C641,-S$3,0),1,IF(Prices!C641&gt;OFFSET(Prices!C641,-S$3,0),-1,0))</f>
        <v>1</v>
      </c>
      <c r="T642" s="1">
        <f ca="1">IF(S642=1,T$3*Q641/Prices!B641,T$3*R641*S642)</f>
        <v>8.3818299707346545E-3</v>
      </c>
    </row>
    <row r="643" spans="1:20" x14ac:dyDescent="0.2">
      <c r="A643" s="4">
        <v>34407</v>
      </c>
      <c r="B643" s="9">
        <f ca="1">Prices!B642*(1+J643/(50*(ABS(O643)+ABS(T643)+0.0001)))</f>
        <v>1.1865017068674657</v>
      </c>
      <c r="C643" s="13">
        <f t="shared" ca="1" si="58"/>
        <v>1</v>
      </c>
      <c r="D643" s="9">
        <f ca="1">D642+C643*(Prices!B643-Prices!B642)/Prices!B642</f>
        <v>-0.56045177505586019</v>
      </c>
      <c r="E643" s="9">
        <f t="shared" ca="1" si="59"/>
        <v>0.59657572631460654</v>
      </c>
      <c r="F643" s="9">
        <f t="shared" ca="1" si="60"/>
        <v>3.6123951258746317E-2</v>
      </c>
      <c r="G643" s="13">
        <f ca="1">IF((Prices!B643-Prices!B642)*B643&gt;0,1,0)</f>
        <v>0</v>
      </c>
      <c r="H643" s="9">
        <f>ABS(Prices!B643-Prices!B642)/Prices!B642</f>
        <v>5.5015903034470572E-3</v>
      </c>
      <c r="I643" s="13"/>
      <c r="J643" s="1">
        <f t="shared" ca="1" si="61"/>
        <v>3.6087379713664706E-2</v>
      </c>
      <c r="K643" s="9"/>
      <c r="L643" s="9">
        <f ca="1">L642-O643*Prices!B643</f>
        <v>0.29256840681452106</v>
      </c>
      <c r="M643" s="1">
        <f t="shared" ca="1" si="56"/>
        <v>0.59896250668640572</v>
      </c>
      <c r="N643" s="9">
        <f ca="1">IF(Prices!D642&gt;OFFSET(Prices!D642,-$N$3,0),1,IF(Prices!D642&lt;OFFSET(Prices!D642,-$N$3,0),-1,0))</f>
        <v>1</v>
      </c>
      <c r="O643" s="1">
        <f ca="1">IF(N643=1,O$3*L642/Prices!B642,O$3*M642*N643)</f>
        <v>2.7927225476515216E-2</v>
      </c>
      <c r="P643" s="14"/>
      <c r="Q643" s="9">
        <f ca="1">Q642-T643*Prices!B643</f>
        <v>0.46519488876684173</v>
      </c>
      <c r="R643" s="1">
        <f t="shared" ca="1" si="57"/>
        <v>0.41176067448731446</v>
      </c>
      <c r="S643" s="9">
        <f ca="1">IF(Prices!C642&lt;OFFSET(Prices!C642,-S$3,0),1,IF(Prices!C642&gt;OFFSET(Prices!C642,-S$3,0),-1,0))</f>
        <v>1</v>
      </c>
      <c r="T643" s="1">
        <f ca="1">IF(S643=1,T$3*Q642/Prices!B642,T$3*R642*S643)</f>
        <v>8.1601542371494886E-3</v>
      </c>
    </row>
    <row r="644" spans="1:20" x14ac:dyDescent="0.2">
      <c r="A644" s="4">
        <v>34408</v>
      </c>
      <c r="B644" s="9">
        <f ca="1">Prices!B643*(1+J644/(50*(ABS(O644)+ABS(T644)+0.0001)))</f>
        <v>1.1686353073165721</v>
      </c>
      <c r="C644" s="13">
        <f t="shared" ca="1" si="58"/>
        <v>1</v>
      </c>
      <c r="D644" s="9">
        <f ca="1">D643+C644*(Prices!B644-Prices!B643)/Prices!B643</f>
        <v>-0.56416860451389461</v>
      </c>
      <c r="E644" s="9">
        <f t="shared" ca="1" si="59"/>
        <v>0.60029255577264096</v>
      </c>
      <c r="F644" s="9">
        <f t="shared" ca="1" si="60"/>
        <v>3.6123951258746317E-2</v>
      </c>
      <c r="G644" s="13">
        <f ca="1">IF((Prices!B644-Prices!B643)*B644&gt;0,1,0)</f>
        <v>0</v>
      </c>
      <c r="H644" s="9">
        <f>ABS(Prices!B644-Prices!B643)/Prices!B643</f>
        <v>3.7168294580343765E-3</v>
      </c>
      <c r="I644" s="13"/>
      <c r="J644" s="1">
        <f t="shared" ca="1" si="61"/>
        <v>1.7053783555332894E-2</v>
      </c>
      <c r="K644" s="9"/>
      <c r="L644" s="9">
        <f ca="1">L643-O644*Prices!B644</f>
        <v>0.26342030882036277</v>
      </c>
      <c r="M644" s="1">
        <f t="shared" ca="1" si="56"/>
        <v>0.62425150373148486</v>
      </c>
      <c r="N644" s="9">
        <f ca="1">IF(Prices!D643&gt;OFFSET(Prices!D643,-$N$3,0),1,IF(Prices!D643&lt;OFFSET(Prices!D643,-$N$3,0),-1,0))</f>
        <v>1</v>
      </c>
      <c r="O644" s="1">
        <f ca="1">IF(N644=1,O$3*L643/Prices!B643,O$3*M643*N644)</f>
        <v>2.5288997045079184E-2</v>
      </c>
      <c r="P644" s="14"/>
      <c r="Q644" s="9">
        <f ca="1">Q643-T644*Prices!B644</f>
        <v>0.4746867958351233</v>
      </c>
      <c r="R644" s="1">
        <f t="shared" ca="1" si="57"/>
        <v>0.4035254609975682</v>
      </c>
      <c r="S644" s="9">
        <f ca="1">IF(Prices!C643&lt;OFFSET(Prices!C643,-S$3,0),1,IF(Prices!C643&gt;OFFSET(Prices!C643,-S$3,0),-1,0))</f>
        <v>-1</v>
      </c>
      <c r="T644" s="1">
        <f ca="1">IF(S644=1,T$3*Q643/Prices!B643,T$3*R643*S644)</f>
        <v>-8.2352134897462886E-3</v>
      </c>
    </row>
    <row r="645" spans="1:20" x14ac:dyDescent="0.2">
      <c r="A645" s="4">
        <v>34409</v>
      </c>
      <c r="B645" s="9">
        <f ca="1">Prices!B644*(1+J645/(50*(ABS(O645)+ABS(T645)+0.0001)))</f>
        <v>1.1635846821947604</v>
      </c>
      <c r="C645" s="13">
        <f t="shared" ca="1" si="58"/>
        <v>1</v>
      </c>
      <c r="D645" s="9">
        <f ca="1">D644+C645*(Prices!B645-Prices!B644)/Prices!B644</f>
        <v>-0.56130551237438409</v>
      </c>
      <c r="E645" s="9">
        <f t="shared" ca="1" si="59"/>
        <v>0.59742946363313043</v>
      </c>
      <c r="F645" s="9">
        <f t="shared" ca="1" si="60"/>
        <v>3.6123951258746317E-2</v>
      </c>
      <c r="G645" s="13">
        <f ca="1">IF((Prices!B645-Prices!B644)*B645&gt;0,1,0)</f>
        <v>1</v>
      </c>
      <c r="H645" s="9">
        <f>ABS(Prices!B645-Prices!B644)/Prices!B644</f>
        <v>2.8630921395105488E-3</v>
      </c>
      <c r="I645" s="13"/>
      <c r="J645" s="1">
        <f t="shared" ca="1" si="61"/>
        <v>1.4783933676141189E-2</v>
      </c>
      <c r="K645" s="9"/>
      <c r="L645" s="9">
        <f ca="1">L644-O645*Prices!B645</f>
        <v>0.2370028582767694</v>
      </c>
      <c r="M645" s="1">
        <f t="shared" ca="1" si="56"/>
        <v>0.64710594662757737</v>
      </c>
      <c r="N645" s="9">
        <f ca="1">IF(Prices!D644&gt;OFFSET(Prices!D644,-$N$3,0),1,IF(Prices!D644&lt;OFFSET(Prices!D644,-$N$3,0),-1,0))</f>
        <v>1</v>
      </c>
      <c r="O645" s="1">
        <f ca="1">IF(N645=1,O$3*L644/Prices!B644,O$3*M644*N645)</f>
        <v>2.2854442896092553E-2</v>
      </c>
      <c r="P645" s="14"/>
      <c r="Q645" s="9">
        <f ca="1">Q644-T645*Prices!B645</f>
        <v>0.48401549744246508</v>
      </c>
      <c r="R645" s="1">
        <f t="shared" ca="1" si="57"/>
        <v>0.39545495177761686</v>
      </c>
      <c r="S645" s="9">
        <f ca="1">IF(Prices!C644&lt;OFFSET(Prices!C644,-S$3,0),1,IF(Prices!C644&gt;OFFSET(Prices!C644,-S$3,0),-1,0))</f>
        <v>-1</v>
      </c>
      <c r="T645" s="1">
        <f ca="1">IF(S645=1,T$3*Q644/Prices!B644,T$3*R644*S645)</f>
        <v>-8.0705092199513644E-3</v>
      </c>
    </row>
    <row r="646" spans="1:20" x14ac:dyDescent="0.2">
      <c r="A646" s="4">
        <v>34410</v>
      </c>
      <c r="B646" s="9">
        <f ca="1">Prices!B645*(1+J646/(50*(ABS(O646)+ABS(T646)+0.0001)))</f>
        <v>1.132813790562947</v>
      </c>
      <c r="C646" s="13">
        <f t="shared" ca="1" si="58"/>
        <v>-1</v>
      </c>
      <c r="D646" s="9">
        <f ca="1">D645+C646*(Prices!B646-Prices!B645)/Prices!B645</f>
        <v>-0.56692883619132339</v>
      </c>
      <c r="E646" s="9">
        <f t="shared" ca="1" si="59"/>
        <v>0.60305278745006974</v>
      </c>
      <c r="F646" s="9">
        <f t="shared" ca="1" si="60"/>
        <v>3.6123951258746317E-2</v>
      </c>
      <c r="G646" s="13">
        <f ca="1">IF((Prices!B646-Prices!B645)*B646&gt;0,1,0)</f>
        <v>1</v>
      </c>
      <c r="H646" s="9">
        <f>ABS(Prices!B646-Prices!B645)/Prices!B645</f>
        <v>5.6233238169393308E-3</v>
      </c>
      <c r="I646" s="13"/>
      <c r="J646" s="1">
        <f t="shared" ca="1" si="61"/>
        <v>-7.2619693698310075E-2</v>
      </c>
      <c r="K646" s="9"/>
      <c r="L646" s="9">
        <f ca="1">L645-O646*Prices!B646</f>
        <v>0.31222245351275901</v>
      </c>
      <c r="M646" s="1">
        <f t="shared" ca="1" si="56"/>
        <v>0.58239535196481962</v>
      </c>
      <c r="N646" s="9">
        <f ca="1">IF(Prices!D645&gt;OFFSET(Prices!D645,-$N$3,0),1,IF(Prices!D645&lt;OFFSET(Prices!D645,-$N$3,0),-1,0))</f>
        <v>-1</v>
      </c>
      <c r="O646" s="1">
        <f ca="1">IF(N646=1,O$3*L645/Prices!B645,O$3*M645*N646)</f>
        <v>-6.4710594662757734E-2</v>
      </c>
      <c r="P646" s="14"/>
      <c r="Q646" s="9">
        <f ca="1">Q645-T646*Prices!B646</f>
        <v>0.49320903416139111</v>
      </c>
      <c r="R646" s="1">
        <f t="shared" ca="1" si="57"/>
        <v>0.38754585274206454</v>
      </c>
      <c r="S646" s="9">
        <f ca="1">IF(Prices!C645&lt;OFFSET(Prices!C645,-S$3,0),1,IF(Prices!C645&gt;OFFSET(Prices!C645,-S$3,0),-1,0))</f>
        <v>-1</v>
      </c>
      <c r="T646" s="1">
        <f ca="1">IF(S646=1,T$3*Q645/Prices!B645,T$3*R645*S646)</f>
        <v>-7.9090990355523381E-3</v>
      </c>
    </row>
    <row r="647" spans="1:20" x14ac:dyDescent="0.2">
      <c r="A647" s="4">
        <v>34411</v>
      </c>
      <c r="B647" s="9">
        <f ca="1">Prices!B646*(1+J647/(50*(ABS(O647)+ABS(T647)+0.0001)))</f>
        <v>1.1391871760340686</v>
      </c>
      <c r="C647" s="13">
        <f t="shared" ca="1" si="58"/>
        <v>-1</v>
      </c>
      <c r="D647" s="9">
        <f ca="1">D646+C647*(Prices!B647-Prices!B646)/Prices!B646</f>
        <v>-0.5572075698458312</v>
      </c>
      <c r="E647" s="9">
        <f t="shared" ca="1" si="59"/>
        <v>0.59333152110457754</v>
      </c>
      <c r="F647" s="9">
        <f t="shared" ca="1" si="60"/>
        <v>3.6123951258746317E-2</v>
      </c>
      <c r="G647" s="13">
        <f ca="1">IF((Prices!B647-Prices!B646)*B647&gt;0,1,0)</f>
        <v>0</v>
      </c>
      <c r="H647" s="9">
        <f>ABS(Prices!B647-Prices!B646)/Prices!B646</f>
        <v>9.7212663454921602E-3</v>
      </c>
      <c r="I647" s="13"/>
      <c r="J647" s="1">
        <f t="shared" ca="1" si="61"/>
        <v>-6.5990452251323259E-2</v>
      </c>
      <c r="K647" s="9"/>
      <c r="L647" s="9">
        <f ca="1">L646-O647*Prices!B647</f>
        <v>0.37926198247742937</v>
      </c>
      <c r="M647" s="1">
        <f t="shared" ca="1" si="56"/>
        <v>0.52415581676833767</v>
      </c>
      <c r="N647" s="9">
        <f ca="1">IF(Prices!D646&gt;OFFSET(Prices!D646,-$N$3,0),1,IF(Prices!D646&lt;OFFSET(Prices!D646,-$N$3,0),-1,0))</f>
        <v>-1</v>
      </c>
      <c r="O647" s="1">
        <f ca="1">IF(N647=1,O$3*L646/Prices!B646,O$3*M646*N647)</f>
        <v>-5.8239535196481965E-2</v>
      </c>
      <c r="P647" s="14"/>
      <c r="Q647" s="9">
        <f ca="1">Q646-T647*Prices!B647</f>
        <v>0.50213111478321892</v>
      </c>
      <c r="R647" s="1">
        <f t="shared" ca="1" si="57"/>
        <v>0.37979493568722328</v>
      </c>
      <c r="S647" s="9">
        <f ca="1">IF(Prices!C646&lt;OFFSET(Prices!C646,-S$3,0),1,IF(Prices!C646&gt;OFFSET(Prices!C646,-S$3,0),-1,0))</f>
        <v>-1</v>
      </c>
      <c r="T647" s="1">
        <f ca="1">IF(S647=1,T$3*Q646/Prices!B646,T$3*R646*S647)</f>
        <v>-7.7509170548412908E-3</v>
      </c>
    </row>
    <row r="648" spans="1:20" x14ac:dyDescent="0.2">
      <c r="A648" s="4">
        <v>34414</v>
      </c>
      <c r="B648" s="9">
        <f ca="1">Prices!B647*(1+J648/(50*(ABS(O648)+ABS(T648)+0.0001)))</f>
        <v>1.1740668867347146</v>
      </c>
      <c r="C648" s="13">
        <f t="shared" ca="1" si="58"/>
        <v>1</v>
      </c>
      <c r="D648" s="9">
        <f ca="1">D647+C648*(Prices!B648-Prices!B647)/Prices!B647</f>
        <v>-0.55798943067460383</v>
      </c>
      <c r="E648" s="9">
        <f t="shared" ca="1" si="59"/>
        <v>0.59411338193335017</v>
      </c>
      <c r="F648" s="9">
        <f t="shared" ca="1" si="60"/>
        <v>3.6123951258746317E-2</v>
      </c>
      <c r="G648" s="13">
        <f ca="1">IF((Prices!B648-Prices!B647)*B648&gt;0,1,0)</f>
        <v>0</v>
      </c>
      <c r="H648" s="9">
        <f>ABS(Prices!B648-Prices!B647)/Prices!B647</f>
        <v>7.8186082877258528E-4</v>
      </c>
      <c r="I648" s="13"/>
      <c r="J648" s="1">
        <f t="shared" ca="1" si="61"/>
        <v>4.1672157539229711E-2</v>
      </c>
      <c r="K648" s="9"/>
      <c r="L648" s="9">
        <f ca="1">L647-O648*Prices!B648</f>
        <v>0.34136543723848062</v>
      </c>
      <c r="M648" s="1">
        <f t="shared" ca="1" si="56"/>
        <v>0.55710360431741501</v>
      </c>
      <c r="N648" s="9">
        <f ca="1">IF(Prices!D647&gt;OFFSET(Prices!D647,-$N$3,0),1,IF(Prices!D647&lt;OFFSET(Prices!D647,-$N$3,0),-1,0))</f>
        <v>1</v>
      </c>
      <c r="O648" s="1">
        <f ca="1">IF(N648=1,O$3*L647/Prices!B647,O$3*M647*N648)</f>
        <v>3.2947787549077352E-2</v>
      </c>
      <c r="P648" s="14"/>
      <c r="Q648" s="9">
        <f ca="1">Q647-T648*Prices!B648</f>
        <v>0.49209634442054567</v>
      </c>
      <c r="R648" s="1">
        <f t="shared" ca="1" si="57"/>
        <v>0.38851930567737564</v>
      </c>
      <c r="S648" s="9">
        <f ca="1">IF(Prices!C647&lt;OFFSET(Prices!C647,-S$3,0),1,IF(Prices!C647&gt;OFFSET(Prices!C647,-S$3,0),-1,0))</f>
        <v>1</v>
      </c>
      <c r="T648" s="1">
        <f ca="1">IF(S648=1,T$3*Q647/Prices!B647,T$3*R647*S648)</f>
        <v>8.7243699901523586E-3</v>
      </c>
    </row>
    <row r="649" spans="1:20" x14ac:dyDescent="0.2">
      <c r="A649" s="4">
        <v>34415</v>
      </c>
      <c r="B649" s="9">
        <f ca="1">Prices!B648*(1+J649/(50*(ABS(O649)+ABS(T649)+0.0001)))</f>
        <v>1.173143992954895</v>
      </c>
      <c r="C649" s="13">
        <f t="shared" ca="1" si="58"/>
        <v>1</v>
      </c>
      <c r="D649" s="9">
        <f ca="1">D648+C649*(Prices!B649-Prices!B648)/Prices!B648</f>
        <v>-0.55381624340282487</v>
      </c>
      <c r="E649" s="9">
        <f t="shared" ca="1" si="59"/>
        <v>0.58994019466157122</v>
      </c>
      <c r="F649" s="9">
        <f t="shared" ca="1" si="60"/>
        <v>3.6123951258746317E-2</v>
      </c>
      <c r="G649" s="13">
        <f ca="1">IF((Prices!B649-Prices!B648)*B649&gt;0,1,0)</f>
        <v>1</v>
      </c>
      <c r="H649" s="9">
        <f>ABS(Prices!B649-Prices!B648)/Prices!B648</f>
        <v>4.1731872717789414E-3</v>
      </c>
      <c r="I649" s="13"/>
      <c r="J649" s="1">
        <f t="shared" ca="1" si="61"/>
        <v>3.8235498706537106E-2</v>
      </c>
      <c r="K649" s="9"/>
      <c r="L649" s="9">
        <f ca="1">L648-O649*Prices!B649</f>
        <v>0.30708643532486168</v>
      </c>
      <c r="M649" s="1">
        <f t="shared" ca="1" si="56"/>
        <v>0.58678239385301578</v>
      </c>
      <c r="N649" s="9">
        <f ca="1">IF(Prices!D648&gt;OFFSET(Prices!D648,-$N$3,0),1,IF(Prices!D648&lt;OFFSET(Prices!D648,-$N$3,0),-1,0))</f>
        <v>1</v>
      </c>
      <c r="O649" s="1">
        <f ca="1">IF(N649=1,O$3*L648/Prices!B648,O$3*M648*N649)</f>
        <v>2.9678789535600821E-2</v>
      </c>
      <c r="P649" s="14"/>
      <c r="Q649" s="9">
        <f ca="1">Q648-T649*Prices!B649</f>
        <v>0.48221334532811427</v>
      </c>
      <c r="R649" s="1">
        <f t="shared" ca="1" si="57"/>
        <v>0.3970760148483119</v>
      </c>
      <c r="S649" s="9">
        <f ca="1">IF(Prices!C648&lt;OFFSET(Prices!C648,-S$3,0),1,IF(Prices!C648&gt;OFFSET(Prices!C648,-S$3,0),-1,0))</f>
        <v>1</v>
      </c>
      <c r="T649" s="1">
        <f ca="1">IF(S649=1,T$3*Q648/Prices!B648,T$3*R648*S649)</f>
        <v>8.5567091709362851E-3</v>
      </c>
    </row>
    <row r="650" spans="1:20" x14ac:dyDescent="0.2">
      <c r="A650" s="4">
        <v>34416</v>
      </c>
      <c r="B650" s="9">
        <f ca="1">Prices!B649*(1+J650/(50*(ABS(O650)+ABS(T650)+0.0001)))</f>
        <v>1.1376811823338862</v>
      </c>
      <c r="C650" s="13">
        <f t="shared" ca="1" si="58"/>
        <v>-1</v>
      </c>
      <c r="D650" s="9">
        <f ca="1">D649+C650*(Prices!B650-Prices!B649)/Prices!B649</f>
        <v>-0.55615390574048718</v>
      </c>
      <c r="E650" s="9">
        <f t="shared" ca="1" si="59"/>
        <v>0.59227785699923352</v>
      </c>
      <c r="F650" s="9">
        <f t="shared" ca="1" si="60"/>
        <v>3.6123951258746317E-2</v>
      </c>
      <c r="G650" s="13">
        <f ca="1">IF((Prices!B650-Prices!B649)*B650&gt;0,1,0)</f>
        <v>1</v>
      </c>
      <c r="H650" s="9">
        <f>ABS(Prices!B650-Prices!B649)/Prices!B649</f>
        <v>2.3376623376622726E-3</v>
      </c>
      <c r="I650" s="13"/>
      <c r="J650" s="1">
        <f t="shared" ca="1" si="61"/>
        <v>-5.0328224747585318E-2</v>
      </c>
      <c r="K650" s="9"/>
      <c r="L650" s="9">
        <f ca="1">L649-O650*Prices!B650</f>
        <v>0.37501823306122534</v>
      </c>
      <c r="M650" s="1">
        <f t="shared" ca="1" si="56"/>
        <v>0.52810415446771419</v>
      </c>
      <c r="N650" s="9">
        <f ca="1">IF(Prices!D649&gt;OFFSET(Prices!D649,-$N$3,0),1,IF(Prices!D649&lt;OFFSET(Prices!D649,-$N$3,0),-1,0))</f>
        <v>-1</v>
      </c>
      <c r="O650" s="1">
        <f ca="1">IF(N650=1,O$3*L649/Prices!B649,O$3*M649*N650)</f>
        <v>-5.8678239385301582E-2</v>
      </c>
      <c r="P650" s="14"/>
      <c r="Q650" s="9">
        <f ca="1">Q649-T650*Prices!B650</f>
        <v>0.47254653338203018</v>
      </c>
      <c r="R650" s="1">
        <f t="shared" ca="1" si="57"/>
        <v>0.40542602948602818</v>
      </c>
      <c r="S650" s="9">
        <f ca="1">IF(Prices!C649&lt;OFFSET(Prices!C649,-S$3,0),1,IF(Prices!C649&gt;OFFSET(Prices!C649,-S$3,0),-1,0))</f>
        <v>1</v>
      </c>
      <c r="T650" s="1">
        <f ca="1">IF(S650=1,T$3*Q649/Prices!B649,T$3*R649*S650)</f>
        <v>8.3500146377162646E-3</v>
      </c>
    </row>
    <row r="651" spans="1:20" x14ac:dyDescent="0.2">
      <c r="A651" s="4">
        <v>34417</v>
      </c>
      <c r="B651" s="9">
        <f ca="1">Prices!B650*(1+J651/(50*(ABS(O651)+ABS(T651)+0.0001)))</f>
        <v>1.1345839455977176</v>
      </c>
      <c r="C651" s="13">
        <f t="shared" ca="1" si="58"/>
        <v>-1</v>
      </c>
      <c r="D651" s="9">
        <f ca="1">D650+C651*(Prices!B651-Prices!B650)/Prices!B650</f>
        <v>-0.56220037719250415</v>
      </c>
      <c r="E651" s="9">
        <f t="shared" ca="1" si="59"/>
        <v>0.5983243284512505</v>
      </c>
      <c r="F651" s="9">
        <f t="shared" ca="1" si="60"/>
        <v>3.6123951258746317E-2</v>
      </c>
      <c r="G651" s="13">
        <f ca="1">IF((Prices!B651-Prices!B650)*B651&gt;0,1,0)</f>
        <v>1</v>
      </c>
      <c r="H651" s="9">
        <f>ABS(Prices!B651-Prices!B650)/Prices!B650</f>
        <v>6.0464714520170318E-3</v>
      </c>
      <c r="I651" s="13"/>
      <c r="J651" s="1">
        <f t="shared" ca="1" si="61"/>
        <v>-6.091893603649199E-2</v>
      </c>
      <c r="K651" s="9"/>
      <c r="L651" s="9">
        <f ca="1">L650-O651*Prices!B651</f>
        <v>0.43652652393208002</v>
      </c>
      <c r="M651" s="1">
        <f t="shared" ca="1" si="56"/>
        <v>0.47529373902094274</v>
      </c>
      <c r="N651" s="9">
        <f ca="1">IF(Prices!D650&gt;OFFSET(Prices!D650,-$N$3,0),1,IF(Prices!D650&lt;OFFSET(Prices!D650,-$N$3,0),-1,0))</f>
        <v>-1</v>
      </c>
      <c r="O651" s="1">
        <f ca="1">IF(N651=1,O$3*L650/Prices!B650,O$3*M650*N651)</f>
        <v>-5.2810415446771425E-2</v>
      </c>
      <c r="P651" s="14"/>
      <c r="Q651" s="9">
        <f ca="1">Q650-T651*Prices!B651</f>
        <v>0.48199052731287773</v>
      </c>
      <c r="R651" s="1">
        <f t="shared" ca="1" si="57"/>
        <v>0.39731750889630763</v>
      </c>
      <c r="S651" s="9">
        <f ca="1">IF(Prices!C650&lt;OFFSET(Prices!C650,-S$3,0),1,IF(Prices!C650&gt;OFFSET(Prices!C650,-S$3,0),-1,0))</f>
        <v>-1</v>
      </c>
      <c r="T651" s="1">
        <f ca="1">IF(S651=1,T$3*Q650/Prices!B650,T$3*R650*S651)</f>
        <v>-8.1085205897205633E-3</v>
      </c>
    </row>
    <row r="652" spans="1:20" x14ac:dyDescent="0.2">
      <c r="A652" s="4">
        <v>34418</v>
      </c>
      <c r="B652" s="9">
        <f ca="1">Prices!B651*(1+J652/(50*(ABS(O652)+ABS(T652)+0.0001)))</f>
        <v>1.1879432022770222</v>
      </c>
      <c r="C652" s="13">
        <f t="shared" ca="1" si="58"/>
        <v>1</v>
      </c>
      <c r="D652" s="9">
        <f ca="1">D651+C652*(Prices!B652-Prices!B651)/Prices!B651</f>
        <v>-0.55868015739341426</v>
      </c>
      <c r="E652" s="9">
        <f t="shared" ca="1" si="59"/>
        <v>0.5948041086521606</v>
      </c>
      <c r="F652" s="9">
        <f t="shared" ca="1" si="60"/>
        <v>3.6123951258746317E-2</v>
      </c>
      <c r="G652" s="13">
        <f ca="1">IF((Prices!B652-Prices!B651)*B652&gt;0,1,0)</f>
        <v>1</v>
      </c>
      <c r="H652" s="9">
        <f>ABS(Prices!B652-Prices!B651)/Prices!B651</f>
        <v>3.5202197990898878E-3</v>
      </c>
      <c r="I652" s="13"/>
      <c r="J652" s="1">
        <f t="shared" ca="1" si="61"/>
        <v>4.5756386141895387E-2</v>
      </c>
      <c r="K652" s="9"/>
      <c r="L652" s="9">
        <f ca="1">L651-O652*Prices!B652</f>
        <v>0.39272020460763468</v>
      </c>
      <c r="M652" s="1">
        <f t="shared" ca="1" si="56"/>
        <v>0.51277347834712805</v>
      </c>
      <c r="N652" s="9">
        <f ca="1">IF(Prices!D651&gt;OFFSET(Prices!D651,-$N$3,0),1,IF(Prices!D651&lt;OFFSET(Prices!D651,-$N$3,0),-1,0))</f>
        <v>1</v>
      </c>
      <c r="O652" s="1">
        <f ca="1">IF(N652=1,O$3*L651/Prices!B651,O$3*M651*N652)</f>
        <v>3.7479739326185285E-2</v>
      </c>
      <c r="P652" s="14"/>
      <c r="Q652" s="9">
        <f ca="1">Q651-T652*Prices!B652</f>
        <v>0.47231678251467574</v>
      </c>
      <c r="R652" s="1">
        <f t="shared" ca="1" si="57"/>
        <v>0.40559415571201773</v>
      </c>
      <c r="S652" s="9">
        <f ca="1">IF(Prices!C651&lt;OFFSET(Prices!C651,-S$3,0),1,IF(Prices!C651&gt;OFFSET(Prices!C651,-S$3,0),-1,0))</f>
        <v>1</v>
      </c>
      <c r="T652" s="1">
        <f ca="1">IF(S652=1,T$3*Q651/Prices!B651,T$3*R651*S652)</f>
        <v>8.2766468157101005E-3</v>
      </c>
    </row>
    <row r="653" spans="1:20" x14ac:dyDescent="0.2">
      <c r="A653" s="4">
        <v>34421</v>
      </c>
      <c r="B653" s="9">
        <f ca="1">Prices!B652*(1+J653/(50*(ABS(O653)+ABS(T653)+0.0001)))</f>
        <v>1.1921200529605758</v>
      </c>
      <c r="C653" s="13">
        <f t="shared" ca="1" si="58"/>
        <v>1</v>
      </c>
      <c r="D653" s="9">
        <f ca="1">D652+C653*(Prices!B653-Prices!B652)/Prices!B652</f>
        <v>-0.55953573576439308</v>
      </c>
      <c r="E653" s="9">
        <f t="shared" ca="1" si="59"/>
        <v>0.59565968702313943</v>
      </c>
      <c r="F653" s="9">
        <f t="shared" ca="1" si="60"/>
        <v>3.6123951258746317E-2</v>
      </c>
      <c r="G653" s="13">
        <f ca="1">IF((Prices!B653-Prices!B652)*B653&gt;0,1,0)</f>
        <v>0</v>
      </c>
      <c r="H653" s="9">
        <f>ABS(Prices!B653-Prices!B652)/Prices!B652</f>
        <v>8.5557837097887735E-4</v>
      </c>
      <c r="I653" s="13"/>
      <c r="J653" s="1">
        <f t="shared" ca="1" si="61"/>
        <v>4.168237175826231E-2</v>
      </c>
      <c r="K653" s="9"/>
      <c r="L653" s="9">
        <f ca="1">L652-O653*Prices!B653</f>
        <v>0.35348178443816208</v>
      </c>
      <c r="M653" s="1">
        <f t="shared" ca="1" si="56"/>
        <v>0.54637376963799344</v>
      </c>
      <c r="N653" s="9">
        <f ca="1">IF(Prices!D652&gt;OFFSET(Prices!D652,-$N$3,0),1,IF(Prices!D652&lt;OFFSET(Prices!D652,-$N$3,0),-1,0))</f>
        <v>1</v>
      </c>
      <c r="O653" s="1">
        <f ca="1">IF(N653=1,O$3*L652/Prices!B652,O$3*M652*N653)</f>
        <v>3.3600291290865392E-2</v>
      </c>
      <c r="P653" s="14"/>
      <c r="Q653" s="9">
        <f ca="1">Q652-T653*Prices!B653</f>
        <v>0.4628785289448496</v>
      </c>
      <c r="R653" s="1">
        <f t="shared" ca="1" si="57"/>
        <v>0.41367623617941462</v>
      </c>
      <c r="S653" s="9">
        <f ca="1">IF(Prices!C652&lt;OFFSET(Prices!C652,-S$3,0),1,IF(Prices!C652&gt;OFFSET(Prices!C652,-S$3,0),-1,0))</f>
        <v>1</v>
      </c>
      <c r="T653" s="1">
        <f ca="1">IF(S653=1,T$3*Q652/Prices!B652,T$3*R652*S653)</f>
        <v>8.0820804673969147E-3</v>
      </c>
    </row>
    <row r="654" spans="1:20" x14ac:dyDescent="0.2">
      <c r="A654" s="4">
        <v>34422</v>
      </c>
      <c r="B654" s="9">
        <f ca="1">Prices!B653*(1+J654/(50*(ABS(O654)+ABS(T654)+0.0001)))</f>
        <v>1.1910950125348543</v>
      </c>
      <c r="C654" s="13">
        <f t="shared" ca="1" si="58"/>
        <v>1</v>
      </c>
      <c r="D654" s="9">
        <f ca="1">D653+C654*(Prices!B654-Prices!B653)/Prices!B653</f>
        <v>-0.55662427832305028</v>
      </c>
      <c r="E654" s="9">
        <f t="shared" ca="1" si="59"/>
        <v>0.59274822958179663</v>
      </c>
      <c r="F654" s="9">
        <f t="shared" ca="1" si="60"/>
        <v>3.6123951258746317E-2</v>
      </c>
      <c r="G654" s="13">
        <f ca="1">IF((Prices!B654-Prices!B653)*B654&gt;0,1,0)</f>
        <v>1</v>
      </c>
      <c r="H654" s="9">
        <f>ABS(Prices!B654-Prices!B653)/Prices!B653</f>
        <v>2.9114574413427554E-3</v>
      </c>
      <c r="I654" s="13"/>
      <c r="J654" s="1">
        <f t="shared" ca="1" si="61"/>
        <v>3.8196394093777362E-2</v>
      </c>
      <c r="K654" s="9"/>
      <c r="L654" s="9">
        <f ca="1">L653-O654*Prices!B654</f>
        <v>0.3180306912771777</v>
      </c>
      <c r="M654" s="1">
        <f t="shared" ca="1" si="56"/>
        <v>0.57664280409921642</v>
      </c>
      <c r="N654" s="9">
        <f ca="1">IF(Prices!D653&gt;OFFSET(Prices!D653,-$N$3,0),1,IF(Prices!D653&lt;OFFSET(Prices!D653,-$N$3,0),-1,0))</f>
        <v>1</v>
      </c>
      <c r="O654" s="1">
        <f ca="1">IF(N654=1,O$3*L653/Prices!B653,O$3*M653*N654)</f>
        <v>3.0269034461222991E-2</v>
      </c>
      <c r="P654" s="14"/>
      <c r="Q654" s="9">
        <f ca="1">Q653-T654*Prices!B654</f>
        <v>0.45359400534320193</v>
      </c>
      <c r="R654" s="1">
        <f t="shared" ca="1" si="57"/>
        <v>0.42160359581196899</v>
      </c>
      <c r="S654" s="9">
        <f ca="1">IF(Prices!C653&lt;OFFSET(Prices!C653,-S$3,0),1,IF(Prices!C653&gt;OFFSET(Prices!C653,-S$3,0),-1,0))</f>
        <v>1</v>
      </c>
      <c r="T654" s="1">
        <f ca="1">IF(S654=1,T$3*Q653/Prices!B653,T$3*R653*S654)</f>
        <v>7.9273596325543701E-3</v>
      </c>
    </row>
    <row r="655" spans="1:20" x14ac:dyDescent="0.2">
      <c r="A655" s="4">
        <v>34423</v>
      </c>
      <c r="B655" s="9">
        <f ca="1">Prices!B654*(1+J655/(50*(ABS(O655)+ABS(T655)+0.0001)))</f>
        <v>1.1945570743987501</v>
      </c>
      <c r="C655" s="13">
        <f t="shared" ca="1" si="58"/>
        <v>1</v>
      </c>
      <c r="D655" s="9">
        <f ca="1">D654+C655*(Prices!B655-Prices!B654)/Prices!B654</f>
        <v>-0.56225952422468961</v>
      </c>
      <c r="E655" s="9">
        <f t="shared" ca="1" si="59"/>
        <v>0.59838347548343596</v>
      </c>
      <c r="F655" s="9">
        <f t="shared" ca="1" si="60"/>
        <v>3.6123951258746317E-2</v>
      </c>
      <c r="G655" s="13">
        <f ca="1">IF((Prices!B655-Prices!B654)*B655&gt;0,1,0)</f>
        <v>0</v>
      </c>
      <c r="H655" s="9">
        <f>ABS(Prices!B655-Prices!B654)/Prices!B654</f>
        <v>5.6352459016392924E-3</v>
      </c>
      <c r="I655" s="13"/>
      <c r="J655" s="1">
        <f t="shared" ca="1" si="61"/>
        <v>3.4900059114226271E-2</v>
      </c>
      <c r="K655" s="9"/>
      <c r="L655" s="9">
        <f ca="1">L654-O655*Prices!B655</f>
        <v>0.28640684026442143</v>
      </c>
      <c r="M655" s="1">
        <f t="shared" ca="1" si="56"/>
        <v>0.6037970639418716</v>
      </c>
      <c r="N655" s="9">
        <f ca="1">IF(Prices!D654&gt;OFFSET(Prices!D654,-$N$3,0),1,IF(Prices!D654&lt;OFFSET(Prices!D654,-$N$3,0),-1,0))</f>
        <v>1</v>
      </c>
      <c r="O655" s="1">
        <f ca="1">IF(N655=1,O$3*L654/Prices!B654,O$3*M654*N655)</f>
        <v>2.7154259842655199E-2</v>
      </c>
      <c r="P655" s="14"/>
      <c r="Q655" s="9">
        <f ca="1">Q654-T655*Prices!B655</f>
        <v>0.44457324751153027</v>
      </c>
      <c r="R655" s="1">
        <f t="shared" ca="1" si="57"/>
        <v>0.42934939508354009</v>
      </c>
      <c r="S655" s="9">
        <f ca="1">IF(Prices!C654&lt;OFFSET(Prices!C654,-S$3,0),1,IF(Prices!C654&gt;OFFSET(Prices!C654,-S$3,0),-1,0))</f>
        <v>1</v>
      </c>
      <c r="T655" s="1">
        <f ca="1">IF(S655=1,T$3*Q654/Prices!B654,T$3*R654*S655)</f>
        <v>7.7457992715710714E-3</v>
      </c>
    </row>
    <row r="656" spans="1:20" x14ac:dyDescent="0.2">
      <c r="A656" s="4">
        <v>34424</v>
      </c>
      <c r="B656" s="9">
        <f ca="1">Prices!B655*(1+J656/(50*(ABS(O656)+ABS(T656)+0.0001)))</f>
        <v>1.1878199498926061</v>
      </c>
      <c r="C656" s="13">
        <f t="shared" ca="1" si="58"/>
        <v>1</v>
      </c>
      <c r="D656" s="9">
        <f ca="1">D655+C656*(Prices!B656-Prices!B655)/Prices!B655</f>
        <v>-0.55444568256231641</v>
      </c>
      <c r="E656" s="9">
        <f t="shared" ca="1" si="59"/>
        <v>0.59056963382106276</v>
      </c>
      <c r="F656" s="9">
        <f t="shared" ca="1" si="60"/>
        <v>3.6123951258746317E-2</v>
      </c>
      <c r="G656" s="13">
        <f ca="1">IF((Prices!B656-Prices!B655)*B656&gt;0,1,0)</f>
        <v>1</v>
      </c>
      <c r="H656" s="9">
        <f>ABS(Prices!B656-Prices!B655)/Prices!B655</f>
        <v>7.8138416623732485E-3</v>
      </c>
      <c r="I656" s="13"/>
      <c r="J656" s="1">
        <f t="shared" ca="1" si="61"/>
        <v>3.2227502126629531E-2</v>
      </c>
      <c r="K656" s="9"/>
      <c r="L656" s="9">
        <f ca="1">L655-O656*Prices!B656</f>
        <v>0.25754236246789458</v>
      </c>
      <c r="M656" s="1">
        <f t="shared" ca="1" si="56"/>
        <v>0.62838978592919958</v>
      </c>
      <c r="N656" s="9">
        <f ca="1">IF(Prices!D655&gt;OFFSET(Prices!D655,-$N$3,0),1,IF(Prices!D655&lt;OFFSET(Prices!D655,-$N$3,0),-1,0))</f>
        <v>1</v>
      </c>
      <c r="O656" s="1">
        <f ca="1">IF(N656=1,O$3*L655/Prices!B655,O$3*M655*N656)</f>
        <v>2.459272198732796E-2</v>
      </c>
      <c r="P656" s="14"/>
      <c r="Q656" s="9">
        <f ca="1">Q655-T656*Prices!B656</f>
        <v>0.435612306062032</v>
      </c>
      <c r="R656" s="1">
        <f t="shared" ca="1" si="57"/>
        <v>0.43698417522284166</v>
      </c>
      <c r="S656" s="9">
        <f ca="1">IF(Prices!C655&lt;OFFSET(Prices!C655,-S$3,0),1,IF(Prices!C655&gt;OFFSET(Prices!C655,-S$3,0),-1,0))</f>
        <v>1</v>
      </c>
      <c r="T656" s="1">
        <f ca="1">IF(S656=1,T$3*Q655/Prices!B655,T$3*R655*S656)</f>
        <v>7.6347801393015675E-3</v>
      </c>
    </row>
    <row r="657" spans="1:20" x14ac:dyDescent="0.2">
      <c r="A657" s="4">
        <v>34425</v>
      </c>
      <c r="B657" s="9">
        <f ca="1">Prices!B656*(1+J657/(50*(ABS(O657)+ABS(T657)+0.0001)))</f>
        <v>1.1970943343991096</v>
      </c>
      <c r="C657" s="13">
        <f t="shared" ca="1" si="58"/>
        <v>1</v>
      </c>
      <c r="D657" s="9">
        <f ca="1">D656+C657*(Prices!B657-Prices!B656)/Prices!B656</f>
        <v>-0.57148581206730065</v>
      </c>
      <c r="E657" s="9">
        <f t="shared" ca="1" si="59"/>
        <v>0.60760976332604699</v>
      </c>
      <c r="F657" s="9">
        <f t="shared" ca="1" si="60"/>
        <v>3.6123951258746317E-2</v>
      </c>
      <c r="G657" s="13">
        <f ca="1">IF((Prices!B657-Prices!B656)*B657&gt;0,1,0)</f>
        <v>0</v>
      </c>
      <c r="H657" s="9">
        <f>ABS(Prices!B657-Prices!B656)/Prices!B656</f>
        <v>1.7040129504984253E-2</v>
      </c>
      <c r="I657" s="13"/>
      <c r="J657" s="1">
        <f t="shared" ca="1" si="61"/>
        <v>2.9365666156624434E-2</v>
      </c>
      <c r="K657" s="9"/>
      <c r="L657" s="9">
        <f ca="1">L656-O657*Prices!B657</f>
        <v>0.23222698174205236</v>
      </c>
      <c r="M657" s="1">
        <f t="shared" ca="1" si="56"/>
        <v>0.6503325619765622</v>
      </c>
      <c r="N657" s="9">
        <f ca="1">IF(Prices!D656&gt;OFFSET(Prices!D656,-$N$3,0),1,IF(Prices!D656&lt;OFFSET(Prices!D656,-$N$3,0),-1,0))</f>
        <v>1</v>
      </c>
      <c r="O657" s="1">
        <f ca="1">IF(N657=1,O$3*L656/Prices!B656,O$3*M656*N657)</f>
        <v>2.194277604736258E-2</v>
      </c>
      <c r="P657" s="14"/>
      <c r="Q657" s="9">
        <f ca="1">Q656-T657*Prices!B657</f>
        <v>0.42704851774297659</v>
      </c>
      <c r="R657" s="1">
        <f t="shared" ca="1" si="57"/>
        <v>0.4444070653321035</v>
      </c>
      <c r="S657" s="9">
        <f ca="1">IF(Prices!C656&lt;OFFSET(Prices!C656,-S$3,0),1,IF(Prices!C656&gt;OFFSET(Prices!C656,-S$3,0),-1,0))</f>
        <v>1</v>
      </c>
      <c r="T657" s="1">
        <f ca="1">IF(S657=1,T$3*Q656/Prices!B656,T$3*R656*S657)</f>
        <v>7.4228901092618562E-3</v>
      </c>
    </row>
    <row r="658" spans="1:20" x14ac:dyDescent="0.2">
      <c r="A658" s="4">
        <v>34428</v>
      </c>
      <c r="B658" s="9">
        <f ca="1">Prices!B657*(1+J658/(50*(ABS(O658)+ABS(T658)+0.0001)))</f>
        <v>1.1766904953680277</v>
      </c>
      <c r="C658" s="13">
        <f t="shared" ca="1" si="58"/>
        <v>1</v>
      </c>
      <c r="D658" s="9">
        <f ca="1">D657+C658*(Prices!B658-Prices!B657)/Prices!B657</f>
        <v>-0.57347939792150882</v>
      </c>
      <c r="E658" s="9">
        <f t="shared" ca="1" si="59"/>
        <v>0.60960334918025516</v>
      </c>
      <c r="F658" s="9">
        <f t="shared" ca="1" si="60"/>
        <v>3.6123951258746317E-2</v>
      </c>
      <c r="G658" s="13">
        <f ca="1">IF((Prices!B658-Prices!B657)*B658&gt;0,1,0)</f>
        <v>0</v>
      </c>
      <c r="H658" s="9">
        <f>ABS(Prices!B658-Prices!B657)/Prices!B657</f>
        <v>1.9935858542081725E-3</v>
      </c>
      <c r="I658" s="13"/>
      <c r="J658" s="1">
        <f t="shared" ca="1" si="61"/>
        <v>2.7532000111870306E-2</v>
      </c>
      <c r="K658" s="9"/>
      <c r="L658" s="9">
        <f ca="1">L657-O658*Prices!B658</f>
        <v>0.20905058001042376</v>
      </c>
      <c r="M658" s="1">
        <f t="shared" ref="M658:M721" ca="1" si="62">M657+O658</f>
        <v>0.67046145005336311</v>
      </c>
      <c r="N658" s="9">
        <f ca="1">IF(Prices!D657&gt;OFFSET(Prices!D657,-$N$3,0),1,IF(Prices!D657&lt;OFFSET(Prices!D657,-$N$3,0),-1,0))</f>
        <v>1</v>
      </c>
      <c r="O658" s="1">
        <f ca="1">IF(N658=1,O$3*L657/Prices!B657,O$3*M657*N658)</f>
        <v>2.0128888076800935E-2</v>
      </c>
      <c r="P658" s="14"/>
      <c r="Q658" s="9">
        <f ca="1">Q657-T658*Prices!B658</f>
        <v>0.41852457454579772</v>
      </c>
      <c r="R658" s="1">
        <f t="shared" ref="R658:R721" ca="1" si="63">R657+T658</f>
        <v>0.45181017736717288</v>
      </c>
      <c r="S658" s="9">
        <f ca="1">IF(Prices!C657&lt;OFFSET(Prices!C657,-S$3,0),1,IF(Prices!C657&gt;OFFSET(Prices!C657,-S$3,0),-1,0))</f>
        <v>1</v>
      </c>
      <c r="T658" s="1">
        <f ca="1">IF(S658=1,T$3*Q657/Prices!B657,T$3*R657*S658)</f>
        <v>7.4031120350693709E-3</v>
      </c>
    </row>
    <row r="659" spans="1:20" x14ac:dyDescent="0.2">
      <c r="A659" s="4">
        <v>34429</v>
      </c>
      <c r="B659" s="9">
        <f ca="1">Prices!B658*(1+J659/(50*(ABS(O659)+ABS(T659)+0.0001)))</f>
        <v>1.1590950130857516</v>
      </c>
      <c r="C659" s="13">
        <f t="shared" ca="1" si="58"/>
        <v>1</v>
      </c>
      <c r="D659" s="9">
        <f ca="1">D658+C659*(Prices!B659-Prices!B658)/Prices!B658</f>
        <v>-0.5745216074056152</v>
      </c>
      <c r="E659" s="9">
        <f t="shared" ca="1" si="59"/>
        <v>0.61064555866436154</v>
      </c>
      <c r="F659" s="9">
        <f t="shared" ca="1" si="60"/>
        <v>3.6123951258746317E-2</v>
      </c>
      <c r="G659" s="13">
        <f ca="1">IF((Prices!B659-Prices!B658)*B659&gt;0,1,0)</f>
        <v>0</v>
      </c>
      <c r="H659" s="9">
        <f>ABS(Prices!B659-Prices!B658)/Prices!B658</f>
        <v>1.0422094841063836E-3</v>
      </c>
      <c r="I659" s="13"/>
      <c r="J659" s="1">
        <f t="shared" ca="1" si="61"/>
        <v>9.1200045480555152E-3</v>
      </c>
      <c r="K659" s="9"/>
      <c r="L659" s="9">
        <f ca="1">L658-O659*Prices!B659</f>
        <v>0.18816730945909585</v>
      </c>
      <c r="M659" s="1">
        <f t="shared" ca="1" si="62"/>
        <v>0.68861765814876208</v>
      </c>
      <c r="N659" s="9">
        <f ca="1">IF(Prices!D658&gt;OFFSET(Prices!D658,-$N$3,0),1,IF(Prices!D658&lt;OFFSET(Prices!D658,-$N$3,0),-1,0))</f>
        <v>1</v>
      </c>
      <c r="O659" s="1">
        <f ca="1">IF(N659=1,O$3*L658/Prices!B658,O$3*M658*N659)</f>
        <v>1.8156208095398974E-2</v>
      </c>
      <c r="P659" s="14"/>
      <c r="Q659" s="9">
        <f ca="1">Q658-T659*Prices!B659</f>
        <v>0.42891801586595218</v>
      </c>
      <c r="R659" s="1">
        <f t="shared" ca="1" si="63"/>
        <v>0.44277397381982941</v>
      </c>
      <c r="S659" s="9">
        <f ca="1">IF(Prices!C658&lt;OFFSET(Prices!C658,-S$3,0),1,IF(Prices!C658&gt;OFFSET(Prices!C658,-S$3,0),-1,0))</f>
        <v>-1</v>
      </c>
      <c r="T659" s="1">
        <f ca="1">IF(S659=1,T$3*Q658/Prices!B658,T$3*R658*S659)</f>
        <v>-9.0362035473434583E-3</v>
      </c>
    </row>
    <row r="660" spans="1:20" x14ac:dyDescent="0.2">
      <c r="A660" s="4">
        <v>34430</v>
      </c>
      <c r="B660" s="9">
        <f ca="1">Prices!B659*(1+J660/(50*(ABS(O660)+ABS(T660)+0.0001)))</f>
        <v>1.1570190048252511</v>
      </c>
      <c r="C660" s="13">
        <f t="shared" ca="1" si="58"/>
        <v>1</v>
      </c>
      <c r="D660" s="9">
        <f ca="1">D659+C660*(Prices!B660-Prices!B659)/Prices!B659</f>
        <v>-0.58025973990431101</v>
      </c>
      <c r="E660" s="9">
        <f t="shared" ca="1" si="59"/>
        <v>0.61638369116305736</v>
      </c>
      <c r="F660" s="9">
        <f t="shared" ca="1" si="60"/>
        <v>3.6123951258746317E-2</v>
      </c>
      <c r="G660" s="13">
        <f ca="1">IF((Prices!B660-Prices!B659)*B660&gt;0,1,0)</f>
        <v>0</v>
      </c>
      <c r="H660" s="9">
        <f>ABS(Prices!B660-Prices!B659)/Prices!B659</f>
        <v>5.7381324986958268E-3</v>
      </c>
      <c r="I660" s="13"/>
      <c r="J660" s="1">
        <f t="shared" ca="1" si="61"/>
        <v>7.5040501235943587E-3</v>
      </c>
      <c r="K660" s="9"/>
      <c r="L660" s="9">
        <f ca="1">L659-O660*Prices!B660</f>
        <v>0.16945855140854621</v>
      </c>
      <c r="M660" s="1">
        <f t="shared" ca="1" si="62"/>
        <v>0.70497718774875306</v>
      </c>
      <c r="N660" s="9">
        <f ca="1">IF(Prices!D659&gt;OFFSET(Prices!D659,-$N$3,0),1,IF(Prices!D659&lt;OFFSET(Prices!D659,-$N$3,0),-1,0))</f>
        <v>1</v>
      </c>
      <c r="O660" s="1">
        <f ca="1">IF(N660=1,O$3*L659/Prices!B659,O$3*M659*N660)</f>
        <v>1.6359529599990947E-2</v>
      </c>
      <c r="P660" s="14"/>
      <c r="Q660" s="9">
        <f ca="1">Q659-T660*Prices!B660</f>
        <v>0.43904514219515933</v>
      </c>
      <c r="R660" s="1">
        <f t="shared" ca="1" si="63"/>
        <v>0.43391849434343283</v>
      </c>
      <c r="S660" s="9">
        <f ca="1">IF(Prices!C659&lt;OFFSET(Prices!C659,-S$3,0),1,IF(Prices!C659&gt;OFFSET(Prices!C659,-S$3,0),-1,0))</f>
        <v>-1</v>
      </c>
      <c r="T660" s="1">
        <f ca="1">IF(S660=1,T$3*Q659/Prices!B659,T$3*R659*S660)</f>
        <v>-8.8554794763965883E-3</v>
      </c>
    </row>
    <row r="661" spans="1:20" x14ac:dyDescent="0.2">
      <c r="A661" s="4">
        <v>34431</v>
      </c>
      <c r="B661" s="9">
        <f ca="1">Prices!B660*(1+J661/(50*(ABS(O661)+ABS(T661)+0.0001)))</f>
        <v>1.1207568510702106</v>
      </c>
      <c r="C661" s="13">
        <f t="shared" ca="1" si="58"/>
        <v>-1</v>
      </c>
      <c r="D661" s="9">
        <f ca="1">D660+C661*(Prices!B661-Prices!B660)/Prices!B660</f>
        <v>-0.58043462622820041</v>
      </c>
      <c r="E661" s="9">
        <f t="shared" ca="1" si="59"/>
        <v>0.61655857748694676</v>
      </c>
      <c r="F661" s="9">
        <f t="shared" ca="1" si="60"/>
        <v>3.6123951258746317E-2</v>
      </c>
      <c r="G661" s="13">
        <f ca="1">IF((Prices!B661-Prices!B660)*B661&gt;0,1,0)</f>
        <v>1</v>
      </c>
      <c r="H661" s="9">
        <f>ABS(Prices!B661-Prices!B660)/Prices!B660</f>
        <v>1.7488632388945258E-4</v>
      </c>
      <c r="I661" s="13"/>
      <c r="J661" s="1">
        <f t="shared" ca="1" si="61"/>
        <v>-7.9176088661743957E-2</v>
      </c>
      <c r="K661" s="9"/>
      <c r="L661" s="9">
        <f ca="1">L660-O661*Prices!B661</f>
        <v>0.25009384214324859</v>
      </c>
      <c r="M661" s="1">
        <f t="shared" ca="1" si="62"/>
        <v>0.63447946897387775</v>
      </c>
      <c r="N661" s="9">
        <f ca="1">IF(Prices!D660&gt;OFFSET(Prices!D660,-$N$3,0),1,IF(Prices!D660&lt;OFFSET(Prices!D660,-$N$3,0),-1,0))</f>
        <v>-1</v>
      </c>
      <c r="O661" s="1">
        <f ca="1">IF(N661=1,O$3*L660/Prices!B660,O$3*M660*N661)</f>
        <v>-7.0497718774875304E-2</v>
      </c>
      <c r="P661" s="14"/>
      <c r="Q661" s="9">
        <f ca="1">Q660-T661*Prices!B661</f>
        <v>0.44897146167175972</v>
      </c>
      <c r="R661" s="1">
        <f t="shared" ca="1" si="63"/>
        <v>0.42524012445656417</v>
      </c>
      <c r="S661" s="9">
        <f ca="1">IF(Prices!C660&lt;OFFSET(Prices!C660,-S$3,0),1,IF(Prices!C660&gt;OFFSET(Prices!C660,-S$3,0),-1,0))</f>
        <v>-1</v>
      </c>
      <c r="T661" s="1">
        <f ca="1">IF(S661=1,T$3*Q660/Prices!B660,T$3*R660*S661)</f>
        <v>-8.6783698868686567E-3</v>
      </c>
    </row>
    <row r="662" spans="1:20" x14ac:dyDescent="0.2">
      <c r="A662" s="4">
        <v>34432</v>
      </c>
      <c r="B662" s="9">
        <f ca="1">Prices!B661*(1+J662/(50*(ABS(O662)+ABS(T662)+0.0001)))</f>
        <v>1.1209557489619684</v>
      </c>
      <c r="C662" s="13">
        <f t="shared" ca="1" si="58"/>
        <v>-1</v>
      </c>
      <c r="D662" s="9">
        <f ca="1">D661+C662*(Prices!B662-Prices!B661)/Prices!B661</f>
        <v>-0.58305746238836842</v>
      </c>
      <c r="E662" s="9">
        <f t="shared" ca="1" si="59"/>
        <v>0.61918141364711476</v>
      </c>
      <c r="F662" s="9">
        <f t="shared" ca="1" si="60"/>
        <v>3.6123951258746317E-2</v>
      </c>
      <c r="G662" s="13">
        <f ca="1">IF((Prices!B662-Prices!B661)*B662&gt;0,1,0)</f>
        <v>1</v>
      </c>
      <c r="H662" s="9">
        <f>ABS(Prices!B662-Prices!B661)/Prices!B661</f>
        <v>2.6228361601679613E-3</v>
      </c>
      <c r="I662" s="13"/>
      <c r="J662" s="1">
        <f t="shared" ca="1" si="61"/>
        <v>-7.1952749386519063E-2</v>
      </c>
      <c r="K662" s="9"/>
      <c r="L662" s="9">
        <f ca="1">L661-O662*Prices!B662</f>
        <v>0.32285594764517289</v>
      </c>
      <c r="M662" s="1">
        <f t="shared" ca="1" si="62"/>
        <v>0.57103152207648999</v>
      </c>
      <c r="N662" s="9">
        <f ca="1">IF(Prices!D661&gt;OFFSET(Prices!D661,-$N$3,0),1,IF(Prices!D661&lt;OFFSET(Prices!D661,-$N$3,0),-1,0))</f>
        <v>-1</v>
      </c>
      <c r="O662" s="1">
        <f ca="1">IF(N662=1,O$3*L661/Prices!B661,O$3*M661*N662)</f>
        <v>-6.344794689738778E-2</v>
      </c>
      <c r="P662" s="14"/>
      <c r="Q662" s="9">
        <f ca="1">Q661-T662*Prices!B662</f>
        <v>0.45872476916629545</v>
      </c>
      <c r="R662" s="1">
        <f t="shared" ca="1" si="63"/>
        <v>0.4167353219674329</v>
      </c>
      <c r="S662" s="9">
        <f ca="1">IF(Prices!C661&lt;OFFSET(Prices!C661,-S$3,0),1,IF(Prices!C661&gt;OFFSET(Prices!C661,-S$3,0),-1,0))</f>
        <v>-1</v>
      </c>
      <c r="T662" s="1">
        <f ca="1">IF(S662=1,T$3*Q661/Prices!B661,T$3*R661*S662)</f>
        <v>-8.5048024891312829E-3</v>
      </c>
    </row>
    <row r="663" spans="1:20" x14ac:dyDescent="0.2">
      <c r="A663" s="4">
        <v>34435</v>
      </c>
      <c r="B663" s="9">
        <f ca="1">Prices!B662*(1+J663/(50*(ABS(O663)+ABS(T663)+0.0001)))</f>
        <v>1.1592235703827565</v>
      </c>
      <c r="C663" s="13">
        <f t="shared" ca="1" si="58"/>
        <v>1</v>
      </c>
      <c r="D663" s="9">
        <f ca="1">D662+C663*(Prices!B663-Prices!B662)/Prices!B662</f>
        <v>-0.57956949587284701</v>
      </c>
      <c r="E663" s="9">
        <f t="shared" ca="1" si="59"/>
        <v>0.61569344713159335</v>
      </c>
      <c r="F663" s="9">
        <f t="shared" ca="1" si="60"/>
        <v>3.6123951258746317E-2</v>
      </c>
      <c r="G663" s="13">
        <f ca="1">IF((Prices!B663-Prices!B662)*B663&gt;0,1,0)</f>
        <v>1</v>
      </c>
      <c r="H663" s="9">
        <f>ABS(Prices!B663-Prices!B662)/Prices!B662</f>
        <v>3.487966515521454E-3</v>
      </c>
      <c r="I663" s="13"/>
      <c r="J663" s="1">
        <f t="shared" ca="1" si="61"/>
        <v>1.9818061928734084E-2</v>
      </c>
      <c r="K663" s="9"/>
      <c r="L663" s="9">
        <f ca="1">L662-O663*Prices!B663</f>
        <v>0.29045774180718326</v>
      </c>
      <c r="M663" s="1">
        <f t="shared" ca="1" si="62"/>
        <v>0.59918429044457278</v>
      </c>
      <c r="N663" s="9">
        <f ca="1">IF(Prices!D662&gt;OFFSET(Prices!D662,-$N$3,0),1,IF(Prices!D662&lt;OFFSET(Prices!D662,-$N$3,0),-1,0))</f>
        <v>1</v>
      </c>
      <c r="O663" s="1">
        <f ca="1">IF(N663=1,O$3*L662/Prices!B662,O$3*M662*N663)</f>
        <v>2.8152768368082743E-2</v>
      </c>
      <c r="P663" s="14"/>
      <c r="Q663" s="9">
        <f ca="1">Q662-T663*Prices!B663</f>
        <v>0.46831634933669791</v>
      </c>
      <c r="R663" s="1">
        <f t="shared" ca="1" si="63"/>
        <v>0.40840061552808427</v>
      </c>
      <c r="S663" s="9">
        <f ca="1">IF(Prices!C662&lt;OFFSET(Prices!C662,-S$3,0),1,IF(Prices!C662&gt;OFFSET(Prices!C662,-S$3,0),-1,0))</f>
        <v>-1</v>
      </c>
      <c r="T663" s="1">
        <f ca="1">IF(S663=1,T$3*Q662/Prices!B662,T$3*R662*S663)</f>
        <v>-8.3347064393486589E-3</v>
      </c>
    </row>
    <row r="664" spans="1:20" x14ac:dyDescent="0.2">
      <c r="A664" s="4">
        <v>34436</v>
      </c>
      <c r="B664" s="9">
        <f ca="1">Prices!B663*(1+J664/(50*(ABS(O664)+ABS(T664)+0.0001)))</f>
        <v>1.1737472516202914</v>
      </c>
      <c r="C664" s="13">
        <f t="shared" ca="1" si="58"/>
        <v>1</v>
      </c>
      <c r="D664" s="9">
        <f ca="1">D663+C664*(Prices!B664-Prices!B663)/Prices!B663</f>
        <v>-0.58565222093367431</v>
      </c>
      <c r="E664" s="9">
        <f t="shared" ca="1" si="59"/>
        <v>0.62177617219242065</v>
      </c>
      <c r="F664" s="9">
        <f t="shared" ca="1" si="60"/>
        <v>3.6123951258746317E-2</v>
      </c>
      <c r="G664" s="13">
        <f ca="1">IF((Prices!B664-Prices!B663)*B664&gt;0,1,0)</f>
        <v>0</v>
      </c>
      <c r="H664" s="9">
        <f>ABS(Prices!B664-Prices!B663)/Prices!B663</f>
        <v>6.0827250608273525E-3</v>
      </c>
      <c r="I664" s="13"/>
      <c r="J664" s="1">
        <f t="shared" ca="1" si="61"/>
        <v>3.3378607201470525E-2</v>
      </c>
      <c r="K664" s="9"/>
      <c r="L664" s="9">
        <f ca="1">L663-O664*Prices!B664</f>
        <v>0.26158864508498514</v>
      </c>
      <c r="M664" s="1">
        <f t="shared" ca="1" si="62"/>
        <v>0.6244239273760277</v>
      </c>
      <c r="N664" s="9">
        <f ca="1">IF(Prices!D663&gt;OFFSET(Prices!D663,-$N$3,0),1,IF(Prices!D663&lt;OFFSET(Prices!D663,-$N$3,0),-1,0))</f>
        <v>1</v>
      </c>
      <c r="O664" s="1">
        <f ca="1">IF(N664=1,O$3*L663/Prices!B663,O$3*M663*N664)</f>
        <v>2.5239636931454923E-2</v>
      </c>
      <c r="P664" s="14"/>
      <c r="Q664" s="9">
        <f ca="1">Q663-T664*Prices!B664</f>
        <v>0.45900699514185406</v>
      </c>
      <c r="R664" s="1">
        <f t="shared" ca="1" si="63"/>
        <v>0.41653958579809985</v>
      </c>
      <c r="S664" s="9">
        <f ca="1">IF(Prices!C663&lt;OFFSET(Prices!C663,-S$3,0),1,IF(Prices!C663&gt;OFFSET(Prices!C663,-S$3,0),-1,0))</f>
        <v>1</v>
      </c>
      <c r="T664" s="1">
        <f ca="1">IF(S664=1,T$3*Q663/Prices!B663,T$3*R663*S664)</f>
        <v>8.1389702700156042E-3</v>
      </c>
    </row>
    <row r="665" spans="1:20" x14ac:dyDescent="0.2">
      <c r="A665" s="4">
        <v>34437</v>
      </c>
      <c r="B665" s="9">
        <f ca="1">Prices!B664*(1+J665/(50*(ABS(O665)+ABS(T665)+0.0001)))</f>
        <v>1.1261599587165168</v>
      </c>
      <c r="C665" s="13">
        <f t="shared" ca="1" si="58"/>
        <v>-1</v>
      </c>
      <c r="D665" s="9">
        <f ca="1">D664+C665*(Prices!B665-Prices!B664)/Prices!B664</f>
        <v>-0.58853734070985897</v>
      </c>
      <c r="E665" s="9">
        <f t="shared" ca="1" si="59"/>
        <v>0.62466129196860531</v>
      </c>
      <c r="F665" s="9">
        <f t="shared" ca="1" si="60"/>
        <v>3.6123951258746317E-2</v>
      </c>
      <c r="G665" s="13">
        <f ca="1">IF((Prices!B665-Prices!B664)*B665&gt;0,1,0)</f>
        <v>1</v>
      </c>
      <c r="H665" s="9">
        <f>ABS(Prices!B665-Prices!B664)/Prices!B664</f>
        <v>2.8851197761847183E-3</v>
      </c>
      <c r="I665" s="13"/>
      <c r="J665" s="1">
        <f t="shared" ca="1" si="61"/>
        <v>-5.4416391773415777E-2</v>
      </c>
      <c r="K665" s="9"/>
      <c r="L665" s="9">
        <f ca="1">L664-O665*Prices!B665</f>
        <v>0.33321631379428929</v>
      </c>
      <c r="M665" s="1">
        <f t="shared" ca="1" si="62"/>
        <v>0.56198153463842493</v>
      </c>
      <c r="N665" s="9">
        <f ca="1">IF(Prices!D664&gt;OFFSET(Prices!D664,-$N$3,0),1,IF(Prices!D664&lt;OFFSET(Prices!D664,-$N$3,0),-1,0))</f>
        <v>-1</v>
      </c>
      <c r="O665" s="1">
        <f ca="1">IF(N665=1,O$3*L664/Prices!B664,O$3*M664*N665)</f>
        <v>-6.244239273760277E-2</v>
      </c>
      <c r="P665" s="14"/>
      <c r="Q665" s="9">
        <f ca="1">Q664-T665*Prices!B665</f>
        <v>0.44980036943583518</v>
      </c>
      <c r="R665" s="1">
        <f t="shared" ca="1" si="63"/>
        <v>0.42456558676228684</v>
      </c>
      <c r="S665" s="9">
        <f ca="1">IF(Prices!C664&lt;OFFSET(Prices!C664,-S$3,0),1,IF(Prices!C664&gt;OFFSET(Prices!C664,-S$3,0),-1,0))</f>
        <v>1</v>
      </c>
      <c r="T665" s="1">
        <f ca="1">IF(S665=1,T$3*Q664/Prices!B664,T$3*R664*S665)</f>
        <v>8.0260009641869925E-3</v>
      </c>
    </row>
    <row r="666" spans="1:20" x14ac:dyDescent="0.2">
      <c r="A666" s="4">
        <v>34438</v>
      </c>
      <c r="B666" s="9">
        <f ca="1">Prices!B665*(1+J666/(50*(ABS(O666)+ABS(T666)+0.0001)))</f>
        <v>1.1699799794685801</v>
      </c>
      <c r="C666" s="13">
        <f t="shared" ca="1" si="58"/>
        <v>1</v>
      </c>
      <c r="D666" s="9">
        <f ca="1">D665+C666*(Prices!B666-Prices!B665)/Prices!B665</f>
        <v>-0.58661946083887995</v>
      </c>
      <c r="E666" s="9">
        <f t="shared" ca="1" si="59"/>
        <v>0.62274341209762629</v>
      </c>
      <c r="F666" s="9">
        <f t="shared" ca="1" si="60"/>
        <v>3.6123951258746317E-2</v>
      </c>
      <c r="G666" s="13">
        <f ca="1">IF((Prices!B666-Prices!B665)*B666&gt;0,1,0)</f>
        <v>1</v>
      </c>
      <c r="H666" s="9">
        <f>ABS(Prices!B666-Prices!B665)/Prices!B665</f>
        <v>1.9178798709789729E-3</v>
      </c>
      <c r="I666" s="13"/>
      <c r="J666" s="1">
        <f t="shared" ca="1" si="61"/>
        <v>3.6890976173084851E-2</v>
      </c>
      <c r="K666" s="9"/>
      <c r="L666" s="9">
        <f ca="1">L665-O666*Prices!B666</f>
        <v>0.29983077552876958</v>
      </c>
      <c r="M666" s="1">
        <f t="shared" ca="1" si="62"/>
        <v>0.59103011922514703</v>
      </c>
      <c r="N666" s="9">
        <f ca="1">IF(Prices!D665&gt;OFFSET(Prices!D665,-$N$3,0),1,IF(Prices!D665&lt;OFFSET(Prices!D665,-$N$3,0),-1,0))</f>
        <v>1</v>
      </c>
      <c r="O666" s="1">
        <f ca="1">IF(N666=1,O$3*L665/Prices!B665,O$3*M665*N666)</f>
        <v>2.9048584586722107E-2</v>
      </c>
      <c r="P666" s="14"/>
      <c r="Q666" s="9">
        <f ca="1">Q665-T666*Prices!B666</f>
        <v>0.44078710878562849</v>
      </c>
      <c r="R666" s="1">
        <f t="shared" ca="1" si="63"/>
        <v>0.43240797834864958</v>
      </c>
      <c r="S666" s="9">
        <f ca="1">IF(Prices!C665&lt;OFFSET(Prices!C665,-S$3,0),1,IF(Prices!C665&gt;OFFSET(Prices!C665,-S$3,0),-1,0))</f>
        <v>1</v>
      </c>
      <c r="T666" s="1">
        <f ca="1">IF(S666=1,T$3*Q665/Prices!B665,T$3*R665*S666)</f>
        <v>7.8423915863627437E-3</v>
      </c>
    </row>
    <row r="667" spans="1:20" x14ac:dyDescent="0.2">
      <c r="A667" s="4">
        <v>34439</v>
      </c>
      <c r="B667" s="9">
        <f ca="1">Prices!B666*(1+J667/(50*(ABS(O667)+ABS(T667)+0.0001)))</f>
        <v>1.1722181118885118</v>
      </c>
      <c r="C667" s="13">
        <f t="shared" ca="1" si="58"/>
        <v>1</v>
      </c>
      <c r="D667" s="9">
        <f ca="1">D666+C667*(Prices!B667-Prices!B666)/Prices!B666</f>
        <v>-0.58914273587585886</v>
      </c>
      <c r="E667" s="9">
        <f t="shared" ca="1" si="59"/>
        <v>0.6252666871346052</v>
      </c>
      <c r="F667" s="9">
        <f t="shared" ca="1" si="60"/>
        <v>3.6123951258746317E-2</v>
      </c>
      <c r="G667" s="13">
        <f ca="1">IF((Prices!B667-Prices!B666)*B667&gt;0,1,0)</f>
        <v>0</v>
      </c>
      <c r="H667" s="9">
        <f>ABS(Prices!B667-Prices!B666)/Prices!B666</f>
        <v>2.5232750369789461E-3</v>
      </c>
      <c r="I667" s="13"/>
      <c r="J667" s="1">
        <f t="shared" ca="1" si="61"/>
        <v>3.3758652857034305E-2</v>
      </c>
      <c r="K667" s="9"/>
      <c r="L667" s="9">
        <f ca="1">L666-O667*Prices!B667</f>
        <v>0.26992335352701358</v>
      </c>
      <c r="M667" s="1">
        <f t="shared" ca="1" si="62"/>
        <v>0.61711824030134732</v>
      </c>
      <c r="N667" s="9">
        <f ca="1">IF(Prices!D666&gt;OFFSET(Prices!D666,-$N$3,0),1,IF(Prices!D666&lt;OFFSET(Prices!D666,-$N$3,0),-1,0))</f>
        <v>1</v>
      </c>
      <c r="O667" s="1">
        <f ca="1">IF(N667=1,O$3*L666/Prices!B666,O$3*M666*N667)</f>
        <v>2.608812107620026E-2</v>
      </c>
      <c r="P667" s="14"/>
      <c r="Q667" s="9">
        <f ca="1">Q666-T667*Prices!B667</f>
        <v>0.43199361115208035</v>
      </c>
      <c r="R667" s="1">
        <f t="shared" ca="1" si="63"/>
        <v>0.44007851012948362</v>
      </c>
      <c r="S667" s="9">
        <f ca="1">IF(Prices!C666&lt;OFFSET(Prices!C666,-S$3,0),1,IF(Prices!C666&gt;OFFSET(Prices!C666,-S$3,0),-1,0))</f>
        <v>1</v>
      </c>
      <c r="T667" s="1">
        <f ca="1">IF(S667=1,T$3*Q666/Prices!B666,T$3*R666*S667)</f>
        <v>7.6705317808340463E-3</v>
      </c>
    </row>
    <row r="668" spans="1:20" x14ac:dyDescent="0.2">
      <c r="A668" s="4">
        <v>34442</v>
      </c>
      <c r="B668" s="9">
        <f ca="1">Prices!B667*(1+J668/(50*(ABS(O668)+ABS(T668)+0.0001)))</f>
        <v>1.1568183938895269</v>
      </c>
      <c r="C668" s="13">
        <f t="shared" ca="1" si="58"/>
        <v>1</v>
      </c>
      <c r="D668" s="9">
        <f ca="1">D667+C668*(Prices!B668-Prices!B667)/Prices!B667</f>
        <v>-0.59359144487795246</v>
      </c>
      <c r="E668" s="9">
        <f t="shared" ca="1" si="59"/>
        <v>0.6297153961366988</v>
      </c>
      <c r="F668" s="9">
        <f t="shared" ca="1" si="60"/>
        <v>3.6123951258746317E-2</v>
      </c>
      <c r="G668" s="13">
        <f ca="1">IF((Prices!B668-Prices!B667)*B668&gt;0,1,0)</f>
        <v>0</v>
      </c>
      <c r="H668" s="9">
        <f>ABS(Prices!B668-Prices!B667)/Prices!B667</f>
        <v>4.4487090020936008E-3</v>
      </c>
      <c r="I668" s="13"/>
      <c r="J668" s="1">
        <f t="shared" ca="1" si="61"/>
        <v>1.4743732791741588E-2</v>
      </c>
      <c r="K668" s="9"/>
      <c r="L668" s="9">
        <f ca="1">L667-O668*Prices!B668</f>
        <v>0.24305109921958332</v>
      </c>
      <c r="M668" s="1">
        <f t="shared" ca="1" si="62"/>
        <v>0.64066354329567854</v>
      </c>
      <c r="N668" s="9">
        <f ca="1">IF(Prices!D667&gt;OFFSET(Prices!D667,-$N$3,0),1,IF(Prices!D667&lt;OFFSET(Prices!D667,-$N$3,0),-1,0))</f>
        <v>1</v>
      </c>
      <c r="O668" s="1">
        <f ca="1">IF(N668=1,O$3*L667/Prices!B667,O$3*M667*N668)</f>
        <v>2.354530299433126E-2</v>
      </c>
      <c r="P668" s="14"/>
      <c r="Q668" s="9">
        <f ca="1">Q667-T668*Prices!B668</f>
        <v>0.44203884322429593</v>
      </c>
      <c r="R668" s="1">
        <f t="shared" ca="1" si="63"/>
        <v>0.43127693992689398</v>
      </c>
      <c r="S668" s="9">
        <f ca="1">IF(Prices!C667&lt;OFFSET(Prices!C667,-S$3,0),1,IF(Prices!C667&gt;OFFSET(Prices!C667,-S$3,0),-1,0))</f>
        <v>-1</v>
      </c>
      <c r="T668" s="1">
        <f ca="1">IF(S668=1,T$3*Q667/Prices!B667,T$3*R667*S668)</f>
        <v>-8.8015702025896723E-3</v>
      </c>
    </row>
    <row r="669" spans="1:20" x14ac:dyDescent="0.2">
      <c r="A669" s="4">
        <v>34443</v>
      </c>
      <c r="B669" s="9">
        <f ca="1">Prices!B668*(1+J669/(50*(ABS(O669)+ABS(T669)+0.0001)))</f>
        <v>1.1640476737803613</v>
      </c>
      <c r="C669" s="13">
        <f t="shared" ca="1" si="58"/>
        <v>1</v>
      </c>
      <c r="D669" s="9">
        <f ca="1">D668+C669*(Prices!B669-Prices!B668)/Prices!B668</f>
        <v>-0.58333997725331388</v>
      </c>
      <c r="E669" s="9">
        <f t="shared" ca="1" si="59"/>
        <v>0.61946392851206022</v>
      </c>
      <c r="F669" s="9">
        <f t="shared" ca="1" si="60"/>
        <v>3.6123951258746317E-2</v>
      </c>
      <c r="G669" s="13">
        <f ca="1">IF((Prices!B669-Prices!B668)*B669&gt;0,1,0)</f>
        <v>1</v>
      </c>
      <c r="H669" s="9">
        <f>ABS(Prices!B669-Prices!B668)/Prices!B668</f>
        <v>1.0251467624638608E-2</v>
      </c>
      <c r="I669" s="13"/>
      <c r="J669" s="1">
        <f t="shared" ca="1" si="61"/>
        <v>2.9042220964202448E-2</v>
      </c>
      <c r="K669" s="9"/>
      <c r="L669" s="9">
        <f ca="1">L668-O669*Prices!B669</f>
        <v>0.21849682625014674</v>
      </c>
      <c r="M669" s="1">
        <f t="shared" ca="1" si="62"/>
        <v>0.6619595302596305</v>
      </c>
      <c r="N669" s="9">
        <f ca="1">IF(Prices!D668&gt;OFFSET(Prices!D668,-$N$3,0),1,IF(Prices!D668&lt;OFFSET(Prices!D668,-$N$3,0),-1,0))</f>
        <v>1</v>
      </c>
      <c r="O669" s="1">
        <f ca="1">IF(N669=1,O$3*L668/Prices!B668,O$3*M668*N669)</f>
        <v>2.1295986963951928E-2</v>
      </c>
      <c r="P669" s="14"/>
      <c r="Q669" s="9">
        <f ca="1">Q668-T669*Prices!B669</f>
        <v>0.43310743542200708</v>
      </c>
      <c r="R669" s="1">
        <f t="shared" ca="1" si="63"/>
        <v>0.43902317392714452</v>
      </c>
      <c r="S669" s="9">
        <f ca="1">IF(Prices!C668&lt;OFFSET(Prices!C668,-S$3,0),1,IF(Prices!C668&gt;OFFSET(Prices!C668,-S$3,0),-1,0))</f>
        <v>1</v>
      </c>
      <c r="T669" s="1">
        <f ca="1">IF(S669=1,T$3*Q668/Prices!B668,T$3*R668*S669)</f>
        <v>7.7462340002505204E-3</v>
      </c>
    </row>
    <row r="670" spans="1:20" x14ac:dyDescent="0.2">
      <c r="A670" s="4">
        <v>34444</v>
      </c>
      <c r="B670" s="9">
        <f ca="1">Prices!B669*(1+J670/(50*(ABS(O670)+ABS(T670)+0.0001)))</f>
        <v>1.1759731874947397</v>
      </c>
      <c r="C670" s="13">
        <f t="shared" ca="1" si="58"/>
        <v>1</v>
      </c>
      <c r="D670" s="9">
        <f ca="1">D669+C670*(Prices!B670-Prices!B669)/Prices!B669</f>
        <v>-0.58030441784307962</v>
      </c>
      <c r="E670" s="9">
        <f t="shared" ca="1" si="59"/>
        <v>0.61642836910182597</v>
      </c>
      <c r="F670" s="9">
        <f t="shared" ca="1" si="60"/>
        <v>3.6123951258746317E-2</v>
      </c>
      <c r="G670" s="13">
        <f ca="1">IF((Prices!B670-Prices!B669)*B670&gt;0,1,0)</f>
        <v>1</v>
      </c>
      <c r="H670" s="9">
        <f>ABS(Prices!B670-Prices!B669)/Prices!B669</f>
        <v>3.0355594102342226E-3</v>
      </c>
      <c r="I670" s="13"/>
      <c r="J670" s="1">
        <f t="shared" ca="1" si="61"/>
        <v>2.6462993350784746E-2</v>
      </c>
      <c r="K670" s="9"/>
      <c r="L670" s="9">
        <f ca="1">L669-O670*Prices!B670</f>
        <v>0.19658081761542906</v>
      </c>
      <c r="M670" s="1">
        <f t="shared" ca="1" si="62"/>
        <v>0.68090981874620005</v>
      </c>
      <c r="N670" s="9">
        <f ca="1">IF(Prices!D669&gt;OFFSET(Prices!D669,-$N$3,0),1,IF(Prices!D669&lt;OFFSET(Prices!D669,-$N$3,0),-1,0))</f>
        <v>1</v>
      </c>
      <c r="O670" s="1">
        <f ca="1">IF(N670=1,O$3*L669/Prices!B669,O$3*M669*N670)</f>
        <v>1.8950288486569534E-2</v>
      </c>
      <c r="P670" s="14"/>
      <c r="Q670" s="9">
        <f ca="1">Q669-T670*Prices!B670</f>
        <v>0.42441899224654217</v>
      </c>
      <c r="R670" s="1">
        <f t="shared" ca="1" si="63"/>
        <v>0.44653587879135975</v>
      </c>
      <c r="S670" s="9">
        <f ca="1">IF(Prices!C669&lt;OFFSET(Prices!C669,-S$3,0),1,IF(Prices!C669&gt;OFFSET(Prices!C669,-S$3,0),-1,0))</f>
        <v>1</v>
      </c>
      <c r="T670" s="1">
        <f ca="1">IF(S670=1,T$3*Q669/Prices!B669,T$3*R669*S670)</f>
        <v>7.5127048642152135E-3</v>
      </c>
    </row>
    <row r="671" spans="1:20" x14ac:dyDescent="0.2">
      <c r="A671" s="4">
        <v>34445</v>
      </c>
      <c r="B671" s="9">
        <f ca="1">Prices!B670*(1+J671/(50*(ABS(O671)+ABS(T671)+0.0001)))</f>
        <v>1.1378959505089326</v>
      </c>
      <c r="C671" s="13">
        <f t="shared" ca="1" si="58"/>
        <v>-1</v>
      </c>
      <c r="D671" s="9">
        <f ca="1">D670+C671*(Prices!B671-Prices!B670)/Prices!B670</f>
        <v>-0.58488721075272065</v>
      </c>
      <c r="E671" s="9">
        <f t="shared" ca="1" si="59"/>
        <v>0.621011162011467</v>
      </c>
      <c r="F671" s="9">
        <f t="shared" ca="1" si="60"/>
        <v>3.6123951258746317E-2</v>
      </c>
      <c r="G671" s="13">
        <f ca="1">IF((Prices!B671-Prices!B670)*B671&gt;0,1,0)</f>
        <v>1</v>
      </c>
      <c r="H671" s="9">
        <f>ABS(Prices!B671-Prices!B670)/Prices!B670</f>
        <v>4.5827929096410374E-3</v>
      </c>
      <c r="I671" s="13"/>
      <c r="J671" s="1">
        <f t="shared" ca="1" si="61"/>
        <v>-6.0751267352414352E-2</v>
      </c>
      <c r="K671" s="9"/>
      <c r="L671" s="9">
        <f ca="1">L670-O671*Prices!B671</f>
        <v>0.27568892035736259</v>
      </c>
      <c r="M671" s="1">
        <f t="shared" ca="1" si="62"/>
        <v>0.61281883687158001</v>
      </c>
      <c r="N671" s="9">
        <f ca="1">IF(Prices!D670&gt;OFFSET(Prices!D670,-$N$3,0),1,IF(Prices!D670&lt;OFFSET(Prices!D670,-$N$3,0),-1,0))</f>
        <v>-1</v>
      </c>
      <c r="O671" s="1">
        <f ca="1">IF(N671=1,O$3*L670/Prices!B670,O$3*M670*N671)</f>
        <v>-6.809098187462001E-2</v>
      </c>
      <c r="P671" s="14"/>
      <c r="Q671" s="9">
        <f ca="1">Q670-T671*Prices!B671</f>
        <v>0.41589171191464364</v>
      </c>
      <c r="R671" s="1">
        <f t="shared" ca="1" si="63"/>
        <v>0.45387559331356542</v>
      </c>
      <c r="S671" s="9">
        <f ca="1">IF(Prices!C670&lt;OFFSET(Prices!C670,-S$3,0),1,IF(Prices!C670&gt;OFFSET(Prices!C670,-S$3,0),-1,0))</f>
        <v>1</v>
      </c>
      <c r="T671" s="1">
        <f ca="1">IF(S671=1,T$3*Q670/Prices!B670,T$3*R670*S671)</f>
        <v>7.339714522205657E-3</v>
      </c>
    </row>
    <row r="672" spans="1:20" x14ac:dyDescent="0.2">
      <c r="A672" s="4">
        <v>34446</v>
      </c>
      <c r="B672" s="9">
        <f ca="1">Prices!B671*(1+J672/(50*(ABS(O672)+ABS(T672)+0.0001)))</f>
        <v>1.1385969778588325</v>
      </c>
      <c r="C672" s="13">
        <f t="shared" ca="1" si="58"/>
        <v>-1</v>
      </c>
      <c r="D672" s="9">
        <f ca="1">D671+C672*(Prices!B672-Prices!B671)/Prices!B671</f>
        <v>-0.58196071738036759</v>
      </c>
      <c r="E672" s="9">
        <f t="shared" ca="1" si="59"/>
        <v>0.61808466863911393</v>
      </c>
      <c r="F672" s="9">
        <f t="shared" ca="1" si="60"/>
        <v>3.6123951258746317E-2</v>
      </c>
      <c r="G672" s="13">
        <f ca="1">IF((Prices!B672-Prices!B671)*B672&gt;0,1,0)</f>
        <v>0</v>
      </c>
      <c r="H672" s="9">
        <f>ABS(Prices!B672-Prices!B671)/Prices!B671</f>
        <v>2.9264933723531141E-3</v>
      </c>
      <c r="I672" s="13"/>
      <c r="J672" s="1">
        <f t="shared" ca="1" si="61"/>
        <v>-7.0359395553429321E-2</v>
      </c>
      <c r="K672" s="9"/>
      <c r="L672" s="9">
        <f ca="1">L671-O672*Prices!B672</f>
        <v>0.34667785442056642</v>
      </c>
      <c r="M672" s="1">
        <f t="shared" ca="1" si="62"/>
        <v>0.55153695318442197</v>
      </c>
      <c r="N672" s="9">
        <f ca="1">IF(Prices!D671&gt;OFFSET(Prices!D671,-$N$3,0),1,IF(Prices!D671&lt;OFFSET(Prices!D671,-$N$3,0),-1,0))</f>
        <v>-1</v>
      </c>
      <c r="O672" s="1">
        <f ca="1">IF(N672=1,O$3*L671/Prices!B671,O$3*M671*N672)</f>
        <v>-6.1281883687158006E-2</v>
      </c>
      <c r="P672" s="14"/>
      <c r="Q672" s="9">
        <f ca="1">Q671-T672*Prices!B672</f>
        <v>0.42640710166053231</v>
      </c>
      <c r="R672" s="1">
        <f t="shared" ca="1" si="63"/>
        <v>0.4447980814472941</v>
      </c>
      <c r="S672" s="9">
        <f ca="1">IF(Prices!C671&lt;OFFSET(Prices!C671,-S$3,0),1,IF(Prices!C671&gt;OFFSET(Prices!C671,-S$3,0),-1,0))</f>
        <v>-1</v>
      </c>
      <c r="T672" s="1">
        <f ca="1">IF(S672=1,T$3*Q671/Prices!B671,T$3*R671*S672)</f>
        <v>-9.0775118662713081E-3</v>
      </c>
    </row>
    <row r="673" spans="1:20" x14ac:dyDescent="0.2">
      <c r="A673" s="4">
        <v>34449</v>
      </c>
      <c r="B673" s="9">
        <f ca="1">Prices!B672*(1+J673/(50*(ABS(O673)+ABS(T673)+0.0001)))</f>
        <v>1.1352681155477715</v>
      </c>
      <c r="C673" s="13">
        <f t="shared" ca="1" si="58"/>
        <v>-1</v>
      </c>
      <c r="D673" s="9">
        <f ca="1">D672+C673*(Prices!B673-Prices!B672)/Prices!B672</f>
        <v>-0.58964372843009127</v>
      </c>
      <c r="E673" s="9">
        <f t="shared" ca="1" si="59"/>
        <v>0.62576767968883762</v>
      </c>
      <c r="F673" s="9">
        <f t="shared" ca="1" si="60"/>
        <v>3.6123951258746317E-2</v>
      </c>
      <c r="G673" s="13">
        <f ca="1">IF((Prices!B673-Prices!B672)*B673&gt;0,1,0)</f>
        <v>1</v>
      </c>
      <c r="H673" s="9">
        <f>ABS(Prices!B673-Prices!B672)/Prices!B672</f>
        <v>7.6830110497236766E-3</v>
      </c>
      <c r="I673" s="13"/>
      <c r="J673" s="1">
        <f t="shared" ca="1" si="61"/>
        <v>-6.4049656947388081E-2</v>
      </c>
      <c r="K673" s="9"/>
      <c r="L673" s="9">
        <f ca="1">L672-O673*Prices!B673</f>
        <v>0.41105876296578403</v>
      </c>
      <c r="M673" s="1">
        <f t="shared" ca="1" si="62"/>
        <v>0.49638325786597975</v>
      </c>
      <c r="N673" s="9">
        <f ca="1">IF(Prices!D672&gt;OFFSET(Prices!D672,-$N$3,0),1,IF(Prices!D672&lt;OFFSET(Prices!D672,-$N$3,0),-1,0))</f>
        <v>-1</v>
      </c>
      <c r="O673" s="1">
        <f ca="1">IF(N673=1,O$3*L672/Prices!B672,O$3*M672*N673)</f>
        <v>-5.5153695318442199E-2</v>
      </c>
      <c r="P673" s="14"/>
      <c r="Q673" s="9">
        <f ca="1">Q672-T673*Prices!B673</f>
        <v>0.43679135767000082</v>
      </c>
      <c r="R673" s="1">
        <f t="shared" ca="1" si="63"/>
        <v>0.4359021198183482</v>
      </c>
      <c r="S673" s="9">
        <f ca="1">IF(Prices!C672&lt;OFFSET(Prices!C672,-S$3,0),1,IF(Prices!C672&gt;OFFSET(Prices!C672,-S$3,0),-1,0))</f>
        <v>-1</v>
      </c>
      <c r="T673" s="1">
        <f ca="1">IF(S673=1,T$3*Q672/Prices!B672,T$3*R672*S673)</f>
        <v>-8.8959616289458823E-3</v>
      </c>
    </row>
    <row r="674" spans="1:20" x14ac:dyDescent="0.2">
      <c r="A674" s="4">
        <v>34450</v>
      </c>
      <c r="B674" s="9">
        <f ca="1">Prices!B673*(1+J674/(50*(ABS(O674)+ABS(T674)+0.0001)))</f>
        <v>1.1439939374793981</v>
      </c>
      <c r="C674" s="13">
        <f t="shared" ca="1" si="58"/>
        <v>-1</v>
      </c>
      <c r="D674" s="9">
        <f ca="1">D673+C674*(Prices!B674-Prices!B673)/Prices!B673</f>
        <v>-0.58912972174800449</v>
      </c>
      <c r="E674" s="9">
        <f t="shared" ca="1" si="59"/>
        <v>0.62525367300675083</v>
      </c>
      <c r="F674" s="9">
        <f t="shared" ca="1" si="60"/>
        <v>3.6123951258746317E-2</v>
      </c>
      <c r="G674" s="13">
        <f ca="1">IF((Prices!B674-Prices!B673)*B674&gt;0,1,0)</f>
        <v>0</v>
      </c>
      <c r="H674" s="9">
        <f>ABS(Prices!B674-Prices!B673)/Prices!B673</f>
        <v>5.1400668208681055E-4</v>
      </c>
      <c r="I674" s="13"/>
      <c r="J674" s="1">
        <f t="shared" ca="1" si="61"/>
        <v>-5.8356368182964941E-2</v>
      </c>
      <c r="K674" s="9"/>
      <c r="L674" s="9">
        <f ca="1">L673-O674*Prices!B674</f>
        <v>0.46897179766100788</v>
      </c>
      <c r="M674" s="1">
        <f t="shared" ca="1" si="62"/>
        <v>0.44674493207938176</v>
      </c>
      <c r="N674" s="9">
        <f ca="1">IF(Prices!D673&gt;OFFSET(Prices!D673,-$N$3,0),1,IF(Prices!D673&lt;OFFSET(Prices!D673,-$N$3,0),-1,0))</f>
        <v>-1</v>
      </c>
      <c r="O674" s="1">
        <f ca="1">IF(N674=1,O$3*L673/Prices!B673,O$3*M673*N674)</f>
        <v>-4.9638325786597978E-2</v>
      </c>
      <c r="P674" s="14"/>
      <c r="Q674" s="9">
        <f ca="1">Q673-T674*Prices!B674</f>
        <v>0.44696269773384217</v>
      </c>
      <c r="R674" s="1">
        <f t="shared" ca="1" si="63"/>
        <v>0.42718407742198122</v>
      </c>
      <c r="S674" s="9">
        <f ca="1">IF(Prices!C673&lt;OFFSET(Prices!C673,-S$3,0),1,IF(Prices!C673&gt;OFFSET(Prices!C673,-S$3,0),-1,0))</f>
        <v>-1</v>
      </c>
      <c r="T674" s="1">
        <f ca="1">IF(S674=1,T$3*Q673/Prices!B673,T$3*R673*S674)</f>
        <v>-8.7180423963669641E-3</v>
      </c>
    </row>
    <row r="675" spans="1:20" x14ac:dyDescent="0.2">
      <c r="A675" s="4">
        <v>34451</v>
      </c>
      <c r="B675" s="9">
        <f ca="1">Prices!B674*(1+J675/(50*(ABS(O675)+ABS(T675)+0.0001)))</f>
        <v>1.1502296086181927</v>
      </c>
      <c r="C675" s="13">
        <f t="shared" ca="1" si="58"/>
        <v>-1</v>
      </c>
      <c r="D675" s="9">
        <f ca="1">D674+C675*(Prices!B675-Prices!B674)/Prices!B674</f>
        <v>-0.59290104256740961</v>
      </c>
      <c r="E675" s="9">
        <f t="shared" ca="1" si="59"/>
        <v>0.62902499382615595</v>
      </c>
      <c r="F675" s="9">
        <f t="shared" ca="1" si="60"/>
        <v>3.6123951258746317E-2</v>
      </c>
      <c r="G675" s="13">
        <f ca="1">IF((Prices!B675-Prices!B674)*B675&gt;0,1,0)</f>
        <v>1</v>
      </c>
      <c r="H675" s="9">
        <f>ABS(Prices!B675-Prices!B674)/Prices!B674</f>
        <v>3.7713208194051248E-3</v>
      </c>
      <c r="I675" s="13"/>
      <c r="J675" s="1">
        <f t="shared" ca="1" si="61"/>
        <v>-3.7012494446751198E-2</v>
      </c>
      <c r="K675" s="9"/>
      <c r="L675" s="9">
        <f ca="1">L674-O675*Prices!B675</f>
        <v>0.52129009665682424</v>
      </c>
      <c r="M675" s="1">
        <f t="shared" ca="1" si="62"/>
        <v>0.40207043887144356</v>
      </c>
      <c r="N675" s="9">
        <f ca="1">IF(Prices!D674&gt;OFFSET(Prices!D674,-$N$3,0),1,IF(Prices!D674&lt;OFFSET(Prices!D674,-$N$3,0),-1,0))</f>
        <v>-1</v>
      </c>
      <c r="O675" s="1">
        <f ca="1">IF(N675=1,O$3*L674/Prices!B674,O$3*M674*N675)</f>
        <v>-4.4674493207938176E-2</v>
      </c>
      <c r="P675" s="14"/>
      <c r="Q675" s="9">
        <f ca="1">Q674-T675*Prices!B675</f>
        <v>0.43798973098461613</v>
      </c>
      <c r="R675" s="1">
        <f t="shared" ca="1" si="63"/>
        <v>0.43484607618316817</v>
      </c>
      <c r="S675" s="9">
        <f ca="1">IF(Prices!C674&lt;OFFSET(Prices!C674,-S$3,0),1,IF(Prices!C674&gt;OFFSET(Prices!C674,-S$3,0),-1,0))</f>
        <v>1</v>
      </c>
      <c r="T675" s="1">
        <f ca="1">IF(S675=1,T$3*Q674/Prices!B674,T$3*R674*S675)</f>
        <v>7.6619987611869752E-3</v>
      </c>
    </row>
    <row r="676" spans="1:20" x14ac:dyDescent="0.2">
      <c r="A676" s="4">
        <v>34452</v>
      </c>
      <c r="B676" s="9">
        <f ca="1">Prices!B675*(1+J676/(50*(ABS(O676)+ABS(T676)+0.0001)))</f>
        <v>1.1550593771786117</v>
      </c>
      <c r="C676" s="13">
        <f t="shared" ca="1" si="58"/>
        <v>-1</v>
      </c>
      <c r="D676" s="9">
        <f ca="1">D675+C676*(Prices!B676-Prices!B675)/Prices!B675</f>
        <v>-0.59580429591895945</v>
      </c>
      <c r="E676" s="9">
        <f t="shared" ca="1" si="59"/>
        <v>0.63192824717770579</v>
      </c>
      <c r="F676" s="9">
        <f t="shared" ca="1" si="60"/>
        <v>3.6123951258746317E-2</v>
      </c>
      <c r="G676" s="13">
        <f ca="1">IF((Prices!B676-Prices!B675)*B676&gt;0,1,0)</f>
        <v>1</v>
      </c>
      <c r="H676" s="9">
        <f>ABS(Prices!B676-Prices!B675)/Prices!B675</f>
        <v>2.9032533515498844E-3</v>
      </c>
      <c r="I676" s="13"/>
      <c r="J676" s="1">
        <f t="shared" ca="1" si="61"/>
        <v>-3.2727072390523811E-2</v>
      </c>
      <c r="K676" s="9"/>
      <c r="L676" s="9">
        <f ca="1">L675-O676*Prices!B676</f>
        <v>0.56851326970227534</v>
      </c>
      <c r="M676" s="1">
        <f t="shared" ca="1" si="62"/>
        <v>0.3618633949842992</v>
      </c>
      <c r="N676" s="9">
        <f ca="1">IF(Prices!D675&gt;OFFSET(Prices!D675,-$N$3,0),1,IF(Prices!D675&lt;OFFSET(Prices!D675,-$N$3,0),-1,0))</f>
        <v>-1</v>
      </c>
      <c r="O676" s="1">
        <f ca="1">IF(N676=1,O$3*L675/Prices!B675,O$3*M675*N676)</f>
        <v>-4.0207043887144356E-2</v>
      </c>
      <c r="P676" s="14"/>
      <c r="Q676" s="9">
        <f ca="1">Q675-T676*Prices!B676</f>
        <v>0.42920450446183528</v>
      </c>
      <c r="R676" s="1">
        <f t="shared" ca="1" si="63"/>
        <v>0.44232604767978873</v>
      </c>
      <c r="S676" s="9">
        <f ca="1">IF(Prices!C675&lt;OFFSET(Prices!C675,-S$3,0),1,IF(Prices!C675&gt;OFFSET(Prices!C675,-S$3,0),-1,0))</f>
        <v>1</v>
      </c>
      <c r="T676" s="1">
        <f ca="1">IF(S676=1,T$3*Q675/Prices!B675,T$3*R675*S676)</f>
        <v>7.479971496620547E-3</v>
      </c>
    </row>
    <row r="677" spans="1:20" x14ac:dyDescent="0.2">
      <c r="A677" s="4">
        <v>34453</v>
      </c>
      <c r="B677" s="9">
        <f ca="1">Prices!B676*(1+J677/(50*(ABS(O677)+ABS(T677)+0.0001)))</f>
        <v>1.1979479133511048</v>
      </c>
      <c r="C677" s="13">
        <f t="shared" ca="1" si="58"/>
        <v>1</v>
      </c>
      <c r="D677" s="9">
        <f ca="1">D676+C677*(Prices!B677-Prices!B676)/Prices!B676</f>
        <v>-0.58771574760052625</v>
      </c>
      <c r="E677" s="9">
        <f t="shared" ca="1" si="59"/>
        <v>0.6238396988592726</v>
      </c>
      <c r="F677" s="9">
        <f t="shared" ca="1" si="60"/>
        <v>3.6123951258746317E-2</v>
      </c>
      <c r="G677" s="13">
        <f ca="1">IF((Prices!B677-Prices!B676)*B677&gt;0,1,0)</f>
        <v>1</v>
      </c>
      <c r="H677" s="9">
        <f>ABS(Prices!B677-Prices!B676)/Prices!B676</f>
        <v>8.0885483184332408E-3</v>
      </c>
      <c r="I677" s="13"/>
      <c r="J677" s="1">
        <f t="shared" ca="1" si="61"/>
        <v>5.5713424486559589E-2</v>
      </c>
      <c r="K677" s="9"/>
      <c r="L677" s="9">
        <f ca="1">L676-O677*Prices!B677</f>
        <v>0.5112020980268821</v>
      </c>
      <c r="M677" s="1">
        <f t="shared" ca="1" si="62"/>
        <v>0.41026810079121923</v>
      </c>
      <c r="N677" s="9">
        <f ca="1">IF(Prices!D676&gt;OFFSET(Prices!D676,-$N$3,0),1,IF(Prices!D676&lt;OFFSET(Prices!D676,-$N$3,0),-1,0))</f>
        <v>1</v>
      </c>
      <c r="O677" s="1">
        <f ca="1">IF(N677=1,O$3*L676/Prices!B676,O$3*M676*N677)</f>
        <v>4.8404705806919995E-2</v>
      </c>
      <c r="P677" s="14"/>
      <c r="Q677" s="9">
        <f ca="1">Q676-T677*Prices!B677</f>
        <v>0.42055098154514198</v>
      </c>
      <c r="R677" s="1">
        <f t="shared" ca="1" si="63"/>
        <v>0.44963476635942834</v>
      </c>
      <c r="S677" s="9">
        <f ca="1">IF(Prices!C676&lt;OFFSET(Prices!C676,-S$3,0),1,IF(Prices!C676&gt;OFFSET(Prices!C676,-S$3,0),-1,0))</f>
        <v>1</v>
      </c>
      <c r="T677" s="1">
        <f ca="1">IF(S677=1,T$3*Q676/Prices!B676,T$3*R676*S677)</f>
        <v>7.3087186796395951E-3</v>
      </c>
    </row>
    <row r="678" spans="1:20" x14ac:dyDescent="0.2">
      <c r="A678" s="4">
        <v>34456</v>
      </c>
      <c r="B678" s="9">
        <f ca="1">Prices!B677*(1+J678/(50*(ABS(O678)+ABS(T678)+0.0001)))</f>
        <v>1.2076329969921586</v>
      </c>
      <c r="C678" s="13">
        <f t="shared" ca="1" si="58"/>
        <v>1</v>
      </c>
      <c r="D678" s="9">
        <f ca="1">D677+C678*(Prices!B678-Prices!B677)/Prices!B677</f>
        <v>-0.58670223408701261</v>
      </c>
      <c r="E678" s="9">
        <f t="shared" ca="1" si="59"/>
        <v>0.62282618534575895</v>
      </c>
      <c r="F678" s="9">
        <f t="shared" ca="1" si="60"/>
        <v>3.6123951258746317E-2</v>
      </c>
      <c r="G678" s="13">
        <f ca="1">IF((Prices!B678-Prices!B677)*B678&gt;0,1,0)</f>
        <v>1</v>
      </c>
      <c r="H678" s="9">
        <f>ABS(Prices!B678-Prices!B677)/Prices!B677</f>
        <v>1.0135135135135895E-3</v>
      </c>
      <c r="I678" s="13"/>
      <c r="J678" s="1">
        <f t="shared" ca="1" si="61"/>
        <v>5.0279754589181637E-2</v>
      </c>
      <c r="K678" s="9"/>
      <c r="L678" s="9">
        <f ca="1">L677-O678*Prices!B678</f>
        <v>0.46003007720074518</v>
      </c>
      <c r="M678" s="1">
        <f t="shared" ca="1" si="62"/>
        <v>0.45344395366511131</v>
      </c>
      <c r="N678" s="9">
        <f ca="1">IF(Prices!D677&gt;OFFSET(Prices!D677,-$N$3,0),1,IF(Prices!D677&lt;OFFSET(Prices!D677,-$N$3,0),-1,0))</f>
        <v>1</v>
      </c>
      <c r="O678" s="1">
        <f ca="1">IF(N678=1,O$3*L677/Prices!B677,O$3*M677*N678)</f>
        <v>4.3175852873892077E-2</v>
      </c>
      <c r="P678" s="14"/>
      <c r="Q678" s="9">
        <f ca="1">Q677-T678*Prices!B678</f>
        <v>0.41213143723218076</v>
      </c>
      <c r="R678" s="1">
        <f t="shared" ca="1" si="63"/>
        <v>0.45673866807471791</v>
      </c>
      <c r="S678" s="9">
        <f ca="1">IF(Prices!C677&lt;OFFSET(Prices!C677,-S$3,0),1,IF(Prices!C677&gt;OFFSET(Prices!C677,-S$3,0),-1,0))</f>
        <v>1</v>
      </c>
      <c r="T678" s="1">
        <f ca="1">IF(S678=1,T$3*Q677/Prices!B677,T$3*R677*S678)</f>
        <v>7.1039017152895604E-3</v>
      </c>
    </row>
    <row r="679" spans="1:20" x14ac:dyDescent="0.2">
      <c r="A679" s="4">
        <v>34457</v>
      </c>
      <c r="B679" s="9">
        <f ca="1">Prices!B678*(1+J679/(50*(ABS(O679)+ABS(T679)+0.0001)))</f>
        <v>1.2088523226032979</v>
      </c>
      <c r="C679" s="13">
        <f t="shared" ca="1" si="58"/>
        <v>1</v>
      </c>
      <c r="D679" s="9">
        <f ca="1">D678+C679*(Prices!B679-Prices!B678)/Prices!B678</f>
        <v>-0.58256791076605419</v>
      </c>
      <c r="E679" s="9">
        <f t="shared" ca="1" si="59"/>
        <v>0.61869186202480053</v>
      </c>
      <c r="F679" s="9">
        <f t="shared" ca="1" si="60"/>
        <v>3.6123951258746317E-2</v>
      </c>
      <c r="G679" s="13">
        <f ca="1">IF((Prices!B679-Prices!B678)*B679&gt;0,1,0)</f>
        <v>1</v>
      </c>
      <c r="H679" s="9">
        <f>ABS(Prices!B679-Prices!B678)/Prices!B678</f>
        <v>4.1343233209584071E-3</v>
      </c>
      <c r="I679" s="13"/>
      <c r="J679" s="1">
        <f t="shared" ca="1" si="61"/>
        <v>4.5769183652310273E-2</v>
      </c>
      <c r="K679" s="9"/>
      <c r="L679" s="9">
        <f ca="1">L678-O679*Prices!B679</f>
        <v>0.41383687817301934</v>
      </c>
      <c r="M679" s="1">
        <f t="shared" ca="1" si="62"/>
        <v>0.49225850624701689</v>
      </c>
      <c r="N679" s="9">
        <f ca="1">IF(Prices!D678&gt;OFFSET(Prices!D678,-$N$3,0),1,IF(Prices!D678&lt;OFFSET(Prices!D678,-$N$3,0),-1,0))</f>
        <v>1</v>
      </c>
      <c r="O679" s="1">
        <f ca="1">IF(N679=1,O$3*L678/Prices!B678,O$3*M678*N679)</f>
        <v>3.8814552581905602E-2</v>
      </c>
      <c r="P679" s="14"/>
      <c r="Q679" s="9">
        <f ca="1">Q678-T679*Prices!B679</f>
        <v>0.40385473079529216</v>
      </c>
      <c r="R679" s="1">
        <f t="shared" ca="1" si="63"/>
        <v>0.46369329914512258</v>
      </c>
      <c r="S679" s="9">
        <f ca="1">IF(Prices!C678&lt;OFFSET(Prices!C678,-S$3,0),1,IF(Prices!C678&gt;OFFSET(Prices!C678,-S$3,0),-1,0))</f>
        <v>1</v>
      </c>
      <c r="T679" s="1">
        <f ca="1">IF(S679=1,T$3*Q678/Prices!B678,T$3*R678*S679)</f>
        <v>6.954631070404671E-3</v>
      </c>
    </row>
    <row r="680" spans="1:20" x14ac:dyDescent="0.2">
      <c r="A680" s="4">
        <v>34458</v>
      </c>
      <c r="B680" s="9">
        <f ca="1">Prices!B679*(1+J680/(50*(ABS(O680)+ABS(T680)+0.0001)))</f>
        <v>1.2138448663195025</v>
      </c>
      <c r="C680" s="13">
        <f t="shared" ref="C680:C743" ca="1" si="64">IF(J680&gt;0,1,IF(J680&lt;0,-1,0))</f>
        <v>1</v>
      </c>
      <c r="D680" s="9">
        <f ca="1">D679+C680*(Prices!B680-Prices!B679)/Prices!B679</f>
        <v>-0.59265109705292085</v>
      </c>
      <c r="E680" s="9">
        <f t="shared" ref="E680:E743" ca="1" si="65">F680-D680</f>
        <v>0.6287750483116672</v>
      </c>
      <c r="F680" s="9">
        <f t="shared" ref="F680:F743" ca="1" si="66">MAX(F679,D680)</f>
        <v>3.6123951258746317E-2</v>
      </c>
      <c r="G680" s="13">
        <f ca="1">IF((Prices!B680-Prices!B679)*B680&gt;0,1,0)</f>
        <v>0</v>
      </c>
      <c r="H680" s="9">
        <f>ABS(Prices!B680-Prices!B679)/Prices!B679</f>
        <v>1.008318628686666E-2</v>
      </c>
      <c r="I680" s="13"/>
      <c r="J680" s="1">
        <f t="shared" ref="J680:J743" ca="1" si="67">O680+T680</f>
        <v>4.1560190264017971E-2</v>
      </c>
      <c r="K680" s="9"/>
      <c r="L680" s="9">
        <f ca="1">L679-O680*Prices!B680</f>
        <v>0.37287046978921679</v>
      </c>
      <c r="M680" s="1">
        <f t="shared" ca="1" si="62"/>
        <v>0.52703179237196596</v>
      </c>
      <c r="N680" s="9">
        <f ca="1">IF(Prices!D679&gt;OFFSET(Prices!D679,-$N$3,0),1,IF(Prices!D679&lt;OFFSET(Prices!D679,-$N$3,0),-1,0))</f>
        <v>1</v>
      </c>
      <c r="O680" s="1">
        <f ca="1">IF(N680=1,O$3*L679/Prices!B679,O$3*M679*N680)</f>
        <v>3.4773286124949114E-2</v>
      </c>
      <c r="P680" s="14"/>
      <c r="Q680" s="9">
        <f ca="1">Q679-T680*Prices!B680</f>
        <v>0.39585907902905515</v>
      </c>
      <c r="R680" s="1">
        <f t="shared" ca="1" si="63"/>
        <v>0.47048020328419143</v>
      </c>
      <c r="S680" s="9">
        <f ca="1">IF(Prices!C679&lt;OFFSET(Prices!C679,-S$3,0),1,IF(Prices!C679&gt;OFFSET(Prices!C679,-S$3,0),-1,0))</f>
        <v>1</v>
      </c>
      <c r="T680" s="1">
        <f ca="1">IF(S680=1,T$3*Q679/Prices!B679,T$3*R679*S680)</f>
        <v>6.7869041390688544E-3</v>
      </c>
    </row>
    <row r="681" spans="1:20" x14ac:dyDescent="0.2">
      <c r="A681" s="4">
        <v>34459</v>
      </c>
      <c r="B681" s="9">
        <f ca="1">Prices!B680*(1+J681/(50*(ABS(O681)+ABS(T681)+0.0001)))</f>
        <v>1.1908316550740232</v>
      </c>
      <c r="C681" s="13">
        <f t="shared" ca="1" si="64"/>
        <v>1</v>
      </c>
      <c r="D681" s="9">
        <f ca="1">D680+C681*(Prices!B681-Prices!B680)/Prices!B680</f>
        <v>-0.59638592431715987</v>
      </c>
      <c r="E681" s="9">
        <f t="shared" ca="1" si="65"/>
        <v>0.63250987557590621</v>
      </c>
      <c r="F681" s="9">
        <f t="shared" ca="1" si="66"/>
        <v>3.6123951258746317E-2</v>
      </c>
      <c r="G681" s="13">
        <f ca="1">IF((Prices!B681-Prices!B680)*B681&gt;0,1,0)</f>
        <v>0</v>
      </c>
      <c r="H681" s="9">
        <f>ABS(Prices!B681-Prices!B680)/Prices!B680</f>
        <v>3.7348272642389949E-3</v>
      </c>
      <c r="I681" s="13"/>
      <c r="J681" s="1">
        <f t="shared" ca="1" si="67"/>
        <v>2.2240550402461215E-2</v>
      </c>
      <c r="K681" s="9"/>
      <c r="L681" s="9">
        <f ca="1">L680-O681*Prices!B681</f>
        <v>0.33572268348995493</v>
      </c>
      <c r="M681" s="1">
        <f t="shared" ca="1" si="62"/>
        <v>0.55868194684011097</v>
      </c>
      <c r="N681" s="9">
        <f ca="1">IF(Prices!D680&gt;OFFSET(Prices!D680,-$N$3,0),1,IF(Prices!D680&lt;OFFSET(Prices!D680,-$N$3,0),-1,0))</f>
        <v>1</v>
      </c>
      <c r="O681" s="1">
        <f ca="1">IF(N681=1,O$3*L680/Prices!B680,O$3*M680*N681)</f>
        <v>3.1650154468145043E-2</v>
      </c>
      <c r="P681" s="14"/>
      <c r="Q681" s="9">
        <f ca="1">Q680-T681*Prices!B681</f>
        <v>0.40690313132094824</v>
      </c>
      <c r="R681" s="1">
        <f t="shared" ca="1" si="63"/>
        <v>0.46107059921850763</v>
      </c>
      <c r="S681" s="9">
        <f ca="1">IF(Prices!C680&lt;OFFSET(Prices!C680,-S$3,0),1,IF(Prices!C680&gt;OFFSET(Prices!C680,-S$3,0),-1,0))</f>
        <v>-1</v>
      </c>
      <c r="T681" s="1">
        <f ca="1">IF(S681=1,T$3*Q680/Prices!B680,T$3*R680*S681)</f>
        <v>-9.4096040656838284E-3</v>
      </c>
    </row>
    <row r="682" spans="1:20" x14ac:dyDescent="0.2">
      <c r="A682" s="4">
        <v>34460</v>
      </c>
      <c r="B682" s="9">
        <f ca="1">Prices!B681*(1+J682/(50*(ABS(O682)+ABS(T682)+0.0001)))</f>
        <v>1.1502620088075379</v>
      </c>
      <c r="C682" s="13">
        <f t="shared" ca="1" si="64"/>
        <v>-1</v>
      </c>
      <c r="D682" s="9">
        <f ca="1">D681+C682*(Prices!B682-Prices!B681)/Prices!B681</f>
        <v>-0.59817513791518317</v>
      </c>
      <c r="E682" s="9">
        <f t="shared" ca="1" si="65"/>
        <v>0.63429908917392952</v>
      </c>
      <c r="F682" s="9">
        <f t="shared" ca="1" si="66"/>
        <v>3.6123951258746317E-2</v>
      </c>
      <c r="G682" s="13">
        <f ca="1">IF((Prices!B682-Prices!B681)*B682&gt;0,1,0)</f>
        <v>1</v>
      </c>
      <c r="H682" s="9">
        <f>ABS(Prices!B682-Prices!B681)/Prices!B681</f>
        <v>1.7892135980233372E-3</v>
      </c>
      <c r="I682" s="13"/>
      <c r="J682" s="1">
        <f t="shared" ca="1" si="67"/>
        <v>-6.5089606668381247E-2</v>
      </c>
      <c r="K682" s="9"/>
      <c r="L682" s="9">
        <f ca="1">L681-O682*Prices!B682</f>
        <v>0.4014125067994152</v>
      </c>
      <c r="M682" s="1">
        <f t="shared" ca="1" si="62"/>
        <v>0.50281375215609991</v>
      </c>
      <c r="N682" s="9">
        <f ca="1">IF(Prices!D681&gt;OFFSET(Prices!D681,-$N$3,0),1,IF(Prices!D681&lt;OFFSET(Prices!D681,-$N$3,0),-1,0))</f>
        <v>-1</v>
      </c>
      <c r="O682" s="1">
        <f ca="1">IF(N682=1,O$3*L681/Prices!B681,O$3*M681*N682)</f>
        <v>-5.5868194684011101E-2</v>
      </c>
      <c r="P682" s="14"/>
      <c r="Q682" s="9">
        <f ca="1">Q681-T682*Prices!B682</f>
        <v>0.41774566753217068</v>
      </c>
      <c r="R682" s="1">
        <f t="shared" ca="1" si="63"/>
        <v>0.45184918723413747</v>
      </c>
      <c r="S682" s="9">
        <f ca="1">IF(Prices!C681&lt;OFFSET(Prices!C681,-S$3,0),1,IF(Prices!C681&gt;OFFSET(Prices!C681,-S$3,0),-1,0))</f>
        <v>-1</v>
      </c>
      <c r="T682" s="1">
        <f ca="1">IF(S682=1,T$3*Q681/Prices!B681,T$3*R681*S682)</f>
        <v>-9.2214119843701519E-3</v>
      </c>
    </row>
    <row r="683" spans="1:20" x14ac:dyDescent="0.2">
      <c r="A683" s="4">
        <v>34463</v>
      </c>
      <c r="B683" s="9">
        <f ca="1">Prices!B682*(1+J683/(50*(ABS(O683)+ABS(T683)+0.0001)))</f>
        <v>1.189440456534953</v>
      </c>
      <c r="C683" s="13">
        <f t="shared" ca="1" si="64"/>
        <v>1</v>
      </c>
      <c r="D683" s="9">
        <f ca="1">D682+C683*(Prices!B683-Prices!B682)/Prices!B682</f>
        <v>-0.5924768899138223</v>
      </c>
      <c r="E683" s="9">
        <f t="shared" ca="1" si="65"/>
        <v>0.62860084117256865</v>
      </c>
      <c r="F683" s="9">
        <f t="shared" ca="1" si="66"/>
        <v>3.6123951258746317E-2</v>
      </c>
      <c r="G683" s="13">
        <f ca="1">IF((Prices!B683-Prices!B682)*B683&gt;0,1,0)</f>
        <v>1</v>
      </c>
      <c r="H683" s="9">
        <f>ABS(Prices!B683-Prices!B682)/Prices!B682</f>
        <v>5.698248001360904E-3</v>
      </c>
      <c r="I683" s="13"/>
      <c r="J683" s="1">
        <f t="shared" ca="1" si="67"/>
        <v>2.5102538861152872E-2</v>
      </c>
      <c r="K683" s="9"/>
      <c r="L683" s="9">
        <f ca="1">L682-O683*Prices!B683</f>
        <v>0.36104252131801456</v>
      </c>
      <c r="M683" s="1">
        <f t="shared" ca="1" si="62"/>
        <v>0.53695327476193555</v>
      </c>
      <c r="N683" s="9">
        <f ca="1">IF(Prices!D682&gt;OFFSET(Prices!D682,-$N$3,0),1,IF(Prices!D682&lt;OFFSET(Prices!D682,-$N$3,0),-1,0))</f>
        <v>1</v>
      </c>
      <c r="O683" s="1">
        <f ca="1">IF(N683=1,O$3*L682/Prices!B682,O$3*M682*N683)</f>
        <v>3.4139522605835623E-2</v>
      </c>
      <c r="P683" s="14"/>
      <c r="Q683" s="9">
        <f ca="1">Q682-T683*Prices!B683</f>
        <v>0.42843190081025806</v>
      </c>
      <c r="R683" s="1">
        <f t="shared" ca="1" si="63"/>
        <v>0.44281220348945471</v>
      </c>
      <c r="S683" s="9">
        <f ca="1">IF(Prices!C682&lt;OFFSET(Prices!C682,-S$3,0),1,IF(Prices!C682&gt;OFFSET(Prices!C682,-S$3,0),-1,0))</f>
        <v>-1</v>
      </c>
      <c r="T683" s="1">
        <f ca="1">IF(S683=1,T$3*Q682/Prices!B682,T$3*R682*S683)</f>
        <v>-9.0369837446827497E-3</v>
      </c>
    </row>
    <row r="684" spans="1:20" x14ac:dyDescent="0.2">
      <c r="A684" s="4">
        <v>34464</v>
      </c>
      <c r="B684" s="9">
        <f ca="1">Prices!B683*(1+J684/(50*(ABS(O684)+ABS(T684)+0.0001)))</f>
        <v>1.1954819165809814</v>
      </c>
      <c r="C684" s="13">
        <f t="shared" ca="1" si="64"/>
        <v>1</v>
      </c>
      <c r="D684" s="9">
        <f ca="1">D683+C684*(Prices!B684-Prices!B683)/Prices!B683</f>
        <v>-0.59941135080177177</v>
      </c>
      <c r="E684" s="9">
        <f t="shared" ca="1" si="65"/>
        <v>0.63553530206051811</v>
      </c>
      <c r="F684" s="9">
        <f t="shared" ca="1" si="66"/>
        <v>3.6123951258746317E-2</v>
      </c>
      <c r="G684" s="13">
        <f ca="1">IF((Prices!B684-Prices!B683)*B684&gt;0,1,0)</f>
        <v>0</v>
      </c>
      <c r="H684" s="9">
        <f>ABS(Prices!B684-Prices!B683)/Prices!B683</f>
        <v>6.9344608879494344E-3</v>
      </c>
      <c r="I684" s="13"/>
      <c r="J684" s="1">
        <f t="shared" ca="1" si="67"/>
        <v>2.1675893039556741E-2</v>
      </c>
      <c r="K684" s="9"/>
      <c r="L684" s="9">
        <f ca="1">L683-O684*Prices!B684</f>
        <v>0.32518863271050974</v>
      </c>
      <c r="M684" s="1">
        <f t="shared" ca="1" si="62"/>
        <v>0.56748541187128143</v>
      </c>
      <c r="N684" s="9">
        <f ca="1">IF(Prices!D683&gt;OFFSET(Prices!D683,-$N$3,0),1,IF(Prices!D683&lt;OFFSET(Prices!D683,-$N$3,0),-1,0))</f>
        <v>1</v>
      </c>
      <c r="O684" s="1">
        <f ca="1">IF(N684=1,O$3*L683/Prices!B683,O$3*M683*N684)</f>
        <v>3.0532137109345835E-2</v>
      </c>
      <c r="P684" s="14"/>
      <c r="Q684" s="9">
        <f ca="1">Q683-T684*Prices!B684</f>
        <v>0.43883178822141139</v>
      </c>
      <c r="R684" s="1">
        <f t="shared" ca="1" si="63"/>
        <v>0.43395595941966564</v>
      </c>
      <c r="S684" s="9">
        <f ca="1">IF(Prices!C683&lt;OFFSET(Prices!C683,-S$3,0),1,IF(Prices!C683&gt;OFFSET(Prices!C683,-S$3,0),-1,0))</f>
        <v>-1</v>
      </c>
      <c r="T684" s="1">
        <f ca="1">IF(S684=1,T$3*Q683/Prices!B683,T$3*R683*S684)</f>
        <v>-8.8562440697890939E-3</v>
      </c>
    </row>
    <row r="685" spans="1:20" x14ac:dyDescent="0.2">
      <c r="A685" s="4">
        <v>34465</v>
      </c>
      <c r="B685" s="9">
        <f ca="1">Prices!B684*(1+J685/(50*(ABS(O685)+ABS(T685)+0.0001)))</f>
        <v>1.1508498413528963</v>
      </c>
      <c r="C685" s="13">
        <f t="shared" ca="1" si="64"/>
        <v>-1</v>
      </c>
      <c r="D685" s="9">
        <f ca="1">D684+C685*(Prices!B685-Prices!B684)/Prices!B684</f>
        <v>-0.5963456946662018</v>
      </c>
      <c r="E685" s="9">
        <f t="shared" ca="1" si="65"/>
        <v>0.63246964592494814</v>
      </c>
      <c r="F685" s="9">
        <f t="shared" ca="1" si="66"/>
        <v>3.6123951258746317E-2</v>
      </c>
      <c r="G685" s="13">
        <f ca="1">IF((Prices!B685-Prices!B684)*B685&gt;0,1,0)</f>
        <v>0</v>
      </c>
      <c r="H685" s="9">
        <f>ABS(Prices!B685-Prices!B684)/Prices!B684</f>
        <v>3.0656561355699788E-3</v>
      </c>
      <c r="I685" s="13"/>
      <c r="J685" s="1">
        <f t="shared" ca="1" si="67"/>
        <v>-6.542766037552146E-2</v>
      </c>
      <c r="K685" s="9"/>
      <c r="L685" s="9">
        <f ca="1">L684-O685*Prices!B685</f>
        <v>0.39162414987828065</v>
      </c>
      <c r="M685" s="1">
        <f t="shared" ca="1" si="62"/>
        <v>0.5107368706841533</v>
      </c>
      <c r="N685" s="9">
        <f ca="1">IF(Prices!D684&gt;OFFSET(Prices!D684,-$N$3,0),1,IF(Prices!D684&lt;OFFSET(Prices!D684,-$N$3,0),-1,0))</f>
        <v>-1</v>
      </c>
      <c r="O685" s="1">
        <f ca="1">IF(N685=1,O$3*L684/Prices!B684,O$3*M684*N685)</f>
        <v>-5.6748541187128146E-2</v>
      </c>
      <c r="P685" s="14"/>
      <c r="Q685" s="9">
        <f ca="1">Q684-T685*Prices!B685</f>
        <v>0.44899243305526343</v>
      </c>
      <c r="R685" s="1">
        <f t="shared" ca="1" si="63"/>
        <v>0.42527684023127232</v>
      </c>
      <c r="S685" s="9">
        <f ca="1">IF(Prices!C684&lt;OFFSET(Prices!C684,-S$3,0),1,IF(Prices!C684&gt;OFFSET(Prices!C684,-S$3,0),-1,0))</f>
        <v>-1</v>
      </c>
      <c r="T685" s="1">
        <f ca="1">IF(S685=1,T$3*Q684/Prices!B684,T$3*R684*S685)</f>
        <v>-8.6791191883933121E-3</v>
      </c>
    </row>
    <row r="686" spans="1:20" x14ac:dyDescent="0.2">
      <c r="A686" s="4">
        <v>34466</v>
      </c>
      <c r="B686" s="9">
        <f ca="1">Prices!B685*(1+J686/(50*(ABS(O686)+ABS(T686)+0.0001)))</f>
        <v>1.1473252330839454</v>
      </c>
      <c r="C686" s="13">
        <f t="shared" ca="1" si="64"/>
        <v>-1</v>
      </c>
      <c r="D686" s="9">
        <f ca="1">D685+C686*(Prices!B686-Prices!B685)/Prices!B685</f>
        <v>-0.59831033120844146</v>
      </c>
      <c r="E686" s="9">
        <f t="shared" ca="1" si="65"/>
        <v>0.6344342824671878</v>
      </c>
      <c r="F686" s="9">
        <f t="shared" ca="1" si="66"/>
        <v>3.6123951258746317E-2</v>
      </c>
      <c r="G686" s="13">
        <f ca="1">IF((Prices!B686-Prices!B685)*B686&gt;0,1,0)</f>
        <v>1</v>
      </c>
      <c r="H686" s="9">
        <f>ABS(Prices!B686-Prices!B685)/Prices!B685</f>
        <v>1.9646365422396586E-3</v>
      </c>
      <c r="I686" s="13"/>
      <c r="J686" s="1">
        <f t="shared" ca="1" si="67"/>
        <v>-5.9579223873040779E-2</v>
      </c>
      <c r="K686" s="9"/>
      <c r="L686" s="9">
        <f ca="1">L685-O686*Prices!B686</f>
        <v>0.45153358480953182</v>
      </c>
      <c r="M686" s="1">
        <f t="shared" ca="1" si="62"/>
        <v>0.45966318361573799</v>
      </c>
      <c r="N686" s="9">
        <f ca="1">IF(Prices!D685&gt;OFFSET(Prices!D685,-$N$3,0),1,IF(Prices!D685&lt;OFFSET(Prices!D685,-$N$3,0),-1,0))</f>
        <v>-1</v>
      </c>
      <c r="O686" s="1">
        <f ca="1">IF(N686=1,O$3*L685/Prices!B685,O$3*M685*N686)</f>
        <v>-5.1073687068415335E-2</v>
      </c>
      <c r="P686" s="14"/>
      <c r="Q686" s="9">
        <f ca="1">Q685-T686*Prices!B686</f>
        <v>0.4589694277270891</v>
      </c>
      <c r="R686" s="1">
        <f t="shared" ca="1" si="63"/>
        <v>0.41677130342664687</v>
      </c>
      <c r="S686" s="9">
        <f ca="1">IF(Prices!C685&lt;OFFSET(Prices!C685,-S$3,0),1,IF(Prices!C685&gt;OFFSET(Prices!C685,-S$3,0),-1,0))</f>
        <v>-1</v>
      </c>
      <c r="T686" s="1">
        <f ca="1">IF(S686=1,T$3*Q685/Prices!B685,T$3*R685*S686)</f>
        <v>-8.5055368046254472E-3</v>
      </c>
    </row>
    <row r="687" spans="1:20" x14ac:dyDescent="0.2">
      <c r="A687" s="4">
        <v>34467</v>
      </c>
      <c r="B687" s="9">
        <f ca="1">Prices!B686*(1+J687/(50*(ABS(O687)+ABS(T687)+0.0001)))</f>
        <v>1.1880762424309121</v>
      </c>
      <c r="C687" s="13">
        <f t="shared" ca="1" si="64"/>
        <v>1</v>
      </c>
      <c r="D687" s="9">
        <f ca="1">D686+C687*(Prices!B687-Prices!B686)/Prices!B686</f>
        <v>-0.59626429540281489</v>
      </c>
      <c r="E687" s="9">
        <f t="shared" ca="1" si="65"/>
        <v>0.63238824666156124</v>
      </c>
      <c r="F687" s="9">
        <f t="shared" ca="1" si="66"/>
        <v>3.6123951258746317E-2</v>
      </c>
      <c r="G687" s="13">
        <f ca="1">IF((Prices!B687-Prices!B686)*B687&gt;0,1,0)</f>
        <v>1</v>
      </c>
      <c r="H687" s="9">
        <f>ABS(Prices!B687-Prices!B686)/Prices!B686</f>
        <v>2.0460358056265623E-3</v>
      </c>
      <c r="I687" s="13"/>
      <c r="J687" s="1">
        <f t="shared" ca="1" si="67"/>
        <v>3.0158485679935253E-2</v>
      </c>
      <c r="K687" s="9"/>
      <c r="L687" s="9">
        <f ca="1">L686-O687*Prices!B687</f>
        <v>0.40628784094038228</v>
      </c>
      <c r="M687" s="1">
        <f t="shared" ca="1" si="62"/>
        <v>0.49815709536420616</v>
      </c>
      <c r="N687" s="9">
        <f ca="1">IF(Prices!D686&gt;OFFSET(Prices!D686,-$N$3,0),1,IF(Prices!D686&lt;OFFSET(Prices!D686,-$N$3,0),-1,0))</f>
        <v>1</v>
      </c>
      <c r="O687" s="1">
        <f ca="1">IF(N687=1,O$3*L686/Prices!B686,O$3*M686*N687)</f>
        <v>3.8493911748468189E-2</v>
      </c>
      <c r="P687" s="14"/>
      <c r="Q687" s="9">
        <f ca="1">Q686-T687*Prices!B687</f>
        <v>0.46876688752804269</v>
      </c>
      <c r="R687" s="1">
        <f t="shared" ca="1" si="63"/>
        <v>0.40843587735811393</v>
      </c>
      <c r="S687" s="9">
        <f ca="1">IF(Prices!C686&lt;OFFSET(Prices!C686,-S$3,0),1,IF(Prices!C686&gt;OFFSET(Prices!C686,-S$3,0),-1,0))</f>
        <v>-1</v>
      </c>
      <c r="T687" s="1">
        <f ca="1">IF(S687=1,T$3*Q686/Prices!B686,T$3*R686*S687)</f>
        <v>-8.335426068532938E-3</v>
      </c>
    </row>
    <row r="688" spans="1:20" x14ac:dyDescent="0.2">
      <c r="A688" s="4">
        <v>34470</v>
      </c>
      <c r="B688" s="9">
        <f ca="1">Prices!B687*(1+J688/(50*(ABS(O688)+ABS(T688)+0.0001)))</f>
        <v>1.151932472121669</v>
      </c>
      <c r="C688" s="13">
        <f t="shared" ca="1" si="64"/>
        <v>-1</v>
      </c>
      <c r="D688" s="9">
        <f ca="1">D687+C688*(Prices!B688-Prices!B687)/Prices!B687</f>
        <v>-0.59141488243701601</v>
      </c>
      <c r="E688" s="9">
        <f t="shared" ca="1" si="65"/>
        <v>0.62753883369576235</v>
      </c>
      <c r="F688" s="9">
        <f t="shared" ca="1" si="66"/>
        <v>3.6123951258746317E-2</v>
      </c>
      <c r="G688" s="13">
        <f ca="1">IF((Prices!B688-Prices!B687)*B688&gt;0,1,0)</f>
        <v>0</v>
      </c>
      <c r="H688" s="9">
        <f>ABS(Prices!B688-Prices!B687)/Prices!B687</f>
        <v>4.8494129657989096E-3</v>
      </c>
      <c r="I688" s="13"/>
      <c r="J688" s="1">
        <f t="shared" ca="1" si="67"/>
        <v>-5.7984427083582896E-2</v>
      </c>
      <c r="K688" s="9"/>
      <c r="L688" s="9">
        <f ca="1">L687-O688*Prices!B688</f>
        <v>0.4645572763851335</v>
      </c>
      <c r="M688" s="1">
        <f t="shared" ca="1" si="62"/>
        <v>0.44834138582778554</v>
      </c>
      <c r="N688" s="9">
        <f ca="1">IF(Prices!D687&gt;OFFSET(Prices!D687,-$N$3,0),1,IF(Prices!D687&lt;OFFSET(Prices!D687,-$N$3,0),-1,0))</f>
        <v>-1</v>
      </c>
      <c r="O688" s="1">
        <f ca="1">IF(N688=1,O$3*L687/Prices!B687,O$3*M687*N688)</f>
        <v>-4.9815709536420616E-2</v>
      </c>
      <c r="P688" s="14"/>
      <c r="Q688" s="9">
        <f ca="1">Q687-T688*Prices!B688</f>
        <v>0.47832183644295839</v>
      </c>
      <c r="R688" s="1">
        <f t="shared" ca="1" si="63"/>
        <v>0.40026715981095168</v>
      </c>
      <c r="S688" s="9">
        <f ca="1">IF(Prices!C687&lt;OFFSET(Prices!C687,-S$3,0),1,IF(Prices!C687&gt;OFFSET(Prices!C687,-S$3,0),-1,0))</f>
        <v>-1</v>
      </c>
      <c r="T688" s="1">
        <f ca="1">IF(S688=1,T$3*Q687/Prices!B687,T$3*R687*S688)</f>
        <v>-8.168717547162278E-3</v>
      </c>
    </row>
    <row r="689" spans="1:20" x14ac:dyDescent="0.2">
      <c r="A689" s="4">
        <v>34471</v>
      </c>
      <c r="B689" s="9">
        <f ca="1">Prices!B688*(1+J689/(50*(ABS(O689)+ABS(T689)+0.0001)))</f>
        <v>1.1463501900812283</v>
      </c>
      <c r="C689" s="13">
        <f t="shared" ca="1" si="64"/>
        <v>-1</v>
      </c>
      <c r="D689" s="9">
        <f ca="1">D688+C689*(Prices!B689-Prices!B688)/Prices!B688</f>
        <v>-0.59577497476838315</v>
      </c>
      <c r="E689" s="9">
        <f t="shared" ca="1" si="65"/>
        <v>0.63189892602712949</v>
      </c>
      <c r="F689" s="9">
        <f t="shared" ca="1" si="66"/>
        <v>3.6123951258746317E-2</v>
      </c>
      <c r="G689" s="13">
        <f ca="1">IF((Prices!B689-Prices!B688)*B689&gt;0,1,0)</f>
        <v>1</v>
      </c>
      <c r="H689" s="9">
        <f>ABS(Prices!B689-Prices!B688)/Prices!B688</f>
        <v>4.3600923313671068E-3</v>
      </c>
      <c r="I689" s="13"/>
      <c r="J689" s="1">
        <f t="shared" ca="1" si="67"/>
        <v>-5.2839481778997589E-2</v>
      </c>
      <c r="K689" s="9"/>
      <c r="L689" s="9">
        <f ca="1">L688-O689*Prices!B689</f>
        <v>0.5172284223921817</v>
      </c>
      <c r="M689" s="1">
        <f t="shared" ca="1" si="62"/>
        <v>0.40350724724500697</v>
      </c>
      <c r="N689" s="9">
        <f ca="1">IF(Prices!D688&gt;OFFSET(Prices!D688,-$N$3,0),1,IF(Prices!D688&lt;OFFSET(Prices!D688,-$N$3,0),-1,0))</f>
        <v>-1</v>
      </c>
      <c r="O689" s="1">
        <f ca="1">IF(N689=1,O$3*L688/Prices!B688,O$3*M688*N689)</f>
        <v>-4.4834138582778557E-2</v>
      </c>
      <c r="P689" s="14"/>
      <c r="Q689" s="9">
        <f ca="1">Q688-T689*Prices!B689</f>
        <v>0.48772651362987651</v>
      </c>
      <c r="R689" s="1">
        <f t="shared" ca="1" si="63"/>
        <v>0.39226181661473264</v>
      </c>
      <c r="S689" s="9">
        <f ca="1">IF(Prices!C688&lt;OFFSET(Prices!C688,-S$3,0),1,IF(Prices!C688&gt;OFFSET(Prices!C688,-S$3,0),-1,0))</f>
        <v>-1</v>
      </c>
      <c r="T689" s="1">
        <f ca="1">IF(S689=1,T$3*Q688/Prices!B688,T$3*R688*S689)</f>
        <v>-8.0053431962190339E-3</v>
      </c>
    </row>
    <row r="690" spans="1:20" x14ac:dyDescent="0.2">
      <c r="A690" s="4">
        <v>34472</v>
      </c>
      <c r="B690" s="9">
        <f ca="1">Prices!B689*(1+J690/(50*(ABS(O690)+ABS(T690)+0.0001)))</f>
        <v>1.1513526500309463</v>
      </c>
      <c r="C690" s="13">
        <f t="shared" ca="1" si="64"/>
        <v>-1</v>
      </c>
      <c r="D690" s="9">
        <f ca="1">D689+C690*(Prices!B690-Prices!B689)/Prices!B689</f>
        <v>-0.60147807316811075</v>
      </c>
      <c r="E690" s="9">
        <f t="shared" ca="1" si="65"/>
        <v>0.63760202442685709</v>
      </c>
      <c r="F690" s="9">
        <f t="shared" ca="1" si="66"/>
        <v>3.6123951258746317E-2</v>
      </c>
      <c r="G690" s="13">
        <f ca="1">IF((Prices!B690-Prices!B689)*B690&gt;0,1,0)</f>
        <v>1</v>
      </c>
      <c r="H690" s="9">
        <f>ABS(Prices!B690-Prices!B689)/Prices!B689</f>
        <v>5.7030983997275516E-3</v>
      </c>
      <c r="I690" s="13"/>
      <c r="J690" s="1">
        <f t="shared" ca="1" si="67"/>
        <v>-4.8195961056795356E-2</v>
      </c>
      <c r="K690" s="9"/>
      <c r="L690" s="9">
        <f ca="1">L689-O690*Prices!B690</f>
        <v>0.56490280365417922</v>
      </c>
      <c r="M690" s="1">
        <f t="shared" ca="1" si="62"/>
        <v>0.36315652252050629</v>
      </c>
      <c r="N690" s="9">
        <f ca="1">IF(Prices!D689&gt;OFFSET(Prices!D689,-$N$3,0),1,IF(Prices!D689&lt;OFFSET(Prices!D689,-$N$3,0),-1,0))</f>
        <v>-1</v>
      </c>
      <c r="O690" s="1">
        <f ca="1">IF(N690=1,O$3*L689/Prices!B689,O$3*M689*N690)</f>
        <v>-4.03507247245007E-2</v>
      </c>
      <c r="P690" s="14"/>
      <c r="Q690" s="9">
        <f ca="1">Q689-T690*Prices!B690</f>
        <v>0.49699566035648263</v>
      </c>
      <c r="R690" s="1">
        <f t="shared" ca="1" si="63"/>
        <v>0.38441658028243797</v>
      </c>
      <c r="S690" s="9">
        <f ca="1">IF(Prices!C689&lt;OFFSET(Prices!C689,-S$3,0),1,IF(Prices!C689&gt;OFFSET(Prices!C689,-S$3,0),-1,0))</f>
        <v>-1</v>
      </c>
      <c r="T690" s="1">
        <f ca="1">IF(S690=1,T$3*Q689/Prices!B689,T$3*R689*S690)</f>
        <v>-7.8452363322946521E-3</v>
      </c>
    </row>
    <row r="691" spans="1:20" x14ac:dyDescent="0.2">
      <c r="A691" s="4">
        <v>34473</v>
      </c>
      <c r="B691" s="9">
        <f ca="1">Prices!B690*(1+J691/(50*(ABS(O691)+ABS(T691)+0.0001)))</f>
        <v>1.1667919697173141</v>
      </c>
      <c r="C691" s="13">
        <f t="shared" ca="1" si="64"/>
        <v>-1</v>
      </c>
      <c r="D691" s="9">
        <f ca="1">D690+C691*(Prices!B691-Prices!B690)/Prices!B690</f>
        <v>-0.60384794197894431</v>
      </c>
      <c r="E691" s="9">
        <f t="shared" ca="1" si="65"/>
        <v>0.63997189323769066</v>
      </c>
      <c r="F691" s="9">
        <f t="shared" ca="1" si="66"/>
        <v>3.6123951258746317E-2</v>
      </c>
      <c r="G691" s="13">
        <f ca="1">IF((Prices!B691-Prices!B690)*B691&gt;0,1,0)</f>
        <v>1</v>
      </c>
      <c r="H691" s="9">
        <f>ABS(Prices!B691-Prices!B690)/Prices!B690</f>
        <v>2.3698688108336127E-3</v>
      </c>
      <c r="I691" s="13"/>
      <c r="J691" s="1">
        <f t="shared" ca="1" si="67"/>
        <v>-2.7902691433489769E-2</v>
      </c>
      <c r="K691" s="9"/>
      <c r="L691" s="9">
        <f ca="1">L690-O691*Prices!B691</f>
        <v>0.60791143061628272</v>
      </c>
      <c r="M691" s="1">
        <f t="shared" ca="1" si="62"/>
        <v>0.32684087026845565</v>
      </c>
      <c r="N691" s="9">
        <f ca="1">IF(Prices!D690&gt;OFFSET(Prices!D690,-$N$3,0),1,IF(Prices!D690&lt;OFFSET(Prices!D690,-$N$3,0),-1,0))</f>
        <v>-1</v>
      </c>
      <c r="O691" s="1">
        <f ca="1">IF(N691=1,O$3*L690/Prices!B690,O$3*M690*N691)</f>
        <v>-3.6315652252050627E-2</v>
      </c>
      <c r="P691" s="14"/>
      <c r="Q691" s="9">
        <f ca="1">Q690-T691*Prices!B691</f>
        <v>0.48703219085906102</v>
      </c>
      <c r="R691" s="1">
        <f t="shared" ca="1" si="63"/>
        <v>0.39282954110099882</v>
      </c>
      <c r="S691" s="9">
        <f ca="1">IF(Prices!C690&lt;OFFSET(Prices!C690,-S$3,0),1,IF(Prices!C690&gt;OFFSET(Prices!C690,-S$3,0),-1,0))</f>
        <v>1</v>
      </c>
      <c r="T691" s="1">
        <f ca="1">IF(S691=1,T$3*Q690/Prices!B690,T$3*R690*S691)</f>
        <v>8.4129608185608586E-3</v>
      </c>
    </row>
    <row r="692" spans="1:20" x14ac:dyDescent="0.2">
      <c r="A692" s="4">
        <v>34474</v>
      </c>
      <c r="B692" s="9">
        <f ca="1">Prices!B691*(1+J692/(50*(ABS(O692)+ABS(T692)+0.0001)))</f>
        <v>1.1701727633498686</v>
      </c>
      <c r="C692" s="13">
        <f t="shared" ca="1" si="64"/>
        <v>-1</v>
      </c>
      <c r="D692" s="9">
        <f ca="1">D691+C692*(Prices!B692-Prices!B691)/Prices!B691</f>
        <v>-0.60891422585971777</v>
      </c>
      <c r="E692" s="9">
        <f t="shared" ca="1" si="65"/>
        <v>0.64503817711846412</v>
      </c>
      <c r="F692" s="9">
        <f t="shared" ca="1" si="66"/>
        <v>3.6123951258746317E-2</v>
      </c>
      <c r="G692" s="13">
        <f ca="1">IF((Prices!B692-Prices!B691)*B692&gt;0,1,0)</f>
        <v>1</v>
      </c>
      <c r="H692" s="9">
        <f>ABS(Prices!B692-Prices!B691)/Prices!B691</f>
        <v>5.0662838807734572E-3</v>
      </c>
      <c r="I692" s="13"/>
      <c r="J692" s="1">
        <f t="shared" ca="1" si="67"/>
        <v>-2.4459275900288766E-2</v>
      </c>
      <c r="K692" s="9"/>
      <c r="L692" s="9">
        <f ca="1">L691-O692*Prices!B692</f>
        <v>0.64681529940433702</v>
      </c>
      <c r="M692" s="1">
        <f t="shared" ca="1" si="62"/>
        <v>0.2941567832416101</v>
      </c>
      <c r="N692" s="9">
        <f ca="1">IF(Prices!D691&gt;OFFSET(Prices!D691,-$N$3,0),1,IF(Prices!D691&lt;OFFSET(Prices!D691,-$N$3,0),-1,0))</f>
        <v>-1</v>
      </c>
      <c r="O692" s="1">
        <f ca="1">IF(N692=1,O$3*L691/Prices!B691,O$3*M691*N692)</f>
        <v>-3.2684087026845568E-2</v>
      </c>
      <c r="P692" s="14"/>
      <c r="Q692" s="9">
        <f ca="1">Q691-T692*Prices!B692</f>
        <v>0.47724219817512048</v>
      </c>
      <c r="R692" s="1">
        <f t="shared" ca="1" si="63"/>
        <v>0.40105435222755564</v>
      </c>
      <c r="S692" s="9">
        <f ca="1">IF(Prices!C691&lt;OFFSET(Prices!C691,-S$3,0),1,IF(Prices!C691&gt;OFFSET(Prices!C691,-S$3,0),-1,0))</f>
        <v>1</v>
      </c>
      <c r="T692" s="1">
        <f ca="1">IF(S692=1,T$3*Q691/Prices!B691,T$3*R691*S692)</f>
        <v>8.2248111265568018E-3</v>
      </c>
    </row>
    <row r="693" spans="1:20" x14ac:dyDescent="0.2">
      <c r="A693" s="4">
        <v>34477</v>
      </c>
      <c r="B693" s="9">
        <f ca="1">Prices!B692*(1+J693/(50*(ABS(O693)+ABS(T693)+0.0001)))</f>
        <v>1.1767292238631286</v>
      </c>
      <c r="C693" s="13">
        <f t="shared" ca="1" si="64"/>
        <v>-1</v>
      </c>
      <c r="D693" s="9">
        <f ca="1">D692+C693*(Prices!B693-Prices!B692)/Prices!B692</f>
        <v>-0.60824212638899622</v>
      </c>
      <c r="E693" s="9">
        <f t="shared" ca="1" si="65"/>
        <v>0.64436607764774256</v>
      </c>
      <c r="F693" s="9">
        <f t="shared" ca="1" si="66"/>
        <v>3.6123951258746317E-2</v>
      </c>
      <c r="G693" s="13">
        <f ca="1">IF((Prices!B693-Prices!B692)*B693&gt;0,1,0)</f>
        <v>0</v>
      </c>
      <c r="H693" s="9">
        <f>ABS(Prices!B693-Prices!B692)/Prices!B692</f>
        <v>6.7209947072159278E-4</v>
      </c>
      <c r="I693" s="13"/>
      <c r="J693" s="1">
        <f t="shared" ca="1" si="67"/>
        <v>-2.1396822604172427E-2</v>
      </c>
      <c r="K693" s="9"/>
      <c r="L693" s="9">
        <f ca="1">L692-O693*Prices!B693</f>
        <v>0.68180524877092652</v>
      </c>
      <c r="M693" s="1">
        <f t="shared" ca="1" si="62"/>
        <v>0.26474110491744907</v>
      </c>
      <c r="N693" s="9">
        <f ca="1">IF(Prices!D692&gt;OFFSET(Prices!D692,-$N$3,0),1,IF(Prices!D692&lt;OFFSET(Prices!D692,-$N$3,0),-1,0))</f>
        <v>-1</v>
      </c>
      <c r="O693" s="1">
        <f ca="1">IF(N693=1,O$3*L692/Prices!B692,O$3*M692*N693)</f>
        <v>-2.9415678324161011E-2</v>
      </c>
      <c r="P693" s="14"/>
      <c r="Q693" s="9">
        <f ca="1">Q692-T693*Prices!B693</f>
        <v>0.46770376929619406</v>
      </c>
      <c r="R693" s="1">
        <f t="shared" ca="1" si="63"/>
        <v>0.4090732079475442</v>
      </c>
      <c r="S693" s="9">
        <f ca="1">IF(Prices!C692&lt;OFFSET(Prices!C692,-S$3,0),1,IF(Prices!C692&gt;OFFSET(Prices!C692,-S$3,0),-1,0))</f>
        <v>1</v>
      </c>
      <c r="T693" s="1">
        <f ca="1">IF(S693=1,T$3*Q692/Prices!B692,T$3*R692*S693)</f>
        <v>8.0188557199885845E-3</v>
      </c>
    </row>
    <row r="694" spans="1:20" x14ac:dyDescent="0.2">
      <c r="A694" s="4">
        <v>34478</v>
      </c>
      <c r="B694" s="9">
        <f ca="1">Prices!B693*(1+J694/(50*(ABS(O694)+ABS(T694)+0.0001)))</f>
        <v>1.2132535583886326</v>
      </c>
      <c r="C694" s="13">
        <f t="shared" ca="1" si="64"/>
        <v>1</v>
      </c>
      <c r="D694" s="9">
        <f ca="1">D693+C694*(Prices!B694-Prices!B693)/Prices!B693</f>
        <v>-0.60916688469080382</v>
      </c>
      <c r="E694" s="9">
        <f t="shared" ca="1" si="65"/>
        <v>0.64529083594955017</v>
      </c>
      <c r="F694" s="9">
        <f t="shared" ca="1" si="66"/>
        <v>3.6123951258746317E-2</v>
      </c>
      <c r="G694" s="13">
        <f ca="1">IF((Prices!B694-Prices!B693)*B694&gt;0,1,0)</f>
        <v>0</v>
      </c>
      <c r="H694" s="9">
        <f>ABS(Prices!B694-Prices!B693)/Prices!B693</f>
        <v>9.2475830180756692E-4</v>
      </c>
      <c r="I694" s="13"/>
      <c r="J694" s="1">
        <f t="shared" ca="1" si="67"/>
        <v>6.5182513882317383E-2</v>
      </c>
      <c r="K694" s="9"/>
      <c r="L694" s="9">
        <f ca="1">L693-O694*Prices!B694</f>
        <v>0.61368777440023559</v>
      </c>
      <c r="M694" s="1">
        <f t="shared" ca="1" si="62"/>
        <v>0.32205974710079721</v>
      </c>
      <c r="N694" s="9">
        <f ca="1">IF(Prices!D693&gt;OFFSET(Prices!D693,-$N$3,0),1,IF(Prices!D693&lt;OFFSET(Prices!D693,-$N$3,0),-1,0))</f>
        <v>1</v>
      </c>
      <c r="O694" s="1">
        <f ca="1">IF(N694=1,O$3*L693/Prices!B693,O$3*M693*N694)</f>
        <v>5.7318642183348173E-2</v>
      </c>
      <c r="P694" s="14"/>
      <c r="Q694" s="9">
        <f ca="1">Q693-T694*Prices!B694</f>
        <v>0.45835834416913906</v>
      </c>
      <c r="R694" s="1">
        <f t="shared" ca="1" si="63"/>
        <v>0.41693707964651344</v>
      </c>
      <c r="S694" s="9">
        <f ca="1">IF(Prices!C693&lt;OFFSET(Prices!C693,-S$3,0),1,IF(Prices!C693&gt;OFFSET(Prices!C693,-S$3,0),-1,0))</f>
        <v>1</v>
      </c>
      <c r="T694" s="1">
        <f ca="1">IF(S694=1,T$3*Q693/Prices!B693,T$3*R693*S694)</f>
        <v>7.8638716989692155E-3</v>
      </c>
    </row>
    <row r="695" spans="1:20" x14ac:dyDescent="0.2">
      <c r="A695" s="4">
        <v>34479</v>
      </c>
      <c r="B695" s="9">
        <f ca="1">Prices!B694*(1+J695/(50*(ABS(O695)+ABS(T695)+0.0001)))</f>
        <v>1.2055305718718166</v>
      </c>
      <c r="C695" s="13">
        <f t="shared" ca="1" si="64"/>
        <v>1</v>
      </c>
      <c r="D695" s="9">
        <f ca="1">D694+C695*(Prices!B695-Prices!B694)/Prices!B694</f>
        <v>-0.60773638990790246</v>
      </c>
      <c r="E695" s="9">
        <f t="shared" ca="1" si="65"/>
        <v>0.64386034116664881</v>
      </c>
      <c r="F695" s="9">
        <f t="shared" ca="1" si="66"/>
        <v>3.6123951258746317E-2</v>
      </c>
      <c r="G695" s="13">
        <f ca="1">IF((Prices!B695-Prices!B694)*B695&gt;0,1,0)</f>
        <v>1</v>
      </c>
      <c r="H695" s="9">
        <f>ABS(Prices!B695-Prices!B694)/Prices!B694</f>
        <v>1.4304947829014093E-3</v>
      </c>
      <c r="I695" s="13"/>
      <c r="J695" s="1">
        <f t="shared" ca="1" si="67"/>
        <v>4.3301091325298913E-2</v>
      </c>
      <c r="K695" s="9"/>
      <c r="L695" s="9">
        <f ca="1">L694-O695*Prices!B695</f>
        <v>0.55223120924425106</v>
      </c>
      <c r="M695" s="1">
        <f t="shared" ca="1" si="62"/>
        <v>0.37369958001902637</v>
      </c>
      <c r="N695" s="9">
        <f ca="1">IF(Prices!D694&gt;OFFSET(Prices!D694,-$N$3,0),1,IF(Prices!D694&lt;OFFSET(Prices!D694,-$N$3,0),-1,0))</f>
        <v>1</v>
      </c>
      <c r="O695" s="1">
        <f ca="1">IF(N695=1,O$3*L694/Prices!B694,O$3*M694*N695)</f>
        <v>5.1639832918229184E-2</v>
      </c>
      <c r="P695" s="14"/>
      <c r="Q695" s="9">
        <f ca="1">Q694-T695*Prices!B695</f>
        <v>0.46828228053888538</v>
      </c>
      <c r="R695" s="1">
        <f t="shared" ca="1" si="63"/>
        <v>0.4085983380535832</v>
      </c>
      <c r="S695" s="9">
        <f ca="1">IF(Prices!C694&lt;OFFSET(Prices!C694,-S$3,0),1,IF(Prices!C694&gt;OFFSET(Prices!C694,-S$3,0),-1,0))</f>
        <v>-1</v>
      </c>
      <c r="T695" s="1">
        <f ca="1">IF(S695=1,T$3*Q694/Prices!B694,T$3*R694*S695)</f>
        <v>-8.3387415929302693E-3</v>
      </c>
    </row>
    <row r="696" spans="1:20" x14ac:dyDescent="0.2">
      <c r="A696" s="4">
        <v>34480</v>
      </c>
      <c r="B696" s="9">
        <f ca="1">Prices!B695*(1+J696/(50*(ABS(O696)+ABS(T696)+0.0001)))</f>
        <v>1.1663501494221016</v>
      </c>
      <c r="C696" s="13">
        <f t="shared" ca="1" si="64"/>
        <v>-1</v>
      </c>
      <c r="D696" s="9">
        <f ca="1">D695+C696*(Prices!B696-Prices!B695)/Prices!B695</f>
        <v>-0.60782041646029306</v>
      </c>
      <c r="E696" s="9">
        <f t="shared" ca="1" si="65"/>
        <v>0.6439443677190394</v>
      </c>
      <c r="F696" s="9">
        <f t="shared" ca="1" si="66"/>
        <v>3.6123951258746317E-2</v>
      </c>
      <c r="G696" s="13">
        <f ca="1">IF((Prices!B696-Prices!B695)*B696&gt;0,1,0)</f>
        <v>1</v>
      </c>
      <c r="H696" s="9">
        <f>ABS(Prices!B696-Prices!B695)/Prices!B695</f>
        <v>8.4026552390546172E-5</v>
      </c>
      <c r="I696" s="13"/>
      <c r="J696" s="1">
        <f t="shared" ca="1" si="67"/>
        <v>-4.5541924762974306E-2</v>
      </c>
      <c r="K696" s="9"/>
      <c r="L696" s="9">
        <f ca="1">L695-O696*Prices!B696</f>
        <v>0.59670893325811558</v>
      </c>
      <c r="M696" s="1">
        <f t="shared" ca="1" si="62"/>
        <v>0.33632962201712374</v>
      </c>
      <c r="N696" s="9">
        <f ca="1">IF(Prices!D695&gt;OFFSET(Prices!D695,-$N$3,0),1,IF(Prices!D695&lt;OFFSET(Prices!D695,-$N$3,0),-1,0))</f>
        <v>-1</v>
      </c>
      <c r="O696" s="1">
        <f ca="1">IF(N696=1,O$3*L695/Prices!B695,O$3*M695*N696)</f>
        <v>-3.7369958001902639E-2</v>
      </c>
      <c r="P696" s="14"/>
      <c r="Q696" s="9">
        <f ca="1">Q695-T696*Prices!B696</f>
        <v>0.47800855537791287</v>
      </c>
      <c r="R696" s="1">
        <f t="shared" ca="1" si="63"/>
        <v>0.40042637129251152</v>
      </c>
      <c r="S696" s="9">
        <f ca="1">IF(Prices!C695&lt;OFFSET(Prices!C695,-S$3,0),1,IF(Prices!C695&gt;OFFSET(Prices!C695,-S$3,0),-1,0))</f>
        <v>-1</v>
      </c>
      <c r="T696" s="1">
        <f ca="1">IF(S696=1,T$3*Q695/Prices!B695,T$3*R695*S696)</f>
        <v>-8.1719667610716633E-3</v>
      </c>
    </row>
    <row r="697" spans="1:20" x14ac:dyDescent="0.2">
      <c r="A697" s="4">
        <v>34481</v>
      </c>
      <c r="B697" s="9">
        <f ca="1">Prices!B696*(1+J697/(50*(ABS(O697)+ABS(T697)+0.0001)))</f>
        <v>1.1664530271933569</v>
      </c>
      <c r="C697" s="13">
        <f t="shared" ca="1" si="64"/>
        <v>-1</v>
      </c>
      <c r="D697" s="9">
        <f ca="1">D696+C697*(Prices!B697-Prices!B696)/Prices!B696</f>
        <v>-0.60807247493785987</v>
      </c>
      <c r="E697" s="9">
        <f t="shared" ca="1" si="65"/>
        <v>0.64419642619660622</v>
      </c>
      <c r="F697" s="9">
        <f t="shared" ca="1" si="66"/>
        <v>3.6123951258746317E-2</v>
      </c>
      <c r="G697" s="13">
        <f ca="1">IF((Prices!B697-Prices!B696)*B697&gt;0,1,0)</f>
        <v>1</v>
      </c>
      <c r="H697" s="9">
        <f>ABS(Prices!B697-Prices!B696)/Prices!B696</f>
        <v>2.5205847756676775E-4</v>
      </c>
      <c r="I697" s="13"/>
      <c r="J697" s="1">
        <f t="shared" ca="1" si="67"/>
        <v>-4.164148962756261E-2</v>
      </c>
      <c r="K697" s="9"/>
      <c r="L697" s="9">
        <f ca="1">L696-O697*Prices!B697</f>
        <v>0.63674897475925418</v>
      </c>
      <c r="M697" s="1">
        <f t="shared" ca="1" si="62"/>
        <v>0.30269665981541138</v>
      </c>
      <c r="N697" s="9">
        <f ca="1">IF(Prices!D696&gt;OFFSET(Prices!D696,-$N$3,0),1,IF(Prices!D696&lt;OFFSET(Prices!D696,-$N$3,0),-1,0))</f>
        <v>-1</v>
      </c>
      <c r="O697" s="1">
        <f ca="1">IF(N697=1,O$3*L696/Prices!B696,O$3*M696*N697)</f>
        <v>-3.3632962201712378E-2</v>
      </c>
      <c r="P697" s="14"/>
      <c r="Q697" s="9">
        <f ca="1">Q696-T697*Prices!B697</f>
        <v>0.48754270727838755</v>
      </c>
      <c r="R697" s="1">
        <f t="shared" ca="1" si="63"/>
        <v>0.39241784386666129</v>
      </c>
      <c r="S697" s="9">
        <f ca="1">IF(Prices!C696&lt;OFFSET(Prices!C696,-S$3,0),1,IF(Prices!C696&gt;OFFSET(Prices!C696,-S$3,0),-1,0))</f>
        <v>-1</v>
      </c>
      <c r="T697" s="1">
        <f ca="1">IF(S697=1,T$3*Q696/Prices!B696,T$3*R696*S697)</f>
        <v>-8.0085274258502297E-3</v>
      </c>
    </row>
    <row r="698" spans="1:20" x14ac:dyDescent="0.2">
      <c r="A698" s="4">
        <v>34484</v>
      </c>
      <c r="B698" s="9">
        <f ca="1">Prices!B697*(1+J698/(50*(ABS(O698)+ABS(T698)+0.0001)))</f>
        <v>1.1768666838819026</v>
      </c>
      <c r="C698" s="13">
        <f t="shared" ca="1" si="64"/>
        <v>-1</v>
      </c>
      <c r="D698" s="9">
        <f ca="1">D697+C698*(Prices!B698-Prices!B697)/Prices!B697</f>
        <v>-0.60807247493785987</v>
      </c>
      <c r="E698" s="9">
        <f t="shared" ca="1" si="65"/>
        <v>0.64419642619660622</v>
      </c>
      <c r="F698" s="9">
        <f t="shared" ca="1" si="66"/>
        <v>3.6123951258746317E-2</v>
      </c>
      <c r="G698" s="13">
        <f ca="1">IF((Prices!B698-Prices!B697)*B698&gt;0,1,0)</f>
        <v>0</v>
      </c>
      <c r="H698" s="9">
        <f>ABS(Prices!B698-Prices!B697)/Prices!B697</f>
        <v>0</v>
      </c>
      <c r="I698" s="13"/>
      <c r="J698" s="1">
        <f t="shared" ca="1" si="67"/>
        <v>-2.2079112310337653E-2</v>
      </c>
      <c r="K698" s="9"/>
      <c r="L698" s="9">
        <f ca="1">L697-O698*Prices!B698</f>
        <v>0.67278501211027886</v>
      </c>
      <c r="M698" s="1">
        <f t="shared" ca="1" si="62"/>
        <v>0.27242699383387026</v>
      </c>
      <c r="N698" s="9">
        <f ca="1">IF(Prices!D697&gt;OFFSET(Prices!D697,-$N$3,0),1,IF(Prices!D697&lt;OFFSET(Prices!D697,-$N$3,0),-1,0))</f>
        <v>-1</v>
      </c>
      <c r="O698" s="1">
        <f ca="1">IF(N698=1,O$3*L697/Prices!B697,O$3*M697*N698)</f>
        <v>-3.0269665981541141E-2</v>
      </c>
      <c r="P698" s="14"/>
      <c r="Q698" s="9">
        <f ca="1">Q697-T698*Prices!B698</f>
        <v>0.4777918531328198</v>
      </c>
      <c r="R698" s="1">
        <f t="shared" ca="1" si="63"/>
        <v>0.40060839753786476</v>
      </c>
      <c r="S698" s="9">
        <f ca="1">IF(Prices!C697&lt;OFFSET(Prices!C697,-S$3,0),1,IF(Prices!C697&gt;OFFSET(Prices!C697,-S$3,0),-1,0))</f>
        <v>1</v>
      </c>
      <c r="T698" s="1">
        <f ca="1">IF(S698=1,T$3*Q697/Prices!B697,T$3*R697*S698)</f>
        <v>8.1905536712034883E-3</v>
      </c>
    </row>
    <row r="699" spans="1:20" x14ac:dyDescent="0.2">
      <c r="A699" s="4">
        <v>34485</v>
      </c>
      <c r="B699" s="9">
        <f ca="1">Prices!B698*(1+J699/(50*(ABS(O699)+ABS(T699)+0.0001)))</f>
        <v>1.2142731649682541</v>
      </c>
      <c r="C699" s="13">
        <f t="shared" ca="1" si="64"/>
        <v>1</v>
      </c>
      <c r="D699" s="9">
        <f ca="1">D698+C699*(Prices!B699-Prices!B698)/Prices!B698</f>
        <v>-0.60773648165772531</v>
      </c>
      <c r="E699" s="9">
        <f t="shared" ca="1" si="65"/>
        <v>0.64386043291647166</v>
      </c>
      <c r="F699" s="9">
        <f t="shared" ca="1" si="66"/>
        <v>3.6123951258746317E-2</v>
      </c>
      <c r="G699" s="13">
        <f ca="1">IF((Prices!B699-Prices!B698)*B699&gt;0,1,0)</f>
        <v>1</v>
      </c>
      <c r="H699" s="9">
        <f>ABS(Prices!B699-Prices!B698)/Prices!B698</f>
        <v>3.3599328013454683E-4</v>
      </c>
      <c r="I699" s="13"/>
      <c r="J699" s="1">
        <f t="shared" ca="1" si="67"/>
        <v>6.4539553358827634E-2</v>
      </c>
      <c r="K699" s="9"/>
      <c r="L699" s="9">
        <f ca="1">L698-O699*Prices!B699</f>
        <v>0.6054839057749466</v>
      </c>
      <c r="M699" s="1">
        <f t="shared" ca="1" si="62"/>
        <v>0.32893980459491845</v>
      </c>
      <c r="N699" s="9">
        <f ca="1">IF(Prices!D698&gt;OFFSET(Prices!D698,-$N$3,0),1,IF(Prices!D698&lt;OFFSET(Prices!D698,-$N$3,0),-1,0))</f>
        <v>1</v>
      </c>
      <c r="O699" s="1">
        <f ca="1">IF(N699=1,O$3*L698/Prices!B698,O$3*M698*N699)</f>
        <v>5.6512810761048214E-2</v>
      </c>
      <c r="P699" s="14"/>
      <c r="Q699" s="9">
        <f ca="1">Q698-T699*Prices!B699</f>
        <v>0.46823280537312428</v>
      </c>
      <c r="R699" s="1">
        <f t="shared" ca="1" si="63"/>
        <v>0.40863514013564417</v>
      </c>
      <c r="S699" s="9">
        <f ca="1">IF(Prices!C698&lt;OFFSET(Prices!C698,-S$3,0),1,IF(Prices!C698&gt;OFFSET(Prices!C698,-S$3,0),-1,0))</f>
        <v>1</v>
      </c>
      <c r="T699" s="1">
        <f ca="1">IF(S699=1,T$3*Q698/Prices!B698,T$3*R698*S699)</f>
        <v>8.0267425977794179E-3</v>
      </c>
    </row>
    <row r="700" spans="1:20" x14ac:dyDescent="0.2">
      <c r="A700" s="4">
        <v>34486</v>
      </c>
      <c r="B700" s="9">
        <f ca="1">Prices!B699*(1+J700/(50*(ABS(O700)+ABS(T700)+0.0001)))</f>
        <v>1.2080920166120053</v>
      </c>
      <c r="C700" s="13">
        <f t="shared" ca="1" si="64"/>
        <v>1</v>
      </c>
      <c r="D700" s="9">
        <f ca="1">D699+C700*(Prices!B700-Prices!B699)/Prices!B699</f>
        <v>-0.60773648165772531</v>
      </c>
      <c r="E700" s="9">
        <f t="shared" ca="1" si="65"/>
        <v>0.64386043291647166</v>
      </c>
      <c r="F700" s="9">
        <f t="shared" ca="1" si="66"/>
        <v>3.6123951258746317E-2</v>
      </c>
      <c r="G700" s="13">
        <f ca="1">IF((Prices!B700-Prices!B699)*B700&gt;0,1,0)</f>
        <v>0</v>
      </c>
      <c r="H700" s="9">
        <f>ABS(Prices!B700-Prices!B699)/Prices!B699</f>
        <v>0</v>
      </c>
      <c r="I700" s="13"/>
      <c r="J700" s="1">
        <f t="shared" ca="1" si="67"/>
        <v>4.2669845335245524E-2</v>
      </c>
      <c r="K700" s="9"/>
      <c r="L700" s="9">
        <f ca="1">L699-O700*Prices!B700</f>
        <v>0.54493551519745198</v>
      </c>
      <c r="M700" s="1">
        <f t="shared" ca="1" si="62"/>
        <v>0.37978235273287686</v>
      </c>
      <c r="N700" s="9">
        <f ca="1">IF(Prices!D699&gt;OFFSET(Prices!D699,-$N$3,0),1,IF(Prices!D699&lt;OFFSET(Prices!D699,-$N$3,0),-1,0))</f>
        <v>1</v>
      </c>
      <c r="O700" s="1">
        <f ca="1">IF(N700=1,O$3*L699/Prices!B699,O$3*M699*N700)</f>
        <v>5.0842548137958403E-2</v>
      </c>
      <c r="P700" s="14"/>
      <c r="Q700" s="9">
        <f ca="1">Q699-T700*Prices!B700</f>
        <v>0.47796567714087507</v>
      </c>
      <c r="R700" s="1">
        <f t="shared" ca="1" si="63"/>
        <v>0.4004624373329313</v>
      </c>
      <c r="S700" s="9">
        <f ca="1">IF(Prices!C699&lt;OFFSET(Prices!C699,-S$3,0),1,IF(Prices!C699&gt;OFFSET(Prices!C699,-S$3,0),-1,0))</f>
        <v>-1</v>
      </c>
      <c r="T700" s="1">
        <f ca="1">IF(S700=1,T$3*Q699/Prices!B699,T$3*R699*S700)</f>
        <v>-8.1727028027128827E-3</v>
      </c>
    </row>
    <row r="701" spans="1:20" x14ac:dyDescent="0.2">
      <c r="A701" s="4">
        <v>34487</v>
      </c>
      <c r="B701" s="9">
        <f ca="1">Prices!B700*(1+J701/(50*(ABS(O701)+ABS(T701)+0.0001)))</f>
        <v>1.2144249262913609</v>
      </c>
      <c r="C701" s="13">
        <f t="shared" ca="1" si="64"/>
        <v>1</v>
      </c>
      <c r="D701" s="9">
        <f ca="1">D700+C701*(Prices!B701-Prices!B700)/Prices!B700</f>
        <v>-0.61210292720311121</v>
      </c>
      <c r="E701" s="9">
        <f t="shared" ca="1" si="65"/>
        <v>0.64822687846185756</v>
      </c>
      <c r="F701" s="9">
        <f t="shared" ca="1" si="66"/>
        <v>3.6123951258746317E-2</v>
      </c>
      <c r="G701" s="13">
        <f ca="1">IF((Prices!B701-Prices!B700)*B701&gt;0,1,0)</f>
        <v>0</v>
      </c>
      <c r="H701" s="9">
        <f>ABS(Prices!B701-Prices!B700)/Prices!B700</f>
        <v>4.3664455453859205E-3</v>
      </c>
      <c r="I701" s="13"/>
      <c r="J701" s="1">
        <f t="shared" ca="1" si="67"/>
        <v>8.026965776150391E-3</v>
      </c>
      <c r="K701" s="9"/>
      <c r="L701" s="9">
        <f ca="1">L700-O701*Prices!B701</f>
        <v>0.54493551519745198</v>
      </c>
      <c r="M701" s="1">
        <f t="shared" ca="1" si="62"/>
        <v>0.37978235273287686</v>
      </c>
      <c r="N701" s="9">
        <f ca="1">IF(Prices!D700&gt;OFFSET(Prices!D700,-$N$3,0),1,IF(Prices!D700&lt;OFFSET(Prices!D700,-$N$3,0),-1,0))</f>
        <v>0</v>
      </c>
      <c r="O701" s="1">
        <f ca="1">IF(N701=1,O$3*L700/Prices!B700,O$3*M700*N701)</f>
        <v>0</v>
      </c>
      <c r="P701" s="14"/>
      <c r="Q701" s="9">
        <f ca="1">Q700-T701*Prices!B701</f>
        <v>0.46844810382009355</v>
      </c>
      <c r="R701" s="1">
        <f t="shared" ca="1" si="63"/>
        <v>0.40848940310908166</v>
      </c>
      <c r="S701" s="9">
        <f ca="1">IF(Prices!C700&lt;OFFSET(Prices!C700,-S$3,0),1,IF(Prices!C700&gt;OFFSET(Prices!C700,-S$3,0),-1,0))</f>
        <v>1</v>
      </c>
      <c r="T701" s="1">
        <f ca="1">IF(S701=1,T$3*Q700/Prices!B700,T$3*R700*S701)</f>
        <v>8.026965776150391E-3</v>
      </c>
    </row>
    <row r="702" spans="1:20" x14ac:dyDescent="0.2">
      <c r="A702" s="4">
        <v>34488</v>
      </c>
      <c r="B702" s="9">
        <f ca="1">Prices!B701*(1+J702/(50*(ABS(O702)+ABS(T702)+0.0001)))</f>
        <v>1.16203727570497</v>
      </c>
      <c r="C702" s="13">
        <f t="shared" ca="1" si="64"/>
        <v>-1</v>
      </c>
      <c r="D702" s="9">
        <f ca="1">D701+C702*(Prices!B702-Prices!B701)/Prices!B701</f>
        <v>-0.60257269189907148</v>
      </c>
      <c r="E702" s="9">
        <f t="shared" ca="1" si="65"/>
        <v>0.63869664315781782</v>
      </c>
      <c r="F702" s="9">
        <f t="shared" ca="1" si="66"/>
        <v>3.6123951258746317E-2</v>
      </c>
      <c r="G702" s="13">
        <f ca="1">IF((Prices!B702-Prices!B701)*B702&gt;0,1,0)</f>
        <v>0</v>
      </c>
      <c r="H702" s="9">
        <f>ABS(Prices!B702-Prices!B701)/Prices!B701</f>
        <v>9.5302353040396942E-3</v>
      </c>
      <c r="I702" s="13"/>
      <c r="J702" s="1">
        <f t="shared" ca="1" si="67"/>
        <v>-4.6148023335469322E-2</v>
      </c>
      <c r="K702" s="9"/>
      <c r="L702" s="9">
        <f ca="1">L701-O702*Prices!B702</f>
        <v>0.58953715470240109</v>
      </c>
      <c r="M702" s="1">
        <f t="shared" ca="1" si="62"/>
        <v>0.34180411745958916</v>
      </c>
      <c r="N702" s="9">
        <f ca="1">IF(Prices!D701&gt;OFFSET(Prices!D701,-$N$3,0),1,IF(Prices!D701&lt;OFFSET(Prices!D701,-$N$3,0),-1,0))</f>
        <v>-1</v>
      </c>
      <c r="O702" s="1">
        <f ca="1">IF(N702=1,O$3*L701/Prices!B701,O$3*M701*N702)</f>
        <v>-3.797823527328769E-2</v>
      </c>
      <c r="P702" s="14"/>
      <c r="Q702" s="9">
        <f ca="1">Q701-T702*Prices!B702</f>
        <v>0.47804270292031964</v>
      </c>
      <c r="R702" s="1">
        <f t="shared" ca="1" si="63"/>
        <v>0.4003196150469</v>
      </c>
      <c r="S702" s="9">
        <f ca="1">IF(Prices!C701&lt;OFFSET(Prices!C701,-S$3,0),1,IF(Prices!C701&gt;OFFSET(Prices!C701,-S$3,0),-1,0))</f>
        <v>-1</v>
      </c>
      <c r="T702" s="1">
        <f ca="1">IF(S702=1,T$3*Q701/Prices!B701,T$3*R701*S702)</f>
        <v>-8.1697880621816339E-3</v>
      </c>
    </row>
    <row r="703" spans="1:20" x14ac:dyDescent="0.2">
      <c r="A703" s="4">
        <v>34491</v>
      </c>
      <c r="B703" s="9">
        <f ca="1">Prices!B702*(1+J703/(50*(ABS(O703)+ABS(T703)+0.0001)))</f>
        <v>1.1509675445144874</v>
      </c>
      <c r="C703" s="13">
        <f t="shared" ca="1" si="64"/>
        <v>-1</v>
      </c>
      <c r="D703" s="9">
        <f ca="1">D702+C703*(Prices!B703-Prices!B702)/Prices!B702</f>
        <v>-0.60163604339770904</v>
      </c>
      <c r="E703" s="9">
        <f t="shared" ca="1" si="65"/>
        <v>0.63775999465645539</v>
      </c>
      <c r="F703" s="9">
        <f t="shared" ca="1" si="66"/>
        <v>3.6123951258746317E-2</v>
      </c>
      <c r="G703" s="13">
        <f ca="1">IF((Prices!B703-Prices!B702)*B703&gt;0,1,0)</f>
        <v>0</v>
      </c>
      <c r="H703" s="9">
        <f>ABS(Prices!B703-Prices!B702)/Prices!B702</f>
        <v>9.3664850136248364E-4</v>
      </c>
      <c r="I703" s="13"/>
      <c r="J703" s="1">
        <f t="shared" ca="1" si="67"/>
        <v>-4.2186804046896918E-2</v>
      </c>
      <c r="K703" s="9"/>
      <c r="L703" s="9">
        <f ca="1">L702-O703*Prices!B703</f>
        <v>0.62964103180393471</v>
      </c>
      <c r="M703" s="1">
        <f t="shared" ca="1" si="62"/>
        <v>0.30762370571363024</v>
      </c>
      <c r="N703" s="9">
        <f ca="1">IF(Prices!D702&gt;OFFSET(Prices!D702,-$N$3,0),1,IF(Prices!D702&lt;OFFSET(Prices!D702,-$N$3,0),-1,0))</f>
        <v>-1</v>
      </c>
      <c r="O703" s="1">
        <f ca="1">IF(N703=1,O$3*L702/Prices!B702,O$3*M702*N703)</f>
        <v>-3.418041174595892E-2</v>
      </c>
      <c r="P703" s="14"/>
      <c r="Q703" s="9">
        <f ca="1">Q702-T703*Prices!B703</f>
        <v>0.48743660300701019</v>
      </c>
      <c r="R703" s="1">
        <f t="shared" ca="1" si="63"/>
        <v>0.39231322274596198</v>
      </c>
      <c r="S703" s="9">
        <f ca="1">IF(Prices!C702&lt;OFFSET(Prices!C702,-S$3,0),1,IF(Prices!C702&gt;OFFSET(Prices!C702,-S$3,0),-1,0))</f>
        <v>-1</v>
      </c>
      <c r="T703" s="1">
        <f ca="1">IF(S703=1,T$3*Q702/Prices!B702,T$3*R702*S703)</f>
        <v>-8.0063923009379995E-3</v>
      </c>
    </row>
    <row r="704" spans="1:20" x14ac:dyDescent="0.2">
      <c r="A704" s="4">
        <v>34492</v>
      </c>
      <c r="B704" s="9">
        <f ca="1">Prices!B703*(1+J704/(50*(ABS(O704)+ABS(T704)+0.0001)))</f>
        <v>1.1498946221324624</v>
      </c>
      <c r="C704" s="13">
        <f t="shared" ca="1" si="64"/>
        <v>-1</v>
      </c>
      <c r="D704" s="9">
        <f ca="1">D703+C704*(Prices!B704-Prices!B703)/Prices!B703</f>
        <v>-0.60189173247978522</v>
      </c>
      <c r="E704" s="9">
        <f t="shared" ca="1" si="65"/>
        <v>0.63801568373853157</v>
      </c>
      <c r="F704" s="9">
        <f t="shared" ca="1" si="66"/>
        <v>3.6123951258746317E-2</v>
      </c>
      <c r="G704" s="13">
        <f ca="1">IF((Prices!B704-Prices!B703)*B704&gt;0,1,0)</f>
        <v>1</v>
      </c>
      <c r="H704" s="9">
        <f>ABS(Prices!B704-Prices!B703)/Prices!B703</f>
        <v>2.5568908207616718E-4</v>
      </c>
      <c r="I704" s="13"/>
      <c r="J704" s="1">
        <f t="shared" ca="1" si="67"/>
        <v>-3.8608635026282263E-2</v>
      </c>
      <c r="K704" s="9"/>
      <c r="L704" s="9">
        <f ca="1">L703-O704*Prices!B704</f>
        <v>0.66574374990648633</v>
      </c>
      <c r="M704" s="1">
        <f t="shared" ca="1" si="62"/>
        <v>0.27686133514226718</v>
      </c>
      <c r="N704" s="9">
        <f ca="1">IF(Prices!D703&gt;OFFSET(Prices!D703,-$N$3,0),1,IF(Prices!D703&lt;OFFSET(Prices!D703,-$N$3,0),-1,0))</f>
        <v>-1</v>
      </c>
      <c r="O704" s="1">
        <f ca="1">IF(N704=1,O$3*L703/Prices!B703,O$3*M703*N704)</f>
        <v>-3.0762370571363024E-2</v>
      </c>
      <c r="P704" s="14"/>
      <c r="Q704" s="9">
        <f ca="1">Q703-T704*Prices!B704</f>
        <v>0.49664497897130344</v>
      </c>
      <c r="R704" s="1">
        <f t="shared" ca="1" si="63"/>
        <v>0.38446695829104272</v>
      </c>
      <c r="S704" s="9">
        <f ca="1">IF(Prices!C703&lt;OFFSET(Prices!C703,-S$3,0),1,IF(Prices!C703&gt;OFFSET(Prices!C703,-S$3,0),-1,0))</f>
        <v>-1</v>
      </c>
      <c r="T704" s="1">
        <f ca="1">IF(S704=1,T$3*Q703/Prices!B703,T$3*R703*S704)</f>
        <v>-7.8462644549192398E-3</v>
      </c>
    </row>
    <row r="705" spans="1:20" x14ac:dyDescent="0.2">
      <c r="A705" s="4">
        <v>34493</v>
      </c>
      <c r="B705" s="9">
        <f ca="1">Prices!B704*(1+J705/(50*(ABS(O705)+ABS(T705)+0.0001)))</f>
        <v>1.1611532674851213</v>
      </c>
      <c r="C705" s="13">
        <f t="shared" ca="1" si="64"/>
        <v>-1</v>
      </c>
      <c r="D705" s="9">
        <f ca="1">D704+C705*(Prices!B705-Prices!B704)/Prices!B704</f>
        <v>-0.60163610875790385</v>
      </c>
      <c r="E705" s="9">
        <f t="shared" ca="1" si="65"/>
        <v>0.6377600600166502</v>
      </c>
      <c r="F705" s="9">
        <f t="shared" ca="1" si="66"/>
        <v>3.6123951258746317E-2</v>
      </c>
      <c r="G705" s="13">
        <f ca="1">IF((Prices!B705-Prices!B704)*B705&gt;0,1,0)</f>
        <v>0</v>
      </c>
      <c r="H705" s="9">
        <f>ABS(Prices!B705-Prices!B704)/Prices!B704</f>
        <v>2.5562372188136243E-4</v>
      </c>
      <c r="I705" s="13"/>
      <c r="J705" s="1">
        <f t="shared" ca="1" si="67"/>
        <v>-1.9222517649003415E-2</v>
      </c>
      <c r="K705" s="9"/>
      <c r="L705" s="9">
        <f ca="1">L704-O705*Prices!B705</f>
        <v>0.69822789035872856</v>
      </c>
      <c r="M705" s="1">
        <f t="shared" ca="1" si="62"/>
        <v>0.24917520162804047</v>
      </c>
      <c r="N705" s="9">
        <f ca="1">IF(Prices!D704&gt;OFFSET(Prices!D704,-$N$3,0),1,IF(Prices!D704&lt;OFFSET(Prices!D704,-$N$3,0),-1,0))</f>
        <v>-1</v>
      </c>
      <c r="O705" s="1">
        <f ca="1">IF(N705=1,O$3*L704/Prices!B704,O$3*M704*N705)</f>
        <v>-2.7686133514226718E-2</v>
      </c>
      <c r="P705" s="14"/>
      <c r="Q705" s="9">
        <f ca="1">Q704-T705*Prices!B705</f>
        <v>0.48671461847663694</v>
      </c>
      <c r="R705" s="1">
        <f t="shared" ca="1" si="63"/>
        <v>0.39293057415626603</v>
      </c>
      <c r="S705" s="9">
        <f ca="1">IF(Prices!C704&lt;OFFSET(Prices!C704,-S$3,0),1,IF(Prices!C704&gt;OFFSET(Prices!C704,-S$3,0),-1,0))</f>
        <v>1</v>
      </c>
      <c r="T705" s="1">
        <f ca="1">IF(S705=1,T$3*Q704/Prices!B704,T$3*R704*S705)</f>
        <v>8.4636158652233052E-3</v>
      </c>
    </row>
    <row r="706" spans="1:20" x14ac:dyDescent="0.2">
      <c r="A706" s="4">
        <v>34494</v>
      </c>
      <c r="B706" s="9">
        <f ca="1">Prices!B705*(1+J706/(50*(ABS(O706)+ABS(T706)+0.0001)))</f>
        <v>1.196731443537876</v>
      </c>
      <c r="C706" s="13">
        <f t="shared" ca="1" si="64"/>
        <v>1</v>
      </c>
      <c r="D706" s="9">
        <f ca="1">D705+C706*(Prices!B706-Prices!B705)/Prices!B705</f>
        <v>-0.60223271661608158</v>
      </c>
      <c r="E706" s="9">
        <f t="shared" ca="1" si="65"/>
        <v>0.63835666787482792</v>
      </c>
      <c r="F706" s="9">
        <f t="shared" ca="1" si="66"/>
        <v>3.6123951258746317E-2</v>
      </c>
      <c r="G706" s="13">
        <f ca="1">IF((Prices!B706-Prices!B705)*B706&gt;0,1,0)</f>
        <v>0</v>
      </c>
      <c r="H706" s="9">
        <f>ABS(Prices!B706-Prices!B705)/Prices!B705</f>
        <v>5.9660785817772341E-4</v>
      </c>
      <c r="I706" s="13"/>
      <c r="J706" s="1">
        <f t="shared" ca="1" si="67"/>
        <v>6.7806257057364344E-2</v>
      </c>
      <c r="K706" s="9"/>
      <c r="L706" s="9">
        <f ca="1">L705-O706*Prices!B706</f>
        <v>0.62844675814747442</v>
      </c>
      <c r="M706" s="1">
        <f t="shared" ca="1" si="62"/>
        <v>0.30868495108331434</v>
      </c>
      <c r="N706" s="9">
        <f ca="1">IF(Prices!D705&gt;OFFSET(Prices!D705,-$N$3,0),1,IF(Prices!D705&lt;OFFSET(Prices!D705,-$N$3,0),-1,0))</f>
        <v>1</v>
      </c>
      <c r="O706" s="1">
        <f ca="1">IF(N706=1,O$3*L705/Prices!B705,O$3*M705*N706)</f>
        <v>5.9509749455273889E-2</v>
      </c>
      <c r="P706" s="14"/>
      <c r="Q706" s="9">
        <f ca="1">Q705-T706*Prices!B706</f>
        <v>0.47698613366242565</v>
      </c>
      <c r="R706" s="1">
        <f t="shared" ca="1" si="63"/>
        <v>0.40122708175835647</v>
      </c>
      <c r="S706" s="9">
        <f ca="1">IF(Prices!C705&lt;OFFSET(Prices!C705,-S$3,0),1,IF(Prices!C705&gt;OFFSET(Prices!C705,-S$3,0),-1,0))</f>
        <v>1</v>
      </c>
      <c r="T706" s="1">
        <f ca="1">IF(S706=1,T$3*Q705/Prices!B705,T$3*R705*S706)</f>
        <v>8.2965076020904624E-3</v>
      </c>
    </row>
    <row r="707" spans="1:20" x14ac:dyDescent="0.2">
      <c r="A707" s="4">
        <v>34495</v>
      </c>
      <c r="B707" s="9">
        <f ca="1">Prices!B706*(1+J707/(50*(ABS(O707)+ABS(T707)+0.0001)))</f>
        <v>1.196014070088087</v>
      </c>
      <c r="C707" s="13">
        <f t="shared" ca="1" si="64"/>
        <v>1</v>
      </c>
      <c r="D707" s="9">
        <f ca="1">D706+C707*(Prices!B707-Prices!B706)/Prices!B706</f>
        <v>-0.5990773354119201</v>
      </c>
      <c r="E707" s="9">
        <f t="shared" ca="1" si="65"/>
        <v>0.63520128667066644</v>
      </c>
      <c r="F707" s="9">
        <f t="shared" ca="1" si="66"/>
        <v>3.6123951258746317E-2</v>
      </c>
      <c r="G707" s="13">
        <f ca="1">IF((Prices!B707-Prices!B706)*B707&gt;0,1,0)</f>
        <v>1</v>
      </c>
      <c r="H707" s="9">
        <f>ABS(Prices!B707-Prices!B706)/Prices!B706</f>
        <v>3.1553812041615337E-3</v>
      </c>
      <c r="I707" s="13"/>
      <c r="J707" s="1">
        <f t="shared" ca="1" si="67"/>
        <v>6.1729829855019569E-2</v>
      </c>
      <c r="K707" s="9"/>
      <c r="L707" s="9">
        <f ca="1">L706-O707*Prices!B707</f>
        <v>0.56540378342387954</v>
      </c>
      <c r="M707" s="1">
        <f t="shared" ca="1" si="62"/>
        <v>0.36227925077182488</v>
      </c>
      <c r="N707" s="9">
        <f ca="1">IF(Prices!D706&gt;OFFSET(Prices!D706,-$N$3,0),1,IF(Prices!D706&lt;OFFSET(Prices!D706,-$N$3,0),-1,0))</f>
        <v>1</v>
      </c>
      <c r="O707" s="1">
        <f ca="1">IF(N707=1,O$3*L706/Prices!B706,O$3*M706*N707)</f>
        <v>5.3594299688510517E-2</v>
      </c>
      <c r="P707" s="14"/>
      <c r="Q707" s="9">
        <f ca="1">Q706-T707*Prices!B707</f>
        <v>0.46741630952756108</v>
      </c>
      <c r="R707" s="1">
        <f t="shared" ca="1" si="63"/>
        <v>0.4093626119248655</v>
      </c>
      <c r="S707" s="9">
        <f ca="1">IF(Prices!C706&lt;OFFSET(Prices!C706,-S$3,0),1,IF(Prices!C706&gt;OFFSET(Prices!C706,-S$3,0),-1,0))</f>
        <v>1</v>
      </c>
      <c r="T707" s="1">
        <f ca="1">IF(S707=1,T$3*Q706/Prices!B706,T$3*R706*S707)</f>
        <v>8.1355301665090498E-3</v>
      </c>
    </row>
    <row r="708" spans="1:20" x14ac:dyDescent="0.2">
      <c r="A708" s="4">
        <v>34498</v>
      </c>
      <c r="B708" s="9">
        <f ca="1">Prices!B707*(1+J708/(50*(ABS(O708)+ABS(T708)+0.0001)))</f>
        <v>1.1997840742757557</v>
      </c>
      <c r="C708" s="13">
        <f t="shared" ca="1" si="64"/>
        <v>1</v>
      </c>
      <c r="D708" s="9">
        <f ca="1">D707+C708*(Prices!B708-Prices!B707)/Prices!B707</f>
        <v>-0.58989600411888243</v>
      </c>
      <c r="E708" s="9">
        <f t="shared" ca="1" si="65"/>
        <v>0.62601995537762878</v>
      </c>
      <c r="F708" s="9">
        <f t="shared" ca="1" si="66"/>
        <v>3.6123951258746317E-2</v>
      </c>
      <c r="G708" s="13">
        <f ca="1">IF((Prices!B708-Prices!B707)*B708&gt;0,1,0)</f>
        <v>1</v>
      </c>
      <c r="H708" s="9">
        <f>ABS(Prices!B708-Prices!B707)/Prices!B707</f>
        <v>9.1813312930376124E-3</v>
      </c>
      <c r="I708" s="13"/>
      <c r="J708" s="1">
        <f t="shared" ca="1" si="67"/>
        <v>5.6013520813516265E-2</v>
      </c>
      <c r="K708" s="9"/>
      <c r="L708" s="9">
        <f ca="1">L707-O708*Prices!B708</f>
        <v>0.50834428913649643</v>
      </c>
      <c r="M708" s="1">
        <f t="shared" ca="1" si="62"/>
        <v>0.41034554197507911</v>
      </c>
      <c r="N708" s="9">
        <f ca="1">IF(Prices!D707&gt;OFFSET(Prices!D707,-$N$3,0),1,IF(Prices!D707&lt;OFFSET(Prices!D707,-$N$3,0),-1,0))</f>
        <v>1</v>
      </c>
      <c r="O708" s="1">
        <f ca="1">IF(N708=1,O$3*L707/Prices!B707,O$3*M707*N708)</f>
        <v>4.8066291203254237E-2</v>
      </c>
      <c r="P708" s="14"/>
      <c r="Q708" s="9">
        <f ca="1">Q707-T708*Prices!B708</f>
        <v>0.45798215325721903</v>
      </c>
      <c r="R708" s="1">
        <f t="shared" ca="1" si="63"/>
        <v>0.41730984153512751</v>
      </c>
      <c r="S708" s="9">
        <f ca="1">IF(Prices!C707&lt;OFFSET(Prices!C707,-S$3,0),1,IF(Prices!C707&gt;OFFSET(Prices!C707,-S$3,0),-1,0))</f>
        <v>1</v>
      </c>
      <c r="T708" s="1">
        <f ca="1">IF(S708=1,T$3*Q707/Prices!B707,T$3*R707*S708)</f>
        <v>7.9472296102620268E-3</v>
      </c>
    </row>
    <row r="709" spans="1:20" x14ac:dyDescent="0.2">
      <c r="A709" s="4">
        <v>34499</v>
      </c>
      <c r="B709" s="9">
        <f ca="1">Prices!B708*(1+J709/(50*(ABS(O709)+ABS(T709)+0.0001)))</f>
        <v>1.210795114583501</v>
      </c>
      <c r="C709" s="13">
        <f t="shared" ca="1" si="64"/>
        <v>1</v>
      </c>
      <c r="D709" s="9">
        <f ca="1">D708+C709*(Prices!B709-Prices!B708)/Prices!B708</f>
        <v>-0.5873688370731408</v>
      </c>
      <c r="E709" s="9">
        <f t="shared" ca="1" si="65"/>
        <v>0.62349278833188715</v>
      </c>
      <c r="F709" s="9">
        <f t="shared" ca="1" si="66"/>
        <v>3.6123951258746317E-2</v>
      </c>
      <c r="G709" s="13">
        <f ca="1">IF((Prices!B709-Prices!B708)*B709&gt;0,1,0)</f>
        <v>1</v>
      </c>
      <c r="H709" s="9">
        <f>ABS(Prices!B709-Prices!B708)/Prices!B708</f>
        <v>2.5271670457416321E-3</v>
      </c>
      <c r="I709" s="13"/>
      <c r="J709" s="1">
        <f t="shared" ca="1" si="67"/>
        <v>5.0538347214888403E-2</v>
      </c>
      <c r="K709" s="9"/>
      <c r="L709" s="9">
        <f ca="1">L708-O709*Prices!B709</f>
        <v>0.45738139312930709</v>
      </c>
      <c r="M709" s="1">
        <f t="shared" ca="1" si="62"/>
        <v>0.4531679064883043</v>
      </c>
      <c r="N709" s="9">
        <f ca="1">IF(Prices!D708&gt;OFFSET(Prices!D708,-$N$3,0),1,IF(Prices!D708&lt;OFFSET(Prices!D708,-$N$3,0),-1,0))</f>
        <v>1</v>
      </c>
      <c r="O709" s="1">
        <f ca="1">IF(N709=1,O$3*L708/Prices!B708,O$3*M708*N709)</f>
        <v>4.2822364513225207E-2</v>
      </c>
      <c r="P709" s="14"/>
      <c r="Q709" s="9">
        <f ca="1">Q708-T709*Prices!B709</f>
        <v>0.44879936224396966</v>
      </c>
      <c r="R709" s="1">
        <f t="shared" ca="1" si="63"/>
        <v>0.42502582423679069</v>
      </c>
      <c r="S709" s="9">
        <f ca="1">IF(Prices!C708&lt;OFFSET(Prices!C708,-S$3,0),1,IF(Prices!C708&gt;OFFSET(Prices!C708,-S$3,0),-1,0))</f>
        <v>1</v>
      </c>
      <c r="T709" s="1">
        <f ca="1">IF(S709=1,T$3*Q708/Prices!B708,T$3*R708*S709)</f>
        <v>7.7159827016631969E-3</v>
      </c>
    </row>
    <row r="710" spans="1:20" x14ac:dyDescent="0.2">
      <c r="A710" s="4">
        <v>34500</v>
      </c>
      <c r="B710" s="9">
        <f ca="1">Prices!B709*(1+J710/(50*(ABS(O710)+ABS(T710)+0.0001)))</f>
        <v>1.1731225183529452</v>
      </c>
      <c r="C710" s="13">
        <f t="shared" ca="1" si="64"/>
        <v>-1</v>
      </c>
      <c r="D710" s="9">
        <f ca="1">D709+C710*(Prices!B710-Prices!B709)/Prices!B709</f>
        <v>-0.59249445676896473</v>
      </c>
      <c r="E710" s="9">
        <f t="shared" ca="1" si="65"/>
        <v>0.62861840802771107</v>
      </c>
      <c r="F710" s="9">
        <f t="shared" ca="1" si="66"/>
        <v>3.6123951258746317E-2</v>
      </c>
      <c r="G710" s="13">
        <f ca="1">IF((Prices!B710-Prices!B709)*B710&gt;0,1,0)</f>
        <v>1</v>
      </c>
      <c r="H710" s="9">
        <f>ABS(Prices!B710-Prices!B709)/Prices!B709</f>
        <v>5.1256196958238756E-3</v>
      </c>
      <c r="I710" s="13"/>
      <c r="J710" s="1">
        <f t="shared" ca="1" si="67"/>
        <v>-3.7774578023942275E-2</v>
      </c>
      <c r="K710" s="9"/>
      <c r="L710" s="9">
        <f ca="1">L709-O710*Prices!B710</f>
        <v>0.5115893381034381</v>
      </c>
      <c r="M710" s="1">
        <f t="shared" ca="1" si="62"/>
        <v>0.40785111583947387</v>
      </c>
      <c r="N710" s="9">
        <f ca="1">IF(Prices!D709&gt;OFFSET(Prices!D709,-$N$3,0),1,IF(Prices!D709&lt;OFFSET(Prices!D709,-$N$3,0),-1,0))</f>
        <v>-1</v>
      </c>
      <c r="O710" s="1">
        <f ca="1">IF(N710=1,O$3*L709/Prices!B709,O$3*M709*N710)</f>
        <v>-4.531679064883043E-2</v>
      </c>
      <c r="P710" s="14"/>
      <c r="Q710" s="9">
        <f ca="1">Q709-T710*Prices!B710</f>
        <v>0.43977736750207846</v>
      </c>
      <c r="R710" s="1">
        <f t="shared" ca="1" si="63"/>
        <v>0.43256803686167883</v>
      </c>
      <c r="S710" s="9">
        <f ca="1">IF(Prices!C709&lt;OFFSET(Prices!C709,-S$3,0),1,IF(Prices!C709&gt;OFFSET(Prices!C709,-S$3,0),-1,0))</f>
        <v>1</v>
      </c>
      <c r="T710" s="1">
        <f ca="1">IF(S710=1,T$3*Q709/Prices!B709,T$3*R709*S710)</f>
        <v>7.5422126248881564E-3</v>
      </c>
    </row>
    <row r="711" spans="1:20" x14ac:dyDescent="0.2">
      <c r="A711" s="4">
        <v>34501</v>
      </c>
      <c r="B711" s="9">
        <f ca="1">Prices!B710*(1+J711/(50*(ABS(O711)+ABS(T711)+0.0001)))</f>
        <v>1.2200763623520832</v>
      </c>
      <c r="C711" s="13">
        <f t="shared" ca="1" si="64"/>
        <v>1</v>
      </c>
      <c r="D711" s="9">
        <f ca="1">D710+C711*(Prices!B711-Prices!B710)/Prices!B710</f>
        <v>-0.59182567228476468</v>
      </c>
      <c r="E711" s="9">
        <f t="shared" ca="1" si="65"/>
        <v>0.62794962354351103</v>
      </c>
      <c r="F711" s="9">
        <f t="shared" ca="1" si="66"/>
        <v>3.6123951258746317E-2</v>
      </c>
      <c r="G711" s="13">
        <f ca="1">IF((Prices!B711-Prices!B710)*B711&gt;0,1,0)</f>
        <v>1</v>
      </c>
      <c r="H711" s="9">
        <f>ABS(Prices!B711-Prices!B710)/Prices!B710</f>
        <v>6.6878448420007854E-4</v>
      </c>
      <c r="I711" s="13"/>
      <c r="J711" s="1">
        <f t="shared" ca="1" si="67"/>
        <v>5.0120783447906186E-2</v>
      </c>
      <c r="K711" s="9"/>
      <c r="L711" s="9">
        <f ca="1">L710-O711*Prices!B711</f>
        <v>0.46039618999193371</v>
      </c>
      <c r="M711" s="1">
        <f t="shared" ca="1" si="62"/>
        <v>0.45061899229018765</v>
      </c>
      <c r="N711" s="9">
        <f ca="1">IF(Prices!D710&gt;OFFSET(Prices!D710,-$N$3,0),1,IF(Prices!D710&lt;OFFSET(Prices!D710,-$N$3,0),-1,0))</f>
        <v>1</v>
      </c>
      <c r="O711" s="1">
        <f ca="1">IF(N711=1,O$3*L710/Prices!B710,O$3*M710*N711)</f>
        <v>4.2767876450713768E-2</v>
      </c>
      <c r="P711" s="14"/>
      <c r="Q711" s="9">
        <f ca="1">Q710-T711*Prices!B711</f>
        <v>0.43097593782643911</v>
      </c>
      <c r="R711" s="1">
        <f t="shared" ca="1" si="63"/>
        <v>0.43992094385887126</v>
      </c>
      <c r="S711" s="9">
        <f ca="1">IF(Prices!C710&lt;OFFSET(Prices!C710,-S$3,0),1,IF(Prices!C710&gt;OFFSET(Prices!C710,-S$3,0),-1,0))</f>
        <v>1</v>
      </c>
      <c r="T711" s="1">
        <f ca="1">IF(S711=1,T$3*Q710/Prices!B710,T$3*R710*S711)</f>
        <v>7.3529069971924174E-3</v>
      </c>
    </row>
    <row r="712" spans="1:20" x14ac:dyDescent="0.2">
      <c r="A712" s="4">
        <v>34502</v>
      </c>
      <c r="B712" s="9">
        <f ca="1">Prices!B711*(1+J712/(50*(ABS(O712)+ABS(T712)+0.0001)))</f>
        <v>1.220887687499089</v>
      </c>
      <c r="C712" s="13">
        <f t="shared" ca="1" si="64"/>
        <v>1</v>
      </c>
      <c r="D712" s="9">
        <f ca="1">D711+C712*(Prices!B712-Prices!B711)/Prices!B711</f>
        <v>-0.59157504571834862</v>
      </c>
      <c r="E712" s="9">
        <f t="shared" ca="1" si="65"/>
        <v>0.62769899697709497</v>
      </c>
      <c r="F712" s="9">
        <f t="shared" ca="1" si="66"/>
        <v>3.6123951258746317E-2</v>
      </c>
      <c r="G712" s="13">
        <f ca="1">IF((Prices!B712-Prices!B711)*B712&gt;0,1,0)</f>
        <v>1</v>
      </c>
      <c r="H712" s="9">
        <f>ABS(Prices!B712-Prices!B711)/Prices!B711</f>
        <v>2.506265664160125E-4</v>
      </c>
      <c r="I712" s="13"/>
      <c r="J712" s="1">
        <f t="shared" ca="1" si="67"/>
        <v>4.5663440063259945E-2</v>
      </c>
      <c r="K712" s="9"/>
      <c r="L712" s="9">
        <f ca="1">L711-O712*Prices!B712</f>
        <v>0.41434503224111147</v>
      </c>
      <c r="M712" s="1">
        <f t="shared" ca="1" si="62"/>
        <v>0.48908149771975606</v>
      </c>
      <c r="N712" s="9">
        <f ca="1">IF(Prices!D711&gt;OFFSET(Prices!D711,-$N$3,0),1,IF(Prices!D711&lt;OFFSET(Prices!D711,-$N$3,0),-1,0))</f>
        <v>1</v>
      </c>
      <c r="O712" s="1">
        <f ca="1">IF(N712=1,O$3*L711/Prices!B711,O$3*M711*N712)</f>
        <v>3.8462505429568396E-2</v>
      </c>
      <c r="P712" s="14"/>
      <c r="Q712" s="9">
        <f ca="1">Q711-T712*Prices!B712</f>
        <v>0.42235425878952021</v>
      </c>
      <c r="R712" s="1">
        <f t="shared" ca="1" si="63"/>
        <v>0.4471218784925628</v>
      </c>
      <c r="S712" s="9">
        <f ca="1">IF(Prices!C711&lt;OFFSET(Prices!C711,-S$3,0),1,IF(Prices!C711&gt;OFFSET(Prices!C711,-S$3,0),-1,0))</f>
        <v>1</v>
      </c>
      <c r="T712" s="1">
        <f ca="1">IF(S712=1,T$3*Q711/Prices!B711,T$3*R711*S712)</f>
        <v>7.2009346336915471E-3</v>
      </c>
    </row>
    <row r="713" spans="1:20" x14ac:dyDescent="0.2">
      <c r="A713" s="4">
        <v>34505</v>
      </c>
      <c r="B713" s="9">
        <f ca="1">Prices!B712*(1+J713/(50*(ABS(O713)+ABS(T713)+0.0001)))</f>
        <v>1.2211886604203299</v>
      </c>
      <c r="C713" s="13">
        <f t="shared" ca="1" si="64"/>
        <v>1</v>
      </c>
      <c r="D713" s="9">
        <f ca="1">D712+C713*(Prices!B713-Prices!B712)/Prices!B712</f>
        <v>-0.573534454387855</v>
      </c>
      <c r="E713" s="9">
        <f t="shared" ca="1" si="65"/>
        <v>0.60965840564660134</v>
      </c>
      <c r="F713" s="9">
        <f t="shared" ca="1" si="66"/>
        <v>3.6123951258746317E-2</v>
      </c>
      <c r="G713" s="13">
        <f ca="1">IF((Prices!B713-Prices!B712)*B713&gt;0,1,0)</f>
        <v>1</v>
      </c>
      <c r="H713" s="9">
        <f>ABS(Prices!B713-Prices!B712)/Prices!B712</f>
        <v>1.8040591330493662E-2</v>
      </c>
      <c r="I713" s="13"/>
      <c r="J713" s="1">
        <f t="shared" ca="1" si="67"/>
        <v>4.1661729224005309E-2</v>
      </c>
      <c r="K713" s="9"/>
      <c r="L713" s="9">
        <f ca="1">L712-O713*Prices!B713</f>
        <v>0.37216302607735208</v>
      </c>
      <c r="M713" s="1">
        <f t="shared" ca="1" si="62"/>
        <v>0.52368811529606207</v>
      </c>
      <c r="N713" s="9">
        <f ca="1">IF(Prices!D712&gt;OFFSET(Prices!D712,-$N$3,0),1,IF(Prices!D712&lt;OFFSET(Prices!D712,-$N$3,0),-1,0))</f>
        <v>1</v>
      </c>
      <c r="O713" s="1">
        <f ca="1">IF(N713=1,O$3*L712/Prices!B712,O$3*M712*N713)</f>
        <v>3.4606617576305981E-2</v>
      </c>
      <c r="P713" s="14"/>
      <c r="Q713" s="9">
        <f ca="1">Q712-T713*Prices!B713</f>
        <v>0.41375478320213949</v>
      </c>
      <c r="R713" s="1">
        <f t="shared" ca="1" si="63"/>
        <v>0.45417699014026214</v>
      </c>
      <c r="S713" s="9">
        <f ca="1">IF(Prices!C712&lt;OFFSET(Prices!C712,-S$3,0),1,IF(Prices!C712&gt;OFFSET(Prices!C712,-S$3,0),-1,0))</f>
        <v>1</v>
      </c>
      <c r="T713" s="1">
        <f ca="1">IF(S713=1,T$3*Q712/Prices!B712,T$3*R712*S713)</f>
        <v>7.0551116476993275E-3</v>
      </c>
    </row>
    <row r="714" spans="1:20" x14ac:dyDescent="0.2">
      <c r="A714" s="4">
        <v>34506</v>
      </c>
      <c r="B714" s="9">
        <f ca="1">Prices!B713*(1+J714/(50*(ABS(O714)+ABS(T714)+0.0001)))</f>
        <v>1.2432128559480675</v>
      </c>
      <c r="C714" s="13">
        <f t="shared" ca="1" si="64"/>
        <v>1</v>
      </c>
      <c r="D714" s="9">
        <f ca="1">D713+C714*(Prices!B714-Prices!B713)/Prices!B713</f>
        <v>-0.57427282504992749</v>
      </c>
      <c r="E714" s="9">
        <f t="shared" ca="1" si="65"/>
        <v>0.61039677630867384</v>
      </c>
      <c r="F714" s="9">
        <f t="shared" ca="1" si="66"/>
        <v>3.6123951258746317E-2</v>
      </c>
      <c r="G714" s="13">
        <f ca="1">IF((Prices!B714-Prices!B713)*B714&gt;0,1,0)</f>
        <v>0</v>
      </c>
      <c r="H714" s="9">
        <f>ABS(Prices!B714-Prices!B713)/Prices!B713</f>
        <v>7.3837066207246111E-4</v>
      </c>
      <c r="I714" s="13"/>
      <c r="J714" s="1">
        <f t="shared" ca="1" si="67"/>
        <v>3.7321682067255717E-2</v>
      </c>
      <c r="K714" s="9"/>
      <c r="L714" s="9">
        <f ca="1">L713-O714*Prices!B714</f>
        <v>0.33497420289561325</v>
      </c>
      <c r="M714" s="1">
        <f t="shared" ca="1" si="62"/>
        <v>0.5542208108475718</v>
      </c>
      <c r="N714" s="9">
        <f ca="1">IF(Prices!D713&gt;OFFSET(Prices!D713,-$N$3,0),1,IF(Prices!D713&lt;OFFSET(Prices!D713,-$N$3,0),-1,0))</f>
        <v>1</v>
      </c>
      <c r="O714" s="1">
        <f ca="1">IF(N714=1,O$3*L713/Prices!B713,O$3*M713*N714)</f>
        <v>3.0532695551509725E-2</v>
      </c>
      <c r="P714" s="14"/>
      <c r="Q714" s="9">
        <f ca="1">Q713-T714*Prices!B714</f>
        <v>0.40548579762596088</v>
      </c>
      <c r="R714" s="1">
        <f t="shared" ca="1" si="63"/>
        <v>0.46096597665600814</v>
      </c>
      <c r="S714" s="9">
        <f ca="1">IF(Prices!C713&lt;OFFSET(Prices!C713,-S$3,0),1,IF(Prices!C713&gt;OFFSET(Prices!C713,-S$3,0),-1,0))</f>
        <v>1</v>
      </c>
      <c r="T714" s="1">
        <f ca="1">IF(S714=1,T$3*Q713/Prices!B713,T$3*R713*S714)</f>
        <v>6.7889865157459914E-3</v>
      </c>
    </row>
    <row r="715" spans="1:20" x14ac:dyDescent="0.2">
      <c r="A715" s="4">
        <v>34507</v>
      </c>
      <c r="B715" s="9">
        <f ca="1">Prices!B714*(1+J715/(50*(ABS(O715)+ABS(T715)+0.0001)))</f>
        <v>1.2422888971091237</v>
      </c>
      <c r="C715" s="13">
        <f t="shared" ca="1" si="64"/>
        <v>1</v>
      </c>
      <c r="D715" s="9">
        <f ca="1">D714+C715*(Prices!B715-Prices!B714)/Prices!B714</f>
        <v>-0.57378021421248915</v>
      </c>
      <c r="E715" s="9">
        <f t="shared" ca="1" si="65"/>
        <v>0.60990416547123549</v>
      </c>
      <c r="F715" s="9">
        <f t="shared" ca="1" si="66"/>
        <v>3.6123951258746317E-2</v>
      </c>
      <c r="G715" s="13">
        <f ca="1">IF((Prices!B715-Prices!B714)*B715&gt;0,1,0)</f>
        <v>1</v>
      </c>
      <c r="H715" s="9">
        <f>ABS(Prices!B715-Prices!B714)/Prices!B714</f>
        <v>4.926108374383694E-4</v>
      </c>
      <c r="I715" s="13"/>
      <c r="J715" s="1">
        <f t="shared" ca="1" si="67"/>
        <v>3.4160210379376478E-2</v>
      </c>
      <c r="K715" s="9"/>
      <c r="L715" s="9">
        <f ca="1">L714-O715*Prices!B715</f>
        <v>0.30146028141379105</v>
      </c>
      <c r="M715" s="1">
        <f t="shared" ca="1" si="62"/>
        <v>0.58172279794901793</v>
      </c>
      <c r="N715" s="9">
        <f ca="1">IF(Prices!D714&gt;OFFSET(Prices!D714,-$N$3,0),1,IF(Prices!D714&lt;OFFSET(Prices!D714,-$N$3,0),-1,0))</f>
        <v>1</v>
      </c>
      <c r="O715" s="1">
        <f ca="1">IF(N715=1,O$3*L714/Prices!B714,O$3*M714*N715)</f>
        <v>2.7501987101446083E-2</v>
      </c>
      <c r="P715" s="14"/>
      <c r="Q715" s="9">
        <f ca="1">Q714-T715*Prices!B715</f>
        <v>0.39737208673947488</v>
      </c>
      <c r="R715" s="1">
        <f t="shared" ca="1" si="63"/>
        <v>0.46762419993393856</v>
      </c>
      <c r="S715" s="9">
        <f ca="1">IF(Prices!C714&lt;OFFSET(Prices!C714,-S$3,0),1,IF(Prices!C714&gt;OFFSET(Prices!C714,-S$3,0),-1,0))</f>
        <v>1</v>
      </c>
      <c r="T715" s="1">
        <f ca="1">IF(S715=1,T$3*Q714/Prices!B714,T$3*R714*S715)</f>
        <v>6.6582232779303927E-3</v>
      </c>
    </row>
    <row r="716" spans="1:20" x14ac:dyDescent="0.2">
      <c r="A716" s="4">
        <v>34508</v>
      </c>
      <c r="B716" s="9">
        <f ca="1">Prices!B715*(1+J716/(50*(ABS(O716)+ABS(T716)+0.0001)))</f>
        <v>1.1991718925090149</v>
      </c>
      <c r="C716" s="13">
        <f t="shared" ca="1" si="64"/>
        <v>-1</v>
      </c>
      <c r="D716" s="9">
        <f ca="1">D715+C716*(Prices!B716-Prices!B715)/Prices!B715</f>
        <v>-0.57230310933804318</v>
      </c>
      <c r="E716" s="9">
        <f t="shared" ca="1" si="65"/>
        <v>0.60842706059678953</v>
      </c>
      <c r="F716" s="9">
        <f t="shared" ca="1" si="66"/>
        <v>3.6123951258746317E-2</v>
      </c>
      <c r="G716" s="13">
        <f ca="1">IF((Prices!B716-Prices!B715)*B716&gt;0,1,0)</f>
        <v>0</v>
      </c>
      <c r="H716" s="9">
        <f>ABS(Prices!B716-Prices!B715)/Prices!B715</f>
        <v>1.4771048744459231E-3</v>
      </c>
      <c r="I716" s="13"/>
      <c r="J716" s="1">
        <f t="shared" ca="1" si="67"/>
        <v>-5.1650499280549676E-2</v>
      </c>
      <c r="K716" s="9"/>
      <c r="L716" s="9">
        <f ca="1">L715-O716*Prices!B716</f>
        <v>0.37224431146822756</v>
      </c>
      <c r="M716" s="1">
        <f t="shared" ca="1" si="62"/>
        <v>0.52355051815411613</v>
      </c>
      <c r="N716" s="9">
        <f ca="1">IF(Prices!D715&gt;OFFSET(Prices!D715,-$N$3,0),1,IF(Prices!D715&lt;OFFSET(Prices!D715,-$N$3,0),-1,0))</f>
        <v>-1</v>
      </c>
      <c r="O716" s="1">
        <f ca="1">IF(N716=1,O$3*L715/Prices!B715,O$3*M715*N716)</f>
        <v>-5.8172279794901798E-2</v>
      </c>
      <c r="P716" s="14"/>
      <c r="Q716" s="9">
        <f ca="1">Q715-T716*Prices!B716</f>
        <v>0.38943638420961124</v>
      </c>
      <c r="R716" s="1">
        <f t="shared" ca="1" si="63"/>
        <v>0.4741459804482907</v>
      </c>
      <c r="S716" s="9">
        <f ca="1">IF(Prices!C715&lt;OFFSET(Prices!C715,-S$3,0),1,IF(Prices!C715&gt;OFFSET(Prices!C715,-S$3,0),-1,0))</f>
        <v>1</v>
      </c>
      <c r="T716" s="1">
        <f ca="1">IF(S716=1,T$3*Q715/Prices!B715,T$3*R715*S716)</f>
        <v>6.5217805143521239E-3</v>
      </c>
    </row>
    <row r="717" spans="1:20" x14ac:dyDescent="0.2">
      <c r="A717" s="4">
        <v>34509</v>
      </c>
      <c r="B717" s="9">
        <f ca="1">Prices!B716*(1+J717/(50*(ABS(O717)+ABS(T717)+0.0001)))</f>
        <v>1.1977987572195028</v>
      </c>
      <c r="C717" s="13">
        <f t="shared" ca="1" si="64"/>
        <v>-1</v>
      </c>
      <c r="D717" s="9">
        <f ca="1">D716+C717*(Prices!B717-Prices!B716)/Prices!B716</f>
        <v>-0.57600133419011412</v>
      </c>
      <c r="E717" s="9">
        <f t="shared" ca="1" si="65"/>
        <v>0.61212528544886047</v>
      </c>
      <c r="F717" s="9">
        <f t="shared" ca="1" si="66"/>
        <v>3.6123951258746317E-2</v>
      </c>
      <c r="G717" s="13">
        <f ca="1">IF((Prices!B717-Prices!B716)*B717&gt;0,1,0)</f>
        <v>1</v>
      </c>
      <c r="H717" s="9">
        <f>ABS(Prices!B717-Prices!B716)/Prices!B716</f>
        <v>3.6982248520709632E-3</v>
      </c>
      <c r="I717" s="13"/>
      <c r="J717" s="1">
        <f t="shared" ca="1" si="67"/>
        <v>-4.5954059307035361E-2</v>
      </c>
      <c r="K717" s="9"/>
      <c r="L717" s="9">
        <f ca="1">L716-O717*Prices!B717</f>
        <v>0.43618553625038975</v>
      </c>
      <c r="M717" s="1">
        <f t="shared" ca="1" si="62"/>
        <v>0.47119546633870452</v>
      </c>
      <c r="N717" s="9">
        <f ca="1">IF(Prices!D716&gt;OFFSET(Prices!D716,-$N$3,0),1,IF(Prices!D716&lt;OFFSET(Prices!D716,-$N$3,0),-1,0))</f>
        <v>-1</v>
      </c>
      <c r="O717" s="1">
        <f ca="1">IF(N717=1,O$3*L716/Prices!B716,O$3*M716*N717)</f>
        <v>-5.2355051815411613E-2</v>
      </c>
      <c r="P717" s="14"/>
      <c r="Q717" s="9">
        <f ca="1">Q716-T717*Prices!B717</f>
        <v>0.38161885205913132</v>
      </c>
      <c r="R717" s="1">
        <f t="shared" ca="1" si="63"/>
        <v>0.48054697295666698</v>
      </c>
      <c r="S717" s="9">
        <f ca="1">IF(Prices!C716&lt;OFFSET(Prices!C716,-S$3,0),1,IF(Prices!C716&gt;OFFSET(Prices!C716,-S$3,0),-1,0))</f>
        <v>1</v>
      </c>
      <c r="T717" s="1">
        <f ca="1">IF(S717=1,T$3*Q716/Prices!B716,T$3*R716*S717)</f>
        <v>6.4009925083762529E-3</v>
      </c>
    </row>
    <row r="718" spans="1:20" x14ac:dyDescent="0.2">
      <c r="A718" s="4">
        <v>34512</v>
      </c>
      <c r="B718" s="9">
        <f ca="1">Prices!B717*(1+J718/(50*(ABS(O718)+ABS(T718)+0.0001)))</f>
        <v>1.2456679316789518</v>
      </c>
      <c r="C718" s="13">
        <f t="shared" ca="1" si="64"/>
        <v>1</v>
      </c>
      <c r="D718" s="9">
        <f ca="1">D717+C718*(Prices!B718-Prices!B717)/Prices!B717</f>
        <v>-0.56273678002651795</v>
      </c>
      <c r="E718" s="9">
        <f t="shared" ca="1" si="65"/>
        <v>0.59886073128526429</v>
      </c>
      <c r="F718" s="9">
        <f t="shared" ca="1" si="66"/>
        <v>3.6123951258746317E-2</v>
      </c>
      <c r="G718" s="13">
        <f ca="1">IF((Prices!B718-Prices!B717)*B718&gt;0,1,0)</f>
        <v>1</v>
      </c>
      <c r="H718" s="9">
        <f>ABS(Prices!B718-Prices!B717)/Prices!B717</f>
        <v>1.3264554163596161E-2</v>
      </c>
      <c r="I718" s="13"/>
      <c r="J718" s="1">
        <f t="shared" ca="1" si="67"/>
        <v>4.1964243565235079E-2</v>
      </c>
      <c r="K718" s="9"/>
      <c r="L718" s="9">
        <f ca="1">L717-O718*Prices!B718</f>
        <v>0.39198840195825374</v>
      </c>
      <c r="M718" s="1">
        <f t="shared" ca="1" si="62"/>
        <v>0.50691032233234978</v>
      </c>
      <c r="N718" s="9">
        <f ca="1">IF(Prices!D717&gt;OFFSET(Prices!D717,-$N$3,0),1,IF(Prices!D717&lt;OFFSET(Prices!D717,-$N$3,0),-1,0))</f>
        <v>1</v>
      </c>
      <c r="O718" s="1">
        <f ca="1">IF(N718=1,O$3*L717/Prices!B717,O$3*M717*N718)</f>
        <v>3.5714855993645274E-2</v>
      </c>
      <c r="P718" s="14"/>
      <c r="Q718" s="9">
        <f ca="1">Q717-T718*Prices!B718</f>
        <v>0.37388523493928894</v>
      </c>
      <c r="R718" s="1">
        <f t="shared" ca="1" si="63"/>
        <v>0.48679636052825681</v>
      </c>
      <c r="S718" s="9">
        <f ca="1">IF(Prices!C717&lt;OFFSET(Prices!C717,-S$3,0),1,IF(Prices!C717&gt;OFFSET(Prices!C717,-S$3,0),-1,0))</f>
        <v>1</v>
      </c>
      <c r="T718" s="1">
        <f ca="1">IF(S718=1,T$3*Q717/Prices!B717,T$3*R717*S718)</f>
        <v>6.2493875715898027E-3</v>
      </c>
    </row>
    <row r="719" spans="1:20" x14ac:dyDescent="0.2">
      <c r="A719" s="4">
        <v>34513</v>
      </c>
      <c r="B719" s="9">
        <f ca="1">Prices!B718*(1+J719/(50*(ABS(O719)+ABS(T719)+0.0001)))</f>
        <v>1.2505809350388797</v>
      </c>
      <c r="C719" s="13">
        <f t="shared" ca="1" si="64"/>
        <v>1</v>
      </c>
      <c r="D719" s="9">
        <f ca="1">D718+C719*(Prices!B719-Prices!B718)/Prices!B718</f>
        <v>-0.56815092144065948</v>
      </c>
      <c r="E719" s="9">
        <f t="shared" ca="1" si="65"/>
        <v>0.60427487269940583</v>
      </c>
      <c r="F719" s="9">
        <f t="shared" ca="1" si="66"/>
        <v>3.6123951258746317E-2</v>
      </c>
      <c r="G719" s="13">
        <f ca="1">IF((Prices!B719-Prices!B718)*B719&gt;0,1,0)</f>
        <v>0</v>
      </c>
      <c r="H719" s="9">
        <f>ABS(Prices!B719-Prices!B718)/Prices!B718</f>
        <v>5.4141414141415352E-3</v>
      </c>
      <c r="I719" s="13"/>
      <c r="J719" s="1">
        <f t="shared" ca="1" si="67"/>
        <v>2.1939903250707892E-2</v>
      </c>
      <c r="K719" s="9"/>
      <c r="L719" s="9">
        <f ca="1">L718-O719*Prices!B719</f>
        <v>0.35300178982651892</v>
      </c>
      <c r="M719" s="1">
        <f t="shared" ca="1" si="62"/>
        <v>0.53858615279362276</v>
      </c>
      <c r="N719" s="9">
        <f ca="1">IF(Prices!D718&gt;OFFSET(Prices!D718,-$N$3,0),1,IF(Prices!D718&lt;OFFSET(Prices!D718,-$N$3,0),-1,0))</f>
        <v>1</v>
      </c>
      <c r="O719" s="1">
        <f ca="1">IF(N719=1,O$3*L718/Prices!B718,O$3*M718*N719)</f>
        <v>3.1675830461273029E-2</v>
      </c>
      <c r="P719" s="14"/>
      <c r="Q719" s="9">
        <f ca="1">Q718-T719*Prices!B719</f>
        <v>0.38586821415005251</v>
      </c>
      <c r="R719" s="1">
        <f t="shared" ca="1" si="63"/>
        <v>0.47706043331769166</v>
      </c>
      <c r="S719" s="9">
        <f ca="1">IF(Prices!C718&lt;OFFSET(Prices!C718,-S$3,0),1,IF(Prices!C718&gt;OFFSET(Prices!C718,-S$3,0),-1,0))</f>
        <v>-1</v>
      </c>
      <c r="T719" s="1">
        <f ca="1">IF(S719=1,T$3*Q718/Prices!B718,T$3*R718*S719)</f>
        <v>-9.7359272105651366E-3</v>
      </c>
    </row>
    <row r="720" spans="1:20" x14ac:dyDescent="0.2">
      <c r="A720" s="4">
        <v>34514</v>
      </c>
      <c r="B720" s="9">
        <f ca="1">Prices!B719*(1+J720/(50*(ABS(O720)+ABS(T720)+0.0001)))</f>
        <v>1.2553457706650795</v>
      </c>
      <c r="C720" s="13">
        <f t="shared" ca="1" si="64"/>
        <v>1</v>
      </c>
      <c r="D720" s="9">
        <f ca="1">D719+C720*(Prices!B720-Prices!B719)/Prices!B719</f>
        <v>-0.5674196897214524</v>
      </c>
      <c r="E720" s="9">
        <f t="shared" ca="1" si="65"/>
        <v>0.60354364098019875</v>
      </c>
      <c r="F720" s="9">
        <f t="shared" ca="1" si="66"/>
        <v>3.6123951258746317E-2</v>
      </c>
      <c r="G720" s="13">
        <f ca="1">IF((Prices!B720-Prices!B719)*B720&gt;0,1,0)</f>
        <v>1</v>
      </c>
      <c r="H720" s="9">
        <f>ABS(Prices!B720-Prices!B719)/Prices!B719</f>
        <v>7.312317192071198E-4</v>
      </c>
      <c r="I720" s="13"/>
      <c r="J720" s="1">
        <f t="shared" ca="1" si="67"/>
        <v>3.4950880131339734E-2</v>
      </c>
      <c r="K720" s="9"/>
      <c r="L720" s="9">
        <f ca="1">L719-O720*Prices!B720</f>
        <v>0.31767579823330122</v>
      </c>
      <c r="M720" s="1">
        <f t="shared" ca="1" si="62"/>
        <v>0.56726683120006727</v>
      </c>
      <c r="N720" s="9">
        <f ca="1">IF(Prices!D719&gt;OFFSET(Prices!D719,-$N$3,0),1,IF(Prices!D719&lt;OFFSET(Prices!D719,-$N$3,0),-1,0))</f>
        <v>1</v>
      </c>
      <c r="O720" s="1">
        <f ca="1">IF(N720=1,O$3*L719/Prices!B719,O$3*M719*N720)</f>
        <v>2.8680678406444504E-2</v>
      </c>
      <c r="P720" s="14"/>
      <c r="Q720" s="9">
        <f ca="1">Q719-T720*Prices!B720</f>
        <v>0.37814520668549906</v>
      </c>
      <c r="R720" s="1">
        <f t="shared" ca="1" si="63"/>
        <v>0.48333063504258689</v>
      </c>
      <c r="S720" s="9">
        <f ca="1">IF(Prices!C719&lt;OFFSET(Prices!C719,-S$3,0),1,IF(Prices!C719&gt;OFFSET(Prices!C719,-S$3,0),-1,0))</f>
        <v>1</v>
      </c>
      <c r="T720" s="1">
        <f ca="1">IF(S720=1,T$3*Q719/Prices!B719,T$3*R719*S720)</f>
        <v>6.2702017248952319E-3</v>
      </c>
    </row>
    <row r="721" spans="1:20" x14ac:dyDescent="0.2">
      <c r="A721" s="4">
        <v>34515</v>
      </c>
      <c r="B721" s="9">
        <f ca="1">Prices!B720*(1+J721/(50*(ABS(O721)+ABS(T721)+0.0001)))</f>
        <v>1.256257095341605</v>
      </c>
      <c r="C721" s="13">
        <f t="shared" ca="1" si="64"/>
        <v>1</v>
      </c>
      <c r="D721" s="9">
        <f ca="1">D720+C721*(Prices!B721-Prices!B720)/Prices!B720</f>
        <v>-0.57383358920996419</v>
      </c>
      <c r="E721" s="9">
        <f t="shared" ca="1" si="65"/>
        <v>0.60995754046871054</v>
      </c>
      <c r="F721" s="9">
        <f t="shared" ca="1" si="66"/>
        <v>3.6123951258746317E-2</v>
      </c>
      <c r="G721" s="13">
        <f ca="1">IF((Prices!B721-Prices!B720)*B721&gt;0,1,0)</f>
        <v>0</v>
      </c>
      <c r="H721" s="9">
        <f>ABS(Prices!B721-Prices!B720)/Prices!B720</f>
        <v>6.4138994885118272E-3</v>
      </c>
      <c r="I721" s="13"/>
      <c r="J721" s="1">
        <f t="shared" ca="1" si="67"/>
        <v>3.1931869738605262E-2</v>
      </c>
      <c r="K721" s="9"/>
      <c r="L721" s="9">
        <f ca="1">L720-O721*Prices!B721</f>
        <v>0.2861119724739512</v>
      </c>
      <c r="M721" s="1">
        <f t="shared" ca="1" si="62"/>
        <v>0.59305848486843626</v>
      </c>
      <c r="N721" s="9">
        <f ca="1">IF(Prices!D720&gt;OFFSET(Prices!D720,-$N$3,0),1,IF(Prices!D720&lt;OFFSET(Prices!D720,-$N$3,0),-1,0))</f>
        <v>1</v>
      </c>
      <c r="O721" s="1">
        <f ca="1">IF(N721=1,O$3*L720/Prices!B720,O$3*M720*N721)</f>
        <v>2.5791653668369021E-2</v>
      </c>
      <c r="P721" s="14"/>
      <c r="Q721" s="9">
        <f ca="1">Q720-T721*Prices!B721</f>
        <v>0.37063081025874395</v>
      </c>
      <c r="R721" s="1">
        <f t="shared" ca="1" si="63"/>
        <v>0.48947085111282312</v>
      </c>
      <c r="S721" s="9">
        <f ca="1">IF(Prices!C720&lt;OFFSET(Prices!C720,-S$3,0),1,IF(Prices!C720&gt;OFFSET(Prices!C720,-S$3,0),-1,0))</f>
        <v>1</v>
      </c>
      <c r="T721" s="1">
        <f ca="1">IF(S721=1,T$3*Q720/Prices!B720,T$3*R720*S721)</f>
        <v>6.1402160702362435E-3</v>
      </c>
    </row>
    <row r="722" spans="1:20" x14ac:dyDescent="0.2">
      <c r="A722" s="4">
        <v>34516</v>
      </c>
      <c r="B722" s="9">
        <f ca="1">Prices!B721*(1+J722/(50*(ABS(O722)+ABS(T722)+0.0001)))</f>
        <v>1.248193131719999</v>
      </c>
      <c r="C722" s="13">
        <f t="shared" ca="1" si="64"/>
        <v>1</v>
      </c>
      <c r="D722" s="9">
        <f ca="1">D721+C722*(Prices!B722-Prices!B721)/Prices!B721</f>
        <v>-0.57563126856933666</v>
      </c>
      <c r="E722" s="9">
        <f t="shared" ca="1" si="65"/>
        <v>0.61175521982808301</v>
      </c>
      <c r="F722" s="9">
        <f t="shared" ca="1" si="66"/>
        <v>3.6123951258746317E-2</v>
      </c>
      <c r="G722" s="13">
        <f ca="1">IF((Prices!B722-Prices!B721)*B722&gt;0,1,0)</f>
        <v>0</v>
      </c>
      <c r="H722" s="9">
        <f>ABS(Prices!B722-Prices!B721)/Prices!B721</f>
        <v>1.79767935937243E-3</v>
      </c>
      <c r="I722" s="13"/>
      <c r="J722" s="1">
        <f t="shared" ca="1" si="67"/>
        <v>2.9436029949803891E-2</v>
      </c>
      <c r="K722" s="9"/>
      <c r="L722" s="9">
        <f ca="1">L721-O722*Prices!B722</f>
        <v>0.25755220898529463</v>
      </c>
      <c r="M722" s="1">
        <f t="shared" ref="M722:M785" ca="1" si="68">M721+O722</f>
        <v>0.61643746611324357</v>
      </c>
      <c r="N722" s="9">
        <f ca="1">IF(Prices!D721&gt;OFFSET(Prices!D721,-$N$3,0),1,IF(Prices!D721&lt;OFFSET(Prices!D721,-$N$3,0),-1,0))</f>
        <v>1</v>
      </c>
      <c r="O722" s="1">
        <f ca="1">IF(N722=1,O$3*L721/Prices!B721,O$3*M721*N722)</f>
        <v>2.3378981244807258E-2</v>
      </c>
      <c r="P722" s="14"/>
      <c r="Q722" s="9">
        <f ca="1">Q721-T722*Prices!B722</f>
        <v>0.36323151956072008</v>
      </c>
      <c r="R722" s="1">
        <f t="shared" ref="R722:R785" ca="1" si="69">R721+T722</f>
        <v>0.49552789981781975</v>
      </c>
      <c r="S722" s="9">
        <f ca="1">IF(Prices!C721&lt;OFFSET(Prices!C721,-S$3,0),1,IF(Prices!C721&gt;OFFSET(Prices!C721,-S$3,0),-1,0))</f>
        <v>1</v>
      </c>
      <c r="T722" s="1">
        <f ca="1">IF(S722=1,T$3*Q721/Prices!B721,T$3*R721*S722)</f>
        <v>6.0570487049966329E-3</v>
      </c>
    </row>
    <row r="723" spans="1:20" x14ac:dyDescent="0.2">
      <c r="A723" s="4">
        <v>34519</v>
      </c>
      <c r="B723" s="9">
        <f ca="1">Prices!B722*(1+J723/(50*(ABS(O723)+ABS(T723)+0.0001)))</f>
        <v>1.2459419447195914</v>
      </c>
      <c r="C723" s="13">
        <f t="shared" ca="1" si="64"/>
        <v>1</v>
      </c>
      <c r="D723" s="9">
        <f ca="1">D722+C723*(Prices!B723-Prices!B722)/Prices!B722</f>
        <v>-0.57587684813711659</v>
      </c>
      <c r="E723" s="9">
        <f t="shared" ca="1" si="65"/>
        <v>0.61200079939586294</v>
      </c>
      <c r="F723" s="9">
        <f t="shared" ca="1" si="66"/>
        <v>3.6123951258746317E-2</v>
      </c>
      <c r="G723" s="13">
        <f ca="1">IF((Prices!B723-Prices!B722)*B723&gt;0,1,0)</f>
        <v>0</v>
      </c>
      <c r="H723" s="9">
        <f>ABS(Prices!B723-Prices!B722)/Prices!B722</f>
        <v>2.4557956777993364E-4</v>
      </c>
      <c r="I723" s="13"/>
      <c r="J723" s="1">
        <f t="shared" ca="1" si="67"/>
        <v>2.7030002692979591E-2</v>
      </c>
      <c r="K723" s="9"/>
      <c r="L723" s="9">
        <f ca="1">L722-O723*Prices!B723</f>
        <v>0.23180331304278151</v>
      </c>
      <c r="M723" s="1">
        <f t="shared" ca="1" si="68"/>
        <v>0.6375206528343712</v>
      </c>
      <c r="N723" s="9">
        <f ca="1">IF(Prices!D722&gt;OFFSET(Prices!D722,-$N$3,0),1,IF(Prices!D722&lt;OFFSET(Prices!D722,-$N$3,0),-1,0))</f>
        <v>1</v>
      </c>
      <c r="O723" s="1">
        <f ca="1">IF(N723=1,O$3*L722/Prices!B722,O$3*M722*N723)</f>
        <v>2.1083186721127592E-2</v>
      </c>
      <c r="P723" s="14"/>
      <c r="Q723" s="9">
        <f ca="1">Q722-T723*Prices!B723</f>
        <v>0.35596867321429726</v>
      </c>
      <c r="R723" s="1">
        <f t="shared" ca="1" si="69"/>
        <v>0.50147471578967173</v>
      </c>
      <c r="S723" s="9">
        <f ca="1">IF(Prices!C722&lt;OFFSET(Prices!C722,-S$3,0),1,IF(Prices!C722&gt;OFFSET(Prices!C722,-S$3,0),-1,0))</f>
        <v>1</v>
      </c>
      <c r="T723" s="1">
        <f ca="1">IF(S723=1,T$3*Q722/Prices!B722,T$3*R722*S723)</f>
        <v>5.9468159718519993E-3</v>
      </c>
    </row>
    <row r="724" spans="1:20" x14ac:dyDescent="0.2">
      <c r="A724" s="4">
        <v>34520</v>
      </c>
      <c r="B724" s="9">
        <f ca="1">Prices!B723*(1+J724/(50*(ABS(O724)+ABS(T724)+0.0001)))</f>
        <v>1.2009958677442059</v>
      </c>
      <c r="C724" s="13">
        <f t="shared" ca="1" si="64"/>
        <v>-1</v>
      </c>
      <c r="D724" s="9">
        <f ca="1">D723+C724*(Prices!B724-Prices!B723)/Prices!B723</f>
        <v>-0.58275476511083313</v>
      </c>
      <c r="E724" s="9">
        <f t="shared" ca="1" si="65"/>
        <v>0.61887871636957947</v>
      </c>
      <c r="F724" s="9">
        <f t="shared" ca="1" si="66"/>
        <v>3.6123951258746317E-2</v>
      </c>
      <c r="G724" s="13">
        <f ca="1">IF((Prices!B724-Prices!B723)*B724&gt;0,1,0)</f>
        <v>1</v>
      </c>
      <c r="H724" s="9">
        <f>ABS(Prices!B724-Prices!B723)/Prices!B723</f>
        <v>6.8779169737165011E-3</v>
      </c>
      <c r="I724" s="13"/>
      <c r="J724" s="1">
        <f t="shared" ca="1" si="67"/>
        <v>-5.7922724855789573E-2</v>
      </c>
      <c r="K724" s="9"/>
      <c r="L724" s="9">
        <f ca="1">L723-O724*Prices!B724</f>
        <v>0.31019922772182412</v>
      </c>
      <c r="M724" s="1">
        <f t="shared" ca="1" si="68"/>
        <v>0.57376858755093407</v>
      </c>
      <c r="N724" s="9">
        <f ca="1">IF(Prices!D723&gt;OFFSET(Prices!D723,-$N$3,0),1,IF(Prices!D723&lt;OFFSET(Prices!D723,-$N$3,0),-1,0))</f>
        <v>-1</v>
      </c>
      <c r="O724" s="1">
        <f ca="1">IF(N724=1,O$3*L723/Prices!B723,O$3*M723*N724)</f>
        <v>-6.3752065283437118E-2</v>
      </c>
      <c r="P724" s="14"/>
      <c r="Q724" s="9">
        <f ca="1">Q723-T724*Prices!B724</f>
        <v>0.3488003332904191</v>
      </c>
      <c r="R724" s="1">
        <f t="shared" ca="1" si="69"/>
        <v>0.50730405621731922</v>
      </c>
      <c r="S724" s="9">
        <f ca="1">IF(Prices!C723&lt;OFFSET(Prices!C723,-S$3,0),1,IF(Prices!C723&gt;OFFSET(Prices!C723,-S$3,0),-1,0))</f>
        <v>1</v>
      </c>
      <c r="T724" s="1">
        <f ca="1">IF(S724=1,T$3*Q723/Prices!B723,T$3*R723*S724)</f>
        <v>5.8293404276475438E-3</v>
      </c>
    </row>
    <row r="725" spans="1:20" x14ac:dyDescent="0.2">
      <c r="A725" s="4">
        <v>34521</v>
      </c>
      <c r="B725" s="9">
        <f ca="1">Prices!B724*(1+J725/(50*(ABS(O725)+ABS(T725)+0.0001)))</f>
        <v>1.2051423693149748</v>
      </c>
      <c r="C725" s="13">
        <f t="shared" ca="1" si="64"/>
        <v>-1</v>
      </c>
      <c r="D725" s="9">
        <f ca="1">D724+C725*(Prices!B725-Prices!B724)/Prices!B724</f>
        <v>-0.59121211243131777</v>
      </c>
      <c r="E725" s="9">
        <f t="shared" ca="1" si="65"/>
        <v>0.62733606369006412</v>
      </c>
      <c r="F725" s="9">
        <f t="shared" ca="1" si="66"/>
        <v>3.6123951258746317E-2</v>
      </c>
      <c r="G725" s="13">
        <f ca="1">IF((Prices!B725-Prices!B724)*B725&gt;0,1,0)</f>
        <v>1</v>
      </c>
      <c r="H725" s="9">
        <f>ABS(Prices!B725-Prices!B724)/Prices!B724</f>
        <v>8.4573473204846428E-3</v>
      </c>
      <c r="I725" s="13"/>
      <c r="J725" s="1">
        <f t="shared" ca="1" si="67"/>
        <v>-6.7522939879439789E-2</v>
      </c>
      <c r="K725" s="9"/>
      <c r="L725" s="9">
        <f ca="1">L724-O725*Prices!B725</f>
        <v>0.38135227026401547</v>
      </c>
      <c r="M725" s="1">
        <f t="shared" ca="1" si="68"/>
        <v>0.51639172879584061</v>
      </c>
      <c r="N725" s="9">
        <f ca="1">IF(Prices!D724&gt;OFFSET(Prices!D724,-$N$3,0),1,IF(Prices!D724&lt;OFFSET(Prices!D724,-$N$3,0),-1,0))</f>
        <v>-1</v>
      </c>
      <c r="O725" s="1">
        <f ca="1">IF(N725=1,O$3*L724/Prices!B724,O$3*M724*N725)</f>
        <v>-5.7376858755093407E-2</v>
      </c>
      <c r="P725" s="14"/>
      <c r="Q725" s="9">
        <f ca="1">Q724-T725*Prices!B725</f>
        <v>0.36138248849272103</v>
      </c>
      <c r="R725" s="1">
        <f t="shared" ca="1" si="69"/>
        <v>0.49715797509297283</v>
      </c>
      <c r="S725" s="9">
        <f ca="1">IF(Prices!C724&lt;OFFSET(Prices!C724,-S$3,0),1,IF(Prices!C724&gt;OFFSET(Prices!C724,-S$3,0),-1,0))</f>
        <v>-1</v>
      </c>
      <c r="T725" s="1">
        <f ca="1">IF(S725=1,T$3*Q724/Prices!B724,T$3*R724*S725)</f>
        <v>-1.0146081124346385E-2</v>
      </c>
    </row>
    <row r="726" spans="1:20" x14ac:dyDescent="0.2">
      <c r="A726" s="4">
        <v>34522</v>
      </c>
      <c r="B726" s="9">
        <f ca="1">Prices!B725*(1+J726/(50*(ABS(O726)+ABS(T726)+0.0001)))</f>
        <v>1.2153382092447584</v>
      </c>
      <c r="C726" s="13">
        <f t="shared" ca="1" si="64"/>
        <v>-1</v>
      </c>
      <c r="D726" s="9">
        <f ca="1">D725+C726*(Prices!B726-Prices!B725)/Prices!B725</f>
        <v>-0.58782528878806317</v>
      </c>
      <c r="E726" s="9">
        <f t="shared" ca="1" si="65"/>
        <v>0.62394924004680952</v>
      </c>
      <c r="F726" s="9">
        <f t="shared" ca="1" si="66"/>
        <v>3.6123951258746317E-2</v>
      </c>
      <c r="G726" s="13">
        <f ca="1">IF((Prices!B726-Prices!B725)*B726&gt;0,1,0)</f>
        <v>0</v>
      </c>
      <c r="H726" s="9">
        <f>ABS(Prices!B726-Prices!B725)/Prices!B725</f>
        <v>3.3868236432545613E-3</v>
      </c>
      <c r="I726" s="13"/>
      <c r="J726" s="1">
        <f t="shared" ca="1" si="67"/>
        <v>-6.1582332381443519E-2</v>
      </c>
      <c r="K726" s="9"/>
      <c r="L726" s="9">
        <f ca="1">L725-O726*Prices!B726</f>
        <v>0.44517312402589343</v>
      </c>
      <c r="M726" s="1">
        <f t="shared" ca="1" si="68"/>
        <v>0.46475255591625653</v>
      </c>
      <c r="N726" s="9">
        <f ca="1">IF(Prices!D725&gt;OFFSET(Prices!D725,-$N$3,0),1,IF(Prices!D725&lt;OFFSET(Prices!D725,-$N$3,0),-1,0))</f>
        <v>-1</v>
      </c>
      <c r="O726" s="1">
        <f ca="1">IF(N726=1,O$3*L725/Prices!B725,O$3*M725*N726)</f>
        <v>-5.1639172879584062E-2</v>
      </c>
      <c r="P726" s="14"/>
      <c r="Q726" s="9">
        <f ca="1">Q725-T726*Prices!B726</f>
        <v>0.37367123932106916</v>
      </c>
      <c r="R726" s="1">
        <f t="shared" ca="1" si="69"/>
        <v>0.48721481559111335</v>
      </c>
      <c r="S726" s="9">
        <f ca="1">IF(Prices!C725&lt;OFFSET(Prices!C725,-S$3,0),1,IF(Prices!C725&gt;OFFSET(Prices!C725,-S$3,0),-1,0))</f>
        <v>-1</v>
      </c>
      <c r="T726" s="1">
        <f ca="1">IF(S726=1,T$3*Q725/Prices!B725,T$3*R725*S726)</f>
        <v>-9.9431595018594568E-3</v>
      </c>
    </row>
    <row r="727" spans="1:20" x14ac:dyDescent="0.2">
      <c r="A727" s="4">
        <v>34523</v>
      </c>
      <c r="B727" s="9">
        <f ca="1">Prices!B726*(1+J727/(50*(ABS(O727)+ABS(T727)+0.0001)))</f>
        <v>1.2169097871841061</v>
      </c>
      <c r="C727" s="13">
        <f t="shared" ca="1" si="64"/>
        <v>-1</v>
      </c>
      <c r="D727" s="9">
        <f ca="1">D726+C727*(Prices!B727-Prices!B726)/Prices!B726</f>
        <v>-0.5883916776544762</v>
      </c>
      <c r="E727" s="9">
        <f t="shared" ca="1" si="65"/>
        <v>0.62451562891322254</v>
      </c>
      <c r="F727" s="9">
        <f t="shared" ca="1" si="66"/>
        <v>3.6123951258746317E-2</v>
      </c>
      <c r="G727" s="13">
        <f ca="1">IF((Prices!B727-Prices!B726)*B727&gt;0,1,0)</f>
        <v>1</v>
      </c>
      <c r="H727" s="9">
        <f>ABS(Prices!B727-Prices!B726)/Prices!B726</f>
        <v>5.6638886641307781E-4</v>
      </c>
      <c r="I727" s="13"/>
      <c r="J727" s="1">
        <f t="shared" ca="1" si="67"/>
        <v>-4.0428306173046984E-2</v>
      </c>
      <c r="K727" s="9"/>
      <c r="L727" s="9">
        <f ca="1">L726-O727*Prices!B727</f>
        <v>0.50264442509049767</v>
      </c>
      <c r="M727" s="1">
        <f t="shared" ca="1" si="68"/>
        <v>0.41827730032463084</v>
      </c>
      <c r="N727" s="9">
        <f ca="1">IF(Prices!D726&gt;OFFSET(Prices!D726,-$N$3,0),1,IF(Prices!D726&lt;OFFSET(Prices!D726,-$N$3,0),-1,0))</f>
        <v>-1</v>
      </c>
      <c r="O727" s="1">
        <f ca="1">IF(N727=1,O$3*L726/Prices!B726,O$3*M726*N727)</f>
        <v>-4.6475255591625658E-2</v>
      </c>
      <c r="P727" s="14"/>
      <c r="Q727" s="9">
        <f ca="1">Q726-T727*Prices!B727</f>
        <v>0.36619358167005478</v>
      </c>
      <c r="R727" s="1">
        <f t="shared" ca="1" si="69"/>
        <v>0.49326176500969204</v>
      </c>
      <c r="S727" s="9">
        <f ca="1">IF(Prices!C726&lt;OFFSET(Prices!C726,-S$3,0),1,IF(Prices!C726&gt;OFFSET(Prices!C726,-S$3,0),-1,0))</f>
        <v>1</v>
      </c>
      <c r="T727" s="1">
        <f ca="1">IF(S727=1,T$3*Q726/Prices!B726,T$3*R726*S727)</f>
        <v>6.0469494185786737E-3</v>
      </c>
    </row>
    <row r="728" spans="1:20" x14ac:dyDescent="0.2">
      <c r="A728" s="4">
        <v>34526</v>
      </c>
      <c r="B728" s="9">
        <f ca="1">Prices!B727*(1+J728/(50*(ABS(O728)+ABS(T728)+0.0001)))</f>
        <v>1.2612790065066142</v>
      </c>
      <c r="C728" s="13">
        <f t="shared" ca="1" si="64"/>
        <v>1</v>
      </c>
      <c r="D728" s="9">
        <f ca="1">D727+C728*(Prices!B728-Prices!B727)/Prices!B727</f>
        <v>-0.56631501583982302</v>
      </c>
      <c r="E728" s="9">
        <f t="shared" ca="1" si="65"/>
        <v>0.60243896709856937</v>
      </c>
      <c r="F728" s="9">
        <f t="shared" ca="1" si="66"/>
        <v>3.6123951258746317E-2</v>
      </c>
      <c r="G728" s="13">
        <f ca="1">IF((Prices!B728-Prices!B727)*B728&gt;0,1,0)</f>
        <v>1</v>
      </c>
      <c r="H728" s="9">
        <f>ABS(Prices!B728-Prices!B727)/Prices!B727</f>
        <v>2.2076661814653165E-2</v>
      </c>
      <c r="I728" s="13"/>
      <c r="J728" s="1">
        <f t="shared" ca="1" si="67"/>
        <v>4.656988043219381E-2</v>
      </c>
      <c r="K728" s="9"/>
      <c r="L728" s="9">
        <f ca="1">L727-O728*Prices!B728</f>
        <v>0.45127031148287355</v>
      </c>
      <c r="M728" s="1">
        <f t="shared" ca="1" si="68"/>
        <v>0.4589245933127028</v>
      </c>
      <c r="N728" s="9">
        <f ca="1">IF(Prices!D727&gt;OFFSET(Prices!D727,-$N$3,0),1,IF(Prices!D727&lt;OFFSET(Prices!D727,-$N$3,0),-1,0))</f>
        <v>1</v>
      </c>
      <c r="O728" s="1">
        <f ca="1">IF(N728=1,O$3*L727/Prices!B727,O$3*M727*N728)</f>
        <v>4.0647292988071945E-2</v>
      </c>
      <c r="P728" s="14"/>
      <c r="Q728" s="9">
        <f ca="1">Q727-T728*Prices!B728</f>
        <v>0.35870802339942914</v>
      </c>
      <c r="R728" s="1">
        <f t="shared" ca="1" si="69"/>
        <v>0.49918435245381393</v>
      </c>
      <c r="S728" s="9">
        <f ca="1">IF(Prices!C727&lt;OFFSET(Prices!C727,-S$3,0),1,IF(Prices!C727&gt;OFFSET(Prices!C727,-S$3,0),-1,0))</f>
        <v>1</v>
      </c>
      <c r="T728" s="1">
        <f ca="1">IF(S728=1,T$3*Q727/Prices!B727,T$3*R727*S728)</f>
        <v>5.9225874441218634E-3</v>
      </c>
    </row>
    <row r="729" spans="1:20" x14ac:dyDescent="0.2">
      <c r="A729" s="4">
        <v>34527</v>
      </c>
      <c r="B729" s="9">
        <f ca="1">Prices!B728*(1+J729/(50*(ABS(O729)+ABS(T729)+0.0001)))</f>
        <v>1.2891170609613967</v>
      </c>
      <c r="C729" s="13">
        <f t="shared" ca="1" si="64"/>
        <v>1</v>
      </c>
      <c r="D729" s="9">
        <f ca="1">D728+C729*(Prices!B729-Prices!B728)/Prices!B728</f>
        <v>-0.55507994977446973</v>
      </c>
      <c r="E729" s="9">
        <f t="shared" ca="1" si="65"/>
        <v>0.59120390103321607</v>
      </c>
      <c r="F729" s="9">
        <f t="shared" ca="1" si="66"/>
        <v>3.6123951258746317E-2</v>
      </c>
      <c r="G729" s="13">
        <f ca="1">IF((Prices!B729-Prices!B728)*B729&gt;0,1,0)</f>
        <v>1</v>
      </c>
      <c r="H729" s="9">
        <f>ABS(Prices!B729-Prices!B728)/Prices!B728</f>
        <v>1.1235066065353265E-2</v>
      </c>
      <c r="I729" s="13"/>
      <c r="J729" s="1">
        <f t="shared" ca="1" si="67"/>
        <v>4.1380798810250766E-2</v>
      </c>
      <c r="K729" s="9"/>
      <c r="L729" s="9">
        <f ca="1">L728-O729*Prices!B729</f>
        <v>0.40563627515830192</v>
      </c>
      <c r="M729" s="1">
        <f t="shared" ca="1" si="68"/>
        <v>0.49462918319187626</v>
      </c>
      <c r="N729" s="9">
        <f ca="1">IF(Prices!D728&gt;OFFSET(Prices!D728,-$N$3,0),1,IF(Prices!D728&lt;OFFSET(Prices!D728,-$N$3,0),-1,0))</f>
        <v>1</v>
      </c>
      <c r="O729" s="1">
        <f ca="1">IF(N729=1,O$3*L728/Prices!B728,O$3*M728*N729)</f>
        <v>3.5704589879173479E-2</v>
      </c>
      <c r="P729" s="14"/>
      <c r="Q729" s="9">
        <f ca="1">Q728-T729*Prices!B729</f>
        <v>0.35145326076461925</v>
      </c>
      <c r="R729" s="1">
        <f t="shared" ca="1" si="69"/>
        <v>0.50486056138489122</v>
      </c>
      <c r="S729" s="9">
        <f ca="1">IF(Prices!C728&lt;OFFSET(Prices!C728,-S$3,0),1,IF(Prices!C728&gt;OFFSET(Prices!C728,-S$3,0),-1,0))</f>
        <v>1</v>
      </c>
      <c r="T729" s="1">
        <f ca="1">IF(S729=1,T$3*Q728/Prices!B728,T$3*R728*S729)</f>
        <v>5.6762089310772867E-3</v>
      </c>
    </row>
    <row r="730" spans="1:20" x14ac:dyDescent="0.2">
      <c r="A730" s="4">
        <v>34528</v>
      </c>
      <c r="B730" s="9">
        <f ca="1">Prices!B729*(1+J730/(50*(ABS(O730)+ABS(T730)+0.0001)))</f>
        <v>1.3035935372003014</v>
      </c>
      <c r="C730" s="13">
        <f t="shared" ca="1" si="64"/>
        <v>1</v>
      </c>
      <c r="D730" s="9">
        <f ca="1">D729+C730*(Prices!B730-Prices!B729)/Prices!B729</f>
        <v>-0.56329526938952323</v>
      </c>
      <c r="E730" s="9">
        <f t="shared" ca="1" si="65"/>
        <v>0.59941922064826958</v>
      </c>
      <c r="F730" s="9">
        <f t="shared" ca="1" si="66"/>
        <v>3.6123951258746317E-2</v>
      </c>
      <c r="G730" s="13">
        <f ca="1">IF((Prices!B730-Prices!B729)*B730&gt;0,1,0)</f>
        <v>0</v>
      </c>
      <c r="H730" s="9">
        <f>ABS(Prices!B730-Prices!B729)/Prices!B729</f>
        <v>8.2153196150535589E-3</v>
      </c>
      <c r="I730" s="13"/>
      <c r="J730" s="1">
        <f t="shared" ca="1" si="67"/>
        <v>3.7237064964496192E-2</v>
      </c>
      <c r="K730" s="9"/>
      <c r="L730" s="9">
        <f ca="1">L729-O730*Prices!B730</f>
        <v>0.36540589080726027</v>
      </c>
      <c r="M730" s="1">
        <f t="shared" ca="1" si="68"/>
        <v>0.52636662745745033</v>
      </c>
      <c r="N730" s="9">
        <f ca="1">IF(Prices!D729&gt;OFFSET(Prices!D729,-$N$3,0),1,IF(Prices!D729&lt;OFFSET(Prices!D729,-$N$3,0),-1,0))</f>
        <v>1</v>
      </c>
      <c r="O730" s="1">
        <f ca="1">IF(N730=1,O$3*L729/Prices!B729,O$3*M729*N730)</f>
        <v>3.1737444265574052E-2</v>
      </c>
      <c r="P730" s="14"/>
      <c r="Q730" s="9">
        <f ca="1">Q729-T730*Prices!B730</f>
        <v>0.34448194156666556</v>
      </c>
      <c r="R730" s="1">
        <f t="shared" ca="1" si="69"/>
        <v>0.5103601820838134</v>
      </c>
      <c r="S730" s="9">
        <f ca="1">IF(Prices!C729&lt;OFFSET(Prices!C729,-S$3,0),1,IF(Prices!C729&gt;OFFSET(Prices!C729,-S$3,0),-1,0))</f>
        <v>1</v>
      </c>
      <c r="T730" s="1">
        <f ca="1">IF(S730=1,T$3*Q729/Prices!B729,T$3*R729*S730)</f>
        <v>5.4996206989221382E-3</v>
      </c>
    </row>
    <row r="731" spans="1:20" x14ac:dyDescent="0.2">
      <c r="A731" s="4">
        <v>34529</v>
      </c>
      <c r="B731" s="9">
        <f ca="1">Prices!B730*(1+J731/(50*(ABS(O731)+ABS(T731)+0.0001)))</f>
        <v>1.2470290198635137</v>
      </c>
      <c r="C731" s="13">
        <f t="shared" ca="1" si="64"/>
        <v>-1</v>
      </c>
      <c r="D731" s="9">
        <f ca="1">D730+C731*(Prices!B731-Prices!B730)/Prices!B730</f>
        <v>-0.55745746566595111</v>
      </c>
      <c r="E731" s="9">
        <f t="shared" ca="1" si="65"/>
        <v>0.59358141692469746</v>
      </c>
      <c r="F731" s="9">
        <f t="shared" ca="1" si="66"/>
        <v>3.6123951258746317E-2</v>
      </c>
      <c r="G731" s="13">
        <f ca="1">IF((Prices!B731-Prices!B730)*B731&gt;0,1,0)</f>
        <v>0</v>
      </c>
      <c r="H731" s="9">
        <f>ABS(Prices!B731-Prices!B730)/Prices!B730</f>
        <v>5.8378037235721622E-3</v>
      </c>
      <c r="I731" s="13"/>
      <c r="J731" s="1">
        <f t="shared" ca="1" si="67"/>
        <v>-4.7201479066876849E-2</v>
      </c>
      <c r="K731" s="9"/>
      <c r="L731" s="9">
        <f ca="1">L730-O731*Prices!B731</f>
        <v>0.43173861319944817</v>
      </c>
      <c r="M731" s="1">
        <f t="shared" ca="1" si="68"/>
        <v>0.47372996471170531</v>
      </c>
      <c r="N731" s="9">
        <f ca="1">IF(Prices!D730&gt;OFFSET(Prices!D730,-$N$3,0),1,IF(Prices!D730&lt;OFFSET(Prices!D730,-$N$3,0),-1,0))</f>
        <v>-1</v>
      </c>
      <c r="O731" s="1">
        <f ca="1">IF(N731=1,O$3*L730/Prices!B730,O$3*M730*N731)</f>
        <v>-5.2636662745745036E-2</v>
      </c>
      <c r="P731" s="14"/>
      <c r="Q731" s="9">
        <f ca="1">Q730-T731*Prices!B731</f>
        <v>0.33763252309455588</v>
      </c>
      <c r="R731" s="1">
        <f t="shared" ca="1" si="69"/>
        <v>0.51579536576268159</v>
      </c>
      <c r="S731" s="9">
        <f ca="1">IF(Prices!C730&lt;OFFSET(Prices!C730,-S$3,0),1,IF(Prices!C730&gt;OFFSET(Prices!C730,-S$3,0),-1,0))</f>
        <v>1</v>
      </c>
      <c r="T731" s="1">
        <f ca="1">IF(S731=1,T$3*Q730/Prices!B730,T$3*R730*S731)</f>
        <v>5.4351836788681844E-3</v>
      </c>
    </row>
    <row r="732" spans="1:20" x14ac:dyDescent="0.2">
      <c r="A732" s="4">
        <v>34530</v>
      </c>
      <c r="B732" s="9">
        <f ca="1">Prices!B731*(1+J732/(50*(ABS(O732)+ABS(T732)+0.0001)))</f>
        <v>1.2350396139091566</v>
      </c>
      <c r="C732" s="13">
        <f t="shared" ca="1" si="64"/>
        <v>-1</v>
      </c>
      <c r="D732" s="9">
        <f ca="1">D731+C732*(Prices!B732-Prices!B731)/Prices!B731</f>
        <v>-0.55174408683719367</v>
      </c>
      <c r="E732" s="9">
        <f t="shared" ca="1" si="65"/>
        <v>0.58786803809594002</v>
      </c>
      <c r="F732" s="9">
        <f t="shared" ca="1" si="66"/>
        <v>3.6123951258746317E-2</v>
      </c>
      <c r="G732" s="13">
        <f ca="1">IF((Prices!B732-Prices!B731)*B732&gt;0,1,0)</f>
        <v>0</v>
      </c>
      <c r="H732" s="9">
        <f>ABS(Prices!B732-Prices!B731)/Prices!B731</f>
        <v>5.7133788287574159E-3</v>
      </c>
      <c r="I732" s="13"/>
      <c r="J732" s="1">
        <f t="shared" ca="1" si="67"/>
        <v>-5.7688903786424162E-2</v>
      </c>
      <c r="K732" s="9"/>
      <c r="L732" s="9">
        <f ca="1">L731-O732*Prices!B732</f>
        <v>0.49109697777782485</v>
      </c>
      <c r="M732" s="1">
        <f t="shared" ca="1" si="68"/>
        <v>0.42635696824053476</v>
      </c>
      <c r="N732" s="9">
        <f ca="1">IF(Prices!D731&gt;OFFSET(Prices!D731,-$N$3,0),1,IF(Prices!D731&lt;OFFSET(Prices!D731,-$N$3,0),-1,0))</f>
        <v>-1</v>
      </c>
      <c r="O732" s="1">
        <f ca="1">IF(N732=1,O$3*L731/Prices!B731,O$3*M731*N732)</f>
        <v>-4.7372996471170534E-2</v>
      </c>
      <c r="P732" s="14"/>
      <c r="Q732" s="9">
        <f ca="1">Q731-T732*Prices!B732</f>
        <v>0.3505583549605687</v>
      </c>
      <c r="R732" s="1">
        <f t="shared" ca="1" si="69"/>
        <v>0.50547945844742792</v>
      </c>
      <c r="S732" s="9">
        <f ca="1">IF(Prices!C731&lt;OFFSET(Prices!C731,-S$3,0),1,IF(Prices!C731&gt;OFFSET(Prices!C731,-S$3,0),-1,0))</f>
        <v>-1</v>
      </c>
      <c r="T732" s="1">
        <f ca="1">IF(S732=1,T$3*Q731/Prices!B731,T$3*R731*S732)</f>
        <v>-1.0315907315253631E-2</v>
      </c>
    </row>
    <row r="733" spans="1:20" x14ac:dyDescent="0.2">
      <c r="A733" s="4">
        <v>34533</v>
      </c>
      <c r="B733" s="9">
        <f ca="1">Prices!B732*(1+J733/(50*(ABS(O733)+ABS(T733)+0.0001)))</f>
        <v>1.2279874214483451</v>
      </c>
      <c r="C733" s="13">
        <f t="shared" ca="1" si="64"/>
        <v>-1</v>
      </c>
      <c r="D733" s="9">
        <f ca="1">D732+C733*(Prices!B733-Prices!B732)/Prices!B732</f>
        <v>-0.55749029593535815</v>
      </c>
      <c r="E733" s="9">
        <f t="shared" ca="1" si="65"/>
        <v>0.59361424719410449</v>
      </c>
      <c r="F733" s="9">
        <f t="shared" ca="1" si="66"/>
        <v>3.6123951258746317E-2</v>
      </c>
      <c r="G733" s="13">
        <f ca="1">IF((Prices!B733-Prices!B732)*B733&gt;0,1,0)</f>
        <v>1</v>
      </c>
      <c r="H733" s="9">
        <f>ABS(Prices!B733-Prices!B732)/Prices!B732</f>
        <v>5.7462090981644821E-3</v>
      </c>
      <c r="I733" s="13"/>
      <c r="J733" s="1">
        <f t="shared" ca="1" si="67"/>
        <v>-5.2745285993002038E-2</v>
      </c>
      <c r="K733" s="9"/>
      <c r="L733" s="9">
        <f ca="1">L732-O733*Prices!B733</f>
        <v>0.54482648291549707</v>
      </c>
      <c r="M733" s="1">
        <f t="shared" ca="1" si="68"/>
        <v>0.38372127141648127</v>
      </c>
      <c r="N733" s="9">
        <f ca="1">IF(Prices!D732&gt;OFFSET(Prices!D732,-$N$3,0),1,IF(Prices!D732&lt;OFFSET(Prices!D732,-$N$3,0),-1,0))</f>
        <v>-1</v>
      </c>
      <c r="O733" s="1">
        <f ca="1">IF(N733=1,O$3*L732/Prices!B732,O$3*M732*N733)</f>
        <v>-4.2635696824053479E-2</v>
      </c>
      <c r="P733" s="14"/>
      <c r="Q733" s="9">
        <f ca="1">Q732-T733*Prices!B733</f>
        <v>0.36329845923127768</v>
      </c>
      <c r="R733" s="1">
        <f t="shared" ca="1" si="69"/>
        <v>0.49536986927847937</v>
      </c>
      <c r="S733" s="9">
        <f ca="1">IF(Prices!C732&lt;OFFSET(Prices!C732,-S$3,0),1,IF(Prices!C732&gt;OFFSET(Prices!C732,-S$3,0),-1,0))</f>
        <v>-1</v>
      </c>
      <c r="T733" s="1">
        <f ca="1">IF(S733=1,T$3*Q732/Prices!B732,T$3*R732*S733)</f>
        <v>-1.0109589168948559E-2</v>
      </c>
    </row>
    <row r="734" spans="1:20" x14ac:dyDescent="0.2">
      <c r="A734" s="4">
        <v>34534</v>
      </c>
      <c r="B734" s="9">
        <f ca="1">Prices!B733*(1+J734/(50*(ABS(O734)+ABS(T734)+0.0001)))</f>
        <v>1.2350480964193971</v>
      </c>
      <c r="C734" s="13">
        <f t="shared" ca="1" si="64"/>
        <v>-1</v>
      </c>
      <c r="D734" s="9">
        <f ca="1">D733+C734*(Prices!B734-Prices!B733)/Prices!B733</f>
        <v>-0.54939634259461856</v>
      </c>
      <c r="E734" s="9">
        <f t="shared" ca="1" si="65"/>
        <v>0.5855202938533649</v>
      </c>
      <c r="F734" s="9">
        <f t="shared" ca="1" si="66"/>
        <v>3.6123951258746317E-2</v>
      </c>
      <c r="G734" s="13">
        <f ca="1">IF((Prices!B734-Prices!B733)*B734&gt;0,1,0)</f>
        <v>0</v>
      </c>
      <c r="H734" s="9">
        <f>ABS(Prices!B734-Prices!B733)/Prices!B733</f>
        <v>8.0939533407395556E-3</v>
      </c>
      <c r="I734" s="13"/>
      <c r="J734" s="1">
        <f t="shared" ca="1" si="67"/>
        <v>-4.8279524527217718E-2</v>
      </c>
      <c r="K734" s="9"/>
      <c r="L734" s="9">
        <f ca="1">L733-O734*Prices!B734</f>
        <v>0.59279164184255717</v>
      </c>
      <c r="M734" s="1">
        <f t="shared" ca="1" si="68"/>
        <v>0.34534914427483315</v>
      </c>
      <c r="N734" s="9">
        <f ca="1">IF(Prices!D733&gt;OFFSET(Prices!D733,-$N$3,0),1,IF(Prices!D733&lt;OFFSET(Prices!D733,-$N$3,0),-1,0))</f>
        <v>-1</v>
      </c>
      <c r="O734" s="1">
        <f ca="1">IF(N734=1,O$3*L733/Prices!B733,O$3*M733*N734)</f>
        <v>-3.837212714164813E-2</v>
      </c>
      <c r="P734" s="14"/>
      <c r="Q734" s="9">
        <f ca="1">Q733-T734*Prices!B734</f>
        <v>0.37568270596323966</v>
      </c>
      <c r="R734" s="1">
        <f t="shared" ca="1" si="69"/>
        <v>0.48546247189290981</v>
      </c>
      <c r="S734" s="9">
        <f ca="1">IF(Prices!C733&lt;OFFSET(Prices!C733,-S$3,0),1,IF(Prices!C733&gt;OFFSET(Prices!C733,-S$3,0),-1,0))</f>
        <v>-1</v>
      </c>
      <c r="T734" s="1">
        <f ca="1">IF(S734=1,T$3*Q733/Prices!B733,T$3*R733*S734)</f>
        <v>-9.9073973855695868E-3</v>
      </c>
    </row>
    <row r="735" spans="1:20" x14ac:dyDescent="0.2">
      <c r="A735" s="4">
        <v>34535</v>
      </c>
      <c r="B735" s="9">
        <f ca="1">Prices!B734*(1+J735/(50*(ABS(O735)+ABS(T735)+0.0001)))</f>
        <v>1.2250563772046212</v>
      </c>
      <c r="C735" s="13">
        <f t="shared" ca="1" si="64"/>
        <v>-1</v>
      </c>
      <c r="D735" s="9">
        <f ca="1">D734+C735*(Prices!B735-Prices!B734)/Prices!B734</f>
        <v>-0.54419634259461858</v>
      </c>
      <c r="E735" s="9">
        <f t="shared" ca="1" si="65"/>
        <v>0.58032029385336492</v>
      </c>
      <c r="F735" s="9">
        <f t="shared" ca="1" si="66"/>
        <v>3.6123951258746317E-2</v>
      </c>
      <c r="G735" s="13">
        <f ca="1">IF((Prices!B735-Prices!B734)*B735&gt;0,1,0)</f>
        <v>0</v>
      </c>
      <c r="H735" s="9">
        <f>ABS(Prices!B735-Prices!B734)/Prices!B734</f>
        <v>5.1999999999999599E-3</v>
      </c>
      <c r="I735" s="13"/>
      <c r="J735" s="1">
        <f t="shared" ca="1" si="67"/>
        <v>-4.4244163865341517E-2</v>
      </c>
      <c r="K735" s="9"/>
      <c r="L735" s="9">
        <f ca="1">L734-O735*Prices!B735</f>
        <v>0.63573580793313267</v>
      </c>
      <c r="M735" s="1">
        <f t="shared" ca="1" si="68"/>
        <v>0.31081422984734985</v>
      </c>
      <c r="N735" s="9">
        <f ca="1">IF(Prices!D734&gt;OFFSET(Prices!D734,-$N$3,0),1,IF(Prices!D734&lt;OFFSET(Prices!D734,-$N$3,0),-1,0))</f>
        <v>-1</v>
      </c>
      <c r="O735" s="1">
        <f ca="1">IF(N735=1,O$3*L734/Prices!B734,O$3*M734*N735)</f>
        <v>-3.4534914427483319E-2</v>
      </c>
      <c r="P735" s="14"/>
      <c r="Q735" s="9">
        <f ca="1">Q734-T735*Prices!B735</f>
        <v>0.38775615763921634</v>
      </c>
      <c r="R735" s="1">
        <f t="shared" ca="1" si="69"/>
        <v>0.47575322245505164</v>
      </c>
      <c r="S735" s="9">
        <f ca="1">IF(Prices!C734&lt;OFFSET(Prices!C734,-S$3,0),1,IF(Prices!C734&gt;OFFSET(Prices!C734,-S$3,0),-1,0))</f>
        <v>-1</v>
      </c>
      <c r="T735" s="1">
        <f ca="1">IF(S735=1,T$3*Q734/Prices!B734,T$3*R734*S735)</f>
        <v>-9.7092494378581955E-3</v>
      </c>
    </row>
    <row r="736" spans="1:20" x14ac:dyDescent="0.2">
      <c r="A736" s="4">
        <v>34536</v>
      </c>
      <c r="B736" s="9">
        <f ca="1">Prices!B735*(1+J736/(50*(ABS(O736)+ABS(T736)+0.0001)))</f>
        <v>1.2605371378368664</v>
      </c>
      <c r="C736" s="13">
        <f t="shared" ca="1" si="64"/>
        <v>1</v>
      </c>
      <c r="D736" s="9">
        <f ca="1">D735+C736*(Prices!B736-Prices!B735)/Prices!B735</f>
        <v>-0.54998645115915423</v>
      </c>
      <c r="E736" s="9">
        <f t="shared" ca="1" si="65"/>
        <v>0.58611040241790058</v>
      </c>
      <c r="F736" s="9">
        <f t="shared" ca="1" si="66"/>
        <v>3.6123951258746317E-2</v>
      </c>
      <c r="G736" s="13">
        <f ca="1">IF((Prices!B736-Prices!B735)*B736&gt;0,1,0)</f>
        <v>0</v>
      </c>
      <c r="H736" s="9">
        <f>ABS(Prices!B736-Prices!B735)/Prices!B735</f>
        <v>5.7901085645356617E-3</v>
      </c>
      <c r="I736" s="13"/>
      <c r="J736" s="1">
        <f t="shared" ca="1" si="67"/>
        <v>4.160964869389315E-2</v>
      </c>
      <c r="K736" s="9"/>
      <c r="L736" s="9">
        <f ca="1">L735-O736*Prices!B736</f>
        <v>0.57253032507444901</v>
      </c>
      <c r="M736" s="1">
        <f t="shared" ca="1" si="68"/>
        <v>0.36193894299034401</v>
      </c>
      <c r="N736" s="9">
        <f ca="1">IF(Prices!D735&gt;OFFSET(Prices!D735,-$N$3,0),1,IF(Prices!D735&lt;OFFSET(Prices!D735,-$N$3,0),-1,0))</f>
        <v>1</v>
      </c>
      <c r="O736" s="1">
        <f ca="1">IF(N736=1,O$3*L735/Prices!B735,O$3*M735*N736)</f>
        <v>5.1124713142994181E-2</v>
      </c>
      <c r="P736" s="14"/>
      <c r="Q736" s="9">
        <f ca="1">Q735-T736*Prices!B736</f>
        <v>0.39951963181763994</v>
      </c>
      <c r="R736" s="1">
        <f t="shared" ca="1" si="69"/>
        <v>0.46623815800595059</v>
      </c>
      <c r="S736" s="9">
        <f ca="1">IF(Prices!C735&lt;OFFSET(Prices!C735,-S$3,0),1,IF(Prices!C735&gt;OFFSET(Prices!C735,-S$3,0),-1,0))</f>
        <v>-1</v>
      </c>
      <c r="T736" s="1">
        <f ca="1">IF(S736=1,T$3*Q735/Prices!B735,T$3*R735*S736)</f>
        <v>-9.5150644491010326E-3</v>
      </c>
    </row>
    <row r="737" spans="1:20" x14ac:dyDescent="0.2">
      <c r="A737" s="4">
        <v>34537</v>
      </c>
      <c r="B737" s="9">
        <f ca="1">Prices!B736*(1+J737/(50*(ABS(O737)+ABS(T737)+0.0001)))</f>
        <v>1.252708014969026</v>
      </c>
      <c r="C737" s="13">
        <f t="shared" ca="1" si="64"/>
        <v>1</v>
      </c>
      <c r="D737" s="9">
        <f ca="1">D736+C737*(Prices!B737-Prices!B736)/Prices!B736</f>
        <v>-0.56033992523502574</v>
      </c>
      <c r="E737" s="9">
        <f t="shared" ca="1" si="65"/>
        <v>0.59646387649377208</v>
      </c>
      <c r="F737" s="9">
        <f t="shared" ca="1" si="66"/>
        <v>3.6123951258746317E-2</v>
      </c>
      <c r="G737" s="13">
        <f ca="1">IF((Prices!B737-Prices!B736)*B737&gt;0,1,0)</f>
        <v>0</v>
      </c>
      <c r="H737" s="9">
        <f>ABS(Prices!B737-Prices!B736)/Prices!B736</f>
        <v>1.0353474075871489E-2</v>
      </c>
      <c r="I737" s="13"/>
      <c r="J737" s="1">
        <f t="shared" ca="1" si="67"/>
        <v>3.698522026416709E-2</v>
      </c>
      <c r="K737" s="9"/>
      <c r="L737" s="9">
        <f ca="1">L736-O737*Prices!B737</f>
        <v>0.51587006035483496</v>
      </c>
      <c r="M737" s="1">
        <f t="shared" ca="1" si="68"/>
        <v>0.40824892641463012</v>
      </c>
      <c r="N737" s="9">
        <f ca="1">IF(Prices!D736&gt;OFFSET(Prices!D736,-$N$3,0),1,IF(Prices!D736&lt;OFFSET(Prices!D736,-$N$3,0),-1,0))</f>
        <v>1</v>
      </c>
      <c r="O737" s="1">
        <f ca="1">IF(N737=1,O$3*L736/Prices!B736,O$3*M736*N737)</f>
        <v>4.6309983424286098E-2</v>
      </c>
      <c r="P737" s="14"/>
      <c r="Q737" s="9">
        <f ca="1">Q736-T737*Prices!B737</f>
        <v>0.41092847954404554</v>
      </c>
      <c r="R737" s="1">
        <f t="shared" ca="1" si="69"/>
        <v>0.4569133948458316</v>
      </c>
      <c r="S737" s="9">
        <f ca="1">IF(Prices!C736&lt;OFFSET(Prices!C736,-S$3,0),1,IF(Prices!C736&gt;OFFSET(Prices!C736,-S$3,0),-1,0))</f>
        <v>-1</v>
      </c>
      <c r="T737" s="1">
        <f ca="1">IF(S737=1,T$3*Q736/Prices!B736,T$3*R736*S737)</f>
        <v>-9.3247631601190116E-3</v>
      </c>
    </row>
    <row r="738" spans="1:20" x14ac:dyDescent="0.2">
      <c r="A738" s="4">
        <v>34540</v>
      </c>
      <c r="B738" s="9">
        <f ca="1">Prices!B737*(1+J738/(50*(ABS(O738)+ABS(T738)+0.0001)))</f>
        <v>1.2392217777459225</v>
      </c>
      <c r="C738" s="13">
        <f t="shared" ca="1" si="64"/>
        <v>1</v>
      </c>
      <c r="D738" s="9">
        <f ca="1">D737+C738*(Prices!B738-Prices!B737)/Prices!B737</f>
        <v>-0.55510903026158886</v>
      </c>
      <c r="E738" s="9">
        <f t="shared" ca="1" si="65"/>
        <v>0.59123298152033521</v>
      </c>
      <c r="F738" s="9">
        <f t="shared" ca="1" si="66"/>
        <v>3.6123951258746317E-2</v>
      </c>
      <c r="G738" s="13">
        <f ca="1">IF((Prices!B738-Prices!B737)*B738&gt;0,1,0)</f>
        <v>1</v>
      </c>
      <c r="H738" s="9">
        <f>ABS(Prices!B738-Prices!B737)/Prices!B737</f>
        <v>5.2308949734368301E-3</v>
      </c>
      <c r="I738" s="13"/>
      <c r="J738" s="1">
        <f t="shared" ca="1" si="67"/>
        <v>3.302520250396894E-2</v>
      </c>
      <c r="K738" s="9"/>
      <c r="L738" s="9">
        <f ca="1">L737-O738*Prices!B738</f>
        <v>0.46401320810878577</v>
      </c>
      <c r="M738" s="1">
        <f t="shared" ca="1" si="68"/>
        <v>0.4504123968155157</v>
      </c>
      <c r="N738" s="9">
        <f ca="1">IF(Prices!D737&gt;OFFSET(Prices!D737,-$N$3,0),1,IF(Prices!D737&lt;OFFSET(Prices!D737,-$N$3,0),-1,0))</f>
        <v>1</v>
      </c>
      <c r="O738" s="1">
        <f ca="1">IF(N738=1,O$3*L737/Prices!B737,O$3*M737*N738)</f>
        <v>4.2163470400885569E-2</v>
      </c>
      <c r="P738" s="14"/>
      <c r="Q738" s="9">
        <f ca="1">Q737-T738*Prices!B738</f>
        <v>0.4221676352304633</v>
      </c>
      <c r="R738" s="1">
        <f t="shared" ca="1" si="69"/>
        <v>0.44777512694891497</v>
      </c>
      <c r="S738" s="9">
        <f ca="1">IF(Prices!C737&lt;OFFSET(Prices!C737,-S$3,0),1,IF(Prices!C737&gt;OFFSET(Prices!C737,-S$3,0),-1,0))</f>
        <v>-1</v>
      </c>
      <c r="T738" s="1">
        <f ca="1">IF(S738=1,T$3*Q737/Prices!B737,T$3*R737*S738)</f>
        <v>-9.1382678969166315E-3</v>
      </c>
    </row>
    <row r="739" spans="1:20" x14ac:dyDescent="0.2">
      <c r="A739" s="4">
        <v>34541</v>
      </c>
      <c r="B739" s="9">
        <f ca="1">Prices!B738*(1+J739/(50*(ABS(O739)+ABS(T739)+0.0001)))</f>
        <v>1.2118433964905015</v>
      </c>
      <c r="C739" s="13">
        <f t="shared" ca="1" si="64"/>
        <v>-1</v>
      </c>
      <c r="D739" s="9">
        <f ca="1">D738+C739*(Prices!B739-Prices!B738)/Prices!B738</f>
        <v>-0.55445857087464689</v>
      </c>
      <c r="E739" s="9">
        <f t="shared" ca="1" si="65"/>
        <v>0.59058252213339324</v>
      </c>
      <c r="F739" s="9">
        <f t="shared" ca="1" si="66"/>
        <v>3.6123951258746317E-2</v>
      </c>
      <c r="G739" s="13">
        <f ca="1">IF((Prices!B739-Prices!B738)*B739&gt;0,1,0)</f>
        <v>0</v>
      </c>
      <c r="H739" s="9">
        <f>ABS(Prices!B739-Prices!B738)/Prices!B738</f>
        <v>6.5045938694195617E-4</v>
      </c>
      <c r="I739" s="13"/>
      <c r="J739" s="1">
        <f t="shared" ca="1" si="67"/>
        <v>-3.8176167151582258E-2</v>
      </c>
      <c r="K739" s="9"/>
      <c r="L739" s="9">
        <f ca="1">L738-O739*Prices!B739</f>
        <v>0.51937339580138087</v>
      </c>
      <c r="M739" s="1">
        <f t="shared" ca="1" si="68"/>
        <v>0.4053711571339641</v>
      </c>
      <c r="N739" s="9">
        <f ca="1">IF(Prices!D738&gt;OFFSET(Prices!D738,-$N$3,0),1,IF(Prices!D738&lt;OFFSET(Prices!D738,-$N$3,0),-1,0))</f>
        <v>-1</v>
      </c>
      <c r="O739" s="1">
        <f ca="1">IF(N739=1,O$3*L738/Prices!B738,O$3*M738*N739)</f>
        <v>-4.5041239681551576E-2</v>
      </c>
      <c r="P739" s="14"/>
      <c r="Q739" s="9">
        <f ca="1">Q738-T739*Prices!B739</f>
        <v>0.413729774583878</v>
      </c>
      <c r="R739" s="1">
        <f t="shared" ca="1" si="69"/>
        <v>0.45464019947888429</v>
      </c>
      <c r="S739" s="9">
        <f ca="1">IF(Prices!C738&lt;OFFSET(Prices!C738,-S$3,0),1,IF(Prices!C738&gt;OFFSET(Prices!C738,-S$3,0),-1,0))</f>
        <v>1</v>
      </c>
      <c r="T739" s="1">
        <f ca="1">IF(S739=1,T$3*Q738/Prices!B738,T$3*R738*S739)</f>
        <v>6.86507252996932E-3</v>
      </c>
    </row>
    <row r="740" spans="1:20" x14ac:dyDescent="0.2">
      <c r="A740" s="4">
        <v>34542</v>
      </c>
      <c r="B740" s="9">
        <f ca="1">Prices!B739*(1+J740/(50*(ABS(O740)+ABS(T740)+0.0001)))</f>
        <v>1.2115571927145805</v>
      </c>
      <c r="C740" s="13">
        <f t="shared" ca="1" si="64"/>
        <v>-1</v>
      </c>
      <c r="D740" s="9">
        <f ca="1">D739+C740*(Prices!B740-Prices!B739)/Prices!B739</f>
        <v>-0.55925883122775077</v>
      </c>
      <c r="E740" s="9">
        <f t="shared" ca="1" si="65"/>
        <v>0.59538278248649712</v>
      </c>
      <c r="F740" s="9">
        <f t="shared" ca="1" si="66"/>
        <v>3.6123951258746317E-2</v>
      </c>
      <c r="G740" s="13">
        <f ca="1">IF((Prices!B740-Prices!B739)*B740&gt;0,1,0)</f>
        <v>1</v>
      </c>
      <c r="H740" s="9">
        <f>ABS(Prices!B740-Prices!B739)/Prices!B739</f>
        <v>4.8002603531039105E-3</v>
      </c>
      <c r="I740" s="13"/>
      <c r="J740" s="1">
        <f t="shared" ca="1" si="67"/>
        <v>-3.3804876276672335E-2</v>
      </c>
      <c r="K740" s="9"/>
      <c r="L740" s="9">
        <f ca="1">L739-O740*Prices!B740</f>
        <v>0.56943673370742542</v>
      </c>
      <c r="M740" s="1">
        <f t="shared" ca="1" si="68"/>
        <v>0.36483404142056769</v>
      </c>
      <c r="N740" s="9">
        <f ca="1">IF(Prices!D739&gt;OFFSET(Prices!D739,-$N$3,0),1,IF(Prices!D739&lt;OFFSET(Prices!D739,-$N$3,0),-1,0))</f>
        <v>-1</v>
      </c>
      <c r="O740" s="1">
        <f ca="1">IF(N740=1,O$3*L739/Prices!B739,O$3*M739*N740)</f>
        <v>-4.053711571339641E-2</v>
      </c>
      <c r="P740" s="14"/>
      <c r="Q740" s="9">
        <f ca="1">Q739-T740*Prices!B740</f>
        <v>0.40541545887952374</v>
      </c>
      <c r="R740" s="1">
        <f t="shared" ca="1" si="69"/>
        <v>0.46137243891560836</v>
      </c>
      <c r="S740" s="9">
        <f ca="1">IF(Prices!C739&lt;OFFSET(Prices!C739,-S$3,0),1,IF(Prices!C739&gt;OFFSET(Prices!C739,-S$3,0),-1,0))</f>
        <v>1</v>
      </c>
      <c r="T740" s="1">
        <f ca="1">IF(S740=1,T$3*Q739/Prices!B739,T$3*R739*S740)</f>
        <v>6.7322394367240745E-3</v>
      </c>
    </row>
    <row r="741" spans="1:20" x14ac:dyDescent="0.2">
      <c r="A741" s="4">
        <v>34543</v>
      </c>
      <c r="B741" s="9">
        <f ca="1">Prices!B740*(1+J741/(50*(ABS(O741)+ABS(T741)+0.0001)))</f>
        <v>1.2596531963572692</v>
      </c>
      <c r="C741" s="13">
        <f t="shared" ca="1" si="64"/>
        <v>1</v>
      </c>
      <c r="D741" s="9">
        <f ca="1">D740+C741*(Prices!B741-Prices!B740)/Prices!B740</f>
        <v>-0.56136409438564561</v>
      </c>
      <c r="E741" s="9">
        <f t="shared" ca="1" si="65"/>
        <v>0.59748804564439195</v>
      </c>
      <c r="F741" s="9">
        <f t="shared" ca="1" si="66"/>
        <v>3.6123951258746317E-2</v>
      </c>
      <c r="G741" s="13">
        <f ca="1">IF((Prices!B741-Prices!B740)*B741&gt;0,1,0)</f>
        <v>0</v>
      </c>
      <c r="H741" s="9">
        <f>ABS(Prices!B741-Prices!B740)/Prices!B740</f>
        <v>2.1052631578948643E-3</v>
      </c>
      <c r="I741" s="13"/>
      <c r="J741" s="1">
        <f t="shared" ca="1" si="67"/>
        <v>5.2673670079621877E-2</v>
      </c>
      <c r="K741" s="9"/>
      <c r="L741" s="9">
        <f ca="1">L740-O741*Prices!B741</f>
        <v>0.5126129417543055</v>
      </c>
      <c r="M741" s="1">
        <f t="shared" ca="1" si="68"/>
        <v>0.41094227896772761</v>
      </c>
      <c r="N741" s="9">
        <f ca="1">IF(Prices!D740&gt;OFFSET(Prices!D740,-$N$3,0),1,IF(Prices!D740&lt;OFFSET(Prices!D740,-$N$3,0),-1,0))</f>
        <v>1</v>
      </c>
      <c r="O741" s="1">
        <f ca="1">IF(N741=1,O$3*L740/Prices!B740,O$3*M740*N741)</f>
        <v>4.6108237547159953E-2</v>
      </c>
      <c r="P741" s="14"/>
      <c r="Q741" s="9">
        <f ca="1">Q740-T741*Prices!B741</f>
        <v>0.39732421982651767</v>
      </c>
      <c r="R741" s="1">
        <f t="shared" ca="1" si="69"/>
        <v>0.46793787144807031</v>
      </c>
      <c r="S741" s="9">
        <f ca="1">IF(Prices!C740&lt;OFFSET(Prices!C740,-S$3,0),1,IF(Prices!C740&gt;OFFSET(Prices!C740,-S$3,0),-1,0))</f>
        <v>1</v>
      </c>
      <c r="T741" s="1">
        <f ca="1">IF(S741=1,T$3*Q740/Prices!B740,T$3*R740*S741)</f>
        <v>6.5654325324619222E-3</v>
      </c>
    </row>
    <row r="742" spans="1:20" x14ac:dyDescent="0.2">
      <c r="A742" s="4">
        <v>34544</v>
      </c>
      <c r="B742" s="9">
        <f ca="1">Prices!B741*(1+J742/(50*(ABS(O742)+ABS(T742)+0.0001)))</f>
        <v>1.2479631263489253</v>
      </c>
      <c r="C742" s="13">
        <f t="shared" ca="1" si="64"/>
        <v>1</v>
      </c>
      <c r="D742" s="9">
        <f ca="1">D741+C742*(Prices!B742-Prices!B741)/Prices!B741</f>
        <v>-0.56647607101660957</v>
      </c>
      <c r="E742" s="9">
        <f t="shared" ca="1" si="65"/>
        <v>0.60260002227535592</v>
      </c>
      <c r="F742" s="9">
        <f t="shared" ca="1" si="66"/>
        <v>3.6123951258746317E-2</v>
      </c>
      <c r="G742" s="13">
        <f ca="1">IF((Prices!B742-Prices!B741)*B742&gt;0,1,0)</f>
        <v>0</v>
      </c>
      <c r="H742" s="9">
        <f>ABS(Prices!B742-Prices!B741)/Prices!B741</f>
        <v>5.1119766309639502E-3</v>
      </c>
      <c r="I742" s="13"/>
      <c r="J742" s="1">
        <f t="shared" ca="1" si="67"/>
        <v>3.2235931126240278E-2</v>
      </c>
      <c r="K742" s="9"/>
      <c r="L742" s="9">
        <f ca="1">L741-O742*Prices!B742</f>
        <v>0.46161369411677272</v>
      </c>
      <c r="M742" s="1">
        <f t="shared" ca="1" si="68"/>
        <v>0.45253696752292927</v>
      </c>
      <c r="N742" s="9">
        <f ca="1">IF(Prices!D741&gt;OFFSET(Prices!D741,-$N$3,0),1,IF(Prices!D741&lt;OFFSET(Prices!D741,-$N$3,0),-1,0))</f>
        <v>1</v>
      </c>
      <c r="O742" s="1">
        <f ca="1">IF(N742=1,O$3*L741/Prices!B741,O$3*M741*N742)</f>
        <v>4.1594688555201681E-2</v>
      </c>
      <c r="P742" s="14"/>
      <c r="Q742" s="9">
        <f ca="1">Q741-T742*Prices!B742</f>
        <v>0.40879899231016725</v>
      </c>
      <c r="R742" s="1">
        <f t="shared" ca="1" si="69"/>
        <v>0.45857911401910889</v>
      </c>
      <c r="S742" s="9">
        <f ca="1">IF(Prices!C741&lt;OFFSET(Prices!C741,-S$3,0),1,IF(Prices!C741&gt;OFFSET(Prices!C741,-S$3,0),-1,0))</f>
        <v>-1</v>
      </c>
      <c r="T742" s="1">
        <f ca="1">IF(S742=1,T$3*Q741/Prices!B741,T$3*R741*S742)</f>
        <v>-9.3587574289614069E-3</v>
      </c>
    </row>
    <row r="743" spans="1:20" x14ac:dyDescent="0.2">
      <c r="A743" s="4">
        <v>34547</v>
      </c>
      <c r="B743" s="9">
        <f ca="1">Prices!B742*(1+J743/(50*(ABS(O743)+ABS(T743)+0.0001)))</f>
        <v>1.2016229736350459</v>
      </c>
      <c r="C743" s="13">
        <f t="shared" ca="1" si="64"/>
        <v>-1</v>
      </c>
      <c r="D743" s="9">
        <f ca="1">D742+C743*(Prices!B743-Prices!B742)/Prices!B742</f>
        <v>-0.57512136911627509</v>
      </c>
      <c r="E743" s="9">
        <f t="shared" ca="1" si="65"/>
        <v>0.61124532037502144</v>
      </c>
      <c r="F743" s="9">
        <f t="shared" ca="1" si="66"/>
        <v>3.6123951258746317E-2</v>
      </c>
      <c r="G743" s="13">
        <f ca="1">IF((Prices!B743-Prices!B742)*B743&gt;0,1,0)</f>
        <v>1</v>
      </c>
      <c r="H743" s="9">
        <f>ABS(Prices!B743-Prices!B742)/Prices!B742</f>
        <v>8.6452980996655597E-3</v>
      </c>
      <c r="I743" s="13"/>
      <c r="J743" s="1">
        <f t="shared" ca="1" si="67"/>
        <v>-5.4425279032675113E-2</v>
      </c>
      <c r="K743" s="9"/>
      <c r="L743" s="9">
        <f ca="1">L742-O743*Prices!B743</f>
        <v>0.51757894089033341</v>
      </c>
      <c r="M743" s="1">
        <f t="shared" ca="1" si="68"/>
        <v>0.40728327077063631</v>
      </c>
      <c r="N743" s="9">
        <f ca="1">IF(Prices!D742&gt;OFFSET(Prices!D742,-$N$3,0),1,IF(Prices!D742&lt;OFFSET(Prices!D742,-$N$3,0),-1,0))</f>
        <v>-1</v>
      </c>
      <c r="O743" s="1">
        <f ca="1">IF(N743=1,O$3*L742/Prices!B742,O$3*M742*N743)</f>
        <v>-4.5253696752292932E-2</v>
      </c>
      <c r="P743" s="14"/>
      <c r="Q743" s="9">
        <f ca="1">Q742-T743*Prices!B743</f>
        <v>0.42014148811631591</v>
      </c>
      <c r="R743" s="1">
        <f t="shared" ca="1" si="69"/>
        <v>0.44940753173872672</v>
      </c>
      <c r="S743" s="9">
        <f ca="1">IF(Prices!C742&lt;OFFSET(Prices!C742,-S$3,0),1,IF(Prices!C742&gt;OFFSET(Prices!C742,-S$3,0),-1,0))</f>
        <v>-1</v>
      </c>
      <c r="T743" s="1">
        <f ca="1">IF(S743=1,T$3*Q742/Prices!B742,T$3*R742*S743)</f>
        <v>-9.1715822803821786E-3</v>
      </c>
    </row>
    <row r="744" spans="1:20" x14ac:dyDescent="0.2">
      <c r="A744" s="4">
        <v>34548</v>
      </c>
      <c r="B744" s="9">
        <f ca="1">Prices!B743*(1+J744/(50*(ABS(O744)+ABS(T744)+0.0001)))</f>
        <v>1.2120156502385075</v>
      </c>
      <c r="C744" s="13">
        <f t="shared" ref="C744:C807" ca="1" si="70">IF(J744&gt;0,1,IF(J744&lt;0,-1,0))</f>
        <v>-1</v>
      </c>
      <c r="D744" s="9">
        <f ca="1">D743+C744*(Prices!B744-Prices!B743)/Prices!B743</f>
        <v>-0.5708357703453526</v>
      </c>
      <c r="E744" s="9">
        <f t="shared" ref="E744:E807" ca="1" si="71">F744-D744</f>
        <v>0.60695972160409895</v>
      </c>
      <c r="F744" s="9">
        <f t="shared" ref="F744:F807" ca="1" si="72">MAX(F743,D744)</f>
        <v>3.6123951258746317E-2</v>
      </c>
      <c r="G744" s="13">
        <f ca="1">IF((Prices!B744-Prices!B743)*B744&gt;0,1,0)</f>
        <v>0</v>
      </c>
      <c r="H744" s="9">
        <f>ABS(Prices!B744-Prices!B743)/Prices!B743</f>
        <v>4.2855987709225036E-3</v>
      </c>
      <c r="I744" s="13"/>
      <c r="J744" s="1">
        <f t="shared" ref="J744:J807" ca="1" si="73">O744+T744</f>
        <v>-4.9716477711838167E-2</v>
      </c>
      <c r="K744" s="9"/>
      <c r="L744" s="9">
        <f ca="1">L743-O744*Prices!B744</f>
        <v>0.5677318028530296</v>
      </c>
      <c r="M744" s="1">
        <f t="shared" ca="1" si="68"/>
        <v>0.36655494369357267</v>
      </c>
      <c r="N744" s="9">
        <f ca="1">IF(Prices!D743&gt;OFFSET(Prices!D743,-$N$3,0),1,IF(Prices!D743&lt;OFFSET(Prices!D743,-$N$3,0),-1,0))</f>
        <v>-1</v>
      </c>
      <c r="O744" s="1">
        <f ca="1">IF(N744=1,O$3*L743/Prices!B743,O$3*M743*N744)</f>
        <v>-4.0728327077063635E-2</v>
      </c>
      <c r="P744" s="14"/>
      <c r="Q744" s="9">
        <f ca="1">Q743-T744*Prices!B744</f>
        <v>0.43120949680797727</v>
      </c>
      <c r="R744" s="1">
        <f t="shared" ca="1" si="69"/>
        <v>0.44041938110395218</v>
      </c>
      <c r="S744" s="9">
        <f ca="1">IF(Prices!C743&lt;OFFSET(Prices!C743,-S$3,0),1,IF(Prices!C743&gt;OFFSET(Prices!C743,-S$3,0),-1,0))</f>
        <v>-1</v>
      </c>
      <c r="T744" s="1">
        <f ca="1">IF(S744=1,T$3*Q743/Prices!B743,T$3*R743*S744)</f>
        <v>-8.9881506347745353E-3</v>
      </c>
    </row>
    <row r="745" spans="1:20" x14ac:dyDescent="0.2">
      <c r="A745" s="4">
        <v>34549</v>
      </c>
      <c r="B745" s="9">
        <f ca="1">Prices!B744*(1+J745/(50*(ABS(O745)+ABS(T745)+0.0001)))</f>
        <v>1.2068260515841136</v>
      </c>
      <c r="C745" s="13">
        <f t="shared" ca="1" si="70"/>
        <v>-1</v>
      </c>
      <c r="D745" s="9">
        <f ca="1">D744+C745*(Prices!B745-Prices!B744)/Prices!B744</f>
        <v>-0.57270356310156501</v>
      </c>
      <c r="E745" s="9">
        <f t="shared" ca="1" si="71"/>
        <v>0.60882751436031135</v>
      </c>
      <c r="F745" s="9">
        <f t="shared" ca="1" si="72"/>
        <v>3.6123951258746317E-2</v>
      </c>
      <c r="G745" s="13">
        <f ca="1">IF((Prices!B745-Prices!B744)*B745&gt;0,1,0)</f>
        <v>1</v>
      </c>
      <c r="H745" s="9">
        <f>ABS(Prices!B745-Prices!B744)/Prices!B744</f>
        <v>1.8677927562124157E-3</v>
      </c>
      <c r="I745" s="13"/>
      <c r="J745" s="1">
        <f t="shared" ca="1" si="73"/>
        <v>-4.5463881991436313E-2</v>
      </c>
      <c r="K745" s="9"/>
      <c r="L745" s="9">
        <f ca="1">L744-O745*Prices!B745</f>
        <v>0.6129536862565057</v>
      </c>
      <c r="M745" s="1">
        <f t="shared" ca="1" si="68"/>
        <v>0.32989944932421539</v>
      </c>
      <c r="N745" s="9">
        <f ca="1">IF(Prices!D744&gt;OFFSET(Prices!D744,-$N$3,0),1,IF(Prices!D744&lt;OFFSET(Prices!D744,-$N$3,0),-1,0))</f>
        <v>-1</v>
      </c>
      <c r="O745" s="1">
        <f ca="1">IF(N745=1,O$3*L744/Prices!B744,O$3*M744*N745)</f>
        <v>-3.6655494369357271E-2</v>
      </c>
      <c r="P745" s="14"/>
      <c r="Q745" s="9">
        <f ca="1">Q744-T745*Prices!B745</f>
        <v>0.44207640461733616</v>
      </c>
      <c r="R745" s="1">
        <f t="shared" ca="1" si="69"/>
        <v>0.43161099348187315</v>
      </c>
      <c r="S745" s="9">
        <f ca="1">IF(Prices!C744&lt;OFFSET(Prices!C744,-S$3,0),1,IF(Prices!C744&gt;OFFSET(Prices!C744,-S$3,0),-1,0))</f>
        <v>-1</v>
      </c>
      <c r="T745" s="1">
        <f ca="1">IF(S745=1,T$3*Q744/Prices!B744,T$3*R744*S745)</f>
        <v>-8.8083876220790436E-3</v>
      </c>
    </row>
    <row r="746" spans="1:20" x14ac:dyDescent="0.2">
      <c r="A746" s="4">
        <v>34550</v>
      </c>
      <c r="B746" s="9">
        <f ca="1">Prices!B745*(1+J746/(50*(ABS(O746)+ABS(T746)+0.0001)))</f>
        <v>1.2090851388297252</v>
      </c>
      <c r="C746" s="13">
        <f t="shared" ca="1" si="70"/>
        <v>-1</v>
      </c>
      <c r="D746" s="9">
        <f ca="1">D745+C746*(Prices!B746-Prices!B745)/Prices!B745</f>
        <v>-0.57181193628791493</v>
      </c>
      <c r="E746" s="9">
        <f t="shared" ca="1" si="71"/>
        <v>0.60793588754666128</v>
      </c>
      <c r="F746" s="9">
        <f t="shared" ca="1" si="72"/>
        <v>3.6123951258746317E-2</v>
      </c>
      <c r="G746" s="13">
        <f ca="1">IF((Prices!B746-Prices!B745)*B746&gt;0,1,0)</f>
        <v>0</v>
      </c>
      <c r="H746" s="9">
        <f>ABS(Prices!B746-Prices!B745)/Prices!B745</f>
        <v>8.9162681365007772E-4</v>
      </c>
      <c r="I746" s="13"/>
      <c r="J746" s="1">
        <f t="shared" ca="1" si="73"/>
        <v>-4.1622164802059006E-2</v>
      </c>
      <c r="K746" s="9"/>
      <c r="L746" s="9">
        <f ca="1">L745-O746*Prices!B746</f>
        <v>0.65361709238020849</v>
      </c>
      <c r="M746" s="1">
        <f t="shared" ca="1" si="68"/>
        <v>0.29690950439179387</v>
      </c>
      <c r="N746" s="9">
        <f ca="1">IF(Prices!D745&gt;OFFSET(Prices!D745,-$N$3,0),1,IF(Prices!D745&lt;OFFSET(Prices!D745,-$N$3,0),-1,0))</f>
        <v>-1</v>
      </c>
      <c r="O746" s="1">
        <f ca="1">IF(N746=1,O$3*L745/Prices!B745,O$3*M745*N746)</f>
        <v>-3.2989944932421543E-2</v>
      </c>
      <c r="P746" s="14"/>
      <c r="Q746" s="9">
        <f ca="1">Q745-T746*Prices!B746</f>
        <v>0.45271647882865129</v>
      </c>
      <c r="R746" s="1">
        <f t="shared" ca="1" si="69"/>
        <v>0.42297877361223568</v>
      </c>
      <c r="S746" s="9">
        <f ca="1">IF(Prices!C745&lt;OFFSET(Prices!C745,-S$3,0),1,IF(Prices!C745&gt;OFFSET(Prices!C745,-S$3,0),-1,0))</f>
        <v>-1</v>
      </c>
      <c r="T746" s="1">
        <f ca="1">IF(S746=1,T$3*Q745/Prices!B745,T$3*R745*S746)</f>
        <v>-8.6322198696374627E-3</v>
      </c>
    </row>
    <row r="747" spans="1:20" x14ac:dyDescent="0.2">
      <c r="A747" s="4">
        <v>34551</v>
      </c>
      <c r="B747" s="9">
        <f ca="1">Prices!B746*(1+J747/(50*(ABS(O747)+ABS(T747)+0.0001)))</f>
        <v>1.2504395960099548</v>
      </c>
      <c r="C747" s="13">
        <f t="shared" ca="1" si="70"/>
        <v>1</v>
      </c>
      <c r="D747" s="9">
        <f ca="1">D746+C747*(Prices!B747-Prices!B746)/Prices!B746</f>
        <v>-0.57254210016914153</v>
      </c>
      <c r="E747" s="9">
        <f t="shared" ca="1" si="71"/>
        <v>0.60866605142788788</v>
      </c>
      <c r="F747" s="9">
        <f t="shared" ca="1" si="72"/>
        <v>3.6123951258746317E-2</v>
      </c>
      <c r="G747" s="13">
        <f ca="1">IF((Prices!B747-Prices!B746)*B747&gt;0,1,0)</f>
        <v>0</v>
      </c>
      <c r="H747" s="9">
        <f>ABS(Prices!B747-Prices!B746)/Prices!B746</f>
        <v>7.3016388122659499E-4</v>
      </c>
      <c r="I747" s="13"/>
      <c r="J747" s="1">
        <f t="shared" ca="1" si="73"/>
        <v>4.456793486202501E-2</v>
      </c>
      <c r="K747" s="9"/>
      <c r="L747" s="9">
        <f ca="1">L746-O747*Prices!B747</f>
        <v>0.58830310790148843</v>
      </c>
      <c r="M747" s="1">
        <f t="shared" ca="1" si="68"/>
        <v>0.34993701472606359</v>
      </c>
      <c r="N747" s="9">
        <f ca="1">IF(Prices!D746&gt;OFFSET(Prices!D746,-$N$3,0),1,IF(Prices!D746&lt;OFFSET(Prices!D746,-$N$3,0),-1,0))</f>
        <v>1</v>
      </c>
      <c r="O747" s="1">
        <f ca="1">IF(N747=1,O$3*L746/Prices!B746,O$3*M746*N747)</f>
        <v>5.3027510334269723E-2</v>
      </c>
      <c r="P747" s="14"/>
      <c r="Q747" s="9">
        <f ca="1">Q746-T747*Prices!B747</f>
        <v>0.46313613793781511</v>
      </c>
      <c r="R747" s="1">
        <f t="shared" ca="1" si="69"/>
        <v>0.41451919813999094</v>
      </c>
      <c r="S747" s="9">
        <f ca="1">IF(Prices!C746&lt;OFFSET(Prices!C746,-S$3,0),1,IF(Prices!C746&gt;OFFSET(Prices!C746,-S$3,0),-1,0))</f>
        <v>-1</v>
      </c>
      <c r="T747" s="1">
        <f ca="1">IF(S747=1,T$3*Q746/Prices!B746,T$3*R746*S747)</f>
        <v>-8.4595754722447142E-3</v>
      </c>
    </row>
    <row r="748" spans="1:20" x14ac:dyDescent="0.2">
      <c r="A748" s="4">
        <v>34554</v>
      </c>
      <c r="B748" s="9">
        <f ca="1">Prices!B747*(1+J748/(50*(ABS(O748)+ABS(T748)+0.0001)))</f>
        <v>1.2490163585208744</v>
      </c>
      <c r="C748" s="13">
        <f t="shared" ca="1" si="70"/>
        <v>1</v>
      </c>
      <c r="D748" s="9">
        <f ca="1">D747+C748*(Prices!B748-Prices!B747)/Prices!B747</f>
        <v>-0.57205496856241922</v>
      </c>
      <c r="E748" s="9">
        <f t="shared" ca="1" si="71"/>
        <v>0.60817891982116556</v>
      </c>
      <c r="F748" s="9">
        <f t="shared" ca="1" si="72"/>
        <v>3.6123951258746317E-2</v>
      </c>
      <c r="G748" s="13">
        <f ca="1">IF((Prices!B748-Prices!B747)*B748&gt;0,1,0)</f>
        <v>1</v>
      </c>
      <c r="H748" s="9">
        <f>ABS(Prices!B748-Prices!B747)/Prices!B747</f>
        <v>4.8713160672236253E-4</v>
      </c>
      <c r="I748" s="13"/>
      <c r="J748" s="1">
        <f t="shared" ca="1" si="73"/>
        <v>3.9473122402507353E-2</v>
      </c>
      <c r="K748" s="9"/>
      <c r="L748" s="9">
        <f ca="1">L747-O748*Prices!B748</f>
        <v>0.52944413900752041</v>
      </c>
      <c r="M748" s="1">
        <f t="shared" ca="1" si="68"/>
        <v>0.39770052109137077</v>
      </c>
      <c r="N748" s="9">
        <f ca="1">IF(Prices!D747&gt;OFFSET(Prices!D747,-$N$3,0),1,IF(Prices!D747&lt;OFFSET(Prices!D747,-$N$3,0),-1,0))</f>
        <v>1</v>
      </c>
      <c r="O748" s="1">
        <f ca="1">IF(N748=1,O$3*L747/Prices!B747,O$3*M747*N748)</f>
        <v>4.7763506365307171E-2</v>
      </c>
      <c r="P748" s="14"/>
      <c r="Q748" s="9">
        <f ca="1">Q747-T748*Prices!B748</f>
        <v>0.47335237809517333</v>
      </c>
      <c r="R748" s="1">
        <f t="shared" ca="1" si="69"/>
        <v>0.40622881417719114</v>
      </c>
      <c r="S748" s="9">
        <f ca="1">IF(Prices!C747&lt;OFFSET(Prices!C747,-S$3,0),1,IF(Prices!C747&gt;OFFSET(Prices!C747,-S$3,0),-1,0))</f>
        <v>-1</v>
      </c>
      <c r="T748" s="1">
        <f ca="1">IF(S748=1,T$3*Q747/Prices!B747,T$3*R747*S748)</f>
        <v>-8.2903839627998192E-3</v>
      </c>
    </row>
    <row r="749" spans="1:20" x14ac:dyDescent="0.2">
      <c r="A749" s="4">
        <v>34555</v>
      </c>
      <c r="B749" s="9">
        <f ca="1">Prices!B748*(1+J749/(50*(ABS(O749)+ABS(T749)+0.0001)))</f>
        <v>1.2490742826943546</v>
      </c>
      <c r="C749" s="13">
        <f t="shared" ca="1" si="70"/>
        <v>1</v>
      </c>
      <c r="D749" s="9">
        <f ca="1">D748+C749*(Prices!B749-Prices!B748)/Prices!B748</f>
        <v>-0.57327220462506634</v>
      </c>
      <c r="E749" s="9">
        <f t="shared" ca="1" si="71"/>
        <v>0.60939615588381268</v>
      </c>
      <c r="F749" s="9">
        <f t="shared" ca="1" si="72"/>
        <v>3.6123951258746317E-2</v>
      </c>
      <c r="G749" s="13">
        <f ca="1">IF((Prices!B749-Prices!B748)*B749&gt;0,1,0)</f>
        <v>0</v>
      </c>
      <c r="H749" s="9">
        <f>ABS(Prices!B749-Prices!B748)/Prices!B748</f>
        <v>1.2172360626471288E-3</v>
      </c>
      <c r="I749" s="13"/>
      <c r="J749" s="1">
        <f t="shared" ca="1" si="73"/>
        <v>3.4839323660262107E-2</v>
      </c>
      <c r="K749" s="9"/>
      <c r="L749" s="9">
        <f ca="1">L748-O749*Prices!B749</f>
        <v>0.47656417095668407</v>
      </c>
      <c r="M749" s="1">
        <f t="shared" ca="1" si="68"/>
        <v>0.44066442103517672</v>
      </c>
      <c r="N749" s="9">
        <f ca="1">IF(Prices!D748&gt;OFFSET(Prices!D748,-$N$3,0),1,IF(Prices!D748&lt;OFFSET(Prices!D748,-$N$3,0),-1,0))</f>
        <v>1</v>
      </c>
      <c r="O749" s="1">
        <f ca="1">IF(N749=1,O$3*L748/Prices!B748,O$3*M748*N749)</f>
        <v>4.2963899943805929E-2</v>
      </c>
      <c r="P749" s="14"/>
      <c r="Q749" s="9">
        <f ca="1">Q748-T749*Prices!B749</f>
        <v>0.48335210658495908</v>
      </c>
      <c r="R749" s="1">
        <f t="shared" ca="1" si="69"/>
        <v>0.39810423789364729</v>
      </c>
      <c r="S749" s="9">
        <f ca="1">IF(Prices!C748&lt;OFFSET(Prices!C748,-S$3,0),1,IF(Prices!C748&gt;OFFSET(Prices!C748,-S$3,0),-1,0))</f>
        <v>-1</v>
      </c>
      <c r="T749" s="1">
        <f ca="1">IF(S749=1,T$3*Q748/Prices!B748,T$3*R748*S749)</f>
        <v>-8.1245762835438235E-3</v>
      </c>
    </row>
    <row r="750" spans="1:20" x14ac:dyDescent="0.2">
      <c r="A750" s="4">
        <v>34556</v>
      </c>
      <c r="B750" s="9">
        <f ca="1">Prices!B749*(1+J750/(50*(ABS(O750)+ABS(T750)+0.0001)))</f>
        <v>1.2469843098043298</v>
      </c>
      <c r="C750" s="13">
        <f t="shared" ca="1" si="70"/>
        <v>1</v>
      </c>
      <c r="D750" s="9">
        <f ca="1">D749+C750*(Prices!B750-Prices!B749)/Prices!B749</f>
        <v>-0.56994103790423423</v>
      </c>
      <c r="E750" s="9">
        <f t="shared" ca="1" si="71"/>
        <v>0.60606498916298057</v>
      </c>
      <c r="F750" s="9">
        <f t="shared" ca="1" si="72"/>
        <v>3.6123951258746317E-2</v>
      </c>
      <c r="G750" s="13">
        <f ca="1">IF((Prices!B750-Prices!B749)*B750&gt;0,1,0)</f>
        <v>1</v>
      </c>
      <c r="H750" s="9">
        <f>ABS(Prices!B750-Prices!B749)/Prices!B749</f>
        <v>3.3311667208321539E-3</v>
      </c>
      <c r="I750" s="13"/>
      <c r="J750" s="1">
        <f t="shared" ca="1" si="73"/>
        <v>3.0757786135585302E-2</v>
      </c>
      <c r="K750" s="9"/>
      <c r="L750" s="9">
        <f ca="1">L749-O750*Prices!B750</f>
        <v>0.42874900239035246</v>
      </c>
      <c r="M750" s="1">
        <f t="shared" ca="1" si="68"/>
        <v>0.47938429192863496</v>
      </c>
      <c r="N750" s="9">
        <f ca="1">IF(Prices!D749&gt;OFFSET(Prices!D749,-$N$3,0),1,IF(Prices!D749&lt;OFFSET(Prices!D749,-$N$3,0),-1,0))</f>
        <v>1</v>
      </c>
      <c r="O750" s="1">
        <f ca="1">IF(N750=1,O$3*L749/Prices!B749,O$3*M749*N750)</f>
        <v>3.8719870893458248E-2</v>
      </c>
      <c r="P750" s="14"/>
      <c r="Q750" s="9">
        <f ca="1">Q749-T750*Prices!B750</f>
        <v>0.49318448505245638</v>
      </c>
      <c r="R750" s="1">
        <f t="shared" ca="1" si="69"/>
        <v>0.39014215313577433</v>
      </c>
      <c r="S750" s="9">
        <f ca="1">IF(Prices!C749&lt;OFFSET(Prices!C749,-S$3,0),1,IF(Prices!C749&gt;OFFSET(Prices!C749,-S$3,0),-1,0))</f>
        <v>-1</v>
      </c>
      <c r="T750" s="1">
        <f ca="1">IF(S750=1,T$3*Q749/Prices!B749,T$3*R749*S750)</f>
        <v>-7.9620847578729462E-3</v>
      </c>
    </row>
    <row r="751" spans="1:20" x14ac:dyDescent="0.2">
      <c r="A751" s="4">
        <v>34557</v>
      </c>
      <c r="B751" s="9">
        <f ca="1">Prices!B750*(1+J751/(50*(ABS(O751)+ABS(T751)+0.0001)))</f>
        <v>1.2504971257170154</v>
      </c>
      <c r="C751" s="13">
        <f t="shared" ca="1" si="70"/>
        <v>1</v>
      </c>
      <c r="D751" s="9">
        <f ca="1">D750+C751*(Prices!B751-Prices!B750)/Prices!B750</f>
        <v>-0.57779592493962173</v>
      </c>
      <c r="E751" s="9">
        <f t="shared" ca="1" si="71"/>
        <v>0.61391987619836808</v>
      </c>
      <c r="F751" s="9">
        <f t="shared" ca="1" si="72"/>
        <v>3.6123951258746317E-2</v>
      </c>
      <c r="G751" s="13">
        <f ca="1">IF((Prices!B751-Prices!B750)*B751&gt;0,1,0)</f>
        <v>0</v>
      </c>
      <c r="H751" s="9">
        <f>ABS(Prices!B751-Prices!B750)/Prices!B750</f>
        <v>7.8548870353875137E-3</v>
      </c>
      <c r="I751" s="13"/>
      <c r="J751" s="1">
        <f t="shared" ca="1" si="73"/>
        <v>2.6916486631215399E-2</v>
      </c>
      <c r="K751" s="9"/>
      <c r="L751" s="9">
        <f ca="1">L750-O751*Prices!B751</f>
        <v>0.38621087964934836</v>
      </c>
      <c r="M751" s="1">
        <f t="shared" ca="1" si="68"/>
        <v>0.51410362162256584</v>
      </c>
      <c r="N751" s="9">
        <f ca="1">IF(Prices!D750&gt;OFFSET(Prices!D750,-$N$3,0),1,IF(Prices!D750&lt;OFFSET(Prices!D750,-$N$3,0),-1,0))</f>
        <v>1</v>
      </c>
      <c r="O751" s="1">
        <f ca="1">IF(N751=1,O$3*L750/Prices!B750,O$3*M750*N751)</f>
        <v>3.4719329693930885E-2</v>
      </c>
      <c r="P751" s="14"/>
      <c r="Q751" s="9">
        <f ca="1">Q750-T751*Prices!B751</f>
        <v>0.50274452837289541</v>
      </c>
      <c r="R751" s="1">
        <f t="shared" ca="1" si="69"/>
        <v>0.38233931007305882</v>
      </c>
      <c r="S751" s="9">
        <f ca="1">IF(Prices!C750&lt;OFFSET(Prices!C750,-S$3,0),1,IF(Prices!C750&gt;OFFSET(Prices!C750,-S$3,0),-1,0))</f>
        <v>-1</v>
      </c>
      <c r="T751" s="1">
        <f ca="1">IF(S751=1,T$3*Q750/Prices!B750,T$3*R750*S751)</f>
        <v>-7.8028430627154867E-3</v>
      </c>
    </row>
    <row r="752" spans="1:20" x14ac:dyDescent="0.2">
      <c r="A752" s="4">
        <v>34558</v>
      </c>
      <c r="B752" s="9">
        <f ca="1">Prices!B751*(1+J752/(50*(ABS(O752)+ABS(T752)+0.0001)))</f>
        <v>1.2496265103123407</v>
      </c>
      <c r="C752" s="13">
        <f t="shared" ca="1" si="70"/>
        <v>1</v>
      </c>
      <c r="D752" s="9">
        <f ca="1">D751+C752*(Prices!B752-Prices!B751)/Prices!B751</f>
        <v>-0.56196177541301395</v>
      </c>
      <c r="E752" s="9">
        <f t="shared" ca="1" si="71"/>
        <v>0.5980857266717603</v>
      </c>
      <c r="F752" s="9">
        <f t="shared" ca="1" si="72"/>
        <v>3.6123951258746317E-2</v>
      </c>
      <c r="G752" s="13">
        <f ca="1">IF((Prices!B752-Prices!B751)*B752&gt;0,1,0)</f>
        <v>1</v>
      </c>
      <c r="H752" s="9">
        <f>ABS(Prices!B752-Prices!B751)/Prices!B751</f>
        <v>1.5834149526607787E-2</v>
      </c>
      <c r="I752" s="13"/>
      <c r="J752" s="1">
        <f t="shared" ca="1" si="73"/>
        <v>3.1522272253456447E-2</v>
      </c>
      <c r="K752" s="9"/>
      <c r="L752" s="9">
        <f ca="1">L751-O752*Prices!B752</f>
        <v>0.34697825960269646</v>
      </c>
      <c r="M752" s="1">
        <f t="shared" ca="1" si="68"/>
        <v>0.54562589387602234</v>
      </c>
      <c r="N752" s="9">
        <f ca="1">IF(Prices!D751&gt;OFFSET(Prices!D751,-$N$3,0),1,IF(Prices!D751&lt;OFFSET(Prices!D751,-$N$3,0),-1,0))</f>
        <v>1</v>
      </c>
      <c r="O752" s="1">
        <f ca="1">IF(N752=1,O$3*L751/Prices!B751,O$3*M751*N752)</f>
        <v>3.1522272253456447E-2</v>
      </c>
      <c r="P752" s="14"/>
      <c r="Q752" s="9">
        <f ca="1">Q751-T752*Prices!B752</f>
        <v>0.50274452837289541</v>
      </c>
      <c r="R752" s="1">
        <f t="shared" ca="1" si="69"/>
        <v>0.38233931007305882</v>
      </c>
      <c r="S752" s="9">
        <f ca="1">IF(Prices!C751&lt;OFFSET(Prices!C751,-S$3,0),1,IF(Prices!C751&gt;OFFSET(Prices!C751,-S$3,0),-1,0))</f>
        <v>0</v>
      </c>
      <c r="T752" s="1">
        <f ca="1">IF(S752=1,T$3*Q751/Prices!B751,T$3*R751*S752)</f>
        <v>0</v>
      </c>
    </row>
    <row r="753" spans="1:20" x14ac:dyDescent="0.2">
      <c r="A753" s="4">
        <v>34561</v>
      </c>
      <c r="B753" s="9">
        <f ca="1">Prices!B752*(1+J753/(50*(ABS(O753)+ABS(T753)+0.0001)))</f>
        <v>1.2261580442734261</v>
      </c>
      <c r="C753" s="13">
        <f t="shared" ca="1" si="70"/>
        <v>-1</v>
      </c>
      <c r="D753" s="9">
        <f ca="1">D752+C753*(Prices!B753-Prices!B752)/Prices!B752</f>
        <v>-0.56389010580028709</v>
      </c>
      <c r="E753" s="9">
        <f t="shared" ca="1" si="71"/>
        <v>0.60001405705903343</v>
      </c>
      <c r="F753" s="9">
        <f t="shared" ca="1" si="72"/>
        <v>3.6123951258746317E-2</v>
      </c>
      <c r="G753" s="13">
        <f ca="1">IF((Prices!B753-Prices!B752)*B753&gt;0,1,0)</f>
        <v>1</v>
      </c>
      <c r="H753" s="9">
        <f>ABS(Prices!B753-Prices!B752)/Prices!B752</f>
        <v>1.9283303872731641E-3</v>
      </c>
      <c r="I753" s="13"/>
      <c r="J753" s="1">
        <f t="shared" ca="1" si="73"/>
        <v>-4.6483776461796425E-2</v>
      </c>
      <c r="K753" s="9"/>
      <c r="L753" s="9">
        <f ca="1">L752-O753*Prices!B753</f>
        <v>0.41501780856903647</v>
      </c>
      <c r="M753" s="1">
        <f t="shared" ca="1" si="68"/>
        <v>0.49106330448842012</v>
      </c>
      <c r="N753" s="9">
        <f ca="1">IF(Prices!D752&gt;OFFSET(Prices!D752,-$N$3,0),1,IF(Prices!D752&lt;OFFSET(Prices!D752,-$N$3,0),-1,0))</f>
        <v>-1</v>
      </c>
      <c r="O753" s="1">
        <f ca="1">IF(N753=1,O$3*L752/Prices!B752,O$3*M752*N753)</f>
        <v>-5.4562589387602237E-2</v>
      </c>
      <c r="P753" s="14"/>
      <c r="Q753" s="9">
        <f ca="1">Q752-T753*Prices!B753</f>
        <v>0.49267024865441555</v>
      </c>
      <c r="R753" s="1">
        <f t="shared" ca="1" si="69"/>
        <v>0.39041812299886464</v>
      </c>
      <c r="S753" s="9">
        <f ca="1">IF(Prices!C752&lt;OFFSET(Prices!C752,-S$3,0),1,IF(Prices!C752&gt;OFFSET(Prices!C752,-S$3,0),-1,0))</f>
        <v>1</v>
      </c>
      <c r="T753" s="1">
        <f ca="1">IF(S753=1,T$3*Q752/Prices!B752,T$3*R752*S753)</f>
        <v>8.0788129258058082E-3</v>
      </c>
    </row>
    <row r="754" spans="1:20" x14ac:dyDescent="0.2">
      <c r="A754" s="4">
        <v>34562</v>
      </c>
      <c r="B754" s="9">
        <f ca="1">Prices!B753*(1+J754/(50*(ABS(O754)+ABS(T754)+0.0001)))</f>
        <v>1.2290052628455719</v>
      </c>
      <c r="C754" s="13">
        <f t="shared" ca="1" si="70"/>
        <v>-1</v>
      </c>
      <c r="D754" s="9">
        <f ca="1">D753+C754*(Prices!B754-Prices!B753)/Prices!B753</f>
        <v>-0.5624466414859326</v>
      </c>
      <c r="E754" s="9">
        <f t="shared" ca="1" si="71"/>
        <v>0.59857059274467894</v>
      </c>
      <c r="F754" s="9">
        <f t="shared" ca="1" si="72"/>
        <v>3.6123951258746317E-2</v>
      </c>
      <c r="G754" s="13">
        <f ca="1">IF((Prices!B754-Prices!B753)*B754&gt;0,1,0)</f>
        <v>0</v>
      </c>
      <c r="H754" s="9">
        <f>ABS(Prices!B754-Prices!B753)/Prices!B753</f>
        <v>1.4434643143544697E-3</v>
      </c>
      <c r="I754" s="13"/>
      <c r="J754" s="1">
        <f t="shared" ca="1" si="73"/>
        <v>-4.120464241909999E-2</v>
      </c>
      <c r="K754" s="9"/>
      <c r="L754" s="9">
        <f ca="1">L753-O754*Prices!B754</f>
        <v>0.47616501124393457</v>
      </c>
      <c r="M754" s="1">
        <f t="shared" ca="1" si="68"/>
        <v>0.44195697403957812</v>
      </c>
      <c r="N754" s="9">
        <f ca="1">IF(Prices!D753&gt;OFFSET(Prices!D753,-$N$3,0),1,IF(Prices!D753&lt;OFFSET(Prices!D753,-$N$3,0),-1,0))</f>
        <v>-1</v>
      </c>
      <c r="O754" s="1">
        <f ca="1">IF(N754=1,O$3*L753/Prices!B753,O$3*M753*N754)</f>
        <v>-4.9106330448842016E-2</v>
      </c>
      <c r="P754" s="14"/>
      <c r="Q754" s="9">
        <f ca="1">Q753-T754*Prices!B754</f>
        <v>0.48283106671978077</v>
      </c>
      <c r="R754" s="1">
        <f t="shared" ca="1" si="69"/>
        <v>0.39831981102860664</v>
      </c>
      <c r="S754" s="9">
        <f ca="1">IF(Prices!C753&lt;OFFSET(Prices!C753,-S$3,0),1,IF(Prices!C753&gt;OFFSET(Prices!C753,-S$3,0),-1,0))</f>
        <v>1</v>
      </c>
      <c r="T754" s="1">
        <f ca="1">IF(S754=1,T$3*Q753/Prices!B753,T$3*R753*S754)</f>
        <v>7.9016880297420287E-3</v>
      </c>
    </row>
    <row r="755" spans="1:20" x14ac:dyDescent="0.2">
      <c r="A755" s="4">
        <v>34563</v>
      </c>
      <c r="B755" s="9">
        <f ca="1">Prices!B754*(1+J755/(50*(ABS(O755)+ABS(T755)+0.0001)))</f>
        <v>1.2277647698906018</v>
      </c>
      <c r="C755" s="13">
        <f t="shared" ca="1" si="70"/>
        <v>-1</v>
      </c>
      <c r="D755" s="9">
        <f ca="1">D754+C755*(Prices!B755-Prices!B754)/Prices!B754</f>
        <v>-0.56067985703363576</v>
      </c>
      <c r="E755" s="9">
        <f t="shared" ca="1" si="71"/>
        <v>0.59680380829238211</v>
      </c>
      <c r="F755" s="9">
        <f t="shared" ca="1" si="72"/>
        <v>3.6123951258746317E-2</v>
      </c>
      <c r="G755" s="13">
        <f ca="1">IF((Prices!B755-Prices!B754)*B755&gt;0,1,0)</f>
        <v>0</v>
      </c>
      <c r="H755" s="9">
        <f>ABS(Prices!B755-Prices!B754)/Prices!B754</f>
        <v>1.7667844522968035E-3</v>
      </c>
      <c r="I755" s="13"/>
      <c r="J755" s="1">
        <f t="shared" ca="1" si="73"/>
        <v>-3.6440620842445114E-2</v>
      </c>
      <c r="K755" s="9"/>
      <c r="L755" s="9">
        <f ca="1">L754-O755*Prices!B755</f>
        <v>0.53110026311705416</v>
      </c>
      <c r="M755" s="1">
        <f t="shared" ca="1" si="68"/>
        <v>0.39776127663562033</v>
      </c>
      <c r="N755" s="9">
        <f ca="1">IF(Prices!D754&gt;OFFSET(Prices!D754,-$N$3,0),1,IF(Prices!D754&lt;OFFSET(Prices!D754,-$N$3,0),-1,0))</f>
        <v>-1</v>
      </c>
      <c r="O755" s="1">
        <f ca="1">IF(N755=1,O$3*L754/Prices!B754,O$3*M754*N755)</f>
        <v>-4.4195697403957818E-2</v>
      </c>
      <c r="P755" s="14"/>
      <c r="Q755" s="9">
        <f ca="1">Q754-T755*Prices!B755</f>
        <v>0.47319150655382047</v>
      </c>
      <c r="R755" s="1">
        <f t="shared" ca="1" si="69"/>
        <v>0.40607488759011934</v>
      </c>
      <c r="S755" s="9">
        <f ca="1">IF(Prices!C754&lt;OFFSET(Prices!C754,-S$3,0),1,IF(Prices!C754&gt;OFFSET(Prices!C754,-S$3,0),-1,0))</f>
        <v>1</v>
      </c>
      <c r="T755" s="1">
        <f ca="1">IF(S755=1,T$3*Q754/Prices!B754,T$3*R754*S755)</f>
        <v>7.7550765615127014E-3</v>
      </c>
    </row>
    <row r="756" spans="1:20" x14ac:dyDescent="0.2">
      <c r="A756" s="4">
        <v>34564</v>
      </c>
      <c r="B756" s="9">
        <f ca="1">Prices!B755*(1+J756/(50*(ABS(O756)+ABS(T756)+0.0001)))</f>
        <v>1.2261635961538306</v>
      </c>
      <c r="C756" s="13">
        <f t="shared" ca="1" si="70"/>
        <v>-1</v>
      </c>
      <c r="D756" s="9">
        <f ca="1">D755+C756*(Prices!B756-Prices!B755)/Prices!B755</f>
        <v>-0.5678399535742632</v>
      </c>
      <c r="E756" s="9">
        <f t="shared" ca="1" si="71"/>
        <v>0.60396390483300955</v>
      </c>
      <c r="F756" s="9">
        <f t="shared" ca="1" si="72"/>
        <v>3.6123951258746317E-2</v>
      </c>
      <c r="G756" s="13">
        <f ca="1">IF((Prices!B756-Prices!B755)*B756&gt;0,1,0)</f>
        <v>1</v>
      </c>
      <c r="H756" s="9">
        <f>ABS(Prices!B756-Prices!B755)/Prices!B755</f>
        <v>7.1600965406274399E-3</v>
      </c>
      <c r="I756" s="13"/>
      <c r="J756" s="1">
        <f t="shared" ca="1" si="73"/>
        <v>-3.2162426834055673E-2</v>
      </c>
      <c r="K756" s="9"/>
      <c r="L756" s="9">
        <f ca="1">L755-O756*Prices!B756</f>
        <v>0.58089599733906749</v>
      </c>
      <c r="M756" s="1">
        <f t="shared" ca="1" si="68"/>
        <v>0.3579851489720583</v>
      </c>
      <c r="N756" s="9">
        <f ca="1">IF(Prices!D755&gt;OFFSET(Prices!D755,-$N$3,0),1,IF(Prices!D755&lt;OFFSET(Prices!D755,-$N$3,0),-1,0))</f>
        <v>-1</v>
      </c>
      <c r="O756" s="1">
        <f ca="1">IF(N756=1,O$3*L755/Prices!B755,O$3*M755*N756)</f>
        <v>-3.9776127663562033E-2</v>
      </c>
      <c r="P756" s="14"/>
      <c r="Q756" s="9">
        <f ca="1">Q755-T756*Prices!B756</f>
        <v>0.46365991448536148</v>
      </c>
      <c r="R756" s="1">
        <f t="shared" ca="1" si="69"/>
        <v>0.41368858841962569</v>
      </c>
      <c r="S756" s="9">
        <f ca="1">IF(Prices!C755&lt;OFFSET(Prices!C755,-S$3,0),1,IF(Prices!C755&gt;OFFSET(Prices!C755,-S$3,0),-1,0))</f>
        <v>1</v>
      </c>
      <c r="T756" s="1">
        <f ca="1">IF(S756=1,T$3*Q755/Prices!B755,T$3*R755*S756)</f>
        <v>7.6137008295063631E-3</v>
      </c>
    </row>
    <row r="757" spans="1:20" x14ac:dyDescent="0.2">
      <c r="A757" s="4">
        <v>34565</v>
      </c>
      <c r="B757" s="9">
        <f ca="1">Prices!B756*(1+J757/(50*(ABS(O757)+ABS(T757)+0.0001)))</f>
        <v>1.2768915545907977</v>
      </c>
      <c r="C757" s="13">
        <f t="shared" ca="1" si="70"/>
        <v>1</v>
      </c>
      <c r="D757" s="9">
        <f ca="1">D756+C757*(Prices!B757-Prices!B756)/Prices!B756</f>
        <v>-0.56240820982476247</v>
      </c>
      <c r="E757" s="9">
        <f t="shared" ca="1" si="71"/>
        <v>0.59853216108350882</v>
      </c>
      <c r="F757" s="9">
        <f t="shared" ca="1" si="72"/>
        <v>3.6123951258746317E-2</v>
      </c>
      <c r="G757" s="13">
        <f ca="1">IF((Prices!B757-Prices!B756)*B757&gt;0,1,0)</f>
        <v>1</v>
      </c>
      <c r="H757" s="9">
        <f>ABS(Prices!B757-Prices!B756)/Prices!B756</f>
        <v>5.4317437495006926E-3</v>
      </c>
      <c r="I757" s="13"/>
      <c r="J757" s="1">
        <f t="shared" ca="1" si="73"/>
        <v>5.380844957553637E-2</v>
      </c>
      <c r="K757" s="9"/>
      <c r="L757" s="9">
        <f ca="1">L756-O757*Prices!B757</f>
        <v>0.52249086978489512</v>
      </c>
      <c r="M757" s="1">
        <f t="shared" ca="1" si="68"/>
        <v>0.40438629901112433</v>
      </c>
      <c r="N757" s="9">
        <f ca="1">IF(Prices!D756&gt;OFFSET(Prices!D756,-$N$3,0),1,IF(Prices!D756&lt;OFFSET(Prices!D756,-$N$3,0),-1,0))</f>
        <v>1</v>
      </c>
      <c r="O757" s="1">
        <f ca="1">IF(N757=1,O$3*L756/Prices!B756,O$3*M756*N757)</f>
        <v>4.6401150039066023E-2</v>
      </c>
      <c r="P757" s="14"/>
      <c r="Q757" s="9">
        <f ca="1">Q756-T757*Prices!B757</f>
        <v>0.45433634655880623</v>
      </c>
      <c r="R757" s="1">
        <f t="shared" ca="1" si="69"/>
        <v>0.42109588795609604</v>
      </c>
      <c r="S757" s="9">
        <f ca="1">IF(Prices!C756&lt;OFFSET(Prices!C756,-S$3,0),1,IF(Prices!C756&gt;OFFSET(Prices!C756,-S$3,0),-1,0))</f>
        <v>1</v>
      </c>
      <c r="T757" s="1">
        <f ca="1">IF(S757=1,T$3*Q756/Prices!B756,T$3*R756*S757)</f>
        <v>7.407299536470349E-3</v>
      </c>
    </row>
    <row r="758" spans="1:20" x14ac:dyDescent="0.2">
      <c r="A758" s="4">
        <v>34568</v>
      </c>
      <c r="B758" s="9">
        <f ca="1">Prices!B757*(1+J758/(50*(ABS(O758)+ABS(T758)+0.0001)))</f>
        <v>1.2838224450932931</v>
      </c>
      <c r="C758" s="13">
        <f t="shared" ca="1" si="70"/>
        <v>1</v>
      </c>
      <c r="D758" s="9">
        <f ca="1">D757+C758*(Prices!B758-Prices!B757)/Prices!B757</f>
        <v>-0.55660857528118568</v>
      </c>
      <c r="E758" s="9">
        <f t="shared" ca="1" si="71"/>
        <v>0.59273252653993203</v>
      </c>
      <c r="F758" s="9">
        <f t="shared" ca="1" si="72"/>
        <v>3.6123951258746317E-2</v>
      </c>
      <c r="G758" s="13">
        <f ca="1">IF((Prices!B758-Prices!B757)*B758&gt;0,1,0)</f>
        <v>1</v>
      </c>
      <c r="H758" s="9">
        <f>ABS(Prices!B758-Prices!B757)/Prices!B757</f>
        <v>5.7996345435767736E-3</v>
      </c>
      <c r="I758" s="13"/>
      <c r="J758" s="1">
        <f t="shared" ca="1" si="73"/>
        <v>4.8729493850532803E-2</v>
      </c>
      <c r="K758" s="9"/>
      <c r="L758" s="9">
        <f ca="1">L757-O758*Prices!B758</f>
        <v>0.46993875719669481</v>
      </c>
      <c r="M758" s="1">
        <f t="shared" ca="1" si="68"/>
        <v>0.44589665650575333</v>
      </c>
      <c r="N758" s="9">
        <f ca="1">IF(Prices!D757&gt;OFFSET(Prices!D757,-$N$3,0),1,IF(Prices!D757&lt;OFFSET(Prices!D757,-$N$3,0),-1,0))</f>
        <v>1</v>
      </c>
      <c r="O758" s="1">
        <f ca="1">IF(N758=1,O$3*L757/Prices!B757,O$3*M757*N758)</f>
        <v>4.1510357494628995E-2</v>
      </c>
      <c r="P758" s="14"/>
      <c r="Q758" s="9">
        <f ca="1">Q757-T758*Prices!B758</f>
        <v>0.44519691993223198</v>
      </c>
      <c r="R758" s="1">
        <f t="shared" ca="1" si="69"/>
        <v>0.42831502431199986</v>
      </c>
      <c r="S758" s="9">
        <f ca="1">IF(Prices!C757&lt;OFFSET(Prices!C757,-S$3,0),1,IF(Prices!C757&gt;OFFSET(Prices!C757,-S$3,0),-1,0))</f>
        <v>1</v>
      </c>
      <c r="T758" s="1">
        <f ca="1">IF(S758=1,T$3*Q757/Prices!B757,T$3*R757*S758)</f>
        <v>7.2191363559038092E-3</v>
      </c>
    </row>
    <row r="759" spans="1:20" x14ac:dyDescent="0.2">
      <c r="A759" s="4">
        <v>34569</v>
      </c>
      <c r="B759" s="9">
        <f ca="1">Prices!B758*(1+J759/(50*(ABS(O759)+ABS(T759)+0.0001)))</f>
        <v>1.2912627836586881</v>
      </c>
      <c r="C759" s="13">
        <f t="shared" ca="1" si="70"/>
        <v>1</v>
      </c>
      <c r="D759" s="9">
        <f ca="1">D758+C759*(Prices!B759-Prices!B758)/Prices!B758</f>
        <v>-0.56000509976775759</v>
      </c>
      <c r="E759" s="9">
        <f t="shared" ca="1" si="71"/>
        <v>0.59612905102650393</v>
      </c>
      <c r="F759" s="9">
        <f t="shared" ca="1" si="72"/>
        <v>3.6123951258746317E-2</v>
      </c>
      <c r="G759" s="13">
        <f ca="1">IF((Prices!B759-Prices!B758)*B759&gt;0,1,0)</f>
        <v>0</v>
      </c>
      <c r="H759" s="9">
        <f>ABS(Prices!B759-Prices!B758)/Prices!B758</f>
        <v>3.3965244865718567E-3</v>
      </c>
      <c r="I759" s="13"/>
      <c r="J759" s="1">
        <f t="shared" ca="1" si="73"/>
        <v>4.4153091720627265E-2</v>
      </c>
      <c r="K759" s="9"/>
      <c r="L759" s="9">
        <f ca="1">L758-O759*Prices!B759</f>
        <v>0.42310449732662608</v>
      </c>
      <c r="M759" s="1">
        <f t="shared" ca="1" si="68"/>
        <v>0.48301662152918895</v>
      </c>
      <c r="N759" s="9">
        <f ca="1">IF(Prices!D758&gt;OFFSET(Prices!D758,-$N$3,0),1,IF(Prices!D758&lt;OFFSET(Prices!D758,-$N$3,0),-1,0))</f>
        <v>1</v>
      </c>
      <c r="O759" s="1">
        <f ca="1">IF(N759=1,O$3*L758/Prices!B758,O$3*M758*N759)</f>
        <v>3.7119965023435605E-2</v>
      </c>
      <c r="P759" s="14"/>
      <c r="Q759" s="9">
        <f ca="1">Q758-T759*Prices!B759</f>
        <v>0.43632322397838524</v>
      </c>
      <c r="R759" s="1">
        <f t="shared" ca="1" si="69"/>
        <v>0.4353481510091915</v>
      </c>
      <c r="S759" s="9">
        <f ca="1">IF(Prices!C758&lt;OFFSET(Prices!C758,-S$3,0),1,IF(Prices!C758&gt;OFFSET(Prices!C758,-S$3,0),-1,0))</f>
        <v>1</v>
      </c>
      <c r="T759" s="1">
        <f ca="1">IF(S759=1,T$3*Q758/Prices!B758,T$3*R758*S759)</f>
        <v>7.0331266971916584E-3</v>
      </c>
    </row>
    <row r="760" spans="1:20" x14ac:dyDescent="0.2">
      <c r="A760" s="4">
        <v>34570</v>
      </c>
      <c r="B760" s="9">
        <f ca="1">Prices!B759*(1+J760/(50*(ABS(O760)+ABS(T760)+0.0001)))</f>
        <v>1.2868717720512941</v>
      </c>
      <c r="C760" s="13">
        <f t="shared" ca="1" si="70"/>
        <v>1</v>
      </c>
      <c r="D760" s="9">
        <f ca="1">D759+C760*(Prices!B760-Prices!B759)/Prices!B759</f>
        <v>-0.56214506964966304</v>
      </c>
      <c r="E760" s="9">
        <f t="shared" ca="1" si="71"/>
        <v>0.59826902090840939</v>
      </c>
      <c r="F760" s="9">
        <f t="shared" ca="1" si="72"/>
        <v>3.6123951258746317E-2</v>
      </c>
      <c r="G760" s="13">
        <f ca="1">IF((Prices!B760-Prices!B759)*B760&gt;0,1,0)</f>
        <v>0</v>
      </c>
      <c r="H760" s="9">
        <f>ABS(Prices!B760-Prices!B759)/Prices!B759</f>
        <v>2.139969881905482E-3</v>
      </c>
      <c r="I760" s="13"/>
      <c r="J760" s="1">
        <f t="shared" ca="1" si="73"/>
        <v>4.0450910844281776E-2</v>
      </c>
      <c r="K760" s="9"/>
      <c r="L760" s="9">
        <f ca="1">L759-O760*Prices!B760</f>
        <v>0.38088459068208125</v>
      </c>
      <c r="M760" s="1">
        <f t="shared" ca="1" si="68"/>
        <v>0.51655109860984405</v>
      </c>
      <c r="N760" s="9">
        <f ca="1">IF(Prices!D759&gt;OFFSET(Prices!D759,-$N$3,0),1,IF(Prices!D759&lt;OFFSET(Prices!D759,-$N$3,0),-1,0))</f>
        <v>1</v>
      </c>
      <c r="O760" s="1">
        <f ca="1">IF(N760=1,O$3*L759/Prices!B759,O$3*M759*N760)</f>
        <v>3.3534477080655156E-2</v>
      </c>
      <c r="P760" s="14"/>
      <c r="Q760" s="9">
        <f ca="1">Q759-T760*Prices!B760</f>
        <v>0.42761543386997936</v>
      </c>
      <c r="R760" s="1">
        <f t="shared" ca="1" si="69"/>
        <v>0.4422645847728181</v>
      </c>
      <c r="S760" s="9">
        <f ca="1">IF(Prices!C759&lt;OFFSET(Prices!C759,-S$3,0),1,IF(Prices!C759&gt;OFFSET(Prices!C759,-S$3,0),-1,0))</f>
        <v>1</v>
      </c>
      <c r="T760" s="1">
        <f ca="1">IF(S760=1,T$3*Q759/Prices!B759,T$3*R759*S760)</f>
        <v>6.9164337636266181E-3</v>
      </c>
    </row>
    <row r="761" spans="1:20" x14ac:dyDescent="0.2">
      <c r="A761" s="4">
        <v>34571</v>
      </c>
      <c r="B761" s="9">
        <f ca="1">Prices!B760*(1+J761/(50*(ABS(O761)+ABS(T761)+0.0001)))</f>
        <v>1.233861550879785</v>
      </c>
      <c r="C761" s="13">
        <f t="shared" ca="1" si="70"/>
        <v>-1</v>
      </c>
      <c r="D761" s="9">
        <f ca="1">D760+C761*(Prices!B761-Prices!B760)/Prices!B760</f>
        <v>-0.55912680118262592</v>
      </c>
      <c r="E761" s="9">
        <f t="shared" ca="1" si="71"/>
        <v>0.59525075244137227</v>
      </c>
      <c r="F761" s="9">
        <f t="shared" ca="1" si="72"/>
        <v>3.6123951258746317E-2</v>
      </c>
      <c r="G761" s="13">
        <f ca="1">IF((Prices!B761-Prices!B760)*B761&gt;0,1,0)</f>
        <v>0</v>
      </c>
      <c r="H761" s="9">
        <f>ABS(Prices!B761-Prices!B760)/Prices!B760</f>
        <v>3.0182684670371756E-3</v>
      </c>
      <c r="I761" s="13"/>
      <c r="J761" s="1">
        <f t="shared" ca="1" si="73"/>
        <v>-6.0500401556440771E-2</v>
      </c>
      <c r="K761" s="9"/>
      <c r="L761" s="9">
        <f ca="1">L760-O761*Prices!B761</f>
        <v>0.4457220845795889</v>
      </c>
      <c r="M761" s="1">
        <f t="shared" ca="1" si="68"/>
        <v>0.46489598874885962</v>
      </c>
      <c r="N761" s="9">
        <f ca="1">IF(Prices!D760&gt;OFFSET(Prices!D760,-$N$3,0),1,IF(Prices!D760&lt;OFFSET(Prices!D760,-$N$3,0),-1,0))</f>
        <v>-1</v>
      </c>
      <c r="O761" s="1">
        <f ca="1">IF(N761=1,O$3*L760/Prices!B760,O$3*M760*N761)</f>
        <v>-5.1655109860984406E-2</v>
      </c>
      <c r="P761" s="14"/>
      <c r="Q761" s="9">
        <f ca="1">Q760-T761*Prices!B761</f>
        <v>0.43871804400611619</v>
      </c>
      <c r="R761" s="1">
        <f t="shared" ca="1" si="69"/>
        <v>0.43341929307736177</v>
      </c>
      <c r="S761" s="9">
        <f ca="1">IF(Prices!C760&lt;OFFSET(Prices!C760,-S$3,0),1,IF(Prices!C760&gt;OFFSET(Prices!C760,-S$3,0),-1,0))</f>
        <v>-1</v>
      </c>
      <c r="T761" s="1">
        <f ca="1">IF(S761=1,T$3*Q760/Prices!B760,T$3*R760*S761)</f>
        <v>-8.8452916954563626E-3</v>
      </c>
    </row>
    <row r="762" spans="1:20" x14ac:dyDescent="0.2">
      <c r="A762" s="4">
        <v>34572</v>
      </c>
      <c r="B762" s="9">
        <f ca="1">Prices!B761*(1+J762/(50*(ABS(O762)+ABS(T762)+0.0001)))</f>
        <v>1.2303823012690864</v>
      </c>
      <c r="C762" s="13">
        <f t="shared" ca="1" si="70"/>
        <v>-1</v>
      </c>
      <c r="D762" s="9">
        <f ca="1">D761+C762*(Prices!B762-Prices!B761)/Prices!B761</f>
        <v>-0.54916822884355632</v>
      </c>
      <c r="E762" s="9">
        <f t="shared" ca="1" si="71"/>
        <v>0.58529218010230266</v>
      </c>
      <c r="F762" s="9">
        <f t="shared" ca="1" si="72"/>
        <v>3.6123951258746317E-2</v>
      </c>
      <c r="G762" s="13">
        <f ca="1">IF((Prices!B762-Prices!B761)*B762&gt;0,1,0)</f>
        <v>0</v>
      </c>
      <c r="H762" s="9">
        <f>ABS(Prices!B762-Prices!B761)/Prices!B761</f>
        <v>9.9585723390696115E-3</v>
      </c>
      <c r="I762" s="13"/>
      <c r="J762" s="1">
        <f t="shared" ca="1" si="73"/>
        <v>-8.6683858615472353E-3</v>
      </c>
      <c r="K762" s="9"/>
      <c r="L762" s="9">
        <f ca="1">L761-O762*Prices!B762</f>
        <v>0.4457220845795889</v>
      </c>
      <c r="M762" s="1">
        <f t="shared" ca="1" si="68"/>
        <v>0.46489598874885962</v>
      </c>
      <c r="N762" s="9">
        <f ca="1">IF(Prices!D761&gt;OFFSET(Prices!D761,-$N$3,0),1,IF(Prices!D761&lt;OFFSET(Prices!D761,-$N$3,0),-1,0))</f>
        <v>0</v>
      </c>
      <c r="O762" s="1">
        <f ca="1">IF(N762=1,O$3*L761/Prices!B761,O$3*M761*N762)</f>
        <v>0</v>
      </c>
      <c r="P762" s="14"/>
      <c r="Q762" s="9">
        <f ca="1">Q761-T762*Prices!B762</f>
        <v>0.44949024711626095</v>
      </c>
      <c r="R762" s="1">
        <f t="shared" ca="1" si="69"/>
        <v>0.42475090721581454</v>
      </c>
      <c r="S762" s="9">
        <f ca="1">IF(Prices!C761&lt;OFFSET(Prices!C761,-S$3,0),1,IF(Prices!C761&gt;OFFSET(Prices!C761,-S$3,0),-1,0))</f>
        <v>-1</v>
      </c>
      <c r="T762" s="1">
        <f ca="1">IF(S762=1,T$3*Q761/Prices!B761,T$3*R761*S762)</f>
        <v>-8.6683858615472353E-3</v>
      </c>
    </row>
    <row r="763" spans="1:20" x14ac:dyDescent="0.2">
      <c r="A763" s="4">
        <v>34575</v>
      </c>
      <c r="B763" s="9">
        <f ca="1">Prices!B762*(1+J763/(50*(ABS(O763)+ABS(T763)+0.0001)))</f>
        <v>1.2580008225001527</v>
      </c>
      <c r="C763" s="13">
        <f t="shared" ca="1" si="70"/>
        <v>1</v>
      </c>
      <c r="D763" s="9">
        <f ca="1">D762+C763*(Prices!B763-Prices!B762)/Prices!B762</f>
        <v>-0.54916822884355632</v>
      </c>
      <c r="E763" s="9">
        <f t="shared" ca="1" si="71"/>
        <v>0.58529218010230266</v>
      </c>
      <c r="F763" s="9">
        <f t="shared" ca="1" si="72"/>
        <v>3.6123951258746317E-2</v>
      </c>
      <c r="G763" s="13">
        <f ca="1">IF((Prices!B763-Prices!B762)*B763&gt;0,1,0)</f>
        <v>0</v>
      </c>
      <c r="H763" s="9">
        <f>ABS(Prices!B763-Prices!B762)/Prices!B762</f>
        <v>0</v>
      </c>
      <c r="I763" s="13"/>
      <c r="J763" s="1">
        <f t="shared" ca="1" si="73"/>
        <v>2.7372213253413571E-2</v>
      </c>
      <c r="K763" s="9"/>
      <c r="L763" s="9">
        <f ca="1">L762-O763*Prices!B763</f>
        <v>0.40114987612163</v>
      </c>
      <c r="M763" s="1">
        <f t="shared" ca="1" si="68"/>
        <v>0.50076322014658947</v>
      </c>
      <c r="N763" s="9">
        <f ca="1">IF(Prices!D762&gt;OFFSET(Prices!D762,-$N$3,0),1,IF(Prices!D762&lt;OFFSET(Prices!D762,-$N$3,0),-1,0))</f>
        <v>1</v>
      </c>
      <c r="O763" s="1">
        <f ca="1">IF(N763=1,O$3*L762/Prices!B762,O$3*M762*N763)</f>
        <v>3.5867231397729862E-2</v>
      </c>
      <c r="P763" s="14"/>
      <c r="Q763" s="9">
        <f ca="1">Q762-T763*Prices!B763</f>
        <v>0.4600470061642028</v>
      </c>
      <c r="R763" s="1">
        <f t="shared" ca="1" si="69"/>
        <v>0.41625588907149824</v>
      </c>
      <c r="S763" s="9">
        <f ca="1">IF(Prices!C762&lt;OFFSET(Prices!C762,-S$3,0),1,IF(Prices!C762&gt;OFFSET(Prices!C762,-S$3,0),-1,0))</f>
        <v>-1</v>
      </c>
      <c r="T763" s="1">
        <f ca="1">IF(S763=1,T$3*Q762/Prices!B762,T$3*R762*S763)</f>
        <v>-8.4950181443162916E-3</v>
      </c>
    </row>
    <row r="764" spans="1:20" x14ac:dyDescent="0.2">
      <c r="A764" s="4">
        <v>34576</v>
      </c>
      <c r="B764" s="9">
        <f ca="1">Prices!B763*(1+J764/(50*(ABS(O764)+ABS(T764)+0.0001)))</f>
        <v>1.2178884844244631</v>
      </c>
      <c r="C764" s="13">
        <f t="shared" ca="1" si="70"/>
        <v>-1</v>
      </c>
      <c r="D764" s="9">
        <f ca="1">D763+C764*(Prices!B764-Prices!B763)/Prices!B763</f>
        <v>-0.53918995572856476</v>
      </c>
      <c r="E764" s="9">
        <f t="shared" ca="1" si="71"/>
        <v>0.57531390698731111</v>
      </c>
      <c r="F764" s="9">
        <f t="shared" ca="1" si="72"/>
        <v>3.6123951258746317E-2</v>
      </c>
      <c r="G764" s="13">
        <f ca="1">IF((Prices!B764-Prices!B763)*B764&gt;0,1,0)</f>
        <v>0</v>
      </c>
      <c r="H764" s="9">
        <f>ABS(Prices!B764-Prices!B763)/Prices!B763</f>
        <v>9.9782731149915243E-3</v>
      </c>
      <c r="I764" s="13"/>
      <c r="J764" s="1">
        <f t="shared" ca="1" si="73"/>
        <v>-5.8401439796088916E-2</v>
      </c>
      <c r="K764" s="9"/>
      <c r="L764" s="9">
        <f ca="1">L763-O764*Prices!B764</f>
        <v>0.4627587750962649</v>
      </c>
      <c r="M764" s="1">
        <f t="shared" ca="1" si="68"/>
        <v>0.45068689813193052</v>
      </c>
      <c r="N764" s="9">
        <f ca="1">IF(Prices!D763&gt;OFFSET(Prices!D763,-$N$3,0),1,IF(Prices!D763&lt;OFFSET(Prices!D763,-$N$3,0),-1,0))</f>
        <v>-1</v>
      </c>
      <c r="O764" s="1">
        <f ca="1">IF(N764=1,O$3*L763/Prices!B763,O$3*M763*N764)</f>
        <v>-5.0076322014658947E-2</v>
      </c>
      <c r="P764" s="14"/>
      <c r="Q764" s="9">
        <f ca="1">Q763-T764*Prices!B764</f>
        <v>0.47028939857069607</v>
      </c>
      <c r="R764" s="1">
        <f t="shared" ca="1" si="69"/>
        <v>0.40793077129006827</v>
      </c>
      <c r="S764" s="9">
        <f ca="1">IF(Prices!C763&lt;OFFSET(Prices!C763,-S$3,0),1,IF(Prices!C763&gt;OFFSET(Prices!C763,-S$3,0),-1,0))</f>
        <v>-1</v>
      </c>
      <c r="T764" s="1">
        <f ca="1">IF(S764=1,T$3*Q763/Prices!B763,T$3*R763*S764)</f>
        <v>-8.3251177814299658E-3</v>
      </c>
    </row>
    <row r="765" spans="1:20" x14ac:dyDescent="0.2">
      <c r="A765" s="4">
        <v>34577</v>
      </c>
      <c r="B765" s="9">
        <f ca="1">Prices!B764*(1+J765/(50*(ABS(O765)+ABS(T765)+0.0001)))</f>
        <v>1.2057401414652207</v>
      </c>
      <c r="C765" s="13">
        <f t="shared" ca="1" si="70"/>
        <v>-1</v>
      </c>
      <c r="D765" s="9">
        <f ca="1">D764+C765*(Prices!B765-Prices!B764)/Prices!B764</f>
        <v>-0.54227863328688386</v>
      </c>
      <c r="E765" s="9">
        <f t="shared" ca="1" si="71"/>
        <v>0.57840258454563021</v>
      </c>
      <c r="F765" s="9">
        <f t="shared" ca="1" si="72"/>
        <v>3.6123951258746317E-2</v>
      </c>
      <c r="G765" s="13">
        <f ca="1">IF((Prices!B765-Prices!B764)*B765&gt;0,1,0)</f>
        <v>1</v>
      </c>
      <c r="H765" s="9">
        <f>ABS(Prices!B765-Prices!B764)/Prices!B764</f>
        <v>3.0886775583191303E-3</v>
      </c>
      <c r="I765" s="13"/>
      <c r="J765" s="1">
        <f t="shared" ca="1" si="73"/>
        <v>-5.3227305238994424E-2</v>
      </c>
      <c r="K765" s="9"/>
      <c r="L765" s="9">
        <f ca="1">L764-O765*Prices!B765</f>
        <v>0.51837804519472641</v>
      </c>
      <c r="M765" s="1">
        <f t="shared" ca="1" si="68"/>
        <v>0.40561820831873746</v>
      </c>
      <c r="N765" s="9">
        <f ca="1">IF(Prices!D764&gt;OFFSET(Prices!D764,-$N$3,0),1,IF(Prices!D764&lt;OFFSET(Prices!D764,-$N$3,0),-1,0))</f>
        <v>-1</v>
      </c>
      <c r="O765" s="1">
        <f ca="1">IF(N765=1,O$3*L764/Prices!B764,O$3*M764*N765)</f>
        <v>-4.5068689813193057E-2</v>
      </c>
      <c r="P765" s="14"/>
      <c r="Q765" s="9">
        <f ca="1">Q764-T765*Prices!B765</f>
        <v>0.48035794586767755</v>
      </c>
      <c r="R765" s="1">
        <f t="shared" ca="1" si="69"/>
        <v>0.3997721558642669</v>
      </c>
      <c r="S765" s="9">
        <f ca="1">IF(Prices!C764&lt;OFFSET(Prices!C764,-S$3,0),1,IF(Prices!C764&gt;OFFSET(Prices!C764,-S$3,0),-1,0))</f>
        <v>-1</v>
      </c>
      <c r="T765" s="1">
        <f ca="1">IF(S765=1,T$3*Q764/Prices!B764,T$3*R764*S765)</f>
        <v>-8.1586154258013657E-3</v>
      </c>
    </row>
    <row r="766" spans="1:20" x14ac:dyDescent="0.2">
      <c r="A766" s="4">
        <v>34578</v>
      </c>
      <c r="B766" s="9">
        <f ca="1">Prices!B765*(1+J766/(50*(ABS(O766)+ABS(T766)+0.0001)))</f>
        <v>1.2094687262389965</v>
      </c>
      <c r="C766" s="13">
        <f t="shared" ca="1" si="70"/>
        <v>-1</v>
      </c>
      <c r="D766" s="9">
        <f ca="1">D765+C766*(Prices!B766-Prices!B765)/Prices!B765</f>
        <v>-0.54227863328688386</v>
      </c>
      <c r="E766" s="9">
        <f t="shared" ca="1" si="71"/>
        <v>0.57840258454563021</v>
      </c>
      <c r="F766" s="9">
        <f t="shared" ca="1" si="72"/>
        <v>3.6123951258746317E-2</v>
      </c>
      <c r="G766" s="13">
        <f ca="1">IF((Prices!B766-Prices!B765)*B766&gt;0,1,0)</f>
        <v>0</v>
      </c>
      <c r="H766" s="9">
        <f>ABS(Prices!B766-Prices!B765)/Prices!B765</f>
        <v>0</v>
      </c>
      <c r="I766" s="13"/>
      <c r="J766" s="1">
        <f t="shared" ca="1" si="73"/>
        <v>-4.8557263949159088E-2</v>
      </c>
      <c r="K766" s="9"/>
      <c r="L766" s="9">
        <f ca="1">L765-O766*Prices!B766</f>
        <v>0.56843538828334184</v>
      </c>
      <c r="M766" s="1">
        <f t="shared" ca="1" si="68"/>
        <v>0.3650563874868637</v>
      </c>
      <c r="N766" s="9">
        <f ca="1">IF(Prices!D765&gt;OFFSET(Prices!D765,-$N$3,0),1,IF(Prices!D765&lt;OFFSET(Prices!D765,-$N$3,0),-1,0))</f>
        <v>-1</v>
      </c>
      <c r="O766" s="1">
        <f ca="1">IF(N766=1,O$3*L765/Prices!B765,O$3*M765*N766)</f>
        <v>-4.0561820831873749E-2</v>
      </c>
      <c r="P766" s="14"/>
      <c r="Q766" s="9">
        <f ca="1">Q765-T766*Prices!B766</f>
        <v>0.49022512221871939</v>
      </c>
      <c r="R766" s="1">
        <f t="shared" ca="1" si="69"/>
        <v>0.39177671274698156</v>
      </c>
      <c r="S766" s="9">
        <f ca="1">IF(Prices!C765&lt;OFFSET(Prices!C765,-S$3,0),1,IF(Prices!C765&gt;OFFSET(Prices!C765,-S$3,0),-1,0))</f>
        <v>-1</v>
      </c>
      <c r="T766" s="1">
        <f ca="1">IF(S766=1,T$3*Q765/Prices!B765,T$3*R765*S766)</f>
        <v>-7.9954431172853373E-3</v>
      </c>
    </row>
    <row r="767" spans="1:20" x14ac:dyDescent="0.2">
      <c r="A767" s="4">
        <v>34579</v>
      </c>
      <c r="B767" s="9">
        <f ca="1">Prices!B766*(1+J767/(50*(ABS(O767)+ABS(T767)+0.0001)))</f>
        <v>1.2182764886415918</v>
      </c>
      <c r="C767" s="13">
        <f t="shared" ca="1" si="70"/>
        <v>-1</v>
      </c>
      <c r="D767" s="9">
        <f ca="1">D766+C767*(Prices!B767-Prices!B766)/Prices!B766</f>
        <v>-0.55337984064447243</v>
      </c>
      <c r="E767" s="9">
        <f t="shared" ca="1" si="71"/>
        <v>0.58950379190321878</v>
      </c>
      <c r="F767" s="9">
        <f t="shared" ca="1" si="72"/>
        <v>3.6123951258746317E-2</v>
      </c>
      <c r="G767" s="13">
        <f ca="1">IF((Prices!B767-Prices!B766)*B767&gt;0,1,0)</f>
        <v>1</v>
      </c>
      <c r="H767" s="9">
        <f>ABS(Prices!B767-Prices!B766)/Prices!B766</f>
        <v>1.1101207357588563E-2</v>
      </c>
      <c r="I767" s="13"/>
      <c r="J767" s="1">
        <f t="shared" ca="1" si="73"/>
        <v>-2.8560980743359096E-2</v>
      </c>
      <c r="K767" s="9"/>
      <c r="L767" s="9">
        <f ca="1">L766-O767*Prices!B767</f>
        <v>0.61398712431395264</v>
      </c>
      <c r="M767" s="1">
        <f t="shared" ca="1" si="68"/>
        <v>0.32855074873817736</v>
      </c>
      <c r="N767" s="9">
        <f ca="1">IF(Prices!D766&gt;OFFSET(Prices!D766,-$N$3,0),1,IF(Prices!D766&lt;OFFSET(Prices!D766,-$N$3,0),-1,0))</f>
        <v>-1</v>
      </c>
      <c r="O767" s="1">
        <f ca="1">IF(N767=1,O$3*L766/Prices!B766,O$3*M766*N767)</f>
        <v>-3.650563874868637E-2</v>
      </c>
      <c r="P767" s="14"/>
      <c r="Q767" s="9">
        <f ca="1">Q766-T767*Prices!B767</f>
        <v>0.480311777959672</v>
      </c>
      <c r="R767" s="1">
        <f t="shared" ca="1" si="69"/>
        <v>0.39972137075230885</v>
      </c>
      <c r="S767" s="9">
        <f ca="1">IF(Prices!C766&lt;OFFSET(Prices!C766,-S$3,0),1,IF(Prices!C766&gt;OFFSET(Prices!C766,-S$3,0),-1,0))</f>
        <v>1</v>
      </c>
      <c r="T767" s="1">
        <f ca="1">IF(S767=1,T$3*Q766/Prices!B766,T$3*R766*S767)</f>
        <v>7.9446580053272736E-3</v>
      </c>
    </row>
    <row r="768" spans="1:20" x14ac:dyDescent="0.2">
      <c r="A768" s="4">
        <v>34582</v>
      </c>
      <c r="B768" s="9">
        <f ca="1">Prices!B767*(1+J768/(50*(ABS(O768)+ABS(T768)+0.0001)))</f>
        <v>1.2727122207002899</v>
      </c>
      <c r="C768" s="13">
        <f t="shared" ca="1" si="70"/>
        <v>1</v>
      </c>
      <c r="D768" s="9">
        <f ca="1">D767+C768*(Prices!B768-Prices!B767)/Prices!B767</f>
        <v>-0.55145645548659461</v>
      </c>
      <c r="E768" s="9">
        <f t="shared" ca="1" si="71"/>
        <v>0.58758040674534096</v>
      </c>
      <c r="F768" s="9">
        <f t="shared" ca="1" si="72"/>
        <v>3.6123951258746317E-2</v>
      </c>
      <c r="G768" s="13">
        <f ca="1">IF((Prices!B768-Prices!B767)*B768&gt;0,1,0)</f>
        <v>1</v>
      </c>
      <c r="H768" s="9">
        <f>ABS(Prices!B768-Prices!B767)/Prices!B767</f>
        <v>1.9233851578778311E-3</v>
      </c>
      <c r="I768" s="13"/>
      <c r="J768" s="1">
        <f t="shared" ca="1" si="73"/>
        <v>5.6904109625411689E-2</v>
      </c>
      <c r="K768" s="9"/>
      <c r="L768" s="9">
        <f ca="1">L767-O768*Prices!B768</f>
        <v>0.552470318510354</v>
      </c>
      <c r="M768" s="1">
        <f t="shared" ca="1" si="68"/>
        <v>0.37775632048957603</v>
      </c>
      <c r="N768" s="9">
        <f ca="1">IF(Prices!D767&gt;OFFSET(Prices!D767,-$N$3,0),1,IF(Prices!D767&lt;OFFSET(Prices!D767,-$N$3,0),-1,0))</f>
        <v>1</v>
      </c>
      <c r="O768" s="1">
        <f ca="1">IF(N768=1,O$3*L767/Prices!B767,O$3*M767*N768)</f>
        <v>4.9205571751398676E-2</v>
      </c>
      <c r="P768" s="14"/>
      <c r="Q768" s="9">
        <f ca="1">Q767-T768*Prices!B768</f>
        <v>0.47068706590958093</v>
      </c>
      <c r="R768" s="1">
        <f t="shared" ca="1" si="69"/>
        <v>0.40741990862632188</v>
      </c>
      <c r="S768" s="9">
        <f ca="1">IF(Prices!C767&lt;OFFSET(Prices!C767,-S$3,0),1,IF(Prices!C767&gt;OFFSET(Prices!C767,-S$3,0),-1,0))</f>
        <v>1</v>
      </c>
      <c r="T768" s="1">
        <f ca="1">IF(S768=1,T$3*Q767/Prices!B767,T$3*R767*S768)</f>
        <v>7.6985378740130157E-3</v>
      </c>
    </row>
    <row r="769" spans="1:20" x14ac:dyDescent="0.2">
      <c r="A769" s="4">
        <v>34583</v>
      </c>
      <c r="B769" s="9">
        <f ca="1">Prices!B768*(1+J769/(50*(ABS(O769)+ABS(T769)+0.0001)))</f>
        <v>1.2751557486793466</v>
      </c>
      <c r="C769" s="13">
        <f t="shared" ca="1" si="70"/>
        <v>1</v>
      </c>
      <c r="D769" s="9">
        <f ca="1">D768+C769*(Prices!B769-Prices!B768)/Prices!B768</f>
        <v>-0.5449774921207331</v>
      </c>
      <c r="E769" s="9">
        <f t="shared" ca="1" si="71"/>
        <v>0.58110144337947944</v>
      </c>
      <c r="F769" s="9">
        <f t="shared" ca="1" si="72"/>
        <v>3.6123951258746317E-2</v>
      </c>
      <c r="G769" s="13">
        <f ca="1">IF((Prices!B769-Prices!B768)*B769&gt;0,1,0)</f>
        <v>1</v>
      </c>
      <c r="H769" s="9">
        <f>ABS(Prices!B769-Prices!B768)/Prices!B768</f>
        <v>6.4789633658614591E-3</v>
      </c>
      <c r="I769" s="13"/>
      <c r="J769" s="1">
        <f t="shared" ca="1" si="73"/>
        <v>5.1720343280456743E-2</v>
      </c>
      <c r="K769" s="9"/>
      <c r="L769" s="9">
        <f ca="1">L768-O769*Prices!B769</f>
        <v>0.49686534316388314</v>
      </c>
      <c r="M769" s="1">
        <f t="shared" ca="1" si="68"/>
        <v>0.42194687548160564</v>
      </c>
      <c r="N769" s="9">
        <f ca="1">IF(Prices!D768&gt;OFFSET(Prices!D768,-$N$3,0),1,IF(Prices!D768&lt;OFFSET(Prices!D768,-$N$3,0),-1,0))</f>
        <v>1</v>
      </c>
      <c r="O769" s="1">
        <f ca="1">IF(N769=1,O$3*L768/Prices!B768,O$3*M768*N769)</f>
        <v>4.4190554992029597E-2</v>
      </c>
      <c r="P769" s="14"/>
      <c r="Q769" s="9">
        <f ca="1">Q768-T769*Prices!B769</f>
        <v>0.46121233330625305</v>
      </c>
      <c r="R769" s="1">
        <f t="shared" ca="1" si="69"/>
        <v>0.41494969691474903</v>
      </c>
      <c r="S769" s="9">
        <f ca="1">IF(Prices!C768&lt;OFFSET(Prices!C768,-S$3,0),1,IF(Prices!C768&gt;OFFSET(Prices!C768,-S$3,0),-1,0))</f>
        <v>1</v>
      </c>
      <c r="T769" s="1">
        <f ca="1">IF(S769=1,T$3*Q768/Prices!B768,T$3*R768*S769)</f>
        <v>7.5297882884271467E-3</v>
      </c>
    </row>
    <row r="770" spans="1:20" x14ac:dyDescent="0.2">
      <c r="A770" s="4">
        <v>34584</v>
      </c>
      <c r="B770" s="9">
        <f ca="1">Prices!B769*(1+J770/(50*(ABS(O770)+ABS(T770)+0.0001)))</f>
        <v>1.2834123614572839</v>
      </c>
      <c r="C770" s="13">
        <f t="shared" ca="1" si="70"/>
        <v>1</v>
      </c>
      <c r="D770" s="9">
        <f ca="1">D769+C770*(Prices!B770-Prices!B769)/Prices!B769</f>
        <v>-0.54998424726656481</v>
      </c>
      <c r="E770" s="9">
        <f t="shared" ca="1" si="71"/>
        <v>0.58610819852531115</v>
      </c>
      <c r="F770" s="9">
        <f t="shared" ca="1" si="72"/>
        <v>3.6123951258746317E-2</v>
      </c>
      <c r="G770" s="13">
        <f ca="1">IF((Prices!B770-Prices!B769)*B770&gt;0,1,0)</f>
        <v>0</v>
      </c>
      <c r="H770" s="9">
        <f>ABS(Prices!B770-Prices!B769)/Prices!B769</f>
        <v>5.0067551458316557E-3</v>
      </c>
      <c r="I770" s="13"/>
      <c r="J770" s="1">
        <f t="shared" ca="1" si="73"/>
        <v>4.6817754893517749E-2</v>
      </c>
      <c r="K770" s="9"/>
      <c r="L770" s="9">
        <f ca="1">L769-O770*Prices!B770</f>
        <v>0.44742757715886194</v>
      </c>
      <c r="M770" s="1">
        <f t="shared" ca="1" si="68"/>
        <v>0.46143390903194204</v>
      </c>
      <c r="N770" s="9">
        <f ca="1">IF(Prices!D769&gt;OFFSET(Prices!D769,-$N$3,0),1,IF(Prices!D769&lt;OFFSET(Prices!D769,-$N$3,0),-1,0))</f>
        <v>1</v>
      </c>
      <c r="O770" s="1">
        <f ca="1">IF(N770=1,O$3*L769/Prices!B769,O$3*M769*N770)</f>
        <v>3.948703355033642E-2</v>
      </c>
      <c r="P770" s="14"/>
      <c r="Q770" s="9">
        <f ca="1">Q769-T770*Prices!B770</f>
        <v>0.45203427018459003</v>
      </c>
      <c r="R770" s="1">
        <f t="shared" ca="1" si="69"/>
        <v>0.42228041825793033</v>
      </c>
      <c r="S770" s="9">
        <f ca="1">IF(Prices!C769&lt;OFFSET(Prices!C769,-S$3,0),1,IF(Prices!C769&gt;OFFSET(Prices!C769,-S$3,0),-1,0))</f>
        <v>1</v>
      </c>
      <c r="T770" s="1">
        <f ca="1">IF(S770=1,T$3*Q769/Prices!B769,T$3*R769*S770)</f>
        <v>7.3307213431813255E-3</v>
      </c>
    </row>
    <row r="771" spans="1:20" x14ac:dyDescent="0.2">
      <c r="A771" s="4">
        <v>34585</v>
      </c>
      <c r="B771" s="9">
        <f ca="1">Prices!B770*(1+J771/(50*(ABS(O771)+ABS(T771)+0.0001)))</f>
        <v>1.2769818459115536</v>
      </c>
      <c r="C771" s="13">
        <f t="shared" ca="1" si="70"/>
        <v>1</v>
      </c>
      <c r="D771" s="9">
        <f ca="1">D770+C771*(Prices!B771-Prices!B770)/Prices!B770</f>
        <v>-0.55381811308126128</v>
      </c>
      <c r="E771" s="9">
        <f t="shared" ca="1" si="71"/>
        <v>0.58994206434000762</v>
      </c>
      <c r="F771" s="9">
        <f t="shared" ca="1" si="72"/>
        <v>3.6123951258746317E-2</v>
      </c>
      <c r="G771" s="13">
        <f ca="1">IF((Prices!B771-Prices!B770)*B771&gt;0,1,0)</f>
        <v>0</v>
      </c>
      <c r="H771" s="9">
        <f>ABS(Prices!B771-Prices!B770)/Prices!B770</f>
        <v>3.8338658146964181E-3</v>
      </c>
      <c r="I771" s="13"/>
      <c r="J771" s="1">
        <f t="shared" ca="1" si="73"/>
        <v>4.2958021661004792E-2</v>
      </c>
      <c r="K771" s="9"/>
      <c r="L771" s="9">
        <f ca="1">L770-O771*Prices!B771</f>
        <v>0.40285635717223794</v>
      </c>
      <c r="M771" s="1">
        <f t="shared" ca="1" si="68"/>
        <v>0.49717093596156359</v>
      </c>
      <c r="N771" s="9">
        <f ca="1">IF(Prices!D770&gt;OFFSET(Prices!D770,-$N$3,0),1,IF(Prices!D770&lt;OFFSET(Prices!D770,-$N$3,0),-1,0))</f>
        <v>1</v>
      </c>
      <c r="O771" s="1">
        <f ca="1">IF(N771=1,O$3*L770/Prices!B770,O$3*M770*N771)</f>
        <v>3.5737026929621565E-2</v>
      </c>
      <c r="P771" s="14"/>
      <c r="Q771" s="9">
        <f ca="1">Q770-T771*Prices!B771</f>
        <v>0.44302824555560888</v>
      </c>
      <c r="R771" s="1">
        <f t="shared" ca="1" si="69"/>
        <v>0.42950141298931355</v>
      </c>
      <c r="S771" s="9">
        <f ca="1">IF(Prices!C770&lt;OFFSET(Prices!C770,-S$3,0),1,IF(Prices!C770&gt;OFFSET(Prices!C770,-S$3,0),-1,0))</f>
        <v>1</v>
      </c>
      <c r="T771" s="1">
        <f ca="1">IF(S771=1,T$3*Q770/Prices!B770,T$3*R770*S771)</f>
        <v>7.2209947313832271E-3</v>
      </c>
    </row>
    <row r="772" spans="1:20" x14ac:dyDescent="0.2">
      <c r="A772" s="4">
        <v>34586</v>
      </c>
      <c r="B772" s="9">
        <f ca="1">Prices!B771*(1+J772/(50*(ABS(O772)+ABS(T772)+0.0001)))</f>
        <v>1.26162864593538</v>
      </c>
      <c r="C772" s="13">
        <f t="shared" ca="1" si="70"/>
        <v>1</v>
      </c>
      <c r="D772" s="9">
        <f ca="1">D771+C772*(Prices!B772-Prices!B771)/Prices!B771</f>
        <v>-0.54427674040646967</v>
      </c>
      <c r="E772" s="9">
        <f t="shared" ca="1" si="71"/>
        <v>0.58040069166521602</v>
      </c>
      <c r="F772" s="9">
        <f t="shared" ca="1" si="72"/>
        <v>3.6123951258746317E-2</v>
      </c>
      <c r="G772" s="13">
        <f ca="1">IF((Prices!B772-Prices!B771)*B772&gt;0,1,0)</f>
        <v>1</v>
      </c>
      <c r="H772" s="9">
        <f>ABS(Prices!B772-Prices!B771)/Prices!B771</f>
        <v>9.5413726747915501E-3</v>
      </c>
      <c r="I772" s="13"/>
      <c r="J772" s="1">
        <f t="shared" ca="1" si="73"/>
        <v>2.3710834246005733E-2</v>
      </c>
      <c r="K772" s="9"/>
      <c r="L772" s="9">
        <f ca="1">L771-O772*Prices!B772</f>
        <v>0.36218634119119525</v>
      </c>
      <c r="M772" s="1">
        <f t="shared" ca="1" si="68"/>
        <v>0.52947179846735559</v>
      </c>
      <c r="N772" s="9">
        <f ca="1">IF(Prices!D771&gt;OFFSET(Prices!D771,-$N$3,0),1,IF(Prices!D771&lt;OFFSET(Prices!D771,-$N$3,0),-1,0))</f>
        <v>1</v>
      </c>
      <c r="O772" s="1">
        <f ca="1">IF(N772=1,O$3*L771/Prices!B771,O$3*M771*N772)</f>
        <v>3.2300862505792005E-2</v>
      </c>
      <c r="P772" s="14"/>
      <c r="Q772" s="9">
        <f ca="1">Q771-T772*Prices!B772</f>
        <v>0.45384395013750578</v>
      </c>
      <c r="R772" s="1">
        <f t="shared" ca="1" si="69"/>
        <v>0.42091138472952727</v>
      </c>
      <c r="S772" s="9">
        <f ca="1">IF(Prices!C771&lt;OFFSET(Prices!C771,-S$3,0),1,IF(Prices!C771&gt;OFFSET(Prices!C771,-S$3,0),-1,0))</f>
        <v>-1</v>
      </c>
      <c r="T772" s="1">
        <f ca="1">IF(S772=1,T$3*Q771/Prices!B771,T$3*R771*S772)</f>
        <v>-8.5900282597862719E-3</v>
      </c>
    </row>
    <row r="773" spans="1:20" x14ac:dyDescent="0.2">
      <c r="A773" s="4">
        <v>34589</v>
      </c>
      <c r="B773" s="9">
        <f ca="1">Prices!B772*(1+J773/(50*(ABS(O773)+ABS(T773)+0.0001)))</f>
        <v>1.2842121944896909</v>
      </c>
      <c r="C773" s="13">
        <f t="shared" ca="1" si="70"/>
        <v>1</v>
      </c>
      <c r="D773" s="9">
        <f ca="1">D772+C773*(Prices!B773-Prices!B772)/Prices!B772</f>
        <v>-0.54515038030798668</v>
      </c>
      <c r="E773" s="9">
        <f t="shared" ca="1" si="71"/>
        <v>0.58127433156673303</v>
      </c>
      <c r="F773" s="9">
        <f t="shared" ca="1" si="72"/>
        <v>3.6123951258746317E-2</v>
      </c>
      <c r="G773" s="13">
        <f ca="1">IF((Prices!B773-Prices!B772)*B773&gt;0,1,0)</f>
        <v>0</v>
      </c>
      <c r="H773" s="9">
        <f>ABS(Prices!B773-Prices!B772)/Prices!B772</f>
        <v>8.7363990151703664E-4</v>
      </c>
      <c r="I773" s="13"/>
      <c r="J773" s="1">
        <f t="shared" ca="1" si="73"/>
        <v>3.5974516020863823E-2</v>
      </c>
      <c r="K773" s="9"/>
      <c r="L773" s="9">
        <f ca="1">L772-O773*Prices!B773</f>
        <v>0.32599934911602063</v>
      </c>
      <c r="M773" s="1">
        <f t="shared" ca="1" si="68"/>
        <v>0.55823729296272495</v>
      </c>
      <c r="N773" s="9">
        <f ca="1">IF(Prices!D772&gt;OFFSET(Prices!D772,-$N$3,0),1,IF(Prices!D772&lt;OFFSET(Prices!D772,-$N$3,0),-1,0))</f>
        <v>1</v>
      </c>
      <c r="O773" s="1">
        <f ca="1">IF(N773=1,O$3*L772/Prices!B772,O$3*M772*N773)</f>
        <v>2.8765494495369331E-2</v>
      </c>
      <c r="P773" s="14"/>
      <c r="Q773" s="9">
        <f ca="1">Q772-T773*Prices!B773</f>
        <v>0.44477500105843371</v>
      </c>
      <c r="R773" s="1">
        <f t="shared" ca="1" si="69"/>
        <v>0.42812040625502179</v>
      </c>
      <c r="S773" s="9">
        <f ca="1">IF(Prices!C772&lt;OFFSET(Prices!C772,-S$3,0),1,IF(Prices!C772&gt;OFFSET(Prices!C772,-S$3,0),-1,0))</f>
        <v>1</v>
      </c>
      <c r="T773" s="1">
        <f ca="1">IF(S773=1,T$3*Q772/Prices!B772,T$3*R772*S773)</f>
        <v>7.209021525494492E-3</v>
      </c>
    </row>
    <row r="774" spans="1:20" x14ac:dyDescent="0.2">
      <c r="A774" s="4">
        <v>34590</v>
      </c>
      <c r="B774" s="9">
        <f ca="1">Prices!B773*(1+J774/(50*(ABS(O774)+ABS(T774)+0.0001)))</f>
        <v>1.2706261604328275</v>
      </c>
      <c r="C774" s="13">
        <f t="shared" ca="1" si="70"/>
        <v>1</v>
      </c>
      <c r="D774" s="9">
        <f ca="1">D773+C774*(Prices!B774-Prices!B773)/Prices!B773</f>
        <v>-0.54817104803453676</v>
      </c>
      <c r="E774" s="9">
        <f t="shared" ca="1" si="71"/>
        <v>0.5842949992932831</v>
      </c>
      <c r="F774" s="9">
        <f t="shared" ca="1" si="72"/>
        <v>3.6123951258746317E-2</v>
      </c>
      <c r="G774" s="13">
        <f ca="1">IF((Prices!B774-Prices!B773)*B774&gt;0,1,0)</f>
        <v>0</v>
      </c>
      <c r="H774" s="9">
        <f>ABS(Prices!B774-Prices!B773)/Prices!B773</f>
        <v>3.0206677265500999E-3</v>
      </c>
      <c r="I774" s="13"/>
      <c r="J774" s="1">
        <f t="shared" ca="1" si="73"/>
        <v>1.7351689578875763E-2</v>
      </c>
      <c r="K774" s="9"/>
      <c r="L774" s="9">
        <f ca="1">L773-O774*Prices!B774</f>
        <v>0.29349788777569369</v>
      </c>
      <c r="M774" s="1">
        <f t="shared" ca="1" si="68"/>
        <v>0.58415139066670119</v>
      </c>
      <c r="N774" s="9">
        <f ca="1">IF(Prices!D773&gt;OFFSET(Prices!D773,-$N$3,0),1,IF(Prices!D773&lt;OFFSET(Prices!D773,-$N$3,0),-1,0))</f>
        <v>1</v>
      </c>
      <c r="O774" s="1">
        <f ca="1">IF(N774=1,O$3*L773/Prices!B773,O$3*M773*N774)</f>
        <v>2.5914097703976201E-2</v>
      </c>
      <c r="P774" s="14"/>
      <c r="Q774" s="9">
        <f ca="1">Q773-T774*Prices!B774</f>
        <v>0.45551397332893467</v>
      </c>
      <c r="R774" s="1">
        <f t="shared" ca="1" si="69"/>
        <v>0.41955799812992134</v>
      </c>
      <c r="S774" s="9">
        <f ca="1">IF(Prices!C773&lt;OFFSET(Prices!C773,-S$3,0),1,IF(Prices!C773&gt;OFFSET(Prices!C773,-S$3,0),-1,0))</f>
        <v>-1</v>
      </c>
      <c r="T774" s="1">
        <f ca="1">IF(S774=1,T$3*Q773/Prices!B773,T$3*R773*S774)</f>
        <v>-8.5624081251004357E-3</v>
      </c>
    </row>
    <row r="775" spans="1:20" x14ac:dyDescent="0.2">
      <c r="A775" s="4">
        <v>34591</v>
      </c>
      <c r="B775" s="9">
        <f ca="1">Prices!B774*(1+J775/(50*(ABS(O775)+ABS(T775)+0.0001)))</f>
        <v>1.2346940693367598</v>
      </c>
      <c r="C775" s="13">
        <f t="shared" ca="1" si="70"/>
        <v>-1</v>
      </c>
      <c r="D775" s="9">
        <f ca="1">D774+C775*(Prices!B775-Prices!B774)/Prices!B774</f>
        <v>-0.55502800864687929</v>
      </c>
      <c r="E775" s="9">
        <f t="shared" ca="1" si="71"/>
        <v>0.59115195990562563</v>
      </c>
      <c r="F775" s="9">
        <f t="shared" ca="1" si="72"/>
        <v>3.6123951258746317E-2</v>
      </c>
      <c r="G775" s="13">
        <f ca="1">IF((Prices!B775-Prices!B774)*B775&gt;0,1,0)</f>
        <v>1</v>
      </c>
      <c r="H775" s="9">
        <f>ABS(Prices!B775-Prices!B774)/Prices!B774</f>
        <v>6.8569606123424819E-3</v>
      </c>
      <c r="I775" s="13"/>
      <c r="J775" s="1">
        <f t="shared" ca="1" si="73"/>
        <v>-5.115132191902326E-2</v>
      </c>
      <c r="K775" s="9"/>
      <c r="L775" s="9">
        <f ca="1">L774-O775*Prices!B775</f>
        <v>0.36726452538908472</v>
      </c>
      <c r="M775" s="1">
        <f t="shared" ca="1" si="68"/>
        <v>0.52573625160003101</v>
      </c>
      <c r="N775" s="9">
        <f ca="1">IF(Prices!D774&gt;OFFSET(Prices!D774,-$N$3,0),1,IF(Prices!D774&lt;OFFSET(Prices!D774,-$N$3,0),-1,0))</f>
        <v>-1</v>
      </c>
      <c r="O775" s="1">
        <f ca="1">IF(N775=1,O$3*L774/Prices!B774,O$3*M774*N775)</f>
        <v>-5.8415139066670119E-2</v>
      </c>
      <c r="P775" s="14"/>
      <c r="Q775" s="9">
        <f ca="1">Q774-T775*Prices!B775</f>
        <v>0.44634122503488621</v>
      </c>
      <c r="R775" s="1">
        <f t="shared" ca="1" si="69"/>
        <v>0.42682181527756818</v>
      </c>
      <c r="S775" s="9">
        <f ca="1">IF(Prices!C774&lt;OFFSET(Prices!C774,-S$3,0),1,IF(Prices!C774&gt;OFFSET(Prices!C774,-S$3,0),-1,0))</f>
        <v>1</v>
      </c>
      <c r="T775" s="1">
        <f ca="1">IF(S775=1,T$3*Q774/Prices!B774,T$3*R774*S775)</f>
        <v>7.2638171476468614E-3</v>
      </c>
    </row>
    <row r="776" spans="1:20" x14ac:dyDescent="0.2">
      <c r="A776" s="4">
        <v>34592</v>
      </c>
      <c r="B776" s="9">
        <f ca="1">Prices!B775*(1+J776/(50*(ABS(O776)+ABS(T776)+0.0001)))</f>
        <v>1.2435631219231007</v>
      </c>
      <c r="C776" s="13">
        <f t="shared" ca="1" si="70"/>
        <v>-1</v>
      </c>
      <c r="D776" s="9">
        <f ca="1">D775+C776*(Prices!B776-Prices!B775)/Prices!B775</f>
        <v>-0.54988071691422169</v>
      </c>
      <c r="E776" s="9">
        <f t="shared" ca="1" si="71"/>
        <v>0.58600466817296804</v>
      </c>
      <c r="F776" s="9">
        <f t="shared" ca="1" si="72"/>
        <v>3.6123951258746317E-2</v>
      </c>
      <c r="G776" s="13">
        <f ca="1">IF((Prices!B776-Prices!B775)*B776&gt;0,1,0)</f>
        <v>0</v>
      </c>
      <c r="H776" s="9">
        <f>ABS(Prices!B776-Prices!B775)/Prices!B775</f>
        <v>5.1472917326575475E-3</v>
      </c>
      <c r="I776" s="13"/>
      <c r="J776" s="1">
        <f t="shared" ca="1" si="73"/>
        <v>-4.5504552859799013E-2</v>
      </c>
      <c r="K776" s="9"/>
      <c r="L776" s="9">
        <f ca="1">L775-O776*Prices!B776</f>
        <v>0.4333127706775966</v>
      </c>
      <c r="M776" s="1">
        <f t="shared" ca="1" si="68"/>
        <v>0.47316262644002793</v>
      </c>
      <c r="N776" s="9">
        <f ca="1">IF(Prices!D775&gt;OFFSET(Prices!D775,-$N$3,0),1,IF(Prices!D775&lt;OFFSET(Prices!D775,-$N$3,0),-1,0))</f>
        <v>-1</v>
      </c>
      <c r="O776" s="1">
        <f ca="1">IF(N776=1,O$3*L775/Prices!B775,O$3*M775*N776)</f>
        <v>-5.2573625160003107E-2</v>
      </c>
      <c r="P776" s="14"/>
      <c r="Q776" s="9">
        <f ca="1">Q775-T776*Prices!B776</f>
        <v>0.43746034950413981</v>
      </c>
      <c r="R776" s="1">
        <f t="shared" ca="1" si="69"/>
        <v>0.43389088757777228</v>
      </c>
      <c r="S776" s="9">
        <f ca="1">IF(Prices!C775&lt;OFFSET(Prices!C775,-S$3,0),1,IF(Prices!C775&gt;OFFSET(Prices!C775,-S$3,0),-1,0))</f>
        <v>1</v>
      </c>
      <c r="T776" s="1">
        <f ca="1">IF(S776=1,T$3*Q775/Prices!B775,T$3*R775*S776)</f>
        <v>7.0690723002040899E-3</v>
      </c>
    </row>
    <row r="777" spans="1:20" x14ac:dyDescent="0.2">
      <c r="A777" s="4">
        <v>34593</v>
      </c>
      <c r="B777" s="9">
        <f ca="1">Prices!B776*(1+J777/(50*(ABS(O777)+ABS(T777)+0.0001)))</f>
        <v>1.2312187926052496</v>
      </c>
      <c r="C777" s="13">
        <f t="shared" ca="1" si="70"/>
        <v>-1</v>
      </c>
      <c r="D777" s="9">
        <f ca="1">D776+C777*(Prices!B777-Prices!B776)/Prices!B776</f>
        <v>-0.55640782031309133</v>
      </c>
      <c r="E777" s="9">
        <f t="shared" ca="1" si="71"/>
        <v>0.59253177157183767</v>
      </c>
      <c r="F777" s="9">
        <f t="shared" ca="1" si="72"/>
        <v>3.6123951258746317E-2</v>
      </c>
      <c r="G777" s="13">
        <f ca="1">IF((Prices!B777-Prices!B776)*B777&gt;0,1,0)</f>
        <v>1</v>
      </c>
      <c r="H777" s="9">
        <f>ABS(Prices!B777-Prices!B776)/Prices!B776</f>
        <v>6.5271033988696849E-3</v>
      </c>
      <c r="I777" s="13"/>
      <c r="J777" s="1">
        <f t="shared" ca="1" si="73"/>
        <v>-5.5994080395558241E-2</v>
      </c>
      <c r="K777" s="9"/>
      <c r="L777" s="9">
        <f ca="1">L776-O777*Prices!B777</f>
        <v>0.49314418479093813</v>
      </c>
      <c r="M777" s="1">
        <f t="shared" ca="1" si="68"/>
        <v>0.42584636379602514</v>
      </c>
      <c r="N777" s="9">
        <f ca="1">IF(Prices!D776&gt;OFFSET(Prices!D776,-$N$3,0),1,IF(Prices!D776&lt;OFFSET(Prices!D776,-$N$3,0),-1,0))</f>
        <v>-1</v>
      </c>
      <c r="O777" s="1">
        <f ca="1">IF(N777=1,O$3*L776/Prices!B776,O$3*M776*N777)</f>
        <v>-4.7316262644002793E-2</v>
      </c>
      <c r="P777" s="14"/>
      <c r="Q777" s="9">
        <f ca="1">Q776-T777*Prices!B777</f>
        <v>0.44843345005098167</v>
      </c>
      <c r="R777" s="1">
        <f t="shared" ca="1" si="69"/>
        <v>0.42521306982621682</v>
      </c>
      <c r="S777" s="9">
        <f ca="1">IF(Prices!C776&lt;OFFSET(Prices!C776,-S$3,0),1,IF(Prices!C776&gt;OFFSET(Prices!C776,-S$3,0),-1,0))</f>
        <v>-1</v>
      </c>
      <c r="T777" s="1">
        <f ca="1">IF(S777=1,T$3*Q776/Prices!B776,T$3*R776*S777)</f>
        <v>-8.6778177515554455E-3</v>
      </c>
    </row>
    <row r="778" spans="1:20" x14ac:dyDescent="0.2">
      <c r="A778" s="4">
        <v>34596</v>
      </c>
      <c r="B778" s="9">
        <f ca="1">Prices!B777*(1+J778/(50*(ABS(O778)+ABS(T778)+0.0001)))</f>
        <v>1.2897352500287116</v>
      </c>
      <c r="C778" s="13">
        <f t="shared" ca="1" si="70"/>
        <v>1</v>
      </c>
      <c r="D778" s="9">
        <f ca="1">D777+C778*(Prices!B778-Prices!B777)/Prices!B777</f>
        <v>-0.56566048935223723</v>
      </c>
      <c r="E778" s="9">
        <f t="shared" ca="1" si="71"/>
        <v>0.60178444061098357</v>
      </c>
      <c r="F778" s="9">
        <f t="shared" ca="1" si="72"/>
        <v>3.6123951258746317E-2</v>
      </c>
      <c r="G778" s="13">
        <f ca="1">IF((Prices!B778-Prices!B777)*B778&gt;0,1,0)</f>
        <v>0</v>
      </c>
      <c r="H778" s="9">
        <f>ABS(Prices!B778-Prices!B777)/Prices!B777</f>
        <v>9.2526690391459415E-3</v>
      </c>
      <c r="I778" s="13"/>
      <c r="J778" s="1">
        <f t="shared" ca="1" si="73"/>
        <v>4.6091805045562248E-2</v>
      </c>
      <c r="K778" s="9"/>
      <c r="L778" s="9">
        <f ca="1">L777-O778*Prices!B778</f>
        <v>0.44428605630488932</v>
      </c>
      <c r="M778" s="1">
        <f t="shared" ca="1" si="68"/>
        <v>0.4648455085007257</v>
      </c>
      <c r="N778" s="9">
        <f ca="1">IF(Prices!D777&gt;OFFSET(Prices!D777,-$N$3,0),1,IF(Prices!D777&lt;OFFSET(Prices!D777,-$N$3,0),-1,0))</f>
        <v>1</v>
      </c>
      <c r="O778" s="1">
        <f ca="1">IF(N778=1,O$3*L777/Prices!B777,O$3*M777*N778)</f>
        <v>3.8999144704700534E-2</v>
      </c>
      <c r="P778" s="14"/>
      <c r="Q778" s="9">
        <f ca="1">Q777-T778*Prices!B778</f>
        <v>0.43954776517595012</v>
      </c>
      <c r="R778" s="1">
        <f t="shared" ca="1" si="69"/>
        <v>0.43230573016707852</v>
      </c>
      <c r="S778" s="9">
        <f ca="1">IF(Prices!C777&lt;OFFSET(Prices!C777,-S$3,0),1,IF(Prices!C777&gt;OFFSET(Prices!C777,-S$3,0),-1,0))</f>
        <v>1</v>
      </c>
      <c r="T778" s="1">
        <f ca="1">IF(S778=1,T$3*Q777/Prices!B777,T$3*R777*S778)</f>
        <v>7.0926603408617119E-3</v>
      </c>
    </row>
    <row r="779" spans="1:20" x14ac:dyDescent="0.2">
      <c r="A779" s="4">
        <v>34597</v>
      </c>
      <c r="B779" s="9">
        <f ca="1">Prices!B778*(1+J779/(50*(ABS(O779)+ABS(T779)+0.0001)))</f>
        <v>1.2777971561525905</v>
      </c>
      <c r="C779" s="13">
        <f t="shared" ca="1" si="70"/>
        <v>1</v>
      </c>
      <c r="D779" s="9">
        <f ca="1">D778+C779*(Prices!B779-Prices!B778)/Prices!B778</f>
        <v>-0.56350531693844397</v>
      </c>
      <c r="E779" s="9">
        <f t="shared" ca="1" si="71"/>
        <v>0.59962926819719031</v>
      </c>
      <c r="F779" s="9">
        <f t="shared" ca="1" si="72"/>
        <v>3.6123951258746317E-2</v>
      </c>
      <c r="G779" s="13">
        <f ca="1">IF((Prices!B779-Prices!B778)*B779&gt;0,1,0)</f>
        <v>1</v>
      </c>
      <c r="H779" s="9">
        <f>ABS(Prices!B779-Prices!B778)/Prices!B778</f>
        <v>2.1551724137932205E-3</v>
      </c>
      <c r="I779" s="13"/>
      <c r="J779" s="1">
        <f t="shared" ca="1" si="73"/>
        <v>4.2480492444131497E-2</v>
      </c>
      <c r="K779" s="9"/>
      <c r="L779" s="9">
        <f ca="1">L778-O779*Prices!B779</f>
        <v>0.39976169936916228</v>
      </c>
      <c r="M779" s="1">
        <f t="shared" ca="1" si="68"/>
        <v>0.50030895488521554</v>
      </c>
      <c r="N779" s="9">
        <f ca="1">IF(Prices!D778&gt;OFFSET(Prices!D778,-$N$3,0),1,IF(Prices!D778&lt;OFFSET(Prices!D778,-$N$3,0),-1,0))</f>
        <v>1</v>
      </c>
      <c r="O779" s="1">
        <f ca="1">IF(N779=1,O$3*L778/Prices!B778,O$3*M778*N779)</f>
        <v>3.5463446384489894E-2</v>
      </c>
      <c r="P779" s="14"/>
      <c r="Q779" s="9">
        <f ca="1">Q778-T779*Prices!B779</f>
        <v>0.43073786384807011</v>
      </c>
      <c r="R779" s="1">
        <f t="shared" ca="1" si="69"/>
        <v>0.43932277622672011</v>
      </c>
      <c r="S779" s="9">
        <f ca="1">IF(Prices!C778&lt;OFFSET(Prices!C778,-S$3,0),1,IF(Prices!C778&gt;OFFSET(Prices!C778,-S$3,0),-1,0))</f>
        <v>1</v>
      </c>
      <c r="T779" s="1">
        <f ca="1">IF(S779=1,T$3*Q778/Prices!B778,T$3*R778*S779)</f>
        <v>7.0170460596416058E-3</v>
      </c>
    </row>
    <row r="780" spans="1:20" x14ac:dyDescent="0.2">
      <c r="A780" s="4">
        <v>34598</v>
      </c>
      <c r="B780" s="9">
        <f ca="1">Prices!B779*(1+J780/(50*(ABS(O780)+ABS(T780)+0.0001)))</f>
        <v>1.2805452875930219</v>
      </c>
      <c r="C780" s="13">
        <f t="shared" ca="1" si="70"/>
        <v>1</v>
      </c>
      <c r="D780" s="9">
        <f ca="1">D779+C780*(Prices!B780-Prices!B779)/Prices!B779</f>
        <v>-0.55984143800574793</v>
      </c>
      <c r="E780" s="9">
        <f t="shared" ca="1" si="71"/>
        <v>0.59596538926449427</v>
      </c>
      <c r="F780" s="9">
        <f t="shared" ca="1" si="72"/>
        <v>3.6123951258746317E-2</v>
      </c>
      <c r="G780" s="13">
        <f ca="1">IF((Prices!B780-Prices!B779)*B780&gt;0,1,0)</f>
        <v>1</v>
      </c>
      <c r="H780" s="9">
        <f>ABS(Prices!B780-Prices!B779)/Prices!B779</f>
        <v>3.6638789326960872E-3</v>
      </c>
      <c r="I780" s="13"/>
      <c r="J780" s="1">
        <f t="shared" ca="1" si="73"/>
        <v>3.870245098676036E-2</v>
      </c>
      <c r="K780" s="9"/>
      <c r="L780" s="9">
        <f ca="1">L779-O780*Prices!B780</f>
        <v>0.35963906158540432</v>
      </c>
      <c r="M780" s="1">
        <f t="shared" ca="1" si="68"/>
        <v>0.53214979115516081</v>
      </c>
      <c r="N780" s="9">
        <f ca="1">IF(Prices!D779&gt;OFFSET(Prices!D779,-$N$3,0),1,IF(Prices!D779&lt;OFFSET(Prices!D779,-$N$3,0),-1,0))</f>
        <v>1</v>
      </c>
      <c r="O780" s="1">
        <f ca="1">IF(N780=1,O$3*L779/Prices!B779,O$3*M779*N780)</f>
        <v>3.1840836269945223E-2</v>
      </c>
      <c r="P780" s="14"/>
      <c r="Q780" s="9">
        <f ca="1">Q779-T780*Prices!B780</f>
        <v>0.42209154314341135</v>
      </c>
      <c r="R780" s="1">
        <f t="shared" ca="1" si="69"/>
        <v>0.44618439094353524</v>
      </c>
      <c r="S780" s="9">
        <f ca="1">IF(Prices!C779&lt;OFFSET(Prices!C779,-S$3,0),1,IF(Prices!C779&gt;OFFSET(Prices!C779,-S$3,0),-1,0))</f>
        <v>1</v>
      </c>
      <c r="T780" s="1">
        <f ca="1">IF(S780=1,T$3*Q779/Prices!B779,T$3*R779*S780)</f>
        <v>6.8616147168151353E-3</v>
      </c>
    </row>
    <row r="781" spans="1:20" x14ac:dyDescent="0.2">
      <c r="A781" s="4">
        <v>34599</v>
      </c>
      <c r="B781" s="9">
        <f ca="1">Prices!B780*(1+J781/(50*(ABS(O781)+ABS(T781)+0.0001)))</f>
        <v>1.2852306867407544</v>
      </c>
      <c r="C781" s="13">
        <f t="shared" ca="1" si="70"/>
        <v>1</v>
      </c>
      <c r="D781" s="9">
        <f ca="1">D780+C781*(Prices!B781-Prices!B780)/Prices!B780</f>
        <v>-0.56309514802876193</v>
      </c>
      <c r="E781" s="9">
        <f t="shared" ca="1" si="71"/>
        <v>0.59921909928750827</v>
      </c>
      <c r="F781" s="9">
        <f t="shared" ca="1" si="72"/>
        <v>3.6123951258746317E-2</v>
      </c>
      <c r="G781" s="13">
        <f ca="1">IF((Prices!B781-Prices!B780)*B781&gt;0,1,0)</f>
        <v>0</v>
      </c>
      <c r="H781" s="9">
        <f>ABS(Prices!B781-Prices!B780)/Prices!B780</f>
        <v>3.2537100230140407E-3</v>
      </c>
      <c r="I781" s="13"/>
      <c r="J781" s="1">
        <f t="shared" ca="1" si="73"/>
        <v>3.5239851616069094E-2</v>
      </c>
      <c r="K781" s="9"/>
      <c r="L781" s="9">
        <f ca="1">L780-O781*Prices!B781</f>
        <v>0.32379217154879869</v>
      </c>
      <c r="M781" s="1">
        <f t="shared" ca="1" si="68"/>
        <v>0.56069030870022896</v>
      </c>
      <c r="N781" s="9">
        <f ca="1">IF(Prices!D780&gt;OFFSET(Prices!D780,-$N$3,0),1,IF(Prices!D780&lt;OFFSET(Prices!D780,-$N$3,0),-1,0))</f>
        <v>1</v>
      </c>
      <c r="O781" s="1">
        <f ca="1">IF(N781=1,O$3*L780/Prices!B780,O$3*M780*N781)</f>
        <v>2.8540517545068197E-2</v>
      </c>
      <c r="P781" s="14"/>
      <c r="Q781" s="9">
        <f ca="1">Q780-T781*Prices!B781</f>
        <v>0.41367717955023425</v>
      </c>
      <c r="R781" s="1">
        <f t="shared" ca="1" si="69"/>
        <v>0.45288372501453611</v>
      </c>
      <c r="S781" s="9">
        <f ca="1">IF(Prices!C780&lt;OFFSET(Prices!C780,-S$3,0),1,IF(Prices!C780&gt;OFFSET(Prices!C780,-S$3,0),-1,0))</f>
        <v>1</v>
      </c>
      <c r="T781" s="1">
        <f ca="1">IF(S781=1,T$3*Q780/Prices!B780,T$3*R780*S781)</f>
        <v>6.6993340710008948E-3</v>
      </c>
    </row>
    <row r="782" spans="1:20" x14ac:dyDescent="0.2">
      <c r="A782" s="4">
        <v>34600</v>
      </c>
      <c r="B782" s="9">
        <f ca="1">Prices!B781*(1+J782/(50*(ABS(O782)+ABS(T782)+0.0001)))</f>
        <v>1.2810426287682415</v>
      </c>
      <c r="C782" s="13">
        <f t="shared" ca="1" si="70"/>
        <v>1</v>
      </c>
      <c r="D782" s="9">
        <f ca="1">D781+C782*(Prices!B782-Prices!B781)/Prices!B781</f>
        <v>-0.55999005248736067</v>
      </c>
      <c r="E782" s="9">
        <f t="shared" ca="1" si="71"/>
        <v>0.59611400374610701</v>
      </c>
      <c r="F782" s="9">
        <f t="shared" ca="1" si="72"/>
        <v>3.6123951258746317E-2</v>
      </c>
      <c r="G782" s="13">
        <f ca="1">IF((Prices!B782-Prices!B781)*B782&gt;0,1,0)</f>
        <v>1</v>
      </c>
      <c r="H782" s="9">
        <f>ABS(Prices!B782-Prices!B781)/Prices!B781</f>
        <v>3.1050955414012853E-3</v>
      </c>
      <c r="I782" s="13"/>
      <c r="J782" s="1">
        <f t="shared" ca="1" si="73"/>
        <v>3.236684772761509E-2</v>
      </c>
      <c r="K782" s="9"/>
      <c r="L782" s="9">
        <f ca="1">L781-O782*Prices!B782</f>
        <v>0.29131241383109713</v>
      </c>
      <c r="M782" s="1">
        <f t="shared" ca="1" si="68"/>
        <v>0.58646994019296772</v>
      </c>
      <c r="N782" s="9">
        <f ca="1">IF(Prices!D781&gt;OFFSET(Prices!D781,-$N$3,0),1,IF(Prices!D781&lt;OFFSET(Prices!D781,-$N$3,0),-1,0))</f>
        <v>1</v>
      </c>
      <c r="O782" s="1">
        <f ca="1">IF(N782=1,O$3*L781/Prices!B781,O$3*M781*N782)</f>
        <v>2.5779631492738746E-2</v>
      </c>
      <c r="P782" s="14"/>
      <c r="Q782" s="9">
        <f ca="1">Q781-T782*Prices!B782</f>
        <v>0.40537794581591358</v>
      </c>
      <c r="R782" s="1">
        <f t="shared" ca="1" si="69"/>
        <v>0.45947094124941246</v>
      </c>
      <c r="S782" s="9">
        <f ca="1">IF(Prices!C781&lt;OFFSET(Prices!C781,-S$3,0),1,IF(Prices!C781&gt;OFFSET(Prices!C781,-S$3,0),-1,0))</f>
        <v>1</v>
      </c>
      <c r="T782" s="1">
        <f ca="1">IF(S782=1,T$3*Q781/Prices!B781,T$3*R781*S782)</f>
        <v>6.5872162348763422E-3</v>
      </c>
    </row>
    <row r="783" spans="1:20" x14ac:dyDescent="0.2">
      <c r="A783" s="4">
        <v>34603</v>
      </c>
      <c r="B783" s="9">
        <f ca="1">Prices!B782*(1+J783/(50*(ABS(O783)+ABS(T783)+0.0001)))</f>
        <v>1.2847124194863884</v>
      </c>
      <c r="C783" s="13">
        <f t="shared" ca="1" si="70"/>
        <v>1</v>
      </c>
      <c r="D783" s="9">
        <f ca="1">D782+C783*(Prices!B783-Prices!B782)/Prices!B782</f>
        <v>-0.56594290588842433</v>
      </c>
      <c r="E783" s="9">
        <f t="shared" ca="1" si="71"/>
        <v>0.60206685714717068</v>
      </c>
      <c r="F783" s="9">
        <f t="shared" ca="1" si="72"/>
        <v>3.6123951258746317E-2</v>
      </c>
      <c r="G783" s="13">
        <f ca="1">IF((Prices!B783-Prices!B782)*B783&gt;0,1,0)</f>
        <v>0</v>
      </c>
      <c r="H783" s="9">
        <f>ABS(Prices!B783-Prices!B782)/Prices!B782</f>
        <v>5.952853401063626E-3</v>
      </c>
      <c r="I783" s="13"/>
      <c r="J783" s="1">
        <f t="shared" ca="1" si="73"/>
        <v>6.4350812892438065E-3</v>
      </c>
      <c r="K783" s="9"/>
      <c r="L783" s="9">
        <f ca="1">L782-O783*Prices!B783</f>
        <v>0.29131241383109713</v>
      </c>
      <c r="M783" s="1">
        <f t="shared" ca="1" si="68"/>
        <v>0.58646994019296772</v>
      </c>
      <c r="N783" s="9">
        <f ca="1">IF(Prices!D782&gt;OFFSET(Prices!D782,-$N$3,0),1,IF(Prices!D782&lt;OFFSET(Prices!D782,-$N$3,0),-1,0))</f>
        <v>0</v>
      </c>
      <c r="O783" s="1">
        <f ca="1">IF(N783=1,O$3*L782/Prices!B782,O$3*M782*N783)</f>
        <v>0</v>
      </c>
      <c r="P783" s="14"/>
      <c r="Q783" s="9">
        <f ca="1">Q782-T783*Prices!B783</f>
        <v>0.39731865000926464</v>
      </c>
      <c r="R783" s="1">
        <f t="shared" ca="1" si="69"/>
        <v>0.46590602253865626</v>
      </c>
      <c r="S783" s="9">
        <f ca="1">IF(Prices!C782&lt;OFFSET(Prices!C782,-S$3,0),1,IF(Prices!C782&gt;OFFSET(Prices!C782,-S$3,0),-1,0))</f>
        <v>1</v>
      </c>
      <c r="T783" s="1">
        <f ca="1">IF(S783=1,T$3*Q782/Prices!B782,T$3*R782*S783)</f>
        <v>6.4350812892438065E-3</v>
      </c>
    </row>
    <row r="784" spans="1:20" x14ac:dyDescent="0.2">
      <c r="A784" s="4">
        <v>34604</v>
      </c>
      <c r="B784" s="9">
        <f ca="1">Prices!B783*(1+J784/(50*(ABS(O784)+ABS(T784)+0.0001)))</f>
        <v>1.2630866912869074</v>
      </c>
      <c r="C784" s="13">
        <f t="shared" ca="1" si="70"/>
        <v>1</v>
      </c>
      <c r="D784" s="9">
        <f ca="1">D783+C784*(Prices!B784-Prices!B783)/Prices!B783</f>
        <v>-0.56091256414457258</v>
      </c>
      <c r="E784" s="9">
        <f t="shared" ca="1" si="71"/>
        <v>0.59703651540331892</v>
      </c>
      <c r="F784" s="9">
        <f t="shared" ca="1" si="72"/>
        <v>3.6123951258746317E-2</v>
      </c>
      <c r="G784" s="13">
        <f ca="1">IF((Prices!B784-Prices!B783)*B784&gt;0,1,0)</f>
        <v>1</v>
      </c>
      <c r="H784" s="9">
        <f>ABS(Prices!B784-Prices!B783)/Prices!B783</f>
        <v>5.0303417438517829E-3</v>
      </c>
      <c r="I784" s="13"/>
      <c r="J784" s="1">
        <f t="shared" ca="1" si="73"/>
        <v>1.3942212815842745E-2</v>
      </c>
      <c r="K784" s="9"/>
      <c r="L784" s="9">
        <f ca="1">L783-O784*Prices!B784</f>
        <v>0.26203463234840774</v>
      </c>
      <c r="M784" s="1">
        <f t="shared" ca="1" si="68"/>
        <v>0.60973027345958364</v>
      </c>
      <c r="N784" s="9">
        <f ca="1">IF(Prices!D783&gt;OFFSET(Prices!D783,-$N$3,0),1,IF(Prices!D783&lt;OFFSET(Prices!D783,-$N$3,0),-1,0))</f>
        <v>1</v>
      </c>
      <c r="O784" s="1">
        <f ca="1">IF(N784=1,O$3*L783/Prices!B783,O$3*M783*N784)</f>
        <v>2.3260333266615869E-2</v>
      </c>
      <c r="P784" s="14"/>
      <c r="Q784" s="9">
        <f ca="1">Q783-T784*Prices!B784</f>
        <v>0.4090473682206528</v>
      </c>
      <c r="R784" s="1">
        <f t="shared" ca="1" si="69"/>
        <v>0.45658790208788314</v>
      </c>
      <c r="S784" s="9">
        <f ca="1">IF(Prices!C783&lt;OFFSET(Prices!C783,-S$3,0),1,IF(Prices!C783&gt;OFFSET(Prices!C783,-S$3,0),-1,0))</f>
        <v>-1</v>
      </c>
      <c r="T784" s="1">
        <f ca="1">IF(S784=1,T$3*Q783/Prices!B783,T$3*R783*S784)</f>
        <v>-9.3181204507731246E-3</v>
      </c>
    </row>
    <row r="785" spans="1:20" x14ac:dyDescent="0.2">
      <c r="A785" s="4">
        <v>34605</v>
      </c>
      <c r="B785" s="9">
        <f ca="1">Prices!B784*(1+J785/(50*(ABS(O785)+ABS(T785)+0.0001)))</f>
        <v>1.2684900149545393</v>
      </c>
      <c r="C785" s="13">
        <f t="shared" ca="1" si="70"/>
        <v>1</v>
      </c>
      <c r="D785" s="9">
        <f ca="1">D784+C785*(Prices!B785-Prices!B784)/Prices!B784</f>
        <v>-0.56059477595040386</v>
      </c>
      <c r="E785" s="9">
        <f t="shared" ca="1" si="71"/>
        <v>0.5967187272091502</v>
      </c>
      <c r="F785" s="9">
        <f t="shared" ca="1" si="72"/>
        <v>3.6123951258746317E-2</v>
      </c>
      <c r="G785" s="13">
        <f ca="1">IF((Prices!B785-Prices!B784)*B785&gt;0,1,0)</f>
        <v>1</v>
      </c>
      <c r="H785" s="9">
        <f>ABS(Prices!B785-Prices!B784)/Prices!B784</f>
        <v>3.1778819416872808E-4</v>
      </c>
      <c r="I785" s="13"/>
      <c r="J785" s="1">
        <f t="shared" ca="1" si="73"/>
        <v>1.168612011414984E-2</v>
      </c>
      <c r="K785" s="9"/>
      <c r="L785" s="9">
        <f ca="1">L784-O785*Prices!B785</f>
        <v>0.2358228419623046</v>
      </c>
      <c r="M785" s="1">
        <f t="shared" ca="1" si="68"/>
        <v>0.63054815161549116</v>
      </c>
      <c r="N785" s="9">
        <f ca="1">IF(Prices!D784&gt;OFFSET(Prices!D784,-$N$3,0),1,IF(Prices!D784&lt;OFFSET(Prices!D784,-$N$3,0),-1,0))</f>
        <v>1</v>
      </c>
      <c r="O785" s="1">
        <f ca="1">IF(N785=1,O$3*L784/Prices!B784,O$3*M784*N785)</f>
        <v>2.0817878155907504E-2</v>
      </c>
      <c r="P785" s="14"/>
      <c r="Q785" s="9">
        <f ca="1">Q784-T785*Prices!B785</f>
        <v>0.42054516477102988</v>
      </c>
      <c r="R785" s="1">
        <f t="shared" ca="1" si="69"/>
        <v>0.44745614404612549</v>
      </c>
      <c r="S785" s="9">
        <f ca="1">IF(Prices!C784&lt;OFFSET(Prices!C784,-S$3,0),1,IF(Prices!C784&gt;OFFSET(Prices!C784,-S$3,0),-1,0))</f>
        <v>-1</v>
      </c>
      <c r="T785" s="1">
        <f ca="1">IF(S785=1,T$3*Q784/Prices!B784,T$3*R784*S785)</f>
        <v>-9.1317580417576635E-3</v>
      </c>
    </row>
    <row r="786" spans="1:20" x14ac:dyDescent="0.2">
      <c r="A786" s="4">
        <v>34606</v>
      </c>
      <c r="B786" s="9">
        <f ca="1">Prices!B785*(1+J786/(50*(ABS(O786)+ABS(T786)+0.0001)))</f>
        <v>1.2339529245834331</v>
      </c>
      <c r="C786" s="13">
        <f t="shared" ca="1" si="70"/>
        <v>-1</v>
      </c>
      <c r="D786" s="9">
        <f ca="1">D785+C786*(Prices!B786-Prices!B785)/Prices!B785</f>
        <v>-0.56146841585192075</v>
      </c>
      <c r="E786" s="9">
        <f t="shared" ca="1" si="71"/>
        <v>0.5975923671106671</v>
      </c>
      <c r="F786" s="9">
        <f t="shared" ca="1" si="72"/>
        <v>3.6123951258746317E-2</v>
      </c>
      <c r="G786" s="13">
        <f ca="1">IF((Prices!B786-Prices!B785)*B786&gt;0,1,0)</f>
        <v>1</v>
      </c>
      <c r="H786" s="9">
        <f>ABS(Prices!B786-Prices!B785)/Prices!B785</f>
        <v>8.7363990151686024E-4</v>
      </c>
      <c r="I786" s="13"/>
      <c r="J786" s="1">
        <f t="shared" ca="1" si="73"/>
        <v>-7.2003938042471627E-2</v>
      </c>
      <c r="K786" s="9"/>
      <c r="L786" s="9">
        <f ca="1">L785-O786*Prices!B786</f>
        <v>0.31528452002888879</v>
      </c>
      <c r="M786" s="1">
        <f t="shared" ref="M786:M849" ca="1" si="74">M785+O786</f>
        <v>0.56749333645394207</v>
      </c>
      <c r="N786" s="9">
        <f ca="1">IF(Prices!D785&gt;OFFSET(Prices!D785,-$N$3,0),1,IF(Prices!D785&lt;OFFSET(Prices!D785,-$N$3,0),-1,0))</f>
        <v>-1</v>
      </c>
      <c r="O786" s="1">
        <f ca="1">IF(N786=1,O$3*L785/Prices!B785,O$3*M785*N786)</f>
        <v>-6.3054815161549121E-2</v>
      </c>
      <c r="P786" s="14"/>
      <c r="Q786" s="9">
        <f ca="1">Q785-T786*Prices!B786</f>
        <v>0.43182284942556842</v>
      </c>
      <c r="R786" s="1">
        <f t="shared" ref="R786:R849" ca="1" si="75">R785+T786</f>
        <v>0.43850702116520296</v>
      </c>
      <c r="S786" s="9">
        <f ca="1">IF(Prices!C785&lt;OFFSET(Prices!C785,-S$3,0),1,IF(Prices!C785&gt;OFFSET(Prices!C785,-S$3,0),-1,0))</f>
        <v>-1</v>
      </c>
      <c r="T786" s="1">
        <f ca="1">IF(S786=1,T$3*Q785/Prices!B785,T$3*R785*S786)</f>
        <v>-8.9491228809225106E-3</v>
      </c>
    </row>
    <row r="787" spans="1:20" x14ac:dyDescent="0.2">
      <c r="A787" s="4">
        <v>34607</v>
      </c>
      <c r="B787" s="9">
        <f ca="1">Prices!B786*(1+J787/(50*(ABS(O787)+ABS(T787)+0.0001)))</f>
        <v>1.2722844356541179</v>
      </c>
      <c r="C787" s="13">
        <f t="shared" ca="1" si="70"/>
        <v>1</v>
      </c>
      <c r="D787" s="9">
        <f ca="1">D786+C787*(Prices!B787-Prices!B786)/Prices!B786</f>
        <v>-0.56472186768496313</v>
      </c>
      <c r="E787" s="9">
        <f t="shared" ca="1" si="71"/>
        <v>0.60084581894370948</v>
      </c>
      <c r="F787" s="9">
        <f t="shared" ca="1" si="72"/>
        <v>3.6123951258746317E-2</v>
      </c>
      <c r="G787" s="13">
        <f ca="1">IF((Prices!B787-Prices!B786)*B787&gt;0,1,0)</f>
        <v>0</v>
      </c>
      <c r="H787" s="9">
        <f>ABS(Prices!B787-Prices!B786)/Prices!B786</f>
        <v>3.2534518330423682E-3</v>
      </c>
      <c r="I787" s="13"/>
      <c r="J787" s="1">
        <f t="shared" ca="1" si="73"/>
        <v>1.624846932347334E-2</v>
      </c>
      <c r="K787" s="9"/>
      <c r="L787" s="9">
        <f ca="1">L786-O787*Prices!B787</f>
        <v>0.2838586443259617</v>
      </c>
      <c r="M787" s="1">
        <f t="shared" ca="1" si="74"/>
        <v>0.59251194620071945</v>
      </c>
      <c r="N787" s="9">
        <f ca="1">IF(Prices!D786&gt;OFFSET(Prices!D786,-$N$3,0),1,IF(Prices!D786&lt;OFFSET(Prices!D786,-$N$3,0),-1,0))</f>
        <v>1</v>
      </c>
      <c r="O787" s="1">
        <f ca="1">IF(N787=1,O$3*L786/Prices!B786,O$3*M786*N787)</f>
        <v>2.5018609746777401E-2</v>
      </c>
      <c r="P787" s="14"/>
      <c r="Q787" s="9">
        <f ca="1">Q786-T787*Prices!B787</f>
        <v>0.44283902281128062</v>
      </c>
      <c r="R787" s="1">
        <f t="shared" ca="1" si="75"/>
        <v>0.42973688074189892</v>
      </c>
      <c r="S787" s="9">
        <f ca="1">IF(Prices!C786&lt;OFFSET(Prices!C786,-S$3,0),1,IF(Prices!C786&gt;OFFSET(Prices!C786,-S$3,0),-1,0))</f>
        <v>-1</v>
      </c>
      <c r="T787" s="1">
        <f ca="1">IF(S787=1,T$3*Q786/Prices!B786,T$3*R786*S787)</f>
        <v>-8.7701404233040594E-3</v>
      </c>
    </row>
    <row r="788" spans="1:20" x14ac:dyDescent="0.2">
      <c r="A788" s="4">
        <v>34610</v>
      </c>
      <c r="B788" s="9">
        <f ca="1">Prices!B787*(1+J788/(50*(ABS(O788)+ABS(T788)+0.0001)))</f>
        <v>1.2673420866069216</v>
      </c>
      <c r="C788" s="13">
        <f t="shared" ca="1" si="70"/>
        <v>1</v>
      </c>
      <c r="D788" s="9">
        <f ca="1">D787+C788*(Prices!B788-Prices!B787)/Prices!B787</f>
        <v>-0.56822477350456346</v>
      </c>
      <c r="E788" s="9">
        <f t="shared" ca="1" si="71"/>
        <v>0.60434872476330981</v>
      </c>
      <c r="F788" s="9">
        <f t="shared" ca="1" si="72"/>
        <v>3.6123951258746317E-2</v>
      </c>
      <c r="G788" s="13">
        <f ca="1">IF((Prices!B788-Prices!B787)*B788&gt;0,1,0)</f>
        <v>0</v>
      </c>
      <c r="H788" s="9">
        <f>ABS(Prices!B788-Prices!B787)/Prices!B787</f>
        <v>3.5029058196003179E-3</v>
      </c>
      <c r="I788" s="13"/>
      <c r="J788" s="1">
        <f t="shared" ca="1" si="73"/>
        <v>1.4003673684100141E-2</v>
      </c>
      <c r="K788" s="9"/>
      <c r="L788" s="9">
        <f ca="1">L787-O788*Prices!B788</f>
        <v>0.25557221290308085</v>
      </c>
      <c r="M788" s="1">
        <f t="shared" ca="1" si="74"/>
        <v>0.61511035749965759</v>
      </c>
      <c r="N788" s="9">
        <f ca="1">IF(Prices!D787&gt;OFFSET(Prices!D787,-$N$3,0),1,IF(Prices!D787&lt;OFFSET(Prices!D787,-$N$3,0),-1,0))</f>
        <v>1</v>
      </c>
      <c r="O788" s="1">
        <f ca="1">IF(N788=1,O$3*L787/Prices!B787,O$3*M787*N788)</f>
        <v>2.259841129893812E-2</v>
      </c>
      <c r="P788" s="14"/>
      <c r="Q788" s="9">
        <f ca="1">Q787-T788*Prices!B788</f>
        <v>0.4535970558837733</v>
      </c>
      <c r="R788" s="1">
        <f t="shared" ca="1" si="75"/>
        <v>0.42114214312706094</v>
      </c>
      <c r="S788" s="9">
        <f ca="1">IF(Prices!C787&lt;OFFSET(Prices!C787,-S$3,0),1,IF(Prices!C787&gt;OFFSET(Prices!C787,-S$3,0),-1,0))</f>
        <v>-1</v>
      </c>
      <c r="T788" s="1">
        <f ca="1">IF(S788=1,T$3*Q787/Prices!B787,T$3*R787*S788)</f>
        <v>-8.594737614837979E-3</v>
      </c>
    </row>
    <row r="789" spans="1:20" x14ac:dyDescent="0.2">
      <c r="A789" s="4">
        <v>34611</v>
      </c>
      <c r="B789" s="9">
        <f ca="1">Prices!B788*(1+J789/(50*(ABS(O789)+ABS(T789)+0.0001)))</f>
        <v>1.2620758860927079</v>
      </c>
      <c r="C789" s="13">
        <f t="shared" ca="1" si="70"/>
        <v>1</v>
      </c>
      <c r="D789" s="9">
        <f ca="1">D788+C789*(Prices!B789-Prices!B788)/Prices!B788</f>
        <v>-0.56542857633271715</v>
      </c>
      <c r="E789" s="9">
        <f t="shared" ca="1" si="71"/>
        <v>0.60155252759146349</v>
      </c>
      <c r="F789" s="9">
        <f t="shared" ca="1" si="72"/>
        <v>3.6123951258746317E-2</v>
      </c>
      <c r="G789" s="13">
        <f ca="1">IF((Prices!B789-Prices!B788)*B789&gt;0,1,0)</f>
        <v>1</v>
      </c>
      <c r="H789" s="9">
        <f>ABS(Prices!B789-Prices!B788)/Prices!B788</f>
        <v>2.7961971718463356E-3</v>
      </c>
      <c r="I789" s="13"/>
      <c r="J789" s="1">
        <f t="shared" ca="1" si="73"/>
        <v>1.1995165678089992E-2</v>
      </c>
      <c r="K789" s="9"/>
      <c r="L789" s="9">
        <f ca="1">L788-O789*Prices!B789</f>
        <v>0.22994352858288056</v>
      </c>
      <c r="M789" s="1">
        <f t="shared" ca="1" si="74"/>
        <v>0.63552836604028884</v>
      </c>
      <c r="N789" s="9">
        <f ca="1">IF(Prices!D788&gt;OFFSET(Prices!D788,-$N$3,0),1,IF(Prices!D788&lt;OFFSET(Prices!D788,-$N$3,0),-1,0))</f>
        <v>1</v>
      </c>
      <c r="O789" s="1">
        <f ca="1">IF(N789=1,O$3*L788/Prices!B788,O$3*M788*N789)</f>
        <v>2.0418008540631211E-2</v>
      </c>
      <c r="P789" s="14"/>
      <c r="Q789" s="9">
        <f ca="1">Q788-T789*Prices!B789</f>
        <v>0.46416940824483505</v>
      </c>
      <c r="R789" s="1">
        <f t="shared" ca="1" si="75"/>
        <v>0.41271930026451975</v>
      </c>
      <c r="S789" s="9">
        <f ca="1">IF(Prices!C788&lt;OFFSET(Prices!C788,-S$3,0),1,IF(Prices!C788&gt;OFFSET(Prices!C788,-S$3,0),-1,0))</f>
        <v>-1</v>
      </c>
      <c r="T789" s="1">
        <f ca="1">IF(S789=1,T$3*Q788/Prices!B788,T$3*R788*S789)</f>
        <v>-8.4228428625412188E-3</v>
      </c>
    </row>
    <row r="790" spans="1:20" x14ac:dyDescent="0.2">
      <c r="A790" s="4">
        <v>34612</v>
      </c>
      <c r="B790" s="9">
        <f ca="1">Prices!B789*(1+J790/(50*(ABS(O790)+ABS(T790)+0.0001)))</f>
        <v>1.2646726014289544</v>
      </c>
      <c r="C790" s="13">
        <f t="shared" ca="1" si="70"/>
        <v>1</v>
      </c>
      <c r="D790" s="9">
        <f ca="1">D789+C790*(Prices!B790-Prices!B789)/Prices!B789</f>
        <v>-0.56088746734610162</v>
      </c>
      <c r="E790" s="9">
        <f t="shared" ca="1" si="71"/>
        <v>0.59701141860484797</v>
      </c>
      <c r="F790" s="9">
        <f t="shared" ca="1" si="72"/>
        <v>3.6123951258746317E-2</v>
      </c>
      <c r="G790" s="13">
        <f ca="1">IF((Prices!B790-Prices!B789)*B790&gt;0,1,0)</f>
        <v>1</v>
      </c>
      <c r="H790" s="9">
        <f>ABS(Prices!B790-Prices!B789)/Prices!B789</f>
        <v>4.5411089866155318E-3</v>
      </c>
      <c r="I790" s="13"/>
      <c r="J790" s="1">
        <f t="shared" ca="1" si="73"/>
        <v>1.0064888101057642E-2</v>
      </c>
      <c r="K790" s="9"/>
      <c r="L790" s="9">
        <f ca="1">L789-O790*Prices!B790</f>
        <v>0.20684475586218631</v>
      </c>
      <c r="M790" s="1">
        <f t="shared" ca="1" si="74"/>
        <v>0.65384764014663688</v>
      </c>
      <c r="N790" s="9">
        <f ca="1">IF(Prices!D789&gt;OFFSET(Prices!D789,-$N$3,0),1,IF(Prices!D789&lt;OFFSET(Prices!D789,-$N$3,0),-1,0))</f>
        <v>1</v>
      </c>
      <c r="O790" s="1">
        <f ca="1">IF(N790=1,O$3*L789/Prices!B789,O$3*M789*N790)</f>
        <v>1.8319274106348038E-2</v>
      </c>
      <c r="P790" s="14"/>
      <c r="Q790" s="9">
        <f ca="1">Q789-T790*Prices!B790</f>
        <v>0.47457736355890573</v>
      </c>
      <c r="R790" s="1">
        <f t="shared" ca="1" si="75"/>
        <v>0.40446491425922937</v>
      </c>
      <c r="S790" s="9">
        <f ca="1">IF(Prices!C789&lt;OFFSET(Prices!C789,-S$3,0),1,IF(Prices!C789&gt;OFFSET(Prices!C789,-S$3,0),-1,0))</f>
        <v>-1</v>
      </c>
      <c r="T790" s="1">
        <f ca="1">IF(S790=1,T$3*Q789/Prices!B789,T$3*R789*S790)</f>
        <v>-8.2543860052903956E-3</v>
      </c>
    </row>
    <row r="791" spans="1:20" x14ac:dyDescent="0.2">
      <c r="A791" s="4">
        <v>34613</v>
      </c>
      <c r="B791" s="9">
        <f ca="1">Prices!B790*(1+J791/(50*(ABS(O791)+ABS(T791)+0.0001)))</f>
        <v>1.2694262676495545</v>
      </c>
      <c r="C791" s="13">
        <f t="shared" ca="1" si="70"/>
        <v>1</v>
      </c>
      <c r="D791" s="9">
        <f ca="1">D790+C791*(Prices!B791-Prices!B790)/Prices!B790</f>
        <v>-0.56168055165096309</v>
      </c>
      <c r="E791" s="9">
        <f t="shared" ca="1" si="71"/>
        <v>0.59780450290970943</v>
      </c>
      <c r="F791" s="9">
        <f t="shared" ca="1" si="72"/>
        <v>3.6123951258746317E-2</v>
      </c>
      <c r="G791" s="13">
        <f ca="1">IF((Prices!B791-Prices!B790)*B791&gt;0,1,0)</f>
        <v>0</v>
      </c>
      <c r="H791" s="9">
        <f>ABS(Prices!B791-Prices!B790)/Prices!B790</f>
        <v>7.9308430486151949E-4</v>
      </c>
      <c r="I791" s="13"/>
      <c r="J791" s="1">
        <f t="shared" ca="1" si="73"/>
        <v>8.3152346565384967E-3</v>
      </c>
      <c r="K791" s="9"/>
      <c r="L791" s="9">
        <f ca="1">L790-O791*Prices!B791</f>
        <v>0.18617668480890939</v>
      </c>
      <c r="M791" s="1">
        <f t="shared" ca="1" si="74"/>
        <v>0.67025217308835994</v>
      </c>
      <c r="N791" s="9">
        <f ca="1">IF(Prices!D790&gt;OFFSET(Prices!D790,-$N$3,0),1,IF(Prices!D790&lt;OFFSET(Prices!D790,-$N$3,0),-1,0))</f>
        <v>1</v>
      </c>
      <c r="O791" s="1">
        <f ca="1">IF(N791=1,O$3*L790/Prices!B790,O$3*M790*N791)</f>
        <v>1.6404532941723084E-2</v>
      </c>
      <c r="P791" s="14"/>
      <c r="Q791" s="9">
        <f ca="1">Q790-T791*Prices!B791</f>
        <v>0.48476907046840978</v>
      </c>
      <c r="R791" s="1">
        <f t="shared" ca="1" si="75"/>
        <v>0.3963756159740448</v>
      </c>
      <c r="S791" s="9">
        <f ca="1">IF(Prices!C790&lt;OFFSET(Prices!C790,-S$3,0),1,IF(Prices!C790&gt;OFFSET(Prices!C790,-S$3,0),-1,0))</f>
        <v>-1</v>
      </c>
      <c r="T791" s="1">
        <f ca="1">IF(S791=1,T$3*Q790/Prices!B790,T$3*R790*S791)</f>
        <v>-8.0892982851845877E-3</v>
      </c>
    </row>
    <row r="792" spans="1:20" x14ac:dyDescent="0.2">
      <c r="A792" s="4">
        <v>34614</v>
      </c>
      <c r="B792" s="9">
        <f ca="1">Prices!B791*(1+J792/(50*(ABS(O792)+ABS(T792)+0.0001)))</f>
        <v>1.2674684651256876</v>
      </c>
      <c r="C792" s="13">
        <f t="shared" ca="1" si="70"/>
        <v>1</v>
      </c>
      <c r="D792" s="9">
        <f ca="1">D791+C792*(Prices!B792-Prices!B791)/Prices!B791</f>
        <v>-0.5597756385626228</v>
      </c>
      <c r="E792" s="9">
        <f t="shared" ca="1" si="71"/>
        <v>0.59589958982136915</v>
      </c>
      <c r="F792" s="9">
        <f t="shared" ca="1" si="72"/>
        <v>3.6123951258746317E-2</v>
      </c>
      <c r="G792" s="13">
        <f ca="1">IF((Prices!B792-Prices!B791)*B792&gt;0,1,0)</f>
        <v>1</v>
      </c>
      <c r="H792" s="9">
        <f>ABS(Prices!B792-Prices!B791)/Prices!B791</f>
        <v>1.9049130883403108E-3</v>
      </c>
      <c r="I792" s="13"/>
      <c r="J792" s="1">
        <f t="shared" ca="1" si="73"/>
        <v>6.8495878320318729E-3</v>
      </c>
      <c r="K792" s="9"/>
      <c r="L792" s="9">
        <f ca="1">L791-O792*Prices!B792</f>
        <v>0.16752355128765484</v>
      </c>
      <c r="M792" s="1">
        <f t="shared" ca="1" si="74"/>
        <v>0.68502927323987273</v>
      </c>
      <c r="N792" s="9">
        <f ca="1">IF(Prices!D791&gt;OFFSET(Prices!D791,-$N$3,0),1,IF(Prices!D791&lt;OFFSET(Prices!D791,-$N$3,0),-1,0))</f>
        <v>1</v>
      </c>
      <c r="O792" s="1">
        <f ca="1">IF(N792=1,O$3*L791/Prices!B791,O$3*M791*N792)</f>
        <v>1.4777100151512769E-2</v>
      </c>
      <c r="P792" s="14"/>
      <c r="Q792" s="9">
        <f ca="1">Q791-T792*Prices!B792</f>
        <v>0.49477596926929052</v>
      </c>
      <c r="R792" s="1">
        <f t="shared" ca="1" si="75"/>
        <v>0.38844810365456389</v>
      </c>
      <c r="S792" s="9">
        <f ca="1">IF(Prices!C791&lt;OFFSET(Prices!C791,-S$3,0),1,IF(Prices!C791&gt;OFFSET(Prices!C791,-S$3,0),-1,0))</f>
        <v>-1</v>
      </c>
      <c r="T792" s="1">
        <f ca="1">IF(S792=1,T$3*Q791/Prices!B791,T$3*R791*S792)</f>
        <v>-7.927512319480896E-3</v>
      </c>
    </row>
    <row r="793" spans="1:20" x14ac:dyDescent="0.2">
      <c r="A793" s="4">
        <v>34617</v>
      </c>
      <c r="B793" s="9">
        <f ca="1">Prices!B792*(1+J793/(50*(ABS(O793)+ABS(T793)+0.0001)))</f>
        <v>1.2370870566654817</v>
      </c>
      <c r="C793" s="13">
        <f t="shared" ca="1" si="70"/>
        <v>-1</v>
      </c>
      <c r="D793" s="9">
        <f ca="1">D792+C793*(Prices!B793-Prices!B792)/Prices!B792</f>
        <v>-0.55415098515218164</v>
      </c>
      <c r="E793" s="9">
        <f t="shared" ca="1" si="71"/>
        <v>0.59027493641092799</v>
      </c>
      <c r="F793" s="9">
        <f t="shared" ca="1" si="72"/>
        <v>3.6123951258746317E-2</v>
      </c>
      <c r="G793" s="13">
        <f ca="1">IF((Prices!B793-Prices!B792)*B793&gt;0,1,0)</f>
        <v>0</v>
      </c>
      <c r="H793" s="9">
        <f>ABS(Prices!B793-Prices!B792)/Prices!B792</f>
        <v>5.6246534104411666E-3</v>
      </c>
      <c r="I793" s="13"/>
      <c r="J793" s="1">
        <f t="shared" ca="1" si="73"/>
        <v>-7.6271889397078546E-2</v>
      </c>
      <c r="K793" s="9"/>
      <c r="L793" s="9">
        <f ca="1">L792-O793*Prices!B793</f>
        <v>0.25350842566472365</v>
      </c>
      <c r="M793" s="1">
        <f t="shared" ca="1" si="74"/>
        <v>0.6165263459158854</v>
      </c>
      <c r="N793" s="9">
        <f ca="1">IF(Prices!D792&gt;OFFSET(Prices!D792,-$N$3,0),1,IF(Prices!D792&lt;OFFSET(Prices!D792,-$N$3,0),-1,0))</f>
        <v>-1</v>
      </c>
      <c r="O793" s="1">
        <f ca="1">IF(N793=1,O$3*L792/Prices!B792,O$3*M792*N793)</f>
        <v>-6.8502927323987273E-2</v>
      </c>
      <c r="P793" s="14"/>
      <c r="Q793" s="9">
        <f ca="1">Q792-T793*Prices!B793</f>
        <v>0.50452757046343466</v>
      </c>
      <c r="R793" s="1">
        <f t="shared" ca="1" si="75"/>
        <v>0.38067914158147259</v>
      </c>
      <c r="S793" s="9">
        <f ca="1">IF(Prices!C792&lt;OFFSET(Prices!C792,-S$3,0),1,IF(Prices!C792&gt;OFFSET(Prices!C792,-S$3,0),-1,0))</f>
        <v>-1</v>
      </c>
      <c r="T793" s="1">
        <f ca="1">IF(S793=1,T$3*Q792/Prices!B792,T$3*R792*S793)</f>
        <v>-7.7689620730912777E-3</v>
      </c>
    </row>
    <row r="794" spans="1:20" x14ac:dyDescent="0.2">
      <c r="A794" s="4">
        <v>34618</v>
      </c>
      <c r="B794" s="9">
        <f ca="1">Prices!B793*(1+J794/(50*(ABS(O794)+ABS(T794)+0.0001)))</f>
        <v>1.2301321905275113</v>
      </c>
      <c r="C794" s="13">
        <f t="shared" ca="1" si="70"/>
        <v>-1</v>
      </c>
      <c r="D794" s="9">
        <f ca="1">D793+C794*(Prices!B794-Prices!B793)/Prices!B793</f>
        <v>-0.55542568241158241</v>
      </c>
      <c r="E794" s="9">
        <f t="shared" ca="1" si="71"/>
        <v>0.59154963367032876</v>
      </c>
      <c r="F794" s="9">
        <f t="shared" ca="1" si="72"/>
        <v>3.6123951258746317E-2</v>
      </c>
      <c r="G794" s="13">
        <f ca="1">IF((Prices!B794-Prices!B793)*B794&gt;0,1,0)</f>
        <v>1</v>
      </c>
      <c r="H794" s="9">
        <f>ABS(Prices!B794-Prices!B793)/Prices!B793</f>
        <v>1.2746972594007517E-3</v>
      </c>
      <c r="I794" s="13"/>
      <c r="J794" s="1">
        <f t="shared" ca="1" si="73"/>
        <v>-6.9266217423217993E-2</v>
      </c>
      <c r="K794" s="9"/>
      <c r="L794" s="9">
        <f ca="1">L793-O794*Prices!B794</f>
        <v>0.33099345681943215</v>
      </c>
      <c r="M794" s="1">
        <f t="shared" ca="1" si="74"/>
        <v>0.55487371132429686</v>
      </c>
      <c r="N794" s="9">
        <f ca="1">IF(Prices!D793&gt;OFFSET(Prices!D793,-$N$3,0),1,IF(Prices!D793&lt;OFFSET(Prices!D793,-$N$3,0),-1,0))</f>
        <v>-1</v>
      </c>
      <c r="O794" s="1">
        <f ca="1">IF(N794=1,O$3*L793/Prices!B793,O$3*M793*N794)</f>
        <v>-6.165263459158854E-2</v>
      </c>
      <c r="P794" s="14"/>
      <c r="Q794" s="9">
        <f ca="1">Q793-T794*Prices!B794</f>
        <v>0.51409632136622652</v>
      </c>
      <c r="R794" s="1">
        <f t="shared" ca="1" si="75"/>
        <v>0.37306555874984315</v>
      </c>
      <c r="S794" s="9">
        <f ca="1">IF(Prices!C793&lt;OFFSET(Prices!C793,-S$3,0),1,IF(Prices!C793&gt;OFFSET(Prices!C793,-S$3,0),-1,0))</f>
        <v>-1</v>
      </c>
      <c r="T794" s="1">
        <f ca="1">IF(S794=1,T$3*Q793/Prices!B793,T$3*R793*S794)</f>
        <v>-7.6135828316294517E-3</v>
      </c>
    </row>
    <row r="795" spans="1:20" x14ac:dyDescent="0.2">
      <c r="A795" s="4">
        <v>34619</v>
      </c>
      <c r="B795" s="9">
        <f ca="1">Prices!B794*(1+J795/(50*(ABS(O795)+ABS(T795)+0.0001)))</f>
        <v>1.2317038676056027</v>
      </c>
      <c r="C795" s="13">
        <f t="shared" ca="1" si="70"/>
        <v>-1</v>
      </c>
      <c r="D795" s="9">
        <f ca="1">D794+C795*(Prices!B795-Prices!B794)/Prices!B794</f>
        <v>-0.55852880144404582</v>
      </c>
      <c r="E795" s="9">
        <f t="shared" ca="1" si="71"/>
        <v>0.59465275270279216</v>
      </c>
      <c r="F795" s="9">
        <f t="shared" ca="1" si="72"/>
        <v>3.6123951258746317E-2</v>
      </c>
      <c r="G795" s="13">
        <f ca="1">IF((Prices!B795-Prices!B794)*B795&gt;0,1,0)</f>
        <v>1</v>
      </c>
      <c r="H795" s="9">
        <f>ABS(Prices!B795-Prices!B794)/Prices!B794</f>
        <v>3.103119032463411E-3</v>
      </c>
      <c r="I795" s="13"/>
      <c r="J795" s="1">
        <f t="shared" ca="1" si="73"/>
        <v>-6.2948682307426548E-2</v>
      </c>
      <c r="K795" s="9"/>
      <c r="L795" s="9">
        <f ca="1">L794-O795*Prices!B795</f>
        <v>0.40094638560608625</v>
      </c>
      <c r="M795" s="1">
        <f t="shared" ca="1" si="74"/>
        <v>0.49938634019186717</v>
      </c>
      <c r="N795" s="9">
        <f ca="1">IF(Prices!D794&gt;OFFSET(Prices!D794,-$N$3,0),1,IF(Prices!D794&lt;OFFSET(Prices!D794,-$N$3,0),-1,0))</f>
        <v>-1</v>
      </c>
      <c r="O795" s="1">
        <f ca="1">IF(N795=1,O$3*L794/Prices!B794,O$3*M794*N795)</f>
        <v>-5.5487371132429686E-2</v>
      </c>
      <c r="P795" s="14"/>
      <c r="Q795" s="9">
        <f ca="1">Q794-T795*Prices!B795</f>
        <v>0.52350279636454511</v>
      </c>
      <c r="R795" s="1">
        <f t="shared" ca="1" si="75"/>
        <v>0.36560424757484628</v>
      </c>
      <c r="S795" s="9">
        <f ca="1">IF(Prices!C794&lt;OFFSET(Prices!C794,-S$3,0),1,IF(Prices!C794&gt;OFFSET(Prices!C794,-S$3,0),-1,0))</f>
        <v>-1</v>
      </c>
      <c r="T795" s="1">
        <f ca="1">IF(S795=1,T$3*Q794/Prices!B794,T$3*R794*S795)</f>
        <v>-7.4613111749968633E-3</v>
      </c>
    </row>
    <row r="796" spans="1:20" x14ac:dyDescent="0.2">
      <c r="A796" s="4">
        <v>34620</v>
      </c>
      <c r="B796" s="9">
        <f ca="1">Prices!B795*(1+J796/(50*(ABS(O796)+ABS(T796)+0.0001)))</f>
        <v>1.2427074213933875</v>
      </c>
      <c r="C796" s="13">
        <f t="shared" ca="1" si="70"/>
        <v>-1</v>
      </c>
      <c r="D796" s="9">
        <f ca="1">D795+C796*(Prices!B796-Prices!B795)/Prices!B795</f>
        <v>-0.55844948043190967</v>
      </c>
      <c r="E796" s="9">
        <f t="shared" ca="1" si="71"/>
        <v>0.59457343169065602</v>
      </c>
      <c r="F796" s="9">
        <f t="shared" ca="1" si="72"/>
        <v>3.6123951258746317E-2</v>
      </c>
      <c r="G796" s="13">
        <f ca="1">IF((Prices!B796-Prices!B795)*B796&gt;0,1,0)</f>
        <v>0</v>
      </c>
      <c r="H796" s="9">
        <f>ABS(Prices!B796-Prices!B795)/Prices!B795</f>
        <v>7.9321012136106121E-5</v>
      </c>
      <c r="I796" s="13"/>
      <c r="J796" s="1">
        <f t="shared" ca="1" si="73"/>
        <v>-4.1633679686442285E-2</v>
      </c>
      <c r="K796" s="9"/>
      <c r="L796" s="9">
        <f ca="1">L795-O796*Prices!B796</f>
        <v>0.46389902765067303</v>
      </c>
      <c r="M796" s="1">
        <f t="shared" ca="1" si="74"/>
        <v>0.44944770617268048</v>
      </c>
      <c r="N796" s="9">
        <f ca="1">IF(Prices!D795&gt;OFFSET(Prices!D795,-$N$3,0),1,IF(Prices!D795&lt;OFFSET(Prices!D795,-$N$3,0),-1,0))</f>
        <v>-1</v>
      </c>
      <c r="O796" s="1">
        <f ca="1">IF(N796=1,O$3*L795/Prices!B795,O$3*M795*N796)</f>
        <v>-4.9938634019186717E-2</v>
      </c>
      <c r="P796" s="14"/>
      <c r="Q796" s="9">
        <f ca="1">Q795-T796*Prices!B796</f>
        <v>0.51303357093268753</v>
      </c>
      <c r="R796" s="1">
        <f t="shared" ca="1" si="75"/>
        <v>0.37390920190759069</v>
      </c>
      <c r="S796" s="9">
        <f ca="1">IF(Prices!C795&lt;OFFSET(Prices!C795,-S$3,0),1,IF(Prices!C795&gt;OFFSET(Prices!C795,-S$3,0),-1,0))</f>
        <v>1</v>
      </c>
      <c r="T796" s="1">
        <f ca="1">IF(S796=1,T$3*Q795/Prices!B795,T$3*R795*S796)</f>
        <v>8.3049543327444308E-3</v>
      </c>
    </row>
    <row r="797" spans="1:20" x14ac:dyDescent="0.2">
      <c r="A797" s="4">
        <v>34621</v>
      </c>
      <c r="B797" s="9">
        <f ca="1">Prices!B796*(1+J797/(50*(ABS(O797)+ABS(T797)+0.0001)))</f>
        <v>1.2855060110808783</v>
      </c>
      <c r="C797" s="13">
        <f t="shared" ca="1" si="70"/>
        <v>1</v>
      </c>
      <c r="D797" s="9">
        <f ca="1">D796+C797*(Prices!B797-Prices!B796)/Prices!B796</f>
        <v>-0.54440854754280921</v>
      </c>
      <c r="E797" s="9">
        <f t="shared" ca="1" si="71"/>
        <v>0.58053249880155555</v>
      </c>
      <c r="F797" s="9">
        <f t="shared" ca="1" si="72"/>
        <v>3.6123951258746317E-2</v>
      </c>
      <c r="G797" s="13">
        <f ca="1">IF((Prices!B797-Prices!B796)*B797&gt;0,1,0)</f>
        <v>1</v>
      </c>
      <c r="H797" s="9">
        <f>ABS(Prices!B797-Prices!B796)/Prices!B796</f>
        <v>1.4040932889100468E-2</v>
      </c>
      <c r="I797" s="13"/>
      <c r="J797" s="1">
        <f t="shared" ca="1" si="73"/>
        <v>8.1395140557304069E-3</v>
      </c>
      <c r="K797" s="9"/>
      <c r="L797" s="9">
        <f ca="1">L796-O797*Prices!B797</f>
        <v>0.46389902765067303</v>
      </c>
      <c r="M797" s="1">
        <f t="shared" ca="1" si="74"/>
        <v>0.44944770617268048</v>
      </c>
      <c r="N797" s="9">
        <f ca="1">IF(Prices!D796&gt;OFFSET(Prices!D796,-$N$3,0),1,IF(Prices!D796&lt;OFFSET(Prices!D796,-$N$3,0),-1,0))</f>
        <v>0</v>
      </c>
      <c r="O797" s="1">
        <f ca="1">IF(N797=1,O$3*L796/Prices!B796,O$3*M796*N797)</f>
        <v>0</v>
      </c>
      <c r="P797" s="14"/>
      <c r="Q797" s="9">
        <f ca="1">Q796-T797*Prices!B797</f>
        <v>0.50262883011524739</v>
      </c>
      <c r="R797" s="1">
        <f t="shared" ca="1" si="75"/>
        <v>0.38204871596332113</v>
      </c>
      <c r="S797" s="9">
        <f ca="1">IF(Prices!C796&lt;OFFSET(Prices!C796,-S$3,0),1,IF(Prices!C796&gt;OFFSET(Prices!C796,-S$3,0),-1,0))</f>
        <v>1</v>
      </c>
      <c r="T797" s="1">
        <f ca="1">IF(S797=1,T$3*Q796/Prices!B796,T$3*R796*S797)</f>
        <v>8.1395140557304069E-3</v>
      </c>
    </row>
    <row r="798" spans="1:20" x14ac:dyDescent="0.2">
      <c r="A798" s="4">
        <v>34624</v>
      </c>
      <c r="B798" s="9">
        <f ca="1">Prices!B797*(1+J798/(50*(ABS(O798)+ABS(T798)+0.0001)))</f>
        <v>1.2603822501367088</v>
      </c>
      <c r="C798" s="13">
        <f t="shared" ca="1" si="70"/>
        <v>-1</v>
      </c>
      <c r="D798" s="9">
        <f ca="1">D797+C798*(Prices!B798-Prices!B797)/Prices!B797</f>
        <v>-0.5543436175576727</v>
      </c>
      <c r="E798" s="9">
        <f t="shared" ca="1" si="71"/>
        <v>0.59046756881641904</v>
      </c>
      <c r="F798" s="9">
        <f t="shared" ca="1" si="72"/>
        <v>3.6123951258746317E-2</v>
      </c>
      <c r="G798" s="13">
        <f ca="1">IF((Prices!B798-Prices!B797)*B798&gt;0,1,0)</f>
        <v>1</v>
      </c>
      <c r="H798" s="9">
        <f>ABS(Prices!B798-Prices!B797)/Prices!B797</f>
        <v>9.9350700148634393E-3</v>
      </c>
      <c r="I798" s="13"/>
      <c r="J798" s="1">
        <f t="shared" ca="1" si="73"/>
        <v>-3.7080750745324888E-2</v>
      </c>
      <c r="K798" s="9"/>
      <c r="L798" s="9">
        <f ca="1">L797-O798*Prices!B798</f>
        <v>0.5219227265175661</v>
      </c>
      <c r="M798" s="1">
        <f t="shared" ca="1" si="74"/>
        <v>0.40450293555541245</v>
      </c>
      <c r="N798" s="9">
        <f ca="1">IF(Prices!D797&gt;OFFSET(Prices!D797,-$N$3,0),1,IF(Prices!D797&lt;OFFSET(Prices!D797,-$N$3,0),-1,0))</f>
        <v>-1</v>
      </c>
      <c r="O798" s="1">
        <f ca="1">IF(N798=1,O$3*L797/Prices!B797,O$3*M797*N798)</f>
        <v>-4.4944770617268051E-2</v>
      </c>
      <c r="P798" s="14"/>
      <c r="Q798" s="9">
        <f ca="1">Q797-T798*Prices!B798</f>
        <v>0.49247638046056874</v>
      </c>
      <c r="R798" s="1">
        <f t="shared" ca="1" si="75"/>
        <v>0.38991273583526431</v>
      </c>
      <c r="S798" s="9">
        <f ca="1">IF(Prices!C797&lt;OFFSET(Prices!C797,-S$3,0),1,IF(Prices!C797&gt;OFFSET(Prices!C797,-S$3,0),-1,0))</f>
        <v>1</v>
      </c>
      <c r="T798" s="1">
        <f ca="1">IF(S798=1,T$3*Q797/Prices!B797,T$3*R797*S798)</f>
        <v>7.8640198719431651E-3</v>
      </c>
    </row>
    <row r="799" spans="1:20" x14ac:dyDescent="0.2">
      <c r="A799" s="4">
        <v>34625</v>
      </c>
      <c r="B799" s="9">
        <f ca="1">Prices!B798*(1+J799/(50*(ABS(O799)+ABS(T799)+0.0001)))</f>
        <v>1.2734109216245786</v>
      </c>
      <c r="C799" s="13">
        <f t="shared" ca="1" si="70"/>
        <v>-1</v>
      </c>
      <c r="D799" s="9">
        <f ca="1">D798+C799*(Prices!B799-Prices!B798)/Prices!B798</f>
        <v>-0.55643501957161545</v>
      </c>
      <c r="E799" s="9">
        <f t="shared" ca="1" si="71"/>
        <v>0.5925589708303618</v>
      </c>
      <c r="F799" s="9">
        <f t="shared" ca="1" si="72"/>
        <v>3.6123951258746317E-2</v>
      </c>
      <c r="G799" s="13">
        <f ca="1">IF((Prices!B799-Prices!B798)*B799&gt;0,1,0)</f>
        <v>1</v>
      </c>
      <c r="H799" s="9">
        <f>ABS(Prices!B799-Prices!B798)/Prices!B798</f>
        <v>2.091402013942794E-3</v>
      </c>
      <c r="I799" s="13"/>
      <c r="J799" s="1">
        <f t="shared" ca="1" si="73"/>
        <v>-3.2820915082100992E-2</v>
      </c>
      <c r="K799" s="9"/>
      <c r="L799" s="9">
        <f ca="1">L798-O799*Prices!B799</f>
        <v>0.57425327129036985</v>
      </c>
      <c r="M799" s="1">
        <f t="shared" ca="1" si="74"/>
        <v>0.3640526419998712</v>
      </c>
      <c r="N799" s="9">
        <f ca="1">IF(Prices!D798&gt;OFFSET(Prices!D798,-$N$3,0),1,IF(Prices!D798&lt;OFFSET(Prices!D798,-$N$3,0),-1,0))</f>
        <v>-1</v>
      </c>
      <c r="O799" s="1">
        <f ca="1">IF(N799=1,O$3*L798/Prices!B798,O$3*M798*N799)</f>
        <v>-4.045029355554125E-2</v>
      </c>
      <c r="P799" s="14"/>
      <c r="Q799" s="9">
        <f ca="1">Q798-T799*Prices!B799</f>
        <v>0.48260625352947906</v>
      </c>
      <c r="R799" s="1">
        <f t="shared" ca="1" si="75"/>
        <v>0.39754211430870456</v>
      </c>
      <c r="S799" s="9">
        <f ca="1">IF(Prices!C798&lt;OFFSET(Prices!C798,-S$3,0),1,IF(Prices!C798&gt;OFFSET(Prices!C798,-S$3,0),-1,0))</f>
        <v>1</v>
      </c>
      <c r="T799" s="1">
        <f ca="1">IF(S799=1,T$3*Q798/Prices!B798,T$3*R798*S799)</f>
        <v>7.6293784734402592E-3</v>
      </c>
    </row>
    <row r="800" spans="1:20" x14ac:dyDescent="0.2">
      <c r="A800" s="4">
        <v>34626</v>
      </c>
      <c r="B800" s="9">
        <f ca="1">Prices!B799*(1+J800/(50*(ABS(O800)+ABS(T800)+0.0001)))</f>
        <v>1.3195241937560735</v>
      </c>
      <c r="C800" s="13">
        <f t="shared" ca="1" si="70"/>
        <v>1</v>
      </c>
      <c r="D800" s="9">
        <f ca="1">D799+C800*(Prices!B800-Prices!B799)/Prices!B799</f>
        <v>-0.55643501957161545</v>
      </c>
      <c r="E800" s="9">
        <f t="shared" ca="1" si="71"/>
        <v>0.5925589708303618</v>
      </c>
      <c r="F800" s="9">
        <f t="shared" ca="1" si="72"/>
        <v>3.6123951258746317E-2</v>
      </c>
      <c r="G800" s="13">
        <f ca="1">IF((Prices!B800-Prices!B799)*B800&gt;0,1,0)</f>
        <v>0</v>
      </c>
      <c r="H800" s="9">
        <f>ABS(Prices!B800-Prices!B799)/Prices!B799</f>
        <v>0</v>
      </c>
      <c r="I800" s="13"/>
      <c r="J800" s="1">
        <f t="shared" ca="1" si="73"/>
        <v>5.1849309886083765E-2</v>
      </c>
      <c r="K800" s="9"/>
      <c r="L800" s="9">
        <f ca="1">L799-O800*Prices!B800</f>
        <v>0.51682794416133282</v>
      </c>
      <c r="M800" s="1">
        <f t="shared" ca="1" si="74"/>
        <v>0.40844108377851923</v>
      </c>
      <c r="N800" s="9">
        <f ca="1">IF(Prices!D799&gt;OFFSET(Prices!D799,-$N$3,0),1,IF(Prices!D799&lt;OFFSET(Prices!D799,-$N$3,0),-1,0))</f>
        <v>1</v>
      </c>
      <c r="O800" s="1">
        <f ca="1">IF(N800=1,O$3*L799/Prices!B799,O$3*M799*N800)</f>
        <v>4.438844177864805E-2</v>
      </c>
      <c r="P800" s="14"/>
      <c r="Q800" s="9">
        <f ca="1">Q799-T800*Prices!B800</f>
        <v>0.47295412845888946</v>
      </c>
      <c r="R800" s="1">
        <f t="shared" ca="1" si="75"/>
        <v>0.4050029824161403</v>
      </c>
      <c r="S800" s="9">
        <f ca="1">IF(Prices!C799&lt;OFFSET(Prices!C799,-S$3,0),1,IF(Prices!C799&gt;OFFSET(Prices!C799,-S$3,0),-1,0))</f>
        <v>1</v>
      </c>
      <c r="T800" s="1">
        <f ca="1">IF(S800=1,T$3*Q799/Prices!B799,T$3*R799*S800)</f>
        <v>7.4608681074357129E-3</v>
      </c>
    </row>
    <row r="801" spans="1:20" x14ac:dyDescent="0.2">
      <c r="A801" s="4">
        <v>34627</v>
      </c>
      <c r="B801" s="9">
        <f ca="1">Prices!B800*(1+J801/(50*(ABS(O801)+ABS(T801)+0.0001)))</f>
        <v>1.3195193688386526</v>
      </c>
      <c r="C801" s="13">
        <f t="shared" ca="1" si="70"/>
        <v>1</v>
      </c>
      <c r="D801" s="9">
        <f ca="1">D800+C801*(Prices!B801-Prices!B800)/Prices!B800</f>
        <v>-0.55682150793831575</v>
      </c>
      <c r="E801" s="9">
        <f t="shared" ca="1" si="71"/>
        <v>0.5929454591970621</v>
      </c>
      <c r="F801" s="9">
        <f t="shared" ca="1" si="72"/>
        <v>3.6123951258746317E-2</v>
      </c>
      <c r="G801" s="13">
        <f ca="1">IF((Prices!B801-Prices!B800)*B801&gt;0,1,0)</f>
        <v>0</v>
      </c>
      <c r="H801" s="9">
        <f>ABS(Prices!B801-Prices!B800)/Prices!B800</f>
        <v>3.8648836670029138E-4</v>
      </c>
      <c r="I801" s="13"/>
      <c r="J801" s="1">
        <f t="shared" ca="1" si="73"/>
        <v>4.7261248346070241E-2</v>
      </c>
      <c r="K801" s="9"/>
      <c r="L801" s="9">
        <f ca="1">L800-O801*Prices!B801</f>
        <v>0.46516512454399994</v>
      </c>
      <c r="M801" s="1">
        <f t="shared" ca="1" si="74"/>
        <v>0.44839068137930249</v>
      </c>
      <c r="N801" s="9">
        <f ca="1">IF(Prices!D800&gt;OFFSET(Prices!D800,-$N$3,0),1,IF(Prices!D800&lt;OFFSET(Prices!D800,-$N$3,0),-1,0))</f>
        <v>1</v>
      </c>
      <c r="O801" s="1">
        <f ca="1">IF(N801=1,O$3*L800/Prices!B800,O$3*M800*N801)</f>
        <v>3.9949597600783246E-2</v>
      </c>
      <c r="P801" s="14"/>
      <c r="Q801" s="9">
        <f ca="1">Q800-T801*Prices!B801</f>
        <v>0.46349870171508434</v>
      </c>
      <c r="R801" s="1">
        <f t="shared" ca="1" si="75"/>
        <v>0.4123146331614273</v>
      </c>
      <c r="S801" s="9">
        <f ca="1">IF(Prices!C800&lt;OFFSET(Prices!C800,-S$3,0),1,IF(Prices!C800&gt;OFFSET(Prices!C800,-S$3,0),-1,0))</f>
        <v>1</v>
      </c>
      <c r="T801" s="1">
        <f ca="1">IF(S801=1,T$3*Q800/Prices!B800,T$3*R800*S801)</f>
        <v>7.3116507452869973E-3</v>
      </c>
    </row>
    <row r="802" spans="1:20" x14ac:dyDescent="0.2">
      <c r="A802" s="4">
        <v>34628</v>
      </c>
      <c r="B802" s="9">
        <f ca="1">Prices!B801*(1+J802/(50*(ABS(O802)+ABS(T802)+0.0001)))</f>
        <v>1.3190041827016359</v>
      </c>
      <c r="C802" s="13">
        <f t="shared" ca="1" si="70"/>
        <v>1</v>
      </c>
      <c r="D802" s="9">
        <f ca="1">D801+C802*(Prices!B802-Prices!B801)/Prices!B801</f>
        <v>-0.55349642287800016</v>
      </c>
      <c r="E802" s="9">
        <f t="shared" ca="1" si="71"/>
        <v>0.58962037413674651</v>
      </c>
      <c r="F802" s="9">
        <f t="shared" ca="1" si="72"/>
        <v>3.6123951258746317E-2</v>
      </c>
      <c r="G802" s="13">
        <f ca="1">IF((Prices!B802-Prices!B801)*B802&gt;0,1,0)</f>
        <v>1</v>
      </c>
      <c r="H802" s="9">
        <f>ABS(Prices!B802-Prices!B801)/Prices!B801</f>
        <v>3.3250850603156455E-3</v>
      </c>
      <c r="I802" s="13"/>
      <c r="J802" s="1">
        <f t="shared" ca="1" si="73"/>
        <v>4.3138328556063789E-2</v>
      </c>
      <c r="K802" s="9"/>
      <c r="L802" s="9">
        <f ca="1">L801-O802*Prices!B802</f>
        <v>0.41849394072897983</v>
      </c>
      <c r="M802" s="1">
        <f t="shared" ca="1" si="74"/>
        <v>0.48436076524444321</v>
      </c>
      <c r="N802" s="9">
        <f ca="1">IF(Prices!D801&gt;OFFSET(Prices!D801,-$N$3,0),1,IF(Prices!D801&lt;OFFSET(Prices!D801,-$N$3,0),-1,0))</f>
        <v>1</v>
      </c>
      <c r="O802" s="1">
        <f ca="1">IF(N802=1,O$3*L801/Prices!B801,O$3*M801*N802)</f>
        <v>3.5970083865140737E-2</v>
      </c>
      <c r="P802" s="14"/>
      <c r="Q802" s="9">
        <f ca="1">Q801-T802*Prices!B802</f>
        <v>0.45419790422861167</v>
      </c>
      <c r="R802" s="1">
        <f t="shared" ca="1" si="75"/>
        <v>0.41948287785235033</v>
      </c>
      <c r="S802" s="9">
        <f ca="1">IF(Prices!C801&lt;OFFSET(Prices!C801,-S$3,0),1,IF(Prices!C801&gt;OFFSET(Prices!C801,-S$3,0),-1,0))</f>
        <v>1</v>
      </c>
      <c r="T802" s="1">
        <f ca="1">IF(S802=1,T$3*Q801/Prices!B801,T$3*R801*S802)</f>
        <v>7.1682446909230495E-3</v>
      </c>
    </row>
    <row r="803" spans="1:20" x14ac:dyDescent="0.2">
      <c r="A803" s="4">
        <v>34631</v>
      </c>
      <c r="B803" s="9">
        <f ca="1">Prices!B802*(1+J803/(50*(ABS(O803)+ABS(T803)+0.0001)))</f>
        <v>1.3233840617322934</v>
      </c>
      <c r="C803" s="13">
        <f t="shared" ca="1" si="70"/>
        <v>1</v>
      </c>
      <c r="D803" s="9">
        <f ca="1">D802+C803*(Prices!B803-Prices!B802)/Prices!B802</f>
        <v>-0.55426713578744147</v>
      </c>
      <c r="E803" s="9">
        <f t="shared" ca="1" si="71"/>
        <v>0.59039108704618781</v>
      </c>
      <c r="F803" s="9">
        <f t="shared" ca="1" si="72"/>
        <v>3.6123951258746317E-2</v>
      </c>
      <c r="G803" s="13">
        <f ca="1">IF((Prices!B803-Prices!B802)*B803&gt;0,1,0)</f>
        <v>0</v>
      </c>
      <c r="H803" s="9">
        <f>ABS(Prices!B803-Prices!B802)/Prices!B802</f>
        <v>7.7071290944131935E-4</v>
      </c>
      <c r="I803" s="13"/>
      <c r="J803" s="1">
        <f t="shared" ca="1" si="73"/>
        <v>3.9254992028878777E-2</v>
      </c>
      <c r="K803" s="9"/>
      <c r="L803" s="9">
        <f ca="1">L802-O803*Prices!B803</f>
        <v>0.37667680052434616</v>
      </c>
      <c r="M803" s="1">
        <f t="shared" ca="1" si="74"/>
        <v>0.51661463350871917</v>
      </c>
      <c r="N803" s="9">
        <f ca="1">IF(Prices!D802&gt;OFFSET(Prices!D802,-$N$3,0),1,IF(Prices!D802&lt;OFFSET(Prices!D802,-$N$3,0),-1,0))</f>
        <v>1</v>
      </c>
      <c r="O803" s="1">
        <f ca="1">IF(N803=1,O$3*L802/Prices!B802,O$3*M802*N803)</f>
        <v>3.2253868264275898E-2</v>
      </c>
      <c r="P803" s="14"/>
      <c r="Q803" s="9">
        <f ca="1">Q802-T803*Prices!B803</f>
        <v>0.44512094726780405</v>
      </c>
      <c r="R803" s="1">
        <f t="shared" ca="1" si="75"/>
        <v>0.42648400161695321</v>
      </c>
      <c r="S803" s="9">
        <f ca="1">IF(Prices!C802&lt;OFFSET(Prices!C802,-S$3,0),1,IF(Prices!C802&gt;OFFSET(Prices!C802,-S$3,0),-1,0))</f>
        <v>1</v>
      </c>
      <c r="T803" s="1">
        <f ca="1">IF(S803=1,T$3*Q802/Prices!B802,T$3*R802*S803)</f>
        <v>7.0011237646028773E-3</v>
      </c>
    </row>
    <row r="804" spans="1:20" x14ac:dyDescent="0.2">
      <c r="A804" s="4">
        <v>34632</v>
      </c>
      <c r="B804" s="9">
        <f ca="1">Prices!B803*(1+J804/(50*(ABS(O804)+ABS(T804)+0.0001)))</f>
        <v>1.3223580119364204</v>
      </c>
      <c r="C804" s="13">
        <f t="shared" ca="1" si="70"/>
        <v>1</v>
      </c>
      <c r="D804" s="9">
        <f ca="1">D803+C804*(Prices!B804-Prices!B803)/Prices!B803</f>
        <v>-0.55102764485030298</v>
      </c>
      <c r="E804" s="9">
        <f t="shared" ca="1" si="71"/>
        <v>0.58715159610904932</v>
      </c>
      <c r="F804" s="9">
        <f t="shared" ca="1" si="72"/>
        <v>3.6123951258746317E-2</v>
      </c>
      <c r="G804" s="13">
        <f ca="1">IF((Prices!B804-Prices!B803)*B804&gt;0,1,0)</f>
        <v>1</v>
      </c>
      <c r="H804" s="9">
        <f>ABS(Prices!B804-Prices!B803)/Prices!B803</f>
        <v>3.2394909371384352E-3</v>
      </c>
      <c r="I804" s="13"/>
      <c r="J804" s="1">
        <f t="shared" ca="1" si="73"/>
        <v>3.5919860391662707E-2</v>
      </c>
      <c r="K804" s="9"/>
      <c r="L804" s="9">
        <f ca="1">L803-O804*Prices!B804</f>
        <v>0.33888709636375863</v>
      </c>
      <c r="M804" s="1">
        <f t="shared" ca="1" si="74"/>
        <v>0.54566799259274124</v>
      </c>
      <c r="N804" s="9">
        <f ca="1">IF(Prices!D803&gt;OFFSET(Prices!D803,-$N$3,0),1,IF(Prices!D803&lt;OFFSET(Prices!D803,-$N$3,0),-1,0))</f>
        <v>1</v>
      </c>
      <c r="O804" s="1">
        <f ca="1">IF(N804=1,O$3*L803/Prices!B803,O$3*M803*N804)</f>
        <v>2.9053359084022075E-2</v>
      </c>
      <c r="P804" s="14"/>
      <c r="Q804" s="9">
        <f ca="1">Q803-T804*Prices!B804</f>
        <v>0.43618968901695587</v>
      </c>
      <c r="R804" s="1">
        <f t="shared" ca="1" si="75"/>
        <v>0.43335050292459387</v>
      </c>
      <c r="S804" s="9">
        <f ca="1">IF(Prices!C803&lt;OFFSET(Prices!C803,-S$3,0),1,IF(Prices!C803&gt;OFFSET(Prices!C803,-S$3,0),-1,0))</f>
        <v>1</v>
      </c>
      <c r="T804" s="1">
        <f ca="1">IF(S804=1,T$3*Q803/Prices!B803,T$3*R803*S804)</f>
        <v>6.8665013076406331E-3</v>
      </c>
    </row>
    <row r="805" spans="1:20" x14ac:dyDescent="0.2">
      <c r="A805" s="4">
        <v>34633</v>
      </c>
      <c r="B805" s="9">
        <f ca="1">Prices!B804*(1+J805/(50*(ABS(O805)+ABS(T805)+0.0001)))</f>
        <v>1.3266348367510536</v>
      </c>
      <c r="C805" s="13">
        <f t="shared" ca="1" si="70"/>
        <v>1</v>
      </c>
      <c r="D805" s="9">
        <f ca="1">D804+C805*(Prices!B805-Prices!B804)/Prices!B804</f>
        <v>-0.5521808700367411</v>
      </c>
      <c r="E805" s="9">
        <f t="shared" ca="1" si="71"/>
        <v>0.58830482129548745</v>
      </c>
      <c r="F805" s="9">
        <f t="shared" ca="1" si="72"/>
        <v>3.6123951258746317E-2</v>
      </c>
      <c r="G805" s="13">
        <f ca="1">IF((Prices!B805-Prices!B804)*B805&gt;0,1,0)</f>
        <v>0</v>
      </c>
      <c r="H805" s="9">
        <f>ABS(Prices!B805-Prices!B804)/Prices!B804</f>
        <v>1.1532251864381155E-3</v>
      </c>
      <c r="I805" s="13"/>
      <c r="J805" s="1">
        <f t="shared" ca="1" si="73"/>
        <v>3.2761208131556072E-2</v>
      </c>
      <c r="K805" s="9"/>
      <c r="L805" s="9">
        <f ca="1">L804-O805*Prices!B805</f>
        <v>0.30503746804087134</v>
      </c>
      <c r="M805" s="1">
        <f t="shared" ca="1" si="74"/>
        <v>0.57172220158511144</v>
      </c>
      <c r="N805" s="9">
        <f ca="1">IF(Prices!D804&gt;OFFSET(Prices!D804,-$N$3,0),1,IF(Prices!D804&lt;OFFSET(Prices!D804,-$N$3,0),-1,0))</f>
        <v>1</v>
      </c>
      <c r="O805" s="1">
        <f ca="1">IF(N805=1,O$3*L804/Prices!B804,O$3*M804*N805)</f>
        <v>2.6054208992370157E-2</v>
      </c>
      <c r="P805" s="14"/>
      <c r="Q805" s="9">
        <f ca="1">Q804-T805*Prices!B805</f>
        <v>0.42747595573532554</v>
      </c>
      <c r="R805" s="1">
        <f t="shared" ca="1" si="75"/>
        <v>0.4400575020637798</v>
      </c>
      <c r="S805" s="9">
        <f ca="1">IF(Prices!C804&lt;OFFSET(Prices!C804,-S$3,0),1,IF(Prices!C804&gt;OFFSET(Prices!C804,-S$3,0),-1,0))</f>
        <v>1</v>
      </c>
      <c r="T805" s="1">
        <f ca="1">IF(S805=1,T$3*Q804/Prices!B804,T$3*R804*S805)</f>
        <v>6.7069991391859145E-3</v>
      </c>
    </row>
    <row r="806" spans="1:20" x14ac:dyDescent="0.2">
      <c r="A806" s="4">
        <v>34634</v>
      </c>
      <c r="B806" s="9">
        <f ca="1">Prices!B805*(1+J806/(50*(ABS(O806)+ABS(T806)+0.0001)))</f>
        <v>1.3250978446453283</v>
      </c>
      <c r="C806" s="13">
        <f t="shared" ca="1" si="70"/>
        <v>1</v>
      </c>
      <c r="D806" s="9">
        <f ca="1">D805+C806*(Prices!B806-Prices!B805)/Prices!B805</f>
        <v>-0.55310451535693805</v>
      </c>
      <c r="E806" s="9">
        <f t="shared" ca="1" si="71"/>
        <v>0.5892284666156844</v>
      </c>
      <c r="F806" s="9">
        <f t="shared" ca="1" si="72"/>
        <v>3.6123951258746317E-2</v>
      </c>
      <c r="G806" s="13">
        <f ca="1">IF((Prices!B806-Prices!B805)*B806&gt;0,1,0)</f>
        <v>0</v>
      </c>
      <c r="H806" s="9">
        <f>ABS(Prices!B806-Prices!B805)/Prices!B805</f>
        <v>9.236453201969427E-4</v>
      </c>
      <c r="I806" s="13"/>
      <c r="J806" s="1">
        <f t="shared" ca="1" si="73"/>
        <v>3.0059471920253735E-2</v>
      </c>
      <c r="K806" s="9"/>
      <c r="L806" s="9">
        <f ca="1">L805-O806*Prices!B806</f>
        <v>0.27456189587976826</v>
      </c>
      <c r="M806" s="1">
        <f t="shared" ca="1" si="74"/>
        <v>0.59520107073850359</v>
      </c>
      <c r="N806" s="9">
        <f ca="1">IF(Prices!D805&gt;OFFSET(Prices!D805,-$N$3,0),1,IF(Prices!D805&lt;OFFSET(Prices!D805,-$N$3,0),-1,0))</f>
        <v>1</v>
      </c>
      <c r="O806" s="1">
        <f ca="1">IF(N806=1,O$3*L805/Prices!B805,O$3*M805*N806)</f>
        <v>2.3478869153392194E-2</v>
      </c>
      <c r="P806" s="14"/>
      <c r="Q806" s="9">
        <f ca="1">Q805-T806*Prices!B806</f>
        <v>0.41893433334393926</v>
      </c>
      <c r="R806" s="1">
        <f t="shared" ca="1" si="75"/>
        <v>0.44663810483064137</v>
      </c>
      <c r="S806" s="9">
        <f ca="1">IF(Prices!C805&lt;OFFSET(Prices!C805,-S$3,0),1,IF(Prices!C805&gt;OFFSET(Prices!C805,-S$3,0),-1,0))</f>
        <v>1</v>
      </c>
      <c r="T806" s="1">
        <f ca="1">IF(S806=1,T$3*Q805/Prices!B805,T$3*R805*S806)</f>
        <v>6.58060276686154E-3</v>
      </c>
    </row>
    <row r="807" spans="1:20" x14ac:dyDescent="0.2">
      <c r="A807" s="4">
        <v>34635</v>
      </c>
      <c r="B807" s="9">
        <f ca="1">Prices!B806*(1+J807/(50*(ABS(O807)+ABS(T807)+0.0001)))</f>
        <v>1.3235639709372624</v>
      </c>
      <c r="C807" s="13">
        <f t="shared" ca="1" si="70"/>
        <v>1</v>
      </c>
      <c r="D807" s="9">
        <f ca="1">D806+C807*(Prices!B807-Prices!B806)/Prices!B806</f>
        <v>-0.56142500842319398</v>
      </c>
      <c r="E807" s="9">
        <f t="shared" ca="1" si="71"/>
        <v>0.59754895968194033</v>
      </c>
      <c r="F807" s="9">
        <f t="shared" ca="1" si="72"/>
        <v>3.6123951258746317E-2</v>
      </c>
      <c r="G807" s="13">
        <f ca="1">IF((Prices!B807-Prices!B806)*B807&gt;0,1,0)</f>
        <v>0</v>
      </c>
      <c r="H807" s="9">
        <f>ABS(Prices!B807-Prices!B806)/Prices!B806</f>
        <v>8.3204930662558879E-3</v>
      </c>
      <c r="I807" s="13"/>
      <c r="J807" s="1">
        <f t="shared" ca="1" si="73"/>
        <v>6.4550744737124684E-3</v>
      </c>
      <c r="K807" s="9"/>
      <c r="L807" s="9">
        <f ca="1">L806-O807*Prices!B807</f>
        <v>0.27456189587976826</v>
      </c>
      <c r="M807" s="1">
        <f t="shared" ca="1" si="74"/>
        <v>0.59520107073850359</v>
      </c>
      <c r="N807" s="9">
        <f ca="1">IF(Prices!D806&gt;OFFSET(Prices!D806,-$N$3,0),1,IF(Prices!D806&lt;OFFSET(Prices!D806,-$N$3,0),-1,0))</f>
        <v>0</v>
      </c>
      <c r="O807" s="1">
        <f ca="1">IF(N807=1,O$3*L806/Prices!B806,O$3*M806*N807)</f>
        <v>0</v>
      </c>
      <c r="P807" s="14"/>
      <c r="Q807" s="9">
        <f ca="1">Q806-T807*Prices!B807</f>
        <v>0.41062536148137657</v>
      </c>
      <c r="R807" s="1">
        <f t="shared" ca="1" si="75"/>
        <v>0.45309317930435383</v>
      </c>
      <c r="S807" s="9">
        <f ca="1">IF(Prices!C806&lt;OFFSET(Prices!C806,-S$3,0),1,IF(Prices!C806&gt;OFFSET(Prices!C806,-S$3,0),-1,0))</f>
        <v>1</v>
      </c>
      <c r="T807" s="1">
        <f ca="1">IF(S807=1,T$3*Q806/Prices!B806,T$3*R806*S807)</f>
        <v>6.4550744737124684E-3</v>
      </c>
    </row>
    <row r="808" spans="1:20" x14ac:dyDescent="0.2">
      <c r="A808" s="4">
        <v>34638</v>
      </c>
      <c r="B808" s="9">
        <f ca="1">Prices!B807*(1+J808/(50*(ABS(O808)+ABS(T808)+0.0001)))</f>
        <v>1.2614934829081819</v>
      </c>
      <c r="C808" s="13">
        <f t="shared" ref="C808:C871" ca="1" si="76">IF(J808&gt;0,1,IF(J808&lt;0,-1,0))</f>
        <v>-1</v>
      </c>
      <c r="D808" s="9">
        <f ca="1">D807+C808*(Prices!B808-Prices!B807)/Prices!B807</f>
        <v>-0.56204651246297033</v>
      </c>
      <c r="E808" s="9">
        <f t="shared" ref="E808:E871" ca="1" si="77">F808-D808</f>
        <v>0.59817046372171667</v>
      </c>
      <c r="F808" s="9">
        <f t="shared" ref="F808:F871" ca="1" si="78">MAX(F807,D808)</f>
        <v>3.6123951258746317E-2</v>
      </c>
      <c r="G808" s="13">
        <f ca="1">IF((Prices!B808-Prices!B807)*B808&gt;0,1,0)</f>
        <v>1</v>
      </c>
      <c r="H808" s="9">
        <f>ABS(Prices!B808-Prices!B807)/Prices!B807</f>
        <v>6.215040397763627E-4</v>
      </c>
      <c r="I808" s="13"/>
      <c r="J808" s="1">
        <f t="shared" ref="J808:J871" ca="1" si="79">O808+T808</f>
        <v>-6.858197065993743E-2</v>
      </c>
      <c r="K808" s="9"/>
      <c r="L808" s="9">
        <f ca="1">L807-O808*Prices!B808</f>
        <v>0.35122379379088753</v>
      </c>
      <c r="M808" s="1">
        <f t="shared" ca="1" si="74"/>
        <v>0.53568096366465323</v>
      </c>
      <c r="N808" s="9">
        <f ca="1">IF(Prices!D807&gt;OFFSET(Prices!D807,-$N$3,0),1,IF(Prices!D807&lt;OFFSET(Prices!D807,-$N$3,0),-1,0))</f>
        <v>-1</v>
      </c>
      <c r="O808" s="1">
        <f ca="1">IF(N808=1,O$3*L807/Prices!B807,O$3*M807*N808)</f>
        <v>-5.9520107073850359E-2</v>
      </c>
      <c r="P808" s="14"/>
      <c r="Q808" s="9">
        <f ca="1">Q807-T808*Prices!B808</f>
        <v>0.42229704178025673</v>
      </c>
      <c r="R808" s="1">
        <f t="shared" ca="1" si="75"/>
        <v>0.44403131571826676</v>
      </c>
      <c r="S808" s="9">
        <f ca="1">IF(Prices!C807&lt;OFFSET(Prices!C807,-S$3,0),1,IF(Prices!C807&gt;OFFSET(Prices!C807,-S$3,0),-1,0))</f>
        <v>-1</v>
      </c>
      <c r="T808" s="1">
        <f ca="1">IF(S808=1,T$3*Q807/Prices!B807,T$3*R807*S808)</f>
        <v>-9.0618635860870763E-3</v>
      </c>
    </row>
    <row r="809" spans="1:20" x14ac:dyDescent="0.2">
      <c r="A809" s="4">
        <v>34639</v>
      </c>
      <c r="B809" s="9">
        <f ca="1">Prices!B808*(1+J809/(50*(ABS(O809)+ABS(T809)+0.0001)))</f>
        <v>1.262281183894564</v>
      </c>
      <c r="C809" s="13">
        <f t="shared" ca="1" si="76"/>
        <v>-1</v>
      </c>
      <c r="D809" s="9">
        <f ca="1">D808+C809*(Prices!B809-Prices!B808)/Prices!B808</f>
        <v>-0.56693781681079636</v>
      </c>
      <c r="E809" s="9">
        <f t="shared" ca="1" si="77"/>
        <v>0.6030617680695427</v>
      </c>
      <c r="F809" s="9">
        <f t="shared" ca="1" si="78"/>
        <v>3.6123951258746317E-2</v>
      </c>
      <c r="G809" s="13">
        <f ca="1">IF((Prices!B809-Prices!B808)*B809&gt;0,1,0)</f>
        <v>1</v>
      </c>
      <c r="H809" s="9">
        <f>ABS(Prices!B809-Prices!B808)/Prices!B808</f>
        <v>4.8913043478260657E-3</v>
      </c>
      <c r="I809" s="13"/>
      <c r="J809" s="1">
        <f t="shared" ca="1" si="79"/>
        <v>-6.2448722680830661E-2</v>
      </c>
      <c r="K809" s="9"/>
      <c r="L809" s="9">
        <f ca="1">L808-O809*Prices!B809</f>
        <v>0.42055698091800359</v>
      </c>
      <c r="M809" s="1">
        <f t="shared" ca="1" si="74"/>
        <v>0.48211286729818792</v>
      </c>
      <c r="N809" s="9">
        <f ca="1">IF(Prices!D808&gt;OFFSET(Prices!D808,-$N$3,0),1,IF(Prices!D808&lt;OFFSET(Prices!D808,-$N$3,0),-1,0))</f>
        <v>-1</v>
      </c>
      <c r="O809" s="1">
        <f ca="1">IF(N809=1,O$3*L808/Prices!B808,O$3*M808*N809)</f>
        <v>-5.3568096366465326E-2</v>
      </c>
      <c r="P809" s="14"/>
      <c r="Q809" s="9">
        <f ca="1">Q808-T809*Prices!B809</f>
        <v>0.4337912364189398</v>
      </c>
      <c r="R809" s="1">
        <f t="shared" ca="1" si="75"/>
        <v>0.43515068940390145</v>
      </c>
      <c r="S809" s="9">
        <f ca="1">IF(Prices!C808&lt;OFFSET(Prices!C808,-S$3,0),1,IF(Prices!C808&gt;OFFSET(Prices!C808,-S$3,0),-1,0))</f>
        <v>-1</v>
      </c>
      <c r="T809" s="1">
        <f ca="1">IF(S809=1,T$3*Q808/Prices!B808,T$3*R808*S809)</f>
        <v>-8.880626314365335E-3</v>
      </c>
    </row>
    <row r="810" spans="1:20" x14ac:dyDescent="0.2">
      <c r="A810" s="4">
        <v>34640</v>
      </c>
      <c r="B810" s="9">
        <f ca="1">Prices!B809*(1+J810/(50*(ABS(O810)+ABS(T810)+0.0001)))</f>
        <v>1.3201201257921016</v>
      </c>
      <c r="C810" s="13">
        <f t="shared" ca="1" si="76"/>
        <v>1</v>
      </c>
      <c r="D810" s="9">
        <f ca="1">D809+C810*(Prices!B810-Prices!B809)/Prices!B809</f>
        <v>-0.56446543791873105</v>
      </c>
      <c r="E810" s="9">
        <f t="shared" ca="1" si="77"/>
        <v>0.6005893891774774</v>
      </c>
      <c r="F810" s="9">
        <f t="shared" ca="1" si="78"/>
        <v>3.6123951258746317E-2</v>
      </c>
      <c r="G810" s="13">
        <f ca="1">IF((Prices!B810-Prices!B809)*B810&gt;0,1,0)</f>
        <v>1</v>
      </c>
      <c r="H810" s="9">
        <f>ABS(Prices!B810-Prices!B809)/Prices!B809</f>
        <v>2.4723788920652796E-3</v>
      </c>
      <c r="I810" s="13"/>
      <c r="J810" s="1">
        <f t="shared" ca="1" si="79"/>
        <v>3.9196108182167316E-2</v>
      </c>
      <c r="K810" s="9"/>
      <c r="L810" s="9">
        <f ca="1">L809-O810*Prices!B810</f>
        <v>0.37839730520595</v>
      </c>
      <c r="M810" s="1">
        <f t="shared" ca="1" si="74"/>
        <v>0.51460587362732368</v>
      </c>
      <c r="N810" s="9">
        <f ca="1">IF(Prices!D809&gt;OFFSET(Prices!D809,-$N$3,0),1,IF(Prices!D809&lt;OFFSET(Prices!D809,-$N$3,0),-1,0))</f>
        <v>1</v>
      </c>
      <c r="O810" s="1">
        <f ca="1">IF(N810=1,O$3*L809/Prices!B809,O$3*M809*N810)</f>
        <v>3.2493006329135717E-2</v>
      </c>
      <c r="P810" s="14"/>
      <c r="Q810" s="9">
        <f ca="1">Q809-T810*Prices!B810</f>
        <v>0.42509396176463132</v>
      </c>
      <c r="R810" s="1">
        <f t="shared" ca="1" si="75"/>
        <v>0.44185379125693303</v>
      </c>
      <c r="S810" s="9">
        <f ca="1">IF(Prices!C809&lt;OFFSET(Prices!C809,-S$3,0),1,IF(Prices!C809&gt;OFFSET(Prices!C809,-S$3,0),-1,0))</f>
        <v>1</v>
      </c>
      <c r="T810" s="1">
        <f ca="1">IF(S810=1,T$3*Q809/Prices!B809,T$3*R809*S810)</f>
        <v>6.703101853031598E-3</v>
      </c>
    </row>
    <row r="811" spans="1:20" x14ac:dyDescent="0.2">
      <c r="A811" s="4">
        <v>34641</v>
      </c>
      <c r="B811" s="9">
        <f ca="1">Prices!B810*(1+J811/(50*(ABS(O811)+ABS(T811)+0.0001)))</f>
        <v>1.3113441881472483</v>
      </c>
      <c r="C811" s="13">
        <f t="shared" ca="1" si="76"/>
        <v>1</v>
      </c>
      <c r="D811" s="9">
        <f ca="1">D810+C811*(Prices!B811-Prices!B810)/Prices!B810</f>
        <v>-0.57702805834262327</v>
      </c>
      <c r="E811" s="9">
        <f t="shared" ca="1" si="77"/>
        <v>0.61315200960136962</v>
      </c>
      <c r="F811" s="9">
        <f t="shared" ca="1" si="78"/>
        <v>3.6123951258746317E-2</v>
      </c>
      <c r="G811" s="13">
        <f ca="1">IF((Prices!B811-Prices!B810)*B811&gt;0,1,0)</f>
        <v>0</v>
      </c>
      <c r="H811" s="9">
        <f>ABS(Prices!B811-Prices!B810)/Prices!B810</f>
        <v>1.2562620423892256E-2</v>
      </c>
      <c r="I811" s="13"/>
      <c r="J811" s="1">
        <f t="shared" ca="1" si="79"/>
        <v>2.0326492976861336E-2</v>
      </c>
      <c r="K811" s="9"/>
      <c r="L811" s="9">
        <f ca="1">L810-O811*Prices!B811</f>
        <v>0.34103294085682762</v>
      </c>
      <c r="M811" s="1">
        <f t="shared" ca="1" si="74"/>
        <v>0.54376944242932368</v>
      </c>
      <c r="N811" s="9">
        <f ca="1">IF(Prices!D810&gt;OFFSET(Prices!D810,-$N$3,0),1,IF(Prices!D810&lt;OFFSET(Prices!D810,-$N$3,0),-1,0))</f>
        <v>1</v>
      </c>
      <c r="O811" s="1">
        <f ca="1">IF(N811=1,O$3*L810/Prices!B810,O$3*M810*N811)</f>
        <v>2.9163568801999998E-2</v>
      </c>
      <c r="P811" s="14"/>
      <c r="Q811" s="9">
        <f ca="1">Q810-T811*Prices!B811</f>
        <v>0.43641602331179896</v>
      </c>
      <c r="R811" s="1">
        <f t="shared" ca="1" si="75"/>
        <v>0.43301671543179437</v>
      </c>
      <c r="S811" s="9">
        <f ca="1">IF(Prices!C810&lt;OFFSET(Prices!C810,-S$3,0),1,IF(Prices!C810&gt;OFFSET(Prices!C810,-S$3,0),-1,0))</f>
        <v>-1</v>
      </c>
      <c r="T811" s="1">
        <f ca="1">IF(S811=1,T$3*Q810/Prices!B810,T$3*R810*S811)</f>
        <v>-8.8370758251386603E-3</v>
      </c>
    </row>
    <row r="812" spans="1:20" x14ac:dyDescent="0.2">
      <c r="A812" s="4">
        <v>34642</v>
      </c>
      <c r="B812" s="9">
        <f ca="1">Prices!B811*(1+J812/(50*(ABS(O812)+ABS(T812)+0.0001)))</f>
        <v>1.2942065564722627</v>
      </c>
      <c r="C812" s="13">
        <f t="shared" ca="1" si="76"/>
        <v>1</v>
      </c>
      <c r="D812" s="9">
        <f ca="1">D811+C812*(Prices!B812-Prices!B811)/Prices!B811</f>
        <v>-0.58389661906694412</v>
      </c>
      <c r="E812" s="9">
        <f t="shared" ca="1" si="77"/>
        <v>0.62002057032569047</v>
      </c>
      <c r="F812" s="9">
        <f t="shared" ca="1" si="78"/>
        <v>3.6123951258746317E-2</v>
      </c>
      <c r="G812" s="13">
        <f ca="1">IF((Prices!B812-Prices!B811)*B812&gt;0,1,0)</f>
        <v>0</v>
      </c>
      <c r="H812" s="9">
        <f>ABS(Prices!B812-Prices!B811)/Prices!B811</f>
        <v>6.8685607243208864E-3</v>
      </c>
      <c r="I812" s="13"/>
      <c r="J812" s="1">
        <f t="shared" ca="1" si="79"/>
        <v>1.7957909592146791E-2</v>
      </c>
      <c r="K812" s="9"/>
      <c r="L812" s="9">
        <f ca="1">L811-O812*Prices!B812</f>
        <v>0.30716388731747174</v>
      </c>
      <c r="M812" s="1">
        <f t="shared" ca="1" si="74"/>
        <v>0.57038768633010639</v>
      </c>
      <c r="N812" s="9">
        <f ca="1">IF(Prices!D811&gt;OFFSET(Prices!D811,-$N$3,0),1,IF(Prices!D811&lt;OFFSET(Prices!D811,-$N$3,0),-1,0))</f>
        <v>1</v>
      </c>
      <c r="O812" s="1">
        <f ca="1">IF(N812=1,O$3*L811/Prices!B811,O$3*M811*N812)</f>
        <v>2.6618243900782681E-2</v>
      </c>
      <c r="P812" s="14"/>
      <c r="Q812" s="9">
        <f ca="1">Q811-T812*Prices!B812</f>
        <v>0.44743543268610725</v>
      </c>
      <c r="R812" s="1">
        <f t="shared" ca="1" si="75"/>
        <v>0.42435638112315849</v>
      </c>
      <c r="S812" s="9">
        <f ca="1">IF(Prices!C811&lt;OFFSET(Prices!C811,-S$3,0),1,IF(Prices!C811&gt;OFFSET(Prices!C811,-S$3,0),-1,0))</f>
        <v>-1</v>
      </c>
      <c r="T812" s="1">
        <f ca="1">IF(S812=1,T$3*Q811/Prices!B811,T$3*R811*S812)</f>
        <v>-8.6603343086358881E-3</v>
      </c>
    </row>
    <row r="813" spans="1:20" x14ac:dyDescent="0.2">
      <c r="A813" s="4">
        <v>34645</v>
      </c>
      <c r="B813" s="9">
        <f ca="1">Prices!B812*(1+J813/(50*(ABS(O813)+ABS(T813)+0.0001)))</f>
        <v>1.2845715877897874</v>
      </c>
      <c r="C813" s="13">
        <f t="shared" ca="1" si="76"/>
        <v>1</v>
      </c>
      <c r="D813" s="9">
        <f ca="1">D812+C813*(Prices!B813-Prices!B812)/Prices!B812</f>
        <v>-0.57910252915811045</v>
      </c>
      <c r="E813" s="9">
        <f t="shared" ca="1" si="77"/>
        <v>0.61522648041685679</v>
      </c>
      <c r="F813" s="9">
        <f t="shared" ca="1" si="78"/>
        <v>3.6123951258746317E-2</v>
      </c>
      <c r="G813" s="13">
        <f ca="1">IF((Prices!B813-Prices!B812)*B813&gt;0,1,0)</f>
        <v>1</v>
      </c>
      <c r="H813" s="9">
        <f>ABS(Prices!B813-Prices!B812)/Prices!B812</f>
        <v>4.7940899088336954E-3</v>
      </c>
      <c r="I813" s="13"/>
      <c r="J813" s="1">
        <f t="shared" ca="1" si="79"/>
        <v>1.56533853701077E-2</v>
      </c>
      <c r="K813" s="9"/>
      <c r="L813" s="9">
        <f ca="1">L812-O813*Prices!B813</f>
        <v>0.27630024145646986</v>
      </c>
      <c r="M813" s="1">
        <f t="shared" ca="1" si="74"/>
        <v>0.59452819932267731</v>
      </c>
      <c r="N813" s="9">
        <f ca="1">IF(Prices!D812&gt;OFFSET(Prices!D812,-$N$3,0),1,IF(Prices!D812&lt;OFFSET(Prices!D812,-$N$3,0),-1,0))</f>
        <v>1</v>
      </c>
      <c r="O813" s="1">
        <f ca="1">IF(N813=1,O$3*L812/Prices!B812,O$3*M812*N813)</f>
        <v>2.4140512992570869E-2</v>
      </c>
      <c r="P813" s="14"/>
      <c r="Q813" s="9">
        <f ca="1">Q812-T813*Prices!B813</f>
        <v>0.45828622535142644</v>
      </c>
      <c r="R813" s="1">
        <f t="shared" ca="1" si="75"/>
        <v>0.41586925350069531</v>
      </c>
      <c r="S813" s="9">
        <f ca="1">IF(Prices!C812&lt;OFFSET(Prices!C812,-S$3,0),1,IF(Prices!C812&gt;OFFSET(Prices!C812,-S$3,0),-1,0))</f>
        <v>-1</v>
      </c>
      <c r="T813" s="1">
        <f ca="1">IF(S813=1,T$3*Q812/Prices!B812,T$3*R812*S813)</f>
        <v>-8.4871276224631701E-3</v>
      </c>
    </row>
    <row r="814" spans="1:20" x14ac:dyDescent="0.2">
      <c r="A814" s="4">
        <v>34646</v>
      </c>
      <c r="B814" s="9">
        <f ca="1">Prices!B813*(1+J814/(50*(ABS(O814)+ABS(T814)+0.0001)))</f>
        <v>1.289820014468779</v>
      </c>
      <c r="C814" s="13">
        <f t="shared" ca="1" si="76"/>
        <v>1</v>
      </c>
      <c r="D814" s="9">
        <f ca="1">D813+C814*(Prices!B814-Prices!B813)/Prices!B813</f>
        <v>-0.57425309622889653</v>
      </c>
      <c r="E814" s="9">
        <f t="shared" ca="1" si="77"/>
        <v>0.61037704748764288</v>
      </c>
      <c r="F814" s="9">
        <f t="shared" ca="1" si="78"/>
        <v>3.6123951258746317E-2</v>
      </c>
      <c r="G814" s="13">
        <f ca="1">IF((Prices!B814-Prices!B813)*B814&gt;0,1,0)</f>
        <v>1</v>
      </c>
      <c r="H814" s="9">
        <f>ABS(Prices!B814-Prices!B813)/Prices!B813</f>
        <v>4.8494329292139097E-3</v>
      </c>
      <c r="I814" s="13"/>
      <c r="J814" s="1">
        <f t="shared" ca="1" si="79"/>
        <v>1.329389701496614E-2</v>
      </c>
      <c r="K814" s="9"/>
      <c r="L814" s="9">
        <f ca="1">L813-O814*Prices!B814</f>
        <v>0.24853622736189601</v>
      </c>
      <c r="M814" s="1">
        <f t="shared" ca="1" si="74"/>
        <v>0.6161394814076574</v>
      </c>
      <c r="N814" s="9">
        <f ca="1">IF(Prices!D813&gt;OFFSET(Prices!D813,-$N$3,0),1,IF(Prices!D813&lt;OFFSET(Prices!D813,-$N$3,0),-1,0))</f>
        <v>1</v>
      </c>
      <c r="O814" s="1">
        <f ca="1">IF(N814=1,O$3*L813/Prices!B813,O$3*M813*N814)</f>
        <v>2.1611282084980046E-2</v>
      </c>
      <c r="P814" s="14"/>
      <c r="Q814" s="9">
        <f ca="1">Q813-T814*Prices!B814</f>
        <v>0.4689715699508733</v>
      </c>
      <c r="R814" s="1">
        <f t="shared" ca="1" si="75"/>
        <v>0.40755186843068142</v>
      </c>
      <c r="S814" s="9">
        <f ca="1">IF(Prices!C813&lt;OFFSET(Prices!C813,-S$3,0),1,IF(Prices!C813&gt;OFFSET(Prices!C813,-S$3,0),-1,0))</f>
        <v>-1</v>
      </c>
      <c r="T814" s="1">
        <f ca="1">IF(S814=1,T$3*Q813/Prices!B813,T$3*R813*S814)</f>
        <v>-8.3173850700139062E-3</v>
      </c>
    </row>
    <row r="815" spans="1:20" x14ac:dyDescent="0.2">
      <c r="A815" s="4">
        <v>34647</v>
      </c>
      <c r="B815" s="9">
        <f ca="1">Prices!B814*(1+J815/(50*(ABS(O815)+ABS(T815)+0.0001)))</f>
        <v>1.2644794135411883</v>
      </c>
      <c r="C815" s="13">
        <f t="shared" ca="1" si="76"/>
        <v>-1</v>
      </c>
      <c r="D815" s="9">
        <f ca="1">D814+C815*(Prices!B815-Prices!B814)/Prices!B814</f>
        <v>-0.56078691735445119</v>
      </c>
      <c r="E815" s="9">
        <f t="shared" ca="1" si="77"/>
        <v>0.59691086861319753</v>
      </c>
      <c r="F815" s="9">
        <f t="shared" ca="1" si="78"/>
        <v>3.6123951258746317E-2</v>
      </c>
      <c r="G815" s="13">
        <f ca="1">IF((Prices!B815-Prices!B814)*B815&gt;0,1,0)</f>
        <v>0</v>
      </c>
      <c r="H815" s="9">
        <f>ABS(Prices!B815-Prices!B814)/Prices!B814</f>
        <v>1.3466178874445296E-2</v>
      </c>
      <c r="I815" s="13"/>
      <c r="J815" s="1">
        <f t="shared" ca="1" si="79"/>
        <v>-5.4313075252918411E-2</v>
      </c>
      <c r="K815" s="9"/>
      <c r="L815" s="9">
        <f ca="1">L814-O815*Prices!B815</f>
        <v>0.32662574523550253</v>
      </c>
      <c r="M815" s="1">
        <f t="shared" ca="1" si="74"/>
        <v>0.55452553326689169</v>
      </c>
      <c r="N815" s="9">
        <f ca="1">IF(Prices!D814&gt;OFFSET(Prices!D814,-$N$3,0),1,IF(Prices!D814&lt;OFFSET(Prices!D814,-$N$3,0),-1,0))</f>
        <v>-1</v>
      </c>
      <c r="O815" s="1">
        <f ca="1">IF(N815=1,O$3*L814/Prices!B814,O$3*M814*N815)</f>
        <v>-6.1613948140765741E-2</v>
      </c>
      <c r="P815" s="14"/>
      <c r="Q815" s="9">
        <f ca="1">Q814-T815*Prices!B815</f>
        <v>0.45971844365281561</v>
      </c>
      <c r="R815" s="1">
        <f t="shared" ca="1" si="75"/>
        <v>0.41485274131852873</v>
      </c>
      <c r="S815" s="9">
        <f ca="1">IF(Prices!C814&lt;OFFSET(Prices!C814,-S$3,0),1,IF(Prices!C814&gt;OFFSET(Prices!C814,-S$3,0),-1,0))</f>
        <v>1</v>
      </c>
      <c r="T815" s="1">
        <f ca="1">IF(S815=1,T$3*Q814/Prices!B814,T$3*R814*S815)</f>
        <v>7.3008728878473312E-3</v>
      </c>
    </row>
    <row r="816" spans="1:20" x14ac:dyDescent="0.2">
      <c r="A816" s="4">
        <v>34648</v>
      </c>
      <c r="B816" s="9">
        <f ca="1">Prices!B815*(1+J816/(50*(ABS(O816)+ABS(T816)+0.0001)))</f>
        <v>1.2420916995388591</v>
      </c>
      <c r="C816" s="13">
        <f t="shared" ca="1" si="76"/>
        <v>-1</v>
      </c>
      <c r="D816" s="9">
        <f ca="1">D815+C816*(Prices!B816-Prices!B815)/Prices!B815</f>
        <v>-0.55802535825708643</v>
      </c>
      <c r="E816" s="9">
        <f t="shared" ca="1" si="77"/>
        <v>0.59414930951583278</v>
      </c>
      <c r="F816" s="9">
        <f t="shared" ca="1" si="78"/>
        <v>3.6123951258746317E-2</v>
      </c>
      <c r="G816" s="13">
        <f ca="1">IF((Prices!B816-Prices!B815)*B816&gt;0,1,0)</f>
        <v>0</v>
      </c>
      <c r="H816" s="9">
        <f>ABS(Prices!B816-Prices!B815)/Prices!B815</f>
        <v>2.7615590973647298E-3</v>
      </c>
      <c r="I816" s="13"/>
      <c r="J816" s="1">
        <f t="shared" ca="1" si="79"/>
        <v>-6.3749608153059745E-2</v>
      </c>
      <c r="K816" s="9"/>
      <c r="L816" s="9">
        <f ca="1">L815-O816*Prices!B816</f>
        <v>0.39671222738510498</v>
      </c>
      <c r="M816" s="1">
        <f t="shared" ca="1" si="74"/>
        <v>0.4990729799402025</v>
      </c>
      <c r="N816" s="9">
        <f ca="1">IF(Prices!D815&gt;OFFSET(Prices!D815,-$N$3,0),1,IF(Prices!D815&lt;OFFSET(Prices!D815,-$N$3,0),-1,0))</f>
        <v>-1</v>
      </c>
      <c r="O816" s="1">
        <f ca="1">IF(N816=1,O$3*L815/Prices!B815,O$3*M815*N816)</f>
        <v>-5.545255332668917E-2</v>
      </c>
      <c r="P816" s="14"/>
      <c r="Q816" s="9">
        <f ca="1">Q815-T816*Prices!B816</f>
        <v>0.47020509124786536</v>
      </c>
      <c r="R816" s="1">
        <f t="shared" ca="1" si="75"/>
        <v>0.40655568649215817</v>
      </c>
      <c r="S816" s="9">
        <f ca="1">IF(Prices!C815&lt;OFFSET(Prices!C815,-S$3,0),1,IF(Prices!C815&gt;OFFSET(Prices!C815,-S$3,0),-1,0))</f>
        <v>-1</v>
      </c>
      <c r="T816" s="1">
        <f ca="1">IF(S816=1,T$3*Q815/Prices!B815,T$3*R815*S816)</f>
        <v>-8.2970548263705743E-3</v>
      </c>
    </row>
    <row r="817" spans="1:20" x14ac:dyDescent="0.2">
      <c r="A817" s="4">
        <v>34649</v>
      </c>
      <c r="B817" s="9">
        <f ca="1">Prices!B816*(1+J817/(50*(ABS(O817)+ABS(T817)+0.0001)))</f>
        <v>1.2386654789999425</v>
      </c>
      <c r="C817" s="13">
        <f t="shared" ca="1" si="76"/>
        <v>-1</v>
      </c>
      <c r="D817" s="9">
        <f ca="1">D816+C817*(Prices!B817-Prices!B816)/Prices!B816</f>
        <v>-0.56221872798570427</v>
      </c>
      <c r="E817" s="9">
        <f t="shared" ca="1" si="77"/>
        <v>0.59834267924445061</v>
      </c>
      <c r="F817" s="9">
        <f t="shared" ca="1" si="78"/>
        <v>3.6123951258746317E-2</v>
      </c>
      <c r="G817" s="13">
        <f ca="1">IF((Prices!B817-Prices!B816)*B817&gt;0,1,0)</f>
        <v>1</v>
      </c>
      <c r="H817" s="9">
        <f>ABS(Prices!B817-Prices!B816)/Prices!B816</f>
        <v>4.1933697286178359E-3</v>
      </c>
      <c r="I817" s="13"/>
      <c r="J817" s="1">
        <f t="shared" ca="1" si="79"/>
        <v>-5.8038411723863412E-2</v>
      </c>
      <c r="K817" s="9"/>
      <c r="L817" s="9">
        <f ca="1">L816-O817*Prices!B817</f>
        <v>0.46005456999911548</v>
      </c>
      <c r="M817" s="1">
        <f t="shared" ca="1" si="74"/>
        <v>0.44916568194618223</v>
      </c>
      <c r="N817" s="9">
        <f ca="1">IF(Prices!D816&gt;OFFSET(Prices!D816,-$N$3,0),1,IF(Prices!D816&lt;OFFSET(Prices!D816,-$N$3,0),-1,0))</f>
        <v>-1</v>
      </c>
      <c r="O817" s="1">
        <f ca="1">IF(N817=1,O$3*L816/Prices!B816,O$3*M816*N817)</f>
        <v>-4.9907297994020251E-2</v>
      </c>
      <c r="P817" s="14"/>
      <c r="Q817" s="9">
        <f ca="1">Q816-T817*Prices!B817</f>
        <v>0.4805251007937823</v>
      </c>
      <c r="R817" s="1">
        <f t="shared" ca="1" si="75"/>
        <v>0.39842457276231502</v>
      </c>
      <c r="S817" s="9">
        <f ca="1">IF(Prices!C816&lt;OFFSET(Prices!C816,-S$3,0),1,IF(Prices!C816&gt;OFFSET(Prices!C816,-S$3,0),-1,0))</f>
        <v>-1</v>
      </c>
      <c r="T817" s="1">
        <f ca="1">IF(S817=1,T$3*Q816/Prices!B816,T$3*R816*S817)</f>
        <v>-8.1311137298431639E-3</v>
      </c>
    </row>
    <row r="818" spans="1:20" x14ac:dyDescent="0.2">
      <c r="A818" s="4">
        <v>34652</v>
      </c>
      <c r="B818" s="9">
        <f ca="1">Prices!B817*(1+J818/(50*(ABS(O818)+ABS(T818)+0.0001)))</f>
        <v>1.2853981097614613</v>
      </c>
      <c r="C818" s="13">
        <f t="shared" ca="1" si="76"/>
        <v>1</v>
      </c>
      <c r="D818" s="9">
        <f ca="1">D817+C818*(Prices!B818-Prices!B817)/Prices!B817</f>
        <v>-0.57340687800146239</v>
      </c>
      <c r="E818" s="9">
        <f t="shared" ca="1" si="77"/>
        <v>0.60953082926020874</v>
      </c>
      <c r="F818" s="9">
        <f t="shared" ca="1" si="78"/>
        <v>3.6123951258746317E-2</v>
      </c>
      <c r="G818" s="13">
        <f ca="1">IF((Prices!B818-Prices!B817)*B818&gt;0,1,0)</f>
        <v>0</v>
      </c>
      <c r="H818" s="9">
        <f>ABS(Prices!B818-Prices!B817)/Prices!B817</f>
        <v>1.1188150015758125E-2</v>
      </c>
      <c r="I818" s="13"/>
      <c r="J818" s="1">
        <f t="shared" ca="1" si="79"/>
        <v>2.8279110971409505E-2</v>
      </c>
      <c r="K818" s="9"/>
      <c r="L818" s="9">
        <f ca="1">L817-O818*Prices!B818</f>
        <v>0.41456382895366245</v>
      </c>
      <c r="M818" s="1">
        <f t="shared" ca="1" si="74"/>
        <v>0.48541328437283804</v>
      </c>
      <c r="N818" s="9">
        <f ca="1">IF(Prices!D817&gt;OFFSET(Prices!D817,-$N$3,0),1,IF(Prices!D817&lt;OFFSET(Prices!D817,-$N$3,0),-1,0))</f>
        <v>1</v>
      </c>
      <c r="O818" s="1">
        <f ca="1">IF(N818=1,O$3*L817/Prices!B817,O$3*M817*N818)</f>
        <v>3.6247602426655805E-2</v>
      </c>
      <c r="P818" s="14"/>
      <c r="Q818" s="9">
        <f ca="1">Q817-T818*Prices!B818</f>
        <v>0.4905255575701164</v>
      </c>
      <c r="R818" s="1">
        <f t="shared" ca="1" si="75"/>
        <v>0.39045608130706871</v>
      </c>
      <c r="S818" s="9">
        <f ca="1">IF(Prices!C817&lt;OFFSET(Prices!C817,-S$3,0),1,IF(Prices!C817&gt;OFFSET(Prices!C817,-S$3,0),-1,0))</f>
        <v>-1</v>
      </c>
      <c r="T818" s="1">
        <f ca="1">IF(S818=1,T$3*Q817/Prices!B817,T$3*R817*S818)</f>
        <v>-7.9684914552463001E-3</v>
      </c>
    </row>
    <row r="819" spans="1:20" x14ac:dyDescent="0.2">
      <c r="A819" s="4">
        <v>34653</v>
      </c>
      <c r="B819" s="9">
        <f ca="1">Prices!B818*(1+J819/(50*(ABS(O819)+ABS(T819)+0.0001)))</f>
        <v>1.2299444637730466</v>
      </c>
      <c r="C819" s="13">
        <f t="shared" ca="1" si="76"/>
        <v>-1</v>
      </c>
      <c r="D819" s="9">
        <f ca="1">D818+C819*(Prices!B819-Prices!B818)/Prices!B818</f>
        <v>-0.57356624055126337</v>
      </c>
      <c r="E819" s="9">
        <f t="shared" ca="1" si="77"/>
        <v>0.60969019181000972</v>
      </c>
      <c r="F819" s="9">
        <f t="shared" ca="1" si="78"/>
        <v>3.6123951258746317E-2</v>
      </c>
      <c r="G819" s="13">
        <f ca="1">IF((Prices!B819-Prices!B818)*B819&gt;0,1,0)</f>
        <v>1</v>
      </c>
      <c r="H819" s="9">
        <f>ABS(Prices!B819-Prices!B818)/Prices!B818</f>
        <v>1.593625498009562E-4</v>
      </c>
      <c r="I819" s="13"/>
      <c r="J819" s="1">
        <f t="shared" ca="1" si="79"/>
        <v>-5.6350450063425185E-2</v>
      </c>
      <c r="K819" s="9"/>
      <c r="L819" s="9">
        <f ca="1">L818-O819*Prices!B819</f>
        <v>0.47549290440814107</v>
      </c>
      <c r="M819" s="1">
        <f t="shared" ca="1" si="74"/>
        <v>0.43687195593555422</v>
      </c>
      <c r="N819" s="9">
        <f ca="1">IF(Prices!D818&gt;OFFSET(Prices!D818,-$N$3,0),1,IF(Prices!D818&lt;OFFSET(Prices!D818,-$N$3,0),-1,0))</f>
        <v>-1</v>
      </c>
      <c r="O819" s="1">
        <f ca="1">IF(N819=1,O$3*L818/Prices!B818,O$3*M818*N819)</f>
        <v>-4.8541328437283808E-2</v>
      </c>
      <c r="P819" s="14"/>
      <c r="Q819" s="9">
        <f ca="1">Q818-T819*Prices!B819</f>
        <v>0.50032756703524905</v>
      </c>
      <c r="R819" s="1">
        <f t="shared" ca="1" si="75"/>
        <v>0.38264695968092732</v>
      </c>
      <c r="S819" s="9">
        <f ca="1">IF(Prices!C818&lt;OFFSET(Prices!C818,-S$3,0),1,IF(Prices!C818&gt;OFFSET(Prices!C818,-S$3,0),-1,0))</f>
        <v>-1</v>
      </c>
      <c r="T819" s="1">
        <f ca="1">IF(S819=1,T$3*Q818/Prices!B818,T$3*R818*S819)</f>
        <v>-7.8091216261413745E-3</v>
      </c>
    </row>
    <row r="820" spans="1:20" x14ac:dyDescent="0.2">
      <c r="A820" s="4">
        <v>34654</v>
      </c>
      <c r="B820" s="9">
        <f ca="1">Prices!B819*(1+J820/(50*(ABS(O820)+ABS(T820)+0.0001)))</f>
        <v>1.2301448023604602</v>
      </c>
      <c r="C820" s="13">
        <f t="shared" ca="1" si="76"/>
        <v>-1</v>
      </c>
      <c r="D820" s="9">
        <f ca="1">D819+C820*(Prices!B820-Prices!B819)/Prices!B819</f>
        <v>-0.57006082308791073</v>
      </c>
      <c r="E820" s="9">
        <f t="shared" ca="1" si="77"/>
        <v>0.60618477434665707</v>
      </c>
      <c r="F820" s="9">
        <f t="shared" ca="1" si="78"/>
        <v>3.6123951258746317E-2</v>
      </c>
      <c r="G820" s="13">
        <f ca="1">IF((Prices!B820-Prices!B819)*B820&gt;0,1,0)</f>
        <v>0</v>
      </c>
      <c r="H820" s="9">
        <f>ABS(Prices!B820-Prices!B819)/Prices!B819</f>
        <v>3.5054174633525983E-3</v>
      </c>
      <c r="I820" s="13"/>
      <c r="J820" s="1">
        <f t="shared" ca="1" si="79"/>
        <v>-5.1340134787173974E-2</v>
      </c>
      <c r="K820" s="9"/>
      <c r="L820" s="9">
        <f ca="1">L819-O820*Prices!B820</f>
        <v>0.53013684865656019</v>
      </c>
      <c r="M820" s="1">
        <f t="shared" ca="1" si="74"/>
        <v>0.39318476034199878</v>
      </c>
      <c r="N820" s="9">
        <f ca="1">IF(Prices!D819&gt;OFFSET(Prices!D819,-$N$3,0),1,IF(Prices!D819&lt;OFFSET(Prices!D819,-$N$3,0),-1,0))</f>
        <v>-1</v>
      </c>
      <c r="O820" s="1">
        <f ca="1">IF(N820=1,O$3*L819/Prices!B819,O$3*M819*N820)</f>
        <v>-4.3687195593555425E-2</v>
      </c>
      <c r="P820" s="14"/>
      <c r="Q820" s="9">
        <f ca="1">Q819-T820*Prices!B820</f>
        <v>0.50989986337862714</v>
      </c>
      <c r="R820" s="1">
        <f t="shared" ca="1" si="75"/>
        <v>0.37499402048730879</v>
      </c>
      <c r="S820" s="9">
        <f ca="1">IF(Prices!C819&lt;OFFSET(Prices!C819,-S$3,0),1,IF(Prices!C819&gt;OFFSET(Prices!C819,-S$3,0),-1,0))</f>
        <v>-1</v>
      </c>
      <c r="T820" s="1">
        <f ca="1">IF(S820=1,T$3*Q819/Prices!B819,T$3*R819*S820)</f>
        <v>-7.6529391936185466E-3</v>
      </c>
    </row>
    <row r="821" spans="1:20" x14ac:dyDescent="0.2">
      <c r="A821" s="4">
        <v>34655</v>
      </c>
      <c r="B821" s="9">
        <f ca="1">Prices!B820*(1+J821/(50*(ABS(O821)+ABS(T821)+0.0001)))</f>
        <v>1.2682588244289974</v>
      </c>
      <c r="C821" s="13">
        <f t="shared" ca="1" si="76"/>
        <v>1</v>
      </c>
      <c r="D821" s="9">
        <f ca="1">D820+C821*(Prices!B821-Prices!B820)/Prices!B820</f>
        <v>-0.56846184643296993</v>
      </c>
      <c r="E821" s="9">
        <f t="shared" ca="1" si="77"/>
        <v>0.60458579769171628</v>
      </c>
      <c r="F821" s="9">
        <f t="shared" ca="1" si="78"/>
        <v>3.6123951258746317E-2</v>
      </c>
      <c r="G821" s="13">
        <f ca="1">IF((Prices!B821-Prices!B820)*B821&gt;0,1,0)</f>
        <v>1</v>
      </c>
      <c r="H821" s="9">
        <f>ABS(Prices!B821-Prices!B820)/Prices!B820</f>
        <v>1.5989766549408394E-3</v>
      </c>
      <c r="I821" s="13"/>
      <c r="J821" s="1">
        <f t="shared" ca="1" si="79"/>
        <v>3.4883941836541026E-2</v>
      </c>
      <c r="K821" s="9"/>
      <c r="L821" s="9">
        <f ca="1">L820-O821*Prices!B821</f>
        <v>0.47703839614641158</v>
      </c>
      <c r="M821" s="1">
        <f t="shared" ca="1" si="74"/>
        <v>0.43556858258828601</v>
      </c>
      <c r="N821" s="9">
        <f ca="1">IF(Prices!D820&gt;OFFSET(Prices!D820,-$N$3,0),1,IF(Prices!D820&lt;OFFSET(Prices!D820,-$N$3,0),-1,0))</f>
        <v>1</v>
      </c>
      <c r="O821" s="1">
        <f ca="1">IF(N821=1,O$3*L820/Prices!B820,O$3*M820*N821)</f>
        <v>4.2383822246287201E-2</v>
      </c>
      <c r="P821" s="14"/>
      <c r="Q821" s="9">
        <f ca="1">Q820-T821*Prices!B821</f>
        <v>0.51929571355595716</v>
      </c>
      <c r="R821" s="1">
        <f t="shared" ca="1" si="75"/>
        <v>0.36749414007756259</v>
      </c>
      <c r="S821" s="9">
        <f ca="1">IF(Prices!C820&lt;OFFSET(Prices!C820,-S$3,0),1,IF(Prices!C820&gt;OFFSET(Prices!C820,-S$3,0),-1,0))</f>
        <v>-1</v>
      </c>
      <c r="T821" s="1">
        <f ca="1">IF(S821=1,T$3*Q820/Prices!B820,T$3*R820*S821)</f>
        <v>-7.4998804097461758E-3</v>
      </c>
    </row>
    <row r="822" spans="1:20" x14ac:dyDescent="0.2">
      <c r="A822" s="4">
        <v>34656</v>
      </c>
      <c r="B822" s="9">
        <f ca="1">Prices!B821*(1+J822/(50*(ABS(O822)+ABS(T822)+0.0001)))</f>
        <v>1.2697109970558977</v>
      </c>
      <c r="C822" s="13">
        <f t="shared" ca="1" si="76"/>
        <v>1</v>
      </c>
      <c r="D822" s="9">
        <f ca="1">D821+C822*(Prices!B822-Prices!B821)/Prices!B821</f>
        <v>-0.57205380045595844</v>
      </c>
      <c r="E822" s="9">
        <f t="shared" ca="1" si="77"/>
        <v>0.60817775171470478</v>
      </c>
      <c r="F822" s="9">
        <f t="shared" ca="1" si="78"/>
        <v>3.6123951258746317E-2</v>
      </c>
      <c r="G822" s="13">
        <f ca="1">IF((Prices!B822-Prices!B821)*B822&gt;0,1,0)</f>
        <v>0</v>
      </c>
      <c r="H822" s="9">
        <f>ABS(Prices!B822-Prices!B821)/Prices!B821</f>
        <v>3.5919540229884649E-3</v>
      </c>
      <c r="I822" s="13"/>
      <c r="J822" s="1">
        <f t="shared" ca="1" si="79"/>
        <v>3.0727894668628478E-2</v>
      </c>
      <c r="K822" s="9"/>
      <c r="L822" s="9">
        <f ca="1">L821-O822*Prices!B822</f>
        <v>0.42950590653038623</v>
      </c>
      <c r="M822" s="1">
        <f t="shared" ca="1" si="74"/>
        <v>0.47364636005846572</v>
      </c>
      <c r="N822" s="9">
        <f ca="1">IF(Prices!D821&gt;OFFSET(Prices!D821,-$N$3,0),1,IF(Prices!D821&lt;OFFSET(Prices!D821,-$N$3,0),-1,0))</f>
        <v>1</v>
      </c>
      <c r="O822" s="1">
        <f ca="1">IF(N822=1,O$3*L821/Prices!B821,O$3*M821*N822)</f>
        <v>3.8077777470179729E-2</v>
      </c>
      <c r="P822" s="14"/>
      <c r="Q822" s="9">
        <f ca="1">Q821-T822*Prices!B822</f>
        <v>0.52847057225713356</v>
      </c>
      <c r="R822" s="1">
        <f t="shared" ca="1" si="75"/>
        <v>0.36014425727601135</v>
      </c>
      <c r="S822" s="9">
        <f ca="1">IF(Prices!C821&lt;OFFSET(Prices!C821,-S$3,0),1,IF(Prices!C821&gt;OFFSET(Prices!C821,-S$3,0),-1,0))</f>
        <v>-1</v>
      </c>
      <c r="T822" s="1">
        <f ca="1">IF(S822=1,T$3*Q821/Prices!B821,T$3*R821*S822)</f>
        <v>-7.3498828015512519E-3</v>
      </c>
    </row>
    <row r="823" spans="1:20" x14ac:dyDescent="0.2">
      <c r="A823" s="4">
        <v>34659</v>
      </c>
      <c r="B823" s="9">
        <f ca="1">Prices!B822*(1+J823/(50*(ABS(O823)+ABS(T823)+0.0001)))</f>
        <v>1.2645834359807895</v>
      </c>
      <c r="C823" s="13">
        <f t="shared" ca="1" si="76"/>
        <v>1</v>
      </c>
      <c r="D823" s="9">
        <f ca="1">D822+C823*(Prices!B823-Prices!B822)/Prices!B822</f>
        <v>-0.57517804943456941</v>
      </c>
      <c r="E823" s="9">
        <f t="shared" ca="1" si="77"/>
        <v>0.61130200069331575</v>
      </c>
      <c r="F823" s="9">
        <f t="shared" ca="1" si="78"/>
        <v>3.6123951258746317E-2</v>
      </c>
      <c r="G823" s="13">
        <f ca="1">IF((Prices!B823-Prices!B822)*B823&gt;0,1,0)</f>
        <v>0</v>
      </c>
      <c r="H823" s="9">
        <f>ABS(Prices!B823-Prices!B822)/Prices!B822</f>
        <v>3.1242489786109228E-3</v>
      </c>
      <c r="I823" s="13"/>
      <c r="J823" s="1">
        <f t="shared" ca="1" si="79"/>
        <v>2.7204381259221123E-2</v>
      </c>
      <c r="K823" s="9"/>
      <c r="L823" s="9">
        <f ca="1">L822-O823*Prices!B823</f>
        <v>0.38668950421632609</v>
      </c>
      <c r="M823" s="1">
        <f t="shared" ca="1" si="74"/>
        <v>0.50805362646320706</v>
      </c>
      <c r="N823" s="9">
        <f ca="1">IF(Prices!D822&gt;OFFSET(Prices!D822,-$N$3,0),1,IF(Prices!D822&lt;OFFSET(Prices!D822,-$N$3,0),-1,0))</f>
        <v>1</v>
      </c>
      <c r="O823" s="1">
        <f ca="1">IF(N823=1,O$3*L822/Prices!B822,O$3*M822*N823)</f>
        <v>3.440726640474135E-2</v>
      </c>
      <c r="P823" s="14"/>
      <c r="Q823" s="9">
        <f ca="1">Q822-T823*Prices!B823</f>
        <v>0.53743384253221893</v>
      </c>
      <c r="R823" s="1">
        <f t="shared" ca="1" si="75"/>
        <v>0.35294137213049115</v>
      </c>
      <c r="S823" s="9">
        <f ca="1">IF(Prices!C822&lt;OFFSET(Prices!C822,-S$3,0),1,IF(Prices!C822&gt;OFFSET(Prices!C822,-S$3,0),-1,0))</f>
        <v>-1</v>
      </c>
      <c r="T823" s="1">
        <f ca="1">IF(S823=1,T$3*Q822/Prices!B822,T$3*R822*S823)</f>
        <v>-7.202885145520227E-3</v>
      </c>
    </row>
    <row r="824" spans="1:20" x14ac:dyDescent="0.2">
      <c r="A824" s="4">
        <v>34660</v>
      </c>
      <c r="B824" s="9">
        <f ca="1">Prices!B823*(1+J824/(50*(ABS(O824)+ABS(T824)+0.0001)))</f>
        <v>1.2692254862033312</v>
      </c>
      <c r="C824" s="13">
        <f t="shared" ca="1" si="76"/>
        <v>1</v>
      </c>
      <c r="D824" s="9">
        <f ca="1">D823+C824*(Prices!B824-Prices!B823)/Prices!B823</f>
        <v>-0.57276724904884124</v>
      </c>
      <c r="E824" s="9">
        <f t="shared" ca="1" si="77"/>
        <v>0.60889120030758759</v>
      </c>
      <c r="F824" s="9">
        <f t="shared" ca="1" si="78"/>
        <v>3.6123951258746317E-2</v>
      </c>
      <c r="G824" s="13">
        <f ca="1">IF((Prices!B824-Prices!B823)*B824&gt;0,1,0)</f>
        <v>1</v>
      </c>
      <c r="H824" s="9">
        <f>ABS(Prices!B824-Prices!B823)/Prices!B823</f>
        <v>2.4108003857281532E-3</v>
      </c>
      <c r="I824" s="13"/>
      <c r="J824" s="1">
        <f t="shared" ca="1" si="79"/>
        <v>3.9712011629923646E-2</v>
      </c>
      <c r="K824" s="9"/>
      <c r="L824" s="9">
        <f ca="1">L823-O824*Prices!B824</f>
        <v>0.34792733067410131</v>
      </c>
      <c r="M824" s="1">
        <f t="shared" ca="1" si="74"/>
        <v>0.5391279999939308</v>
      </c>
      <c r="N824" s="9">
        <f ca="1">IF(Prices!D823&gt;OFFSET(Prices!D823,-$N$3,0),1,IF(Prices!D823&lt;OFFSET(Prices!D823,-$N$3,0),-1,0))</f>
        <v>1</v>
      </c>
      <c r="O824" s="1">
        <f ca="1">IF(N824=1,O$3*L823/Prices!B823,O$3*M823*N824)</f>
        <v>3.1074373530723731E-2</v>
      </c>
      <c r="P824" s="14"/>
      <c r="Q824" s="9">
        <f ca="1">Q823-T824*Prices!B824</f>
        <v>0.52665925276727699</v>
      </c>
      <c r="R824" s="1">
        <f t="shared" ca="1" si="75"/>
        <v>0.36157901022969108</v>
      </c>
      <c r="S824" s="9">
        <f ca="1">IF(Prices!C823&lt;OFFSET(Prices!C823,-S$3,0),1,IF(Prices!C823&gt;OFFSET(Prices!C823,-S$3,0),-1,0))</f>
        <v>1</v>
      </c>
      <c r="T824" s="1">
        <f ca="1">IF(S824=1,T$3*Q823/Prices!B823,T$3*R823*S824)</f>
        <v>8.6376380991999187E-3</v>
      </c>
    </row>
    <row r="825" spans="1:20" x14ac:dyDescent="0.2">
      <c r="A825" s="4">
        <v>34661</v>
      </c>
      <c r="B825" s="9">
        <f ca="1">Prices!B824*(1+J825/(50*(ABS(O825)+ABS(T825)+0.0001)))</f>
        <v>1.2292378334654255</v>
      </c>
      <c r="C825" s="13">
        <f t="shared" ca="1" si="76"/>
        <v>-1</v>
      </c>
      <c r="D825" s="9">
        <f ca="1">D824+C825*(Prices!B825-Prices!B824)/Prices!B824</f>
        <v>-0.57220608182100718</v>
      </c>
      <c r="E825" s="9">
        <f t="shared" ca="1" si="77"/>
        <v>0.60833003307975353</v>
      </c>
      <c r="F825" s="9">
        <f t="shared" ca="1" si="78"/>
        <v>3.6123951258746317E-2</v>
      </c>
      <c r="G825" s="13">
        <f ca="1">IF((Prices!B825-Prices!B824)*B825&gt;0,1,0)</f>
        <v>0</v>
      </c>
      <c r="H825" s="9">
        <f>ABS(Prices!B825-Prices!B824)/Prices!B824</f>
        <v>5.6116722783401067E-4</v>
      </c>
      <c r="I825" s="13"/>
      <c r="J825" s="1">
        <f t="shared" ca="1" si="79"/>
        <v>-4.546868820257928E-2</v>
      </c>
      <c r="K825" s="9"/>
      <c r="L825" s="9">
        <f ca="1">L824-O825*Prices!B825</f>
        <v>0.41514041843334465</v>
      </c>
      <c r="M825" s="1">
        <f t="shared" ca="1" si="74"/>
        <v>0.48521519999453772</v>
      </c>
      <c r="N825" s="9">
        <f ca="1">IF(Prices!D824&gt;OFFSET(Prices!D824,-$N$3,0),1,IF(Prices!D824&lt;OFFSET(Prices!D824,-$N$3,0),-1,0))</f>
        <v>-1</v>
      </c>
      <c r="O825" s="1">
        <f ca="1">IF(N825=1,O$3*L824/Prices!B824,O$3*M824*N825)</f>
        <v>-5.391279999939308E-2</v>
      </c>
      <c r="P825" s="14"/>
      <c r="Q825" s="9">
        <f ca="1">Q824-T825*Prices!B825</f>
        <v>0.51613197859018922</v>
      </c>
      <c r="R825" s="1">
        <f t="shared" ca="1" si="75"/>
        <v>0.37002312202650489</v>
      </c>
      <c r="S825" s="9">
        <f ca="1">IF(Prices!C824&lt;OFFSET(Prices!C824,-S$3,0),1,IF(Prices!C824&gt;OFFSET(Prices!C824,-S$3,0),-1,0))</f>
        <v>1</v>
      </c>
      <c r="T825" s="1">
        <f ca="1">IF(S825=1,T$3*Q824/Prices!B824,T$3*R824*S825)</f>
        <v>8.4441117968138031E-3</v>
      </c>
    </row>
    <row r="826" spans="1:20" x14ac:dyDescent="0.2">
      <c r="A826" s="4">
        <v>34662</v>
      </c>
      <c r="B826" s="9">
        <f ca="1">Prices!B825*(1+J826/(50*(ABS(O826)+ABS(T826)+0.0001)))</f>
        <v>1.2218105075288557</v>
      </c>
      <c r="C826" s="13">
        <f t="shared" ca="1" si="76"/>
        <v>-1</v>
      </c>
      <c r="D826" s="9">
        <f ca="1">D825+C826*(Prices!B826-Prices!B825)/Prices!B825</f>
        <v>-0.5692382467363839</v>
      </c>
      <c r="E826" s="9">
        <f t="shared" ca="1" si="77"/>
        <v>0.60536219799513025</v>
      </c>
      <c r="F826" s="9">
        <f t="shared" ca="1" si="78"/>
        <v>3.6123951258746317E-2</v>
      </c>
      <c r="G826" s="13">
        <f ca="1">IF((Prices!B826-Prices!B825)*B826&gt;0,1,0)</f>
        <v>0</v>
      </c>
      <c r="H826" s="9">
        <f>ABS(Prices!B826-Prices!B825)/Prices!B825</f>
        <v>2.967835084623257E-3</v>
      </c>
      <c r="I826" s="13"/>
      <c r="J826" s="1">
        <f t="shared" ca="1" si="79"/>
        <v>-5.5921982439983871E-2</v>
      </c>
      <c r="K826" s="9"/>
      <c r="L826" s="9">
        <f ca="1">L825-O826*Prices!B826</f>
        <v>0.47545266779266571</v>
      </c>
      <c r="M826" s="1">
        <f t="shared" ca="1" si="74"/>
        <v>0.43669367999508396</v>
      </c>
      <c r="N826" s="9">
        <f ca="1">IF(Prices!D825&gt;OFFSET(Prices!D825,-$N$3,0),1,IF(Prices!D825&lt;OFFSET(Prices!D825,-$N$3,0),-1,0))</f>
        <v>-1</v>
      </c>
      <c r="O826" s="1">
        <f ca="1">IF(N826=1,O$3*L825/Prices!B825,O$3*M825*N826)</f>
        <v>-4.8521519999453776E-2</v>
      </c>
      <c r="P826" s="14"/>
      <c r="Q826" s="9">
        <f ca="1">Q825-T826*Prices!B826</f>
        <v>0.52533075340376811</v>
      </c>
      <c r="R826" s="1">
        <f t="shared" ca="1" si="75"/>
        <v>0.36262265958597478</v>
      </c>
      <c r="S826" s="9">
        <f ca="1">IF(Prices!C825&lt;OFFSET(Prices!C825,-S$3,0),1,IF(Prices!C825&gt;OFFSET(Prices!C825,-S$3,0),-1,0))</f>
        <v>-1</v>
      </c>
      <c r="T826" s="1">
        <f ca="1">IF(S826=1,T$3*Q825/Prices!B825,T$3*R825*S826)</f>
        <v>-7.4004624405300977E-3</v>
      </c>
    </row>
    <row r="827" spans="1:20" x14ac:dyDescent="0.2">
      <c r="A827" s="4">
        <v>34663</v>
      </c>
      <c r="B827" s="9">
        <f ca="1">Prices!B826*(1+J827/(50*(ABS(O827)+ABS(T827)+0.0001)))</f>
        <v>1.2262352595670603</v>
      </c>
      <c r="C827" s="13">
        <f t="shared" ca="1" si="76"/>
        <v>-1</v>
      </c>
      <c r="D827" s="9">
        <f ca="1">D826+C827*(Prices!B827-Prices!B826)/Prices!B826</f>
        <v>-0.56835329098417142</v>
      </c>
      <c r="E827" s="9">
        <f t="shared" ca="1" si="77"/>
        <v>0.60447724224291777</v>
      </c>
      <c r="F827" s="9">
        <f t="shared" ca="1" si="78"/>
        <v>3.6123951258746317E-2</v>
      </c>
      <c r="G827" s="13">
        <f ca="1">IF((Prices!B827-Prices!B826)*B827&gt;0,1,0)</f>
        <v>0</v>
      </c>
      <c r="H827" s="9">
        <f>ABS(Prices!B827-Prices!B826)/Prices!B826</f>
        <v>8.8495575221247047E-4</v>
      </c>
      <c r="I827" s="13"/>
      <c r="J827" s="1">
        <f t="shared" ca="1" si="79"/>
        <v>-3.5216741235167805E-2</v>
      </c>
      <c r="K827" s="9"/>
      <c r="L827" s="9">
        <f ca="1">L826-O827*Prices!B827</f>
        <v>0.52968565591125516</v>
      </c>
      <c r="M827" s="1">
        <f t="shared" ca="1" si="74"/>
        <v>0.39302431199557558</v>
      </c>
      <c r="N827" s="9">
        <f ca="1">IF(Prices!D826&gt;OFFSET(Prices!D826,-$N$3,0),1,IF(Prices!D826&lt;OFFSET(Prices!D826,-$N$3,0),-1,0))</f>
        <v>-1</v>
      </c>
      <c r="O827" s="1">
        <f ca="1">IF(N827=1,O$3*L826/Prices!B826,O$3*M826*N827)</f>
        <v>-4.36693679995084E-2</v>
      </c>
      <c r="P827" s="14"/>
      <c r="Q827" s="9">
        <f ca="1">Q826-T827*Prices!B827</f>
        <v>0.51483343622513356</v>
      </c>
      <c r="R827" s="1">
        <f t="shared" ca="1" si="75"/>
        <v>0.37107528635031539</v>
      </c>
      <c r="S827" s="9">
        <f ca="1">IF(Prices!C826&lt;OFFSET(Prices!C826,-S$3,0),1,IF(Prices!C826&gt;OFFSET(Prices!C826,-S$3,0),-1,0))</f>
        <v>1</v>
      </c>
      <c r="T827" s="1">
        <f ca="1">IF(S827=1,T$3*Q826/Prices!B826,T$3*R826*S827)</f>
        <v>8.4526267643405956E-3</v>
      </c>
    </row>
    <row r="828" spans="1:20" x14ac:dyDescent="0.2">
      <c r="A828" s="4">
        <v>34666</v>
      </c>
      <c r="B828" s="9">
        <f ca="1">Prices!B827*(1+J828/(50*(ABS(O828)+ABS(T828)+0.0001)))</f>
        <v>1.2171150455182336</v>
      </c>
      <c r="C828" s="13">
        <f t="shared" ca="1" si="76"/>
        <v>-1</v>
      </c>
      <c r="D828" s="9">
        <f ca="1">D827+C828*(Prices!B828-Prices!B827)/Prices!B827</f>
        <v>-0.56617920289334289</v>
      </c>
      <c r="E828" s="9">
        <f t="shared" ca="1" si="77"/>
        <v>0.60230315415208924</v>
      </c>
      <c r="F828" s="9">
        <f t="shared" ca="1" si="78"/>
        <v>3.6123951258746317E-2</v>
      </c>
      <c r="G828" s="13">
        <f ca="1">IF((Prices!B828-Prices!B827)*B828&gt;0,1,0)</f>
        <v>0</v>
      </c>
      <c r="H828" s="9">
        <f>ABS(Prices!B828-Prices!B827)/Prices!B827</f>
        <v>2.1740880908285086E-3</v>
      </c>
      <c r="I828" s="13"/>
      <c r="J828" s="1">
        <f t="shared" ca="1" si="79"/>
        <v>-4.6723936926563875E-2</v>
      </c>
      <c r="K828" s="9"/>
      <c r="L828" s="9">
        <f ca="1">L827-O828*Prices!B828</f>
        <v>0.57838922865374687</v>
      </c>
      <c r="M828" s="1">
        <f t="shared" ca="1" si="74"/>
        <v>0.35372188079601802</v>
      </c>
      <c r="N828" s="9">
        <f ca="1">IF(Prices!D827&gt;OFFSET(Prices!D827,-$N$3,0),1,IF(Prices!D827&lt;OFFSET(Prices!D827,-$N$3,0),-1,0))</f>
        <v>-1</v>
      </c>
      <c r="O828" s="1">
        <f ca="1">IF(N828=1,O$3*L827/Prices!B827,O$3*M827*N828)</f>
        <v>-3.9302431199557564E-2</v>
      </c>
      <c r="P828" s="14"/>
      <c r="Q828" s="9">
        <f ca="1">Q827-T828*Prices!B828</f>
        <v>0.52403016612203979</v>
      </c>
      <c r="R828" s="1">
        <f t="shared" ca="1" si="75"/>
        <v>0.36365378062330911</v>
      </c>
      <c r="S828" s="9">
        <f ca="1">IF(Prices!C827&lt;OFFSET(Prices!C827,-S$3,0),1,IF(Prices!C827&gt;OFFSET(Prices!C827,-S$3,0),-1,0))</f>
        <v>-1</v>
      </c>
      <c r="T828" s="1">
        <f ca="1">IF(S828=1,T$3*Q827/Prices!B827,T$3*R827*S828)</f>
        <v>-7.4215057270063077E-3</v>
      </c>
    </row>
    <row r="829" spans="1:20" x14ac:dyDescent="0.2">
      <c r="A829" s="4">
        <v>34667</v>
      </c>
      <c r="B829" s="9">
        <f ca="1">Prices!B828*(1+J829/(50*(ABS(O829)+ABS(T829)+0.0001)))</f>
        <v>1.2572678643574324</v>
      </c>
      <c r="C829" s="13">
        <f t="shared" ca="1" si="76"/>
        <v>1</v>
      </c>
      <c r="D829" s="9">
        <f ca="1">D828+C829*(Prices!B829-Prices!B828)/Prices!B828</f>
        <v>-0.56432316674098659</v>
      </c>
      <c r="E829" s="9">
        <f t="shared" ca="1" si="77"/>
        <v>0.60044711799973294</v>
      </c>
      <c r="F829" s="9">
        <f t="shared" ca="1" si="78"/>
        <v>3.6123951258746317E-2</v>
      </c>
      <c r="G829" s="13">
        <f ca="1">IF((Prices!B829-Prices!B828)*B829&gt;0,1,0)</f>
        <v>1</v>
      </c>
      <c r="H829" s="9">
        <f>ABS(Prices!B829-Prices!B828)/Prices!B828</f>
        <v>1.8560361523563336E-3</v>
      </c>
      <c r="I829" s="13"/>
      <c r="J829" s="1">
        <f t="shared" ca="1" si="79"/>
        <v>3.9401329540353927E-2</v>
      </c>
      <c r="K829" s="9"/>
      <c r="L829" s="9">
        <f ca="1">L828-O829*Prices!B829</f>
        <v>0.52044295465652068</v>
      </c>
      <c r="M829" s="1">
        <f t="shared" ca="1" si="74"/>
        <v>0.40039628594883814</v>
      </c>
      <c r="N829" s="9">
        <f ca="1">IF(Prices!D828&gt;OFFSET(Prices!D828,-$N$3,0),1,IF(Prices!D828&lt;OFFSET(Prices!D828,-$N$3,0),-1,0))</f>
        <v>1</v>
      </c>
      <c r="O829" s="1">
        <f ca="1">IF(N829=1,O$3*L828/Prices!B828,O$3*M828*N829)</f>
        <v>4.6674405152820113E-2</v>
      </c>
      <c r="P829" s="14"/>
      <c r="Q829" s="9">
        <f ca="1">Q828-T829*Prices!B829</f>
        <v>0.53305968949491656</v>
      </c>
      <c r="R829" s="1">
        <f t="shared" ca="1" si="75"/>
        <v>0.3563807050108429</v>
      </c>
      <c r="S829" s="9">
        <f ca="1">IF(Prices!C828&lt;OFFSET(Prices!C828,-S$3,0),1,IF(Prices!C828&gt;OFFSET(Prices!C828,-S$3,0),-1,0))</f>
        <v>-1</v>
      </c>
      <c r="T829" s="1">
        <f ca="1">IF(S829=1,T$3*Q828/Prices!B828,T$3*R828*S829)</f>
        <v>-7.2730756124661823E-3</v>
      </c>
    </row>
    <row r="830" spans="1:20" x14ac:dyDescent="0.2">
      <c r="A830" s="4">
        <v>34668</v>
      </c>
      <c r="B830" s="9">
        <f ca="1">Prices!B829*(1+J830/(50*(ABS(O830)+ABS(T830)+0.0001)))</f>
        <v>1.259077629209961</v>
      </c>
      <c r="C830" s="13">
        <f t="shared" ca="1" si="76"/>
        <v>1</v>
      </c>
      <c r="D830" s="9">
        <f ca="1">D829+C830*(Prices!B830-Prices!B829)/Prices!B829</f>
        <v>-0.56988095973333464</v>
      </c>
      <c r="E830" s="9">
        <f t="shared" ca="1" si="77"/>
        <v>0.60600491099208098</v>
      </c>
      <c r="F830" s="9">
        <f t="shared" ca="1" si="78"/>
        <v>3.6123951258746317E-2</v>
      </c>
      <c r="G830" s="13">
        <f ca="1">IF((Prices!B830-Prices!B829)*B830&gt;0,1,0)</f>
        <v>0</v>
      </c>
      <c r="H830" s="9">
        <f>ABS(Prices!B830-Prices!B829)/Prices!B829</f>
        <v>5.5577929923480689E-3</v>
      </c>
      <c r="I830" s="13"/>
      <c r="J830" s="1">
        <f t="shared" ca="1" si="79"/>
        <v>3.4792881643361126E-2</v>
      </c>
      <c r="K830" s="9"/>
      <c r="L830" s="9">
        <f ca="1">L829-O830*Prices!B830</f>
        <v>0.46868791061149928</v>
      </c>
      <c r="M830" s="1">
        <f t="shared" ca="1" si="74"/>
        <v>0.44231678169241612</v>
      </c>
      <c r="N830" s="9">
        <f ca="1">IF(Prices!D829&gt;OFFSET(Prices!D829,-$N$3,0),1,IF(Prices!D829&lt;OFFSET(Prices!D829,-$N$3,0),-1,0))</f>
        <v>1</v>
      </c>
      <c r="O830" s="1">
        <f ca="1">IF(N830=1,O$3*L829/Prices!B829,O$3*M829*N830)</f>
        <v>4.1920495743577986E-2</v>
      </c>
      <c r="P830" s="14"/>
      <c r="Q830" s="9">
        <f ca="1">Q829-T830*Prices!B830</f>
        <v>0.54185944186304424</v>
      </c>
      <c r="R830" s="1">
        <f t="shared" ca="1" si="75"/>
        <v>0.34925309091062606</v>
      </c>
      <c r="S830" s="9">
        <f ca="1">IF(Prices!C829&lt;OFFSET(Prices!C829,-S$3,0),1,IF(Prices!C829&gt;OFFSET(Prices!C829,-S$3,0),-1,0))</f>
        <v>-1</v>
      </c>
      <c r="T830" s="1">
        <f ca="1">IF(S830=1,T$3*Q829/Prices!B829,T$3*R829*S830)</f>
        <v>-7.1276141002168582E-3</v>
      </c>
    </row>
    <row r="831" spans="1:20" x14ac:dyDescent="0.2">
      <c r="A831" s="4">
        <v>34669</v>
      </c>
      <c r="B831" s="9">
        <f ca="1">Prices!B830*(1+J831/(50*(ABS(O831)+ABS(T831)+0.0001)))</f>
        <v>1.2515797581774073</v>
      </c>
      <c r="C831" s="13">
        <f t="shared" ca="1" si="76"/>
        <v>1</v>
      </c>
      <c r="D831" s="9">
        <f ca="1">D830+C831*(Prices!B831-Prices!B830)/Prices!B830</f>
        <v>-0.5706099407798273</v>
      </c>
      <c r="E831" s="9">
        <f t="shared" ca="1" si="77"/>
        <v>0.60673389203857364</v>
      </c>
      <c r="F831" s="9">
        <f t="shared" ca="1" si="78"/>
        <v>3.6123951258746317E-2</v>
      </c>
      <c r="G831" s="13">
        <f ca="1">IF((Prices!B831-Prices!B830)*B831&gt;0,1,0)</f>
        <v>0</v>
      </c>
      <c r="H831" s="9">
        <f>ABS(Prices!B831-Prices!B830)/Prices!B830</f>
        <v>7.289810464927109E-4</v>
      </c>
      <c r="I831" s="13"/>
      <c r="J831" s="1">
        <f t="shared" ca="1" si="79"/>
        <v>3.0977671910241991E-2</v>
      </c>
      <c r="K831" s="9"/>
      <c r="L831" s="9">
        <f ca="1">L830-O831*Prices!B831</f>
        <v>0.42185328601070493</v>
      </c>
      <c r="M831" s="1">
        <f t="shared" ca="1" si="74"/>
        <v>0.48027951542087061</v>
      </c>
      <c r="N831" s="9">
        <f ca="1">IF(Prices!D830&gt;OFFSET(Prices!D830,-$N$3,0),1,IF(Prices!D830&lt;OFFSET(Prices!D830,-$N$3,0),-1,0))</f>
        <v>1</v>
      </c>
      <c r="O831" s="1">
        <f ca="1">IF(N831=1,O$3*L830/Prices!B830,O$3*M830*N831)</f>
        <v>3.796273372845451E-2</v>
      </c>
      <c r="P831" s="14"/>
      <c r="Q831" s="9">
        <f ca="1">Q830-T831*Prices!B831</f>
        <v>0.550476912628173</v>
      </c>
      <c r="R831" s="1">
        <f t="shared" ca="1" si="75"/>
        <v>0.34226802909241355</v>
      </c>
      <c r="S831" s="9">
        <f ca="1">IF(Prices!C830&lt;OFFSET(Prices!C830,-S$3,0),1,IF(Prices!C830&gt;OFFSET(Prices!C830,-S$3,0),-1,0))</f>
        <v>-1</v>
      </c>
      <c r="T831" s="1">
        <f ca="1">IF(S831=1,T$3*Q830/Prices!B830,T$3*R830*S831)</f>
        <v>-6.985061818212521E-3</v>
      </c>
    </row>
    <row r="832" spans="1:20" x14ac:dyDescent="0.2">
      <c r="A832" s="4">
        <v>34670</v>
      </c>
      <c r="B832" s="9">
        <f ca="1">Prices!B831*(1+J832/(50*(ABS(O832)+ABS(T832)+0.0001)))</f>
        <v>1.2090708835972341</v>
      </c>
      <c r="C832" s="13">
        <f t="shared" ca="1" si="76"/>
        <v>-1</v>
      </c>
      <c r="D832" s="9">
        <f ca="1">D831+C832*(Prices!B832-Prices!B831)/Prices!B831</f>
        <v>-0.56712449050828639</v>
      </c>
      <c r="E832" s="9">
        <f t="shared" ca="1" si="77"/>
        <v>0.60324844176703274</v>
      </c>
      <c r="F832" s="9">
        <f t="shared" ca="1" si="78"/>
        <v>3.6123951258746317E-2</v>
      </c>
      <c r="G832" s="13">
        <f ca="1">IF((Prices!B832-Prices!B831)*B832&gt;0,1,0)</f>
        <v>0</v>
      </c>
      <c r="H832" s="9">
        <f>ABS(Prices!B832-Prices!B831)/Prices!B831</f>
        <v>3.4854502715408694E-3</v>
      </c>
      <c r="I832" s="13"/>
      <c r="J832" s="1">
        <f t="shared" ca="1" si="79"/>
        <v>-5.4873312123935335E-2</v>
      </c>
      <c r="K832" s="9"/>
      <c r="L832" s="9">
        <f ca="1">L831-O832*Prices!B832</f>
        <v>0.48089884963654678</v>
      </c>
      <c r="M832" s="1">
        <f t="shared" ca="1" si="74"/>
        <v>0.43225156387878355</v>
      </c>
      <c r="N832" s="9">
        <f ca="1">IF(Prices!D831&gt;OFFSET(Prices!D831,-$N$3,0),1,IF(Prices!D831&lt;OFFSET(Prices!D831,-$N$3,0),-1,0))</f>
        <v>-1</v>
      </c>
      <c r="O832" s="1">
        <f ca="1">IF(N832=1,O$3*L831/Prices!B831,O$3*M831*N832)</f>
        <v>-4.8027951542087062E-2</v>
      </c>
      <c r="P832" s="14"/>
      <c r="Q832" s="9">
        <f ca="1">Q831-T832*Prices!B832</f>
        <v>0.55889259892749732</v>
      </c>
      <c r="R832" s="1">
        <f t="shared" ca="1" si="75"/>
        <v>0.33542266851056529</v>
      </c>
      <c r="S832" s="9">
        <f ca="1">IF(Prices!C831&lt;OFFSET(Prices!C831,-S$3,0),1,IF(Prices!C831&gt;OFFSET(Prices!C831,-S$3,0),-1,0))</f>
        <v>-1</v>
      </c>
      <c r="T832" s="1">
        <f ca="1">IF(S832=1,T$3*Q831/Prices!B831,T$3*R831*S832)</f>
        <v>-6.8453605818482709E-3</v>
      </c>
    </row>
    <row r="833" spans="1:20" x14ac:dyDescent="0.2">
      <c r="A833" s="4">
        <v>34673</v>
      </c>
      <c r="B833" s="9">
        <f ca="1">Prices!B832*(1+J833/(50*(ABS(O833)+ABS(T833)+0.0001)))</f>
        <v>1.2048611429663358</v>
      </c>
      <c r="C833" s="13">
        <f t="shared" ca="1" si="76"/>
        <v>-1</v>
      </c>
      <c r="D833" s="9">
        <f ca="1">D832+C833*(Prices!B833-Prices!B832)/Prices!B832</f>
        <v>-0.56875130033421772</v>
      </c>
      <c r="E833" s="9">
        <f t="shared" ca="1" si="77"/>
        <v>0.60487525159296407</v>
      </c>
      <c r="F833" s="9">
        <f t="shared" ca="1" si="78"/>
        <v>3.6123951258746317E-2</v>
      </c>
      <c r="G833" s="13">
        <f ca="1">IF((Prices!B833-Prices!B832)*B833&gt;0,1,0)</f>
        <v>1</v>
      </c>
      <c r="H833" s="9">
        <f>ABS(Prices!B833-Prices!B832)/Prices!B832</f>
        <v>1.6268098259313499E-3</v>
      </c>
      <c r="I833" s="13"/>
      <c r="J833" s="1">
        <f t="shared" ca="1" si="79"/>
        <v>-4.9933609758089664E-2</v>
      </c>
      <c r="K833" s="9"/>
      <c r="L833" s="9">
        <f ca="1">L832-O833*Prices!B833</f>
        <v>0.53412630721258014</v>
      </c>
      <c r="M833" s="1">
        <f t="shared" ca="1" si="74"/>
        <v>0.38902640749090522</v>
      </c>
      <c r="N833" s="9">
        <f ca="1">IF(Prices!D832&gt;OFFSET(Prices!D832,-$N$3,0),1,IF(Prices!D832&lt;OFFSET(Prices!D832,-$N$3,0),-1,0))</f>
        <v>-1</v>
      </c>
      <c r="O833" s="1">
        <f ca="1">IF(N833=1,O$3*L832/Prices!B832,O$3*M832*N833)</f>
        <v>-4.3225156387878355E-2</v>
      </c>
      <c r="P833" s="14"/>
      <c r="Q833" s="9">
        <f ca="1">Q832-T833*Prices!B833</f>
        <v>0.56715338840757556</v>
      </c>
      <c r="R833" s="1">
        <f t="shared" ca="1" si="75"/>
        <v>0.32871421514035398</v>
      </c>
      <c r="S833" s="9">
        <f ca="1">IF(Prices!C832&lt;OFFSET(Prices!C832,-S$3,0),1,IF(Prices!C832&gt;OFFSET(Prices!C832,-S$3,0),-1,0))</f>
        <v>-1</v>
      </c>
      <c r="T833" s="1">
        <f ca="1">IF(S833=1,T$3*Q832/Prices!B832,T$3*R832*S833)</f>
        <v>-6.7084533702113057E-3</v>
      </c>
    </row>
    <row r="834" spans="1:20" x14ac:dyDescent="0.2">
      <c r="A834" s="4">
        <v>34674</v>
      </c>
      <c r="B834" s="9">
        <f ca="1">Prices!B833*(1+J834/(50*(ABS(O834)+ABS(T834)+0.0001)))</f>
        <v>1.2068260361158019</v>
      </c>
      <c r="C834" s="13">
        <f t="shared" ca="1" si="76"/>
        <v>-1</v>
      </c>
      <c r="D834" s="9">
        <f ca="1">D833+C834*(Prices!B834-Prices!B833)/Prices!B833</f>
        <v>-0.56907613385703726</v>
      </c>
      <c r="E834" s="9">
        <f t="shared" ca="1" si="77"/>
        <v>0.6052000851157836</v>
      </c>
      <c r="F834" s="9">
        <f t="shared" ca="1" si="78"/>
        <v>3.6123951258746317E-2</v>
      </c>
      <c r="G834" s="13">
        <f ca="1">IF((Prices!B834-Prices!B833)*B834&gt;0,1,0)</f>
        <v>1</v>
      </c>
      <c r="H834" s="9">
        <f>ABS(Prices!B834-Prices!B833)/Prices!B833</f>
        <v>3.2483352281951919E-4</v>
      </c>
      <c r="I834" s="13"/>
      <c r="J834" s="1">
        <f t="shared" ca="1" si="79"/>
        <v>-4.5476925051897606E-2</v>
      </c>
      <c r="K834" s="9"/>
      <c r="L834" s="9">
        <f ca="1">L833-O834*Prices!B834</f>
        <v>0.58204658008730981</v>
      </c>
      <c r="M834" s="1">
        <f t="shared" ca="1" si="74"/>
        <v>0.35012376674181467</v>
      </c>
      <c r="N834" s="9">
        <f ca="1">IF(Prices!D833&gt;OFFSET(Prices!D833,-$N$3,0),1,IF(Prices!D833&lt;OFFSET(Prices!D833,-$N$3,0),-1,0))</f>
        <v>-1</v>
      </c>
      <c r="O834" s="1">
        <f ca="1">IF(N834=1,O$3*L833/Prices!B833,O$3*M833*N834)</f>
        <v>-3.8902640749090528E-2</v>
      </c>
      <c r="P834" s="14"/>
      <c r="Q834" s="9">
        <f ca="1">Q833-T834*Prices!B834</f>
        <v>0.57525159181177332</v>
      </c>
      <c r="R834" s="1">
        <f t="shared" ca="1" si="75"/>
        <v>0.32213993083754688</v>
      </c>
      <c r="S834" s="9">
        <f ca="1">IF(Prices!C833&lt;OFFSET(Prices!C833,-S$3,0),1,IF(Prices!C833&gt;OFFSET(Prices!C833,-S$3,0),-1,0))</f>
        <v>-1</v>
      </c>
      <c r="T834" s="1">
        <f ca="1">IF(S834=1,T$3*Q833/Prices!B833,T$3*R833*S834)</f>
        <v>-6.5742843028070794E-3</v>
      </c>
    </row>
    <row r="835" spans="1:20" x14ac:dyDescent="0.2">
      <c r="A835" s="4">
        <v>34675</v>
      </c>
      <c r="B835" s="9">
        <f ca="1">Prices!B834*(1+J835/(50*(ABS(O835)+ABS(T835)+0.0001)))</f>
        <v>1.2072232850344813</v>
      </c>
      <c r="C835" s="13">
        <f t="shared" ca="1" si="76"/>
        <v>-1</v>
      </c>
      <c r="D835" s="9">
        <f ca="1">D834+C835*(Prices!B835-Prices!B834)/Prices!B834</f>
        <v>-0.56980677194763629</v>
      </c>
      <c r="E835" s="9">
        <f t="shared" ca="1" si="77"/>
        <v>0.60593072320638264</v>
      </c>
      <c r="F835" s="9">
        <f t="shared" ca="1" si="78"/>
        <v>3.6123951258746317E-2</v>
      </c>
      <c r="G835" s="13">
        <f ca="1">IF((Prices!B835-Prices!B834)*B835&gt;0,1,0)</f>
        <v>1</v>
      </c>
      <c r="H835" s="9">
        <f>ABS(Prices!B835-Prices!B834)/Prices!B834</f>
        <v>7.3063809059904273E-4</v>
      </c>
      <c r="I835" s="13"/>
      <c r="J835" s="1">
        <f t="shared" ca="1" si="79"/>
        <v>-4.14551752909324E-2</v>
      </c>
      <c r="K835" s="9"/>
      <c r="L835" s="9">
        <f ca="1">L834-O835*Prices!B835</f>
        <v>0.62520633681357329</v>
      </c>
      <c r="M835" s="1">
        <f t="shared" ca="1" si="74"/>
        <v>0.31511139006763322</v>
      </c>
      <c r="N835" s="9">
        <f ca="1">IF(Prices!D834&gt;OFFSET(Prices!D834,-$N$3,0),1,IF(Prices!D834&lt;OFFSET(Prices!D834,-$N$3,0),-1,0))</f>
        <v>-1</v>
      </c>
      <c r="O835" s="1">
        <f ca="1">IF(N835=1,O$3*L834/Prices!B834,O$3*M834*N835)</f>
        <v>-3.5012376674181465E-2</v>
      </c>
      <c r="P835" s="14"/>
      <c r="Q835" s="9">
        <f ca="1">Q834-T835*Prices!B835</f>
        <v>0.58319362966664223</v>
      </c>
      <c r="R835" s="1">
        <f t="shared" ca="1" si="75"/>
        <v>0.31569713222079593</v>
      </c>
      <c r="S835" s="9">
        <f ca="1">IF(Prices!C834&lt;OFFSET(Prices!C834,-S$3,0),1,IF(Prices!C834&gt;OFFSET(Prices!C834,-S$3,0),-1,0))</f>
        <v>-1</v>
      </c>
      <c r="T835" s="1">
        <f ca="1">IF(S835=1,T$3*Q834/Prices!B834,T$3*R834*S835)</f>
        <v>-6.4427986167509381E-3</v>
      </c>
    </row>
    <row r="836" spans="1:20" x14ac:dyDescent="0.2">
      <c r="A836" s="4">
        <v>34676</v>
      </c>
      <c r="B836" s="9">
        <f ca="1">Prices!B835*(1+J836/(50*(ABS(O836)+ABS(T836)+0.0001)))</f>
        <v>1.2081110071111956</v>
      </c>
      <c r="C836" s="13">
        <f t="shared" ca="1" si="76"/>
        <v>-1</v>
      </c>
      <c r="D836" s="9">
        <f ca="1">D835+C836*(Prices!B836-Prices!B835)/Prices!B835</f>
        <v>-0.56583175775115713</v>
      </c>
      <c r="E836" s="9">
        <f t="shared" ca="1" si="77"/>
        <v>0.60195570900990347</v>
      </c>
      <c r="F836" s="9">
        <f t="shared" ca="1" si="78"/>
        <v>3.6123951258746317E-2</v>
      </c>
      <c r="G836" s="13">
        <f ca="1">IF((Prices!B836-Prices!B835)*B836&gt;0,1,0)</f>
        <v>0</v>
      </c>
      <c r="H836" s="9">
        <f>ABS(Prices!B836-Prices!B835)/Prices!B835</f>
        <v>3.9750141964791956E-3</v>
      </c>
      <c r="I836" s="13"/>
      <c r="J836" s="1">
        <f t="shared" ca="1" si="79"/>
        <v>-3.7825081651179246E-2</v>
      </c>
      <c r="K836" s="9"/>
      <c r="L836" s="9">
        <f ca="1">L835-O836*Prices!B836</f>
        <v>0.66389571328607733</v>
      </c>
      <c r="M836" s="1">
        <f t="shared" ca="1" si="74"/>
        <v>0.28360025106086989</v>
      </c>
      <c r="N836" s="9">
        <f ca="1">IF(Prices!D835&gt;OFFSET(Prices!D835,-$N$3,0),1,IF(Prices!D835&lt;OFFSET(Prices!D835,-$N$3,0),-1,0))</f>
        <v>-1</v>
      </c>
      <c r="O836" s="1">
        <f ca="1">IF(N836=1,O$3*L835/Prices!B835,O$3*M835*N836)</f>
        <v>-3.1511139006763327E-2</v>
      </c>
      <c r="P836" s="14"/>
      <c r="Q836" s="9">
        <f ca="1">Q835-T836*Prices!B836</f>
        <v>0.59094588844545615</v>
      </c>
      <c r="R836" s="1">
        <f t="shared" ca="1" si="75"/>
        <v>0.30938318957638</v>
      </c>
      <c r="S836" s="9">
        <f ca="1">IF(Prices!C835&lt;OFFSET(Prices!C835,-S$3,0),1,IF(Prices!C835&gt;OFFSET(Prices!C835,-S$3,0),-1,0))</f>
        <v>-1</v>
      </c>
      <c r="T836" s="1">
        <f ca="1">IF(S836=1,T$3*Q835/Prices!B835,T$3*R835*S836)</f>
        <v>-6.3139426444159185E-3</v>
      </c>
    </row>
    <row r="837" spans="1:20" x14ac:dyDescent="0.2">
      <c r="A837" s="4">
        <v>34677</v>
      </c>
      <c r="B837" s="9">
        <f ca="1">Prices!B836*(1+J837/(50*(ABS(O837)+ABS(T837)+0.0001)))</f>
        <v>1.2523175098068149</v>
      </c>
      <c r="C837" s="13">
        <f t="shared" ca="1" si="76"/>
        <v>1</v>
      </c>
      <c r="D837" s="9">
        <f ca="1">D836+C837*(Prices!B837-Prices!B836)/Prices!B836</f>
        <v>-0.56558741828218828</v>
      </c>
      <c r="E837" s="9">
        <f t="shared" ca="1" si="77"/>
        <v>0.60171136954093463</v>
      </c>
      <c r="F837" s="9">
        <f t="shared" ca="1" si="78"/>
        <v>3.6123951258746317E-2</v>
      </c>
      <c r="G837" s="13">
        <f ca="1">IF((Prices!B837-Prices!B836)*B837&gt;0,1,0)</f>
        <v>1</v>
      </c>
      <c r="H837" s="9">
        <f>ABS(Prices!B837-Prices!B836)/Prices!B836</f>
        <v>2.4433946896886054E-4</v>
      </c>
      <c r="I837" s="13"/>
      <c r="J837" s="1">
        <f t="shared" ca="1" si="79"/>
        <v>6.3698068983154305E-2</v>
      </c>
      <c r="K837" s="9"/>
      <c r="L837" s="9">
        <f ca="1">L836-O837*Prices!B837</f>
        <v>0.59748992036486603</v>
      </c>
      <c r="M837" s="1">
        <f t="shared" ca="1" si="74"/>
        <v>0.33767222640588351</v>
      </c>
      <c r="N837" s="9">
        <f ca="1">IF(Prices!D836&gt;OFFSET(Prices!D836,-$N$3,0),1,IF(Prices!D836&lt;OFFSET(Prices!D836,-$N$3,0),-1,0))</f>
        <v>1</v>
      </c>
      <c r="O837" s="1">
        <f ca="1">IF(N837=1,O$3*L836/Prices!B836,O$3*M836*N837)</f>
        <v>5.407197534501363E-2</v>
      </c>
      <c r="P837" s="14"/>
      <c r="Q837" s="9">
        <f ca="1">Q836-T837*Prices!B837</f>
        <v>0.57912408284845562</v>
      </c>
      <c r="R837" s="1">
        <f t="shared" ca="1" si="75"/>
        <v>0.31900928321452066</v>
      </c>
      <c r="S837" s="9">
        <f ca="1">IF(Prices!C836&lt;OFFSET(Prices!C836,-S$3,0),1,IF(Prices!C836&gt;OFFSET(Prices!C836,-S$3,0),-1,0))</f>
        <v>1</v>
      </c>
      <c r="T837" s="1">
        <f ca="1">IF(S837=1,T$3*Q836/Prices!B836,T$3*R836*S837)</f>
        <v>9.6260936381406779E-3</v>
      </c>
    </row>
    <row r="838" spans="1:20" x14ac:dyDescent="0.2">
      <c r="A838" s="4">
        <v>34680</v>
      </c>
      <c r="B838" s="9">
        <f ca="1">Prices!B837*(1+J838/(50*(ABS(O838)+ABS(T838)+0.0001)))</f>
        <v>1.2142948640946412</v>
      </c>
      <c r="C838" s="13">
        <f t="shared" ca="1" si="76"/>
        <v>-1</v>
      </c>
      <c r="D838" s="9">
        <f ca="1">D837+C838*(Prices!B838-Prices!B837)/Prices!B837</f>
        <v>-0.56729737675462533</v>
      </c>
      <c r="E838" s="9">
        <f t="shared" ca="1" si="77"/>
        <v>0.60342132801337167</v>
      </c>
      <c r="F838" s="9">
        <f t="shared" ca="1" si="78"/>
        <v>3.6123951258746317E-2</v>
      </c>
      <c r="G838" s="13">
        <f ca="1">IF((Prices!B838-Prices!B837)*B838&gt;0,1,0)</f>
        <v>1</v>
      </c>
      <c r="H838" s="9">
        <f>ABS(Prices!B838-Prices!B837)/Prices!B837</f>
        <v>1.7099584724370905E-3</v>
      </c>
      <c r="I838" s="13"/>
      <c r="J838" s="1">
        <f t="shared" ca="1" si="79"/>
        <v>-2.4336002335263777E-2</v>
      </c>
      <c r="K838" s="9"/>
      <c r="L838" s="9">
        <f ca="1">L837-O838*Prices!B838</f>
        <v>0.63903035765731786</v>
      </c>
      <c r="M838" s="1">
        <f t="shared" ca="1" si="74"/>
        <v>0.30390500376529517</v>
      </c>
      <c r="N838" s="9">
        <f ca="1">IF(Prices!D837&gt;OFFSET(Prices!D837,-$N$3,0),1,IF(Prices!D837&lt;OFFSET(Prices!D837,-$N$3,0),-1,0))</f>
        <v>-1</v>
      </c>
      <c r="O838" s="1">
        <f ca="1">IF(N838=1,O$3*L837/Prices!B837,O$3*M837*N838)</f>
        <v>-3.3767222640588353E-2</v>
      </c>
      <c r="P838" s="14"/>
      <c r="Q838" s="9">
        <f ca="1">Q837-T838*Prices!B838</f>
        <v>0.5675217956288453</v>
      </c>
      <c r="R838" s="1">
        <f t="shared" ca="1" si="75"/>
        <v>0.32844050351984522</v>
      </c>
      <c r="S838" s="9">
        <f ca="1">IF(Prices!C837&lt;OFFSET(Prices!C837,-S$3,0),1,IF(Prices!C837&gt;OFFSET(Prices!C837,-S$3,0),-1,0))</f>
        <v>1</v>
      </c>
      <c r="T838" s="1">
        <f ca="1">IF(S838=1,T$3*Q837/Prices!B837,T$3*R837*S838)</f>
        <v>9.431220305324577E-3</v>
      </c>
    </row>
    <row r="839" spans="1:20" x14ac:dyDescent="0.2">
      <c r="A839" s="4">
        <v>34681</v>
      </c>
      <c r="B839" s="9">
        <f ca="1">Prices!B838*(1+J839/(50*(ABS(O839)+ABS(T839)+0.0001)))</f>
        <v>1.254763844455312</v>
      </c>
      <c r="C839" s="13">
        <f t="shared" ca="1" si="76"/>
        <v>1</v>
      </c>
      <c r="D839" s="9">
        <f ca="1">D838+C839*(Prices!B839-Prices!B838)/Prices!B838</f>
        <v>-0.56851669068731925</v>
      </c>
      <c r="E839" s="9">
        <f t="shared" ca="1" si="77"/>
        <v>0.60464064194606559</v>
      </c>
      <c r="F839" s="9">
        <f t="shared" ca="1" si="78"/>
        <v>3.6123951258746317E-2</v>
      </c>
      <c r="G839" s="13">
        <f ca="1">IF((Prices!B839-Prices!B838)*B839&gt;0,1,0)</f>
        <v>0</v>
      </c>
      <c r="H839" s="9">
        <f>ABS(Prices!B839-Prices!B838)/Prices!B838</f>
        <v>1.2193139326939172E-3</v>
      </c>
      <c r="I839" s="13"/>
      <c r="J839" s="1">
        <f t="shared" ca="1" si="79"/>
        <v>6.1171737667296951E-2</v>
      </c>
      <c r="K839" s="9"/>
      <c r="L839" s="9">
        <f ca="1">L838-O839*Prices!B839</f>
        <v>0.57520523975343663</v>
      </c>
      <c r="M839" s="1">
        <f t="shared" ca="1" si="74"/>
        <v>0.35585024499902285</v>
      </c>
      <c r="N839" s="9">
        <f ca="1">IF(Prices!D838&gt;OFFSET(Prices!D838,-$N$3,0),1,IF(Prices!D838&lt;OFFSET(Prices!D838,-$N$3,0),-1,0))</f>
        <v>1</v>
      </c>
      <c r="O839" s="1">
        <f ca="1">IF(N839=1,O$3*L838/Prices!B838,O$3*M838*N839)</f>
        <v>5.1945241233727686E-2</v>
      </c>
      <c r="P839" s="14"/>
      <c r="Q839" s="9">
        <f ca="1">Q838-T839*Prices!B839</f>
        <v>0.55618519946091871</v>
      </c>
      <c r="R839" s="1">
        <f t="shared" ca="1" si="75"/>
        <v>0.33766699995341448</v>
      </c>
      <c r="S839" s="9">
        <f ca="1">IF(Prices!C838&lt;OFFSET(Prices!C838,-S$3,0),1,IF(Prices!C838&gt;OFFSET(Prices!C838,-S$3,0),-1,0))</f>
        <v>1</v>
      </c>
      <c r="T839" s="1">
        <f ca="1">IF(S839=1,T$3*Q838/Prices!B838,T$3*R838*S839)</f>
        <v>9.2264964335692628E-3</v>
      </c>
    </row>
    <row r="840" spans="1:20" x14ac:dyDescent="0.2">
      <c r="A840" s="4">
        <v>34682</v>
      </c>
      <c r="B840" s="9">
        <f ca="1">Prices!B839*(1+J840/(50*(ABS(O840)+ABS(T840)+0.0001)))</f>
        <v>1.2470435862710616</v>
      </c>
      <c r="C840" s="13">
        <f t="shared" ca="1" si="76"/>
        <v>1</v>
      </c>
      <c r="D840" s="9">
        <f ca="1">D839+C840*(Prices!B840-Prices!B839)/Prices!B839</f>
        <v>-0.56631924623383167</v>
      </c>
      <c r="E840" s="9">
        <f t="shared" ca="1" si="77"/>
        <v>0.60244319749257802</v>
      </c>
      <c r="F840" s="9">
        <f t="shared" ca="1" si="78"/>
        <v>3.6123951258746317E-2</v>
      </c>
      <c r="G840" s="13">
        <f ca="1">IF((Prices!B840-Prices!B839)*B840&gt;0,1,0)</f>
        <v>1</v>
      </c>
      <c r="H840" s="9">
        <f>ABS(Prices!B840-Prices!B839)/Prices!B839</f>
        <v>2.1974444534875455E-3</v>
      </c>
      <c r="I840" s="13"/>
      <c r="J840" s="1">
        <f t="shared" ca="1" si="79"/>
        <v>4.0060791990305572E-2</v>
      </c>
      <c r="K840" s="9"/>
      <c r="L840" s="9">
        <f ca="1">L839-O840*Prices!B840</f>
        <v>0.51755831762172166</v>
      </c>
      <c r="M840" s="1">
        <f t="shared" ca="1" si="74"/>
        <v>0.40266437698839669</v>
      </c>
      <c r="N840" s="9">
        <f ca="1">IF(Prices!D839&gt;OFFSET(Prices!D839,-$N$3,0),1,IF(Prices!D839&lt;OFFSET(Prices!D839,-$N$3,0),-1,0))</f>
        <v>1</v>
      </c>
      <c r="O840" s="1">
        <f ca="1">IF(N840=1,O$3*L839/Prices!B839,O$3*M839*N840)</f>
        <v>4.6814131989373862E-2</v>
      </c>
      <c r="P840" s="14"/>
      <c r="Q840" s="9">
        <f ca="1">Q839-T840*Prices!B840</f>
        <v>0.56450126233577136</v>
      </c>
      <c r="R840" s="1">
        <f t="shared" ca="1" si="75"/>
        <v>0.33091365995434618</v>
      </c>
      <c r="S840" s="9">
        <f ca="1">IF(Prices!C839&lt;OFFSET(Prices!C839,-S$3,0),1,IF(Prices!C839&gt;OFFSET(Prices!C839,-S$3,0),-1,0))</f>
        <v>-1</v>
      </c>
      <c r="T840" s="1">
        <f ca="1">IF(S840=1,T$3*Q839/Prices!B839,T$3*R839*S840)</f>
        <v>-6.7533399990682896E-3</v>
      </c>
    </row>
    <row r="841" spans="1:20" x14ac:dyDescent="0.2">
      <c r="A841" s="4">
        <v>34683</v>
      </c>
      <c r="B841" s="9">
        <f ca="1">Prices!B840*(1+J841/(50*(ABS(O841)+ABS(T841)+0.0001)))</f>
        <v>1.2159385462739152</v>
      </c>
      <c r="C841" s="13">
        <f t="shared" ca="1" si="76"/>
        <v>-1</v>
      </c>
      <c r="D841" s="9">
        <f ca="1">D840+C841*(Prices!B841-Prices!B840)/Prices!B840</f>
        <v>-0.56493870376184852</v>
      </c>
      <c r="E841" s="9">
        <f t="shared" ca="1" si="77"/>
        <v>0.60106265502059486</v>
      </c>
      <c r="F841" s="9">
        <f t="shared" ca="1" si="78"/>
        <v>3.6123951258746317E-2</v>
      </c>
      <c r="G841" s="13">
        <f ca="1">IF((Prices!B841-Prices!B840)*B841&gt;0,1,0)</f>
        <v>0</v>
      </c>
      <c r="H841" s="9">
        <f>ABS(Prices!B841-Prices!B840)/Prices!B840</f>
        <v>1.3805424719831368E-3</v>
      </c>
      <c r="I841" s="13"/>
      <c r="J841" s="1">
        <f t="shared" ca="1" si="79"/>
        <v>-3.1097991014808951E-2</v>
      </c>
      <c r="K841" s="9"/>
      <c r="L841" s="9">
        <f ca="1">L840-O841*Prices!B841</f>
        <v>0.56707395605998479</v>
      </c>
      <c r="M841" s="1">
        <f t="shared" ca="1" si="74"/>
        <v>0.36239793928955699</v>
      </c>
      <c r="N841" s="9">
        <f ca="1">IF(Prices!D840&gt;OFFSET(Prices!D840,-$N$3,0),1,IF(Prices!D840&lt;OFFSET(Prices!D840,-$N$3,0),-1,0))</f>
        <v>-1</v>
      </c>
      <c r="O841" s="1">
        <f ca="1">IF(N841=1,O$3*L840/Prices!B840,O$3*M840*N841)</f>
        <v>-4.0266437698839669E-2</v>
      </c>
      <c r="P841" s="14"/>
      <c r="Q841" s="9">
        <f ca="1">Q840-T841*Prices!B841</f>
        <v>0.55322682344841878</v>
      </c>
      <c r="R841" s="1">
        <f t="shared" ca="1" si="75"/>
        <v>0.3400821066383769</v>
      </c>
      <c r="S841" s="9">
        <f ca="1">IF(Prices!C840&lt;OFFSET(Prices!C840,-S$3,0),1,IF(Prices!C840&gt;OFFSET(Prices!C840,-S$3,0),-1,0))</f>
        <v>1</v>
      </c>
      <c r="T841" s="1">
        <f ca="1">IF(S841=1,T$3*Q840/Prices!B840,T$3*R840*S841)</f>
        <v>9.1684466840307195E-3</v>
      </c>
    </row>
    <row r="842" spans="1:20" x14ac:dyDescent="0.2">
      <c r="A842" s="4">
        <v>34684</v>
      </c>
      <c r="B842" s="9">
        <f ca="1">Prices!B841*(1+J842/(50*(ABS(O842)+ABS(T842)+0.0001)))</f>
        <v>1.2051630078380442</v>
      </c>
      <c r="C842" s="13">
        <f t="shared" ca="1" si="76"/>
        <v>-1</v>
      </c>
      <c r="D842" s="9">
        <f ca="1">D841+C842*(Prices!B842-Prices!B841)/Prices!B841</f>
        <v>-0.5654266276457226</v>
      </c>
      <c r="E842" s="9">
        <f t="shared" ca="1" si="77"/>
        <v>0.60155057890446895</v>
      </c>
      <c r="F842" s="9">
        <f t="shared" ca="1" si="78"/>
        <v>3.6123951258746317E-2</v>
      </c>
      <c r="G842" s="13">
        <f ca="1">IF((Prices!B842-Prices!B841)*B842&gt;0,1,0)</f>
        <v>1</v>
      </c>
      <c r="H842" s="9">
        <f>ABS(Prices!B842-Prices!B841)/Prices!B841</f>
        <v>4.8792388387406191E-4</v>
      </c>
      <c r="I842" s="13"/>
      <c r="J842" s="1">
        <f t="shared" ca="1" si="79"/>
        <v>-4.304143606172324E-2</v>
      </c>
      <c r="K842" s="9"/>
      <c r="L842" s="9">
        <f ca="1">L841-O842*Prices!B842</f>
        <v>0.61165977453077902</v>
      </c>
      <c r="M842" s="1">
        <f t="shared" ca="1" si="74"/>
        <v>0.32615814536060128</v>
      </c>
      <c r="N842" s="9">
        <f ca="1">IF(Prices!D841&gt;OFFSET(Prices!D841,-$N$3,0),1,IF(Prices!D841&lt;OFFSET(Prices!D841,-$N$3,0),-1,0))</f>
        <v>-1</v>
      </c>
      <c r="O842" s="1">
        <f ca="1">IF(N842=1,O$3*L841/Prices!B841,O$3*M841*N842)</f>
        <v>-3.6239793928955703E-2</v>
      </c>
      <c r="P842" s="14"/>
      <c r="Q842" s="9">
        <f ca="1">Q841-T842*Prices!B842</f>
        <v>0.56159488376436273</v>
      </c>
      <c r="R842" s="1">
        <f t="shared" ca="1" si="75"/>
        <v>0.33328046450560939</v>
      </c>
      <c r="S842" s="9">
        <f ca="1">IF(Prices!C841&lt;OFFSET(Prices!C841,-S$3,0),1,IF(Prices!C841&gt;OFFSET(Prices!C841,-S$3,0),-1,0))</f>
        <v>-1</v>
      </c>
      <c r="T842" s="1">
        <f ca="1">IF(S842=1,T$3*Q841/Prices!B841,T$3*R841*S842)</f>
        <v>-6.8016421327675384E-3</v>
      </c>
    </row>
    <row r="843" spans="1:20" x14ac:dyDescent="0.2">
      <c r="A843" s="4">
        <v>34687</v>
      </c>
      <c r="B843" s="9">
        <f ca="1">Prices!B842*(1+J843/(50*(ABS(O843)+ABS(T843)+0.0001)))</f>
        <v>1.2490547725178982</v>
      </c>
      <c r="C843" s="13">
        <f t="shared" ca="1" si="76"/>
        <v>1</v>
      </c>
      <c r="D843" s="9">
        <f ca="1">D842+C843*(Prices!B843-Prices!B842)/Prices!B842</f>
        <v>-0.56810890026215755</v>
      </c>
      <c r="E843" s="9">
        <f t="shared" ca="1" si="77"/>
        <v>0.60423285152090389</v>
      </c>
      <c r="F843" s="9">
        <f t="shared" ca="1" si="78"/>
        <v>3.6123951258746317E-2</v>
      </c>
      <c r="G843" s="13">
        <f ca="1">IF((Prices!B843-Prices!B842)*B843&gt;0,1,0)</f>
        <v>0</v>
      </c>
      <c r="H843" s="9">
        <f>ABS(Prices!B843-Prices!B842)/Prices!B842</f>
        <v>2.6822726164349008E-3</v>
      </c>
      <c r="I843" s="13"/>
      <c r="J843" s="1">
        <f t="shared" ca="1" si="79"/>
        <v>4.305070173409159E-2</v>
      </c>
      <c r="K843" s="9"/>
      <c r="L843" s="9">
        <f ca="1">L842-O843*Prices!B843</f>
        <v>0.55065786090408098</v>
      </c>
      <c r="M843" s="1">
        <f t="shared" ca="1" si="74"/>
        <v>0.37587445638480504</v>
      </c>
      <c r="N843" s="9">
        <f ca="1">IF(Prices!D842&gt;OFFSET(Prices!D842,-$N$3,0),1,IF(Prices!D842&lt;OFFSET(Prices!D842,-$N$3,0),-1,0))</f>
        <v>1</v>
      </c>
      <c r="O843" s="1">
        <f ca="1">IF(N843=1,O$3*L842/Prices!B842,O$3*M842*N843)</f>
        <v>4.9716311024203777E-2</v>
      </c>
      <c r="P843" s="14"/>
      <c r="Q843" s="9">
        <f ca="1">Q842-T843*Prices!B843</f>
        <v>0.56977358636333042</v>
      </c>
      <c r="R843" s="1">
        <f t="shared" ca="1" si="75"/>
        <v>0.32661485521549721</v>
      </c>
      <c r="S843" s="9">
        <f ca="1">IF(Prices!C842&lt;OFFSET(Prices!C842,-S$3,0),1,IF(Prices!C842&gt;OFFSET(Prices!C842,-S$3,0),-1,0))</f>
        <v>-1</v>
      </c>
      <c r="T843" s="1">
        <f ca="1">IF(S843=1,T$3*Q842/Prices!B842,T$3*R842*S843)</f>
        <v>-6.665609290112188E-3</v>
      </c>
    </row>
    <row r="844" spans="1:20" x14ac:dyDescent="0.2">
      <c r="A844" s="4">
        <v>34688</v>
      </c>
      <c r="B844" s="9">
        <f ca="1">Prices!B843*(1+J844/(50*(ABS(O844)+ABS(T844)+0.0001)))</f>
        <v>1.251494778026139</v>
      </c>
      <c r="C844" s="13">
        <f t="shared" ca="1" si="76"/>
        <v>1</v>
      </c>
      <c r="D844" s="9">
        <f ca="1">D843+C844*(Prices!B844-Prices!B843)/Prices!B843</f>
        <v>-0.56761990270714535</v>
      </c>
      <c r="E844" s="9">
        <f t="shared" ca="1" si="77"/>
        <v>0.6037438539658917</v>
      </c>
      <c r="F844" s="9">
        <f t="shared" ca="1" si="78"/>
        <v>3.6123951258746317E-2</v>
      </c>
      <c r="G844" s="13">
        <f ca="1">IF((Prices!B844-Prices!B843)*B844&gt;0,1,0)</f>
        <v>1</v>
      </c>
      <c r="H844" s="9">
        <f>ABS(Prices!B844-Prices!B843)/Prices!B843</f>
        <v>4.8899755501217101E-4</v>
      </c>
      <c r="I844" s="13"/>
      <c r="J844" s="1">
        <f t="shared" ca="1" si="79"/>
        <v>5.4165654293133421E-2</v>
      </c>
      <c r="K844" s="9"/>
      <c r="L844" s="9">
        <f ca="1">L843-O844*Prices!B844</f>
        <v>0.49556514777890981</v>
      </c>
      <c r="M844" s="1">
        <f t="shared" ca="1" si="74"/>
        <v>0.42075284765653131</v>
      </c>
      <c r="N844" s="9">
        <f ca="1">IF(Prices!D843&gt;OFFSET(Prices!D843,-$N$3,0),1,IF(Prices!D843&lt;OFFSET(Prices!D843,-$N$3,0),-1,0))</f>
        <v>1</v>
      </c>
      <c r="O844" s="1">
        <f ca="1">IF(N844=1,O$3*L843/Prices!B843,O$3*M843*N844)</f>
        <v>4.4878391271726242E-2</v>
      </c>
      <c r="P844" s="14"/>
      <c r="Q844" s="9">
        <f ca="1">Q843-T844*Prices!B844</f>
        <v>0.55837254227825095</v>
      </c>
      <c r="R844" s="1">
        <f t="shared" ca="1" si="75"/>
        <v>0.33590211823690441</v>
      </c>
      <c r="S844" s="9">
        <f ca="1">IF(Prices!C843&lt;OFFSET(Prices!C843,-S$3,0),1,IF(Prices!C843&gt;OFFSET(Prices!C843,-S$3,0),-1,0))</f>
        <v>1</v>
      </c>
      <c r="T844" s="1">
        <f ca="1">IF(S844=1,T$3*Q843/Prices!B843,T$3*R843*S844)</f>
        <v>9.2872630214071786E-3</v>
      </c>
    </row>
    <row r="845" spans="1:20" x14ac:dyDescent="0.2">
      <c r="A845" s="4">
        <v>34689</v>
      </c>
      <c r="B845" s="9">
        <f ca="1">Prices!B844*(1+J845/(50*(ABS(O845)+ABS(T845)+0.0001)))</f>
        <v>1.2518850427605623</v>
      </c>
      <c r="C845" s="13">
        <f t="shared" ca="1" si="76"/>
        <v>1</v>
      </c>
      <c r="D845" s="9">
        <f ca="1">D844+C845*(Prices!B845-Prices!B844)/Prices!B844</f>
        <v>-0.56615362704732131</v>
      </c>
      <c r="E845" s="9">
        <f t="shared" ca="1" si="77"/>
        <v>0.60227757830606765</v>
      </c>
      <c r="F845" s="9">
        <f t="shared" ca="1" si="78"/>
        <v>3.6123951258746317E-2</v>
      </c>
      <c r="G845" s="13">
        <f ca="1">IF((Prices!B845-Prices!B844)*B845&gt;0,1,0)</f>
        <v>1</v>
      </c>
      <c r="H845" s="9">
        <f>ABS(Prices!B845-Prices!B844)/Prices!B844</f>
        <v>1.4662756598240662E-3</v>
      </c>
      <c r="I845" s="13"/>
      <c r="J845" s="1">
        <f t="shared" ca="1" si="79"/>
        <v>9.0969785317408115E-3</v>
      </c>
      <c r="K845" s="9"/>
      <c r="L845" s="9">
        <f ca="1">L844-O845*Prices!B845</f>
        <v>0.49556514777890981</v>
      </c>
      <c r="M845" s="1">
        <f t="shared" ca="1" si="74"/>
        <v>0.42075284765653131</v>
      </c>
      <c r="N845" s="9">
        <f ca="1">IF(Prices!D844&gt;OFFSET(Prices!D844,-$N$3,0),1,IF(Prices!D844&lt;OFFSET(Prices!D844,-$N$3,0),-1,0))</f>
        <v>0</v>
      </c>
      <c r="O845" s="1">
        <f ca="1">IF(N845=1,O$3*L844/Prices!B844,O$3*M844*N845)</f>
        <v>0</v>
      </c>
      <c r="P845" s="14"/>
      <c r="Q845" s="9">
        <f ca="1">Q844-T845*Prices!B845</f>
        <v>0.54718871687132875</v>
      </c>
      <c r="R845" s="1">
        <f t="shared" ca="1" si="75"/>
        <v>0.34499909676864521</v>
      </c>
      <c r="S845" s="9">
        <f ca="1">IF(Prices!C844&lt;OFFSET(Prices!C844,-S$3,0),1,IF(Prices!C844&gt;OFFSET(Prices!C844,-S$3,0),-1,0))</f>
        <v>1</v>
      </c>
      <c r="T845" s="1">
        <f ca="1">IF(S845=1,T$3*Q844/Prices!B844,T$3*R844*S845)</f>
        <v>9.0969785317408115E-3</v>
      </c>
    </row>
    <row r="846" spans="1:20" x14ac:dyDescent="0.2">
      <c r="A846" s="4">
        <v>34690</v>
      </c>
      <c r="B846" s="9">
        <f ca="1">Prices!B845*(1+J846/(50*(ABS(O846)+ABS(T846)+0.0001)))</f>
        <v>1.2048621026314332</v>
      </c>
      <c r="C846" s="13">
        <f t="shared" ca="1" si="76"/>
        <v>-1</v>
      </c>
      <c r="D846" s="9">
        <f ca="1">D845+C846*(Prices!B846-Prices!B845)/Prices!B845</f>
        <v>-0.56086649511304443</v>
      </c>
      <c r="E846" s="9">
        <f t="shared" ca="1" si="77"/>
        <v>0.59699044637179077</v>
      </c>
      <c r="F846" s="9">
        <f t="shared" ca="1" si="78"/>
        <v>3.6123951258746317E-2</v>
      </c>
      <c r="G846" s="13">
        <f ca="1">IF((Prices!B846-Prices!B845)*B846&gt;0,1,0)</f>
        <v>0</v>
      </c>
      <c r="H846" s="9">
        <f>ABS(Prices!B846-Prices!B845)/Prices!B845</f>
        <v>5.2871319342768421E-3</v>
      </c>
      <c r="I846" s="13"/>
      <c r="J846" s="1">
        <f t="shared" ca="1" si="79"/>
        <v>-4.8975266701026039E-2</v>
      </c>
      <c r="K846" s="9"/>
      <c r="L846" s="9">
        <f ca="1">L845-O846*Prices!B846</f>
        <v>0.54701901351882709</v>
      </c>
      <c r="M846" s="1">
        <f t="shared" ca="1" si="74"/>
        <v>0.37867756289087817</v>
      </c>
      <c r="N846" s="9">
        <f ca="1">IF(Prices!D845&gt;OFFSET(Prices!D845,-$N$3,0),1,IF(Prices!D845&lt;OFFSET(Prices!D845,-$N$3,0),-1,0))</f>
        <v>-1</v>
      </c>
      <c r="O846" s="1">
        <f ca="1">IF(N846=1,O$3*L845/Prices!B845,O$3*M845*N846)</f>
        <v>-4.2075284765653136E-2</v>
      </c>
      <c r="P846" s="14"/>
      <c r="Q846" s="9">
        <f ca="1">Q845-T846*Prices!B846</f>
        <v>0.55562670478009624</v>
      </c>
      <c r="R846" s="1">
        <f t="shared" ca="1" si="75"/>
        <v>0.33809911483327232</v>
      </c>
      <c r="S846" s="9">
        <f ca="1">IF(Prices!C845&lt;OFFSET(Prices!C845,-S$3,0),1,IF(Prices!C845&gt;OFFSET(Prices!C845,-S$3,0),-1,0))</f>
        <v>-1</v>
      </c>
      <c r="T846" s="1">
        <f ca="1">IF(S846=1,T$3*Q845/Prices!B845,T$3*R845*S846)</f>
        <v>-6.8999819353729045E-3</v>
      </c>
    </row>
    <row r="847" spans="1:20" x14ac:dyDescent="0.2">
      <c r="A847" s="4">
        <v>34691</v>
      </c>
      <c r="B847" s="9">
        <f ca="1">Prices!B846*(1+J847/(50*(ABS(O847)+ABS(T847)+0.0001)))</f>
        <v>1.2473126388025839</v>
      </c>
      <c r="C847" s="13">
        <f t="shared" ca="1" si="76"/>
        <v>1</v>
      </c>
      <c r="D847" s="9">
        <f ca="1">D846+C847*(Prices!B847-Prices!B846)/Prices!B846</f>
        <v>-0.55898571990656809</v>
      </c>
      <c r="E847" s="9">
        <f t="shared" ca="1" si="77"/>
        <v>0.59510967116531444</v>
      </c>
      <c r="F847" s="9">
        <f t="shared" ca="1" si="78"/>
        <v>3.6123951258746317E-2</v>
      </c>
      <c r="G847" s="13">
        <f ca="1">IF((Prices!B847-Prices!B846)*B847&gt;0,1,0)</f>
        <v>1</v>
      </c>
      <c r="H847" s="9">
        <f>ABS(Prices!B847-Prices!B846)/Prices!B846</f>
        <v>1.8807752064763828E-3</v>
      </c>
      <c r="I847" s="13"/>
      <c r="J847" s="1">
        <f t="shared" ca="1" si="79"/>
        <v>5.3818329746900512E-2</v>
      </c>
      <c r="K847" s="9"/>
      <c r="L847" s="9">
        <f ca="1">L846-O847*Prices!B847</f>
        <v>0.49221423018713462</v>
      </c>
      <c r="M847" s="1">
        <f t="shared" ca="1" si="74"/>
        <v>0.42340885846033005</v>
      </c>
      <c r="N847" s="9">
        <f ca="1">IF(Prices!D846&gt;OFFSET(Prices!D846,-$N$3,0),1,IF(Prices!D846&lt;OFFSET(Prices!D846,-$N$3,0),-1,0))</f>
        <v>1</v>
      </c>
      <c r="O847" s="1">
        <f ca="1">IF(N847=1,O$3*L846/Prices!B846,O$3*M846*N847)</f>
        <v>4.4731295569451886E-2</v>
      </c>
      <c r="P847" s="14"/>
      <c r="Q847" s="9">
        <f ca="1">Q846-T847*Prices!B847</f>
        <v>0.54449327050588614</v>
      </c>
      <c r="R847" s="1">
        <f t="shared" ca="1" si="75"/>
        <v>0.34718614901072092</v>
      </c>
      <c r="S847" s="9">
        <f ca="1">IF(Prices!C846&lt;OFFSET(Prices!C846,-S$3,0),1,IF(Prices!C846&gt;OFFSET(Prices!C846,-S$3,0),-1,0))</f>
        <v>1</v>
      </c>
      <c r="T847" s="1">
        <f ca="1">IF(S847=1,T$3*Q846/Prices!B846,T$3*R846*S847)</f>
        <v>9.0870341774486243E-3</v>
      </c>
    </row>
    <row r="848" spans="1:20" x14ac:dyDescent="0.2">
      <c r="A848" s="4">
        <v>34694</v>
      </c>
      <c r="B848" s="9">
        <f ca="1">Prices!B847*(1+J848/(50*(ABS(O848)+ABS(T848)+0.0001)))</f>
        <v>1.2496541570603237</v>
      </c>
      <c r="C848" s="13">
        <f t="shared" ca="1" si="76"/>
        <v>1</v>
      </c>
      <c r="D848" s="9">
        <f ca="1">D847+C848*(Prices!B848-Prices!B847)/Prices!B847</f>
        <v>-0.55898571990656809</v>
      </c>
      <c r="E848" s="9">
        <f t="shared" ca="1" si="77"/>
        <v>0.59510967116531444</v>
      </c>
      <c r="F848" s="9">
        <f t="shared" ca="1" si="78"/>
        <v>3.6123951258746317E-2</v>
      </c>
      <c r="G848" s="13">
        <f ca="1">IF((Prices!B848-Prices!B847)*B848&gt;0,1,0)</f>
        <v>0</v>
      </c>
      <c r="H848" s="9">
        <f>ABS(Prices!B848-Prices!B847)/Prices!B847</f>
        <v>0</v>
      </c>
      <c r="I848" s="13"/>
      <c r="J848" s="1">
        <f t="shared" ca="1" si="79"/>
        <v>4.9062429341194237E-2</v>
      </c>
      <c r="K848" s="9"/>
      <c r="L848" s="9">
        <f ca="1">L847-O848*Prices!B848</f>
        <v>0.44299280716842115</v>
      </c>
      <c r="M848" s="1">
        <f t="shared" ca="1" si="74"/>
        <v>0.46358305289284185</v>
      </c>
      <c r="N848" s="9">
        <f ca="1">IF(Prices!D847&gt;OFFSET(Prices!D847,-$N$3,0),1,IF(Prices!D847&lt;OFFSET(Prices!D847,-$N$3,0),-1,0))</f>
        <v>1</v>
      </c>
      <c r="O848" s="1">
        <f ca="1">IF(N848=1,O$3*L847/Prices!B847,O$3*M847*N848)</f>
        <v>4.0174194432511801E-2</v>
      </c>
      <c r="P848" s="14"/>
      <c r="Q848" s="9">
        <f ca="1">Q847-T848*Prices!B848</f>
        <v>0.53360340509576842</v>
      </c>
      <c r="R848" s="1">
        <f t="shared" ca="1" si="75"/>
        <v>0.35607438391940338</v>
      </c>
      <c r="S848" s="9">
        <f ca="1">IF(Prices!C847&lt;OFFSET(Prices!C847,-S$3,0),1,IF(Prices!C847&gt;OFFSET(Prices!C847,-S$3,0),-1,0))</f>
        <v>1</v>
      </c>
      <c r="T848" s="1">
        <f ca="1">IF(S848=1,T$3*Q847/Prices!B847,T$3*R847*S848)</f>
        <v>8.8882349086824384E-3</v>
      </c>
    </row>
    <row r="849" spans="1:20" x14ac:dyDescent="0.2">
      <c r="A849" s="4">
        <v>34695</v>
      </c>
      <c r="B849" s="9">
        <f ca="1">Prices!B848*(1+J849/(50*(ABS(O849)+ABS(T849)+0.0001)))</f>
        <v>1.2010353206648174</v>
      </c>
      <c r="C849" s="13">
        <f t="shared" ca="1" si="76"/>
        <v>-1</v>
      </c>
      <c r="D849" s="9">
        <f ca="1">D848+C849*(Prices!B849-Prices!B848)/Prices!B848</f>
        <v>-0.55898571990656809</v>
      </c>
      <c r="E849" s="9">
        <f t="shared" ca="1" si="77"/>
        <v>0.59510967116531444</v>
      </c>
      <c r="F849" s="9">
        <f t="shared" ca="1" si="78"/>
        <v>3.6123951258746317E-2</v>
      </c>
      <c r="G849" s="13">
        <f ca="1">IF((Prices!B849-Prices!B848)*B849&gt;0,1,0)</f>
        <v>0</v>
      </c>
      <c r="H849" s="9">
        <f>ABS(Prices!B849-Prices!B848)/Prices!B848</f>
        <v>0</v>
      </c>
      <c r="I849" s="13"/>
      <c r="J849" s="1">
        <f t="shared" ca="1" si="79"/>
        <v>-7.1214876783880681E-3</v>
      </c>
      <c r="K849" s="9"/>
      <c r="L849" s="9">
        <f ca="1">L848-O849*Prices!B849</f>
        <v>0.44299280716842115</v>
      </c>
      <c r="M849" s="1">
        <f t="shared" ca="1" si="74"/>
        <v>0.46358305289284185</v>
      </c>
      <c r="N849" s="9">
        <f ca="1">IF(Prices!D848&gt;OFFSET(Prices!D848,-$N$3,0),1,IF(Prices!D848&lt;OFFSET(Prices!D848,-$N$3,0),-1,0))</f>
        <v>0</v>
      </c>
      <c r="O849" s="1">
        <f ca="1">IF(N849=1,O$3*L848/Prices!B848,O$3*M848*N849)</f>
        <v>0</v>
      </c>
      <c r="P849" s="14"/>
      <c r="Q849" s="9">
        <f ca="1">Q848-T849*Prices!B849</f>
        <v>0.54232865179932943</v>
      </c>
      <c r="R849" s="1">
        <f t="shared" ca="1" si="75"/>
        <v>0.34895289624101533</v>
      </c>
      <c r="S849" s="9">
        <f ca="1">IF(Prices!C848&lt;OFFSET(Prices!C848,-S$3,0),1,IF(Prices!C848&gt;OFFSET(Prices!C848,-S$3,0),-1,0))</f>
        <v>-1</v>
      </c>
      <c r="T849" s="1">
        <f ca="1">IF(S849=1,T$3*Q848/Prices!B848,T$3*R848*S849)</f>
        <v>-7.1214876783880681E-3</v>
      </c>
    </row>
    <row r="850" spans="1:20" x14ac:dyDescent="0.2">
      <c r="A850" s="4">
        <v>34696</v>
      </c>
      <c r="B850" s="9">
        <f ca="1">Prices!B849*(1+J850/(50*(ABS(O850)+ABS(T850)+0.0001)))</f>
        <v>1.2085843350930587</v>
      </c>
      <c r="C850" s="13">
        <f t="shared" ca="1" si="76"/>
        <v>-1</v>
      </c>
      <c r="D850" s="9">
        <f ca="1">D849+C850*(Prices!B850-Prices!B849)/Prices!B849</f>
        <v>-0.56004677116350565</v>
      </c>
      <c r="E850" s="9">
        <f t="shared" ca="1" si="77"/>
        <v>0.596170722422252</v>
      </c>
      <c r="F850" s="9">
        <f t="shared" ca="1" si="78"/>
        <v>3.6123951258746317E-2</v>
      </c>
      <c r="G850" s="13">
        <f ca="1">IF((Prices!B850-Prices!B849)*B850&gt;0,1,0)</f>
        <v>1</v>
      </c>
      <c r="H850" s="9">
        <f>ABS(Prices!B850-Prices!B849)/Prices!B849</f>
        <v>1.0610512569375259E-3</v>
      </c>
      <c r="I850" s="13"/>
      <c r="J850" s="1">
        <f t="shared" ca="1" si="79"/>
        <v>-3.7505405325207644E-2</v>
      </c>
      <c r="K850" s="9"/>
      <c r="L850" s="9">
        <f ca="1">L849-O850*Prices!B850</f>
        <v>0.49985126860572821</v>
      </c>
      <c r="M850" s="1">
        <f t="shared" ref="M850:M913" ca="1" si="80">M849+O850</f>
        <v>0.41722474760355766</v>
      </c>
      <c r="N850" s="9">
        <f ca="1">IF(Prices!D849&gt;OFFSET(Prices!D849,-$N$3,0),1,IF(Prices!D849&lt;OFFSET(Prices!D849,-$N$3,0),-1,0))</f>
        <v>-1</v>
      </c>
      <c r="O850" s="1">
        <f ca="1">IF(N850=1,O$3*L849/Prices!B849,O$3*M849*N850)</f>
        <v>-4.6358305289284189E-2</v>
      </c>
      <c r="P850" s="14"/>
      <c r="Q850" s="9">
        <f ca="1">Q849-T850*Prices!B850</f>
        <v>0.5314705699933896</v>
      </c>
      <c r="R850" s="1">
        <f t="shared" ref="R850:R913" ca="1" si="81">R849+T850</f>
        <v>0.3578057962050919</v>
      </c>
      <c r="S850" s="9">
        <f ca="1">IF(Prices!C849&lt;OFFSET(Prices!C849,-S$3,0),1,IF(Prices!C849&gt;OFFSET(Prices!C849,-S$3,0),-1,0))</f>
        <v>1</v>
      </c>
      <c r="T850" s="1">
        <f ca="1">IF(S850=1,T$3*Q849/Prices!B849,T$3*R849*S850)</f>
        <v>8.8528999640765486E-3</v>
      </c>
    </row>
    <row r="851" spans="1:20" x14ac:dyDescent="0.2">
      <c r="A851" s="4">
        <v>34697</v>
      </c>
      <c r="B851" s="9">
        <f ca="1">Prices!B850*(1+J851/(50*(ABS(O851)+ABS(T851)+0.0001)))</f>
        <v>1.2104397661059092</v>
      </c>
      <c r="C851" s="13">
        <f t="shared" ca="1" si="76"/>
        <v>-1</v>
      </c>
      <c r="D851" s="9">
        <f ca="1">D850+C851*(Prices!B851-Prices!B850)/Prices!B850</f>
        <v>-0.57390735004650617</v>
      </c>
      <c r="E851" s="9">
        <f t="shared" ca="1" si="77"/>
        <v>0.61003130130525252</v>
      </c>
      <c r="F851" s="9">
        <f t="shared" ca="1" si="78"/>
        <v>3.6123951258746317E-2</v>
      </c>
      <c r="G851" s="13">
        <f ca="1">IF((Prices!B851-Prices!B850)*B851&gt;0,1,0)</f>
        <v>1</v>
      </c>
      <c r="H851" s="9">
        <f>ABS(Prices!B851-Prices!B850)/Prices!B850</f>
        <v>1.3860578883000511E-2</v>
      </c>
      <c r="I851" s="13"/>
      <c r="J851" s="1">
        <f t="shared" ca="1" si="79"/>
        <v>-3.305601621990098E-2</v>
      </c>
      <c r="K851" s="9"/>
      <c r="L851" s="9">
        <f ca="1">L850-O851*Prices!B851</f>
        <v>0.55173316597023059</v>
      </c>
      <c r="M851" s="1">
        <f t="shared" ca="1" si="80"/>
        <v>0.37550227284320187</v>
      </c>
      <c r="N851" s="9">
        <f ca="1">IF(Prices!D850&gt;OFFSET(Prices!D850,-$N$3,0),1,IF(Prices!D850&lt;OFFSET(Prices!D850,-$N$3,0),-1,0))</f>
        <v>-1</v>
      </c>
      <c r="O851" s="1">
        <f ca="1">IF(N851=1,O$3*L850/Prices!B850,O$3*M850*N851)</f>
        <v>-4.1722474760355767E-2</v>
      </c>
      <c r="P851" s="14"/>
      <c r="Q851" s="9">
        <f ca="1">Q850-T851*Prices!B851</f>
        <v>0.52069382879833404</v>
      </c>
      <c r="R851" s="1">
        <f t="shared" ca="1" si="81"/>
        <v>0.36647225474554668</v>
      </c>
      <c r="S851" s="9">
        <f ca="1">IF(Prices!C850&lt;OFFSET(Prices!C850,-S$3,0),1,IF(Prices!C850&gt;OFFSET(Prices!C850,-S$3,0),-1,0))</f>
        <v>1</v>
      </c>
      <c r="T851" s="1">
        <f ca="1">IF(S851=1,T$3*Q850/Prices!B850,T$3*R850*S851)</f>
        <v>8.6664585404547835E-3</v>
      </c>
    </row>
    <row r="852" spans="1:20" x14ac:dyDescent="0.2">
      <c r="A852" s="4">
        <v>34698</v>
      </c>
      <c r="B852" s="9">
        <f ca="1">Prices!B851*(1+J852/(50*(ABS(O852)+ABS(T852)+0.0001)))</f>
        <v>1.2683229369673779</v>
      </c>
      <c r="C852" s="13">
        <f t="shared" ca="1" si="76"/>
        <v>1</v>
      </c>
      <c r="D852" s="9">
        <f ca="1">D851+C852*(Prices!B852-Prices!B851)/Prices!B851</f>
        <v>-0.57205773203283505</v>
      </c>
      <c r="E852" s="9">
        <f t="shared" ca="1" si="77"/>
        <v>0.6081816832915814</v>
      </c>
      <c r="F852" s="9">
        <f t="shared" ca="1" si="78"/>
        <v>3.6123951258746317E-2</v>
      </c>
      <c r="G852" s="13">
        <f ca="1">IF((Prices!B852-Prices!B851)*B852&gt;0,1,0)</f>
        <v>1</v>
      </c>
      <c r="H852" s="9">
        <f>ABS(Prices!B852-Prices!B851)/Prices!B851</f>
        <v>1.8496180136710644E-3</v>
      </c>
      <c r="I852" s="13"/>
      <c r="J852" s="1">
        <f t="shared" ca="1" si="79"/>
        <v>5.27440234603858E-2</v>
      </c>
      <c r="K852" s="9"/>
      <c r="L852" s="9">
        <f ca="1">L851-O852*Prices!B852</f>
        <v>0.49645779981295568</v>
      </c>
      <c r="M852" s="1">
        <f t="shared" ca="1" si="80"/>
        <v>0.41987164686573752</v>
      </c>
      <c r="N852" s="9">
        <f ca="1">IF(Prices!D851&gt;OFFSET(Prices!D851,-$N$3,0),1,IF(Prices!D851&lt;OFFSET(Prices!D851,-$N$3,0),-1,0))</f>
        <v>1</v>
      </c>
      <c r="O852" s="1">
        <f ca="1">IF(N852=1,O$3*L851/Prices!B851,O$3*M851*N852)</f>
        <v>4.4369374022535636E-2</v>
      </c>
      <c r="P852" s="14"/>
      <c r="Q852" s="9">
        <f ca="1">Q851-T852*Prices!B852</f>
        <v>0.5102606905286603</v>
      </c>
      <c r="R852" s="1">
        <f t="shared" ca="1" si="81"/>
        <v>0.37484690418339683</v>
      </c>
      <c r="S852" s="9">
        <f ca="1">IF(Prices!C851&lt;OFFSET(Prices!C851,-S$3,0),1,IF(Prices!C851&gt;OFFSET(Prices!C851,-S$3,0),-1,0))</f>
        <v>1</v>
      </c>
      <c r="T852" s="1">
        <f ca="1">IF(S852=1,T$3*Q851/Prices!B851,T$3*R851*S852)</f>
        <v>8.3746494378501655E-3</v>
      </c>
    </row>
    <row r="853" spans="1:20" x14ac:dyDescent="0.2">
      <c r="A853" s="4">
        <v>34701</v>
      </c>
      <c r="B853" s="9">
        <f ca="1">Prices!B852*(1+J853/(50*(ABS(O853)+ABS(T853)+0.0001)))</f>
        <v>1.2706642450090304</v>
      </c>
      <c r="C853" s="13">
        <f t="shared" ca="1" si="76"/>
        <v>1</v>
      </c>
      <c r="D853" s="9">
        <f ca="1">D852+C853*(Prices!B853-Prices!B852)/Prices!B852</f>
        <v>-0.57205773203283505</v>
      </c>
      <c r="E853" s="9">
        <f t="shared" ca="1" si="77"/>
        <v>0.6081816832915814</v>
      </c>
      <c r="F853" s="9">
        <f t="shared" ca="1" si="78"/>
        <v>3.6123951258746317E-2</v>
      </c>
      <c r="G853" s="13">
        <f ca="1">IF((Prices!B853-Prices!B852)*B853&gt;0,1,0)</f>
        <v>0</v>
      </c>
      <c r="H853" s="9">
        <f>ABS(Prices!B853-Prices!B852)/Prices!B852</f>
        <v>0</v>
      </c>
      <c r="I853" s="13"/>
      <c r="J853" s="1">
        <f t="shared" ca="1" si="79"/>
        <v>4.8042216882219275E-2</v>
      </c>
      <c r="K853" s="9"/>
      <c r="L853" s="9">
        <f ca="1">L852-O853*Prices!B853</f>
        <v>0.44681201983166013</v>
      </c>
      <c r="M853" s="1">
        <f t="shared" ca="1" si="80"/>
        <v>0.45972216860381393</v>
      </c>
      <c r="N853" s="9">
        <f ca="1">IF(Prices!D852&gt;OFFSET(Prices!D852,-$N$3,0),1,IF(Prices!D852&lt;OFFSET(Prices!D852,-$N$3,0),-1,0))</f>
        <v>1</v>
      </c>
      <c r="O853" s="1">
        <f ca="1">IF(N853=1,O$3*L852/Prices!B852,O$3*M852*N853)</f>
        <v>3.9850521738076392E-2</v>
      </c>
      <c r="P853" s="14"/>
      <c r="Q853" s="9">
        <f ca="1">Q852-T853*Prices!B853</f>
        <v>0.50005547671808714</v>
      </c>
      <c r="R853" s="1">
        <f t="shared" ca="1" si="81"/>
        <v>0.3830385993275397</v>
      </c>
      <c r="S853" s="9">
        <f ca="1">IF(Prices!C852&lt;OFFSET(Prices!C852,-S$3,0),1,IF(Prices!C852&gt;OFFSET(Prices!C852,-S$3,0),-1,0))</f>
        <v>1</v>
      </c>
      <c r="T853" s="1">
        <f ca="1">IF(S853=1,T$3*Q852/Prices!B852,T$3*R852*S853)</f>
        <v>8.1916951441428857E-3</v>
      </c>
    </row>
    <row r="854" spans="1:20" x14ac:dyDescent="0.2">
      <c r="A854" s="4">
        <v>34702</v>
      </c>
      <c r="B854" s="9">
        <f ca="1">Prices!B853*(1+J854/(50*(ABS(O854)+ABS(T854)+0.0001)))</f>
        <v>1.2706593641428285</v>
      </c>
      <c r="C854" s="13">
        <f t="shared" ca="1" si="76"/>
        <v>1</v>
      </c>
      <c r="D854" s="9">
        <f ca="1">D853+C854*(Prices!B854-Prices!B853)/Prices!B853</f>
        <v>-0.57462636263164713</v>
      </c>
      <c r="E854" s="9">
        <f t="shared" ca="1" si="77"/>
        <v>0.61075031389039347</v>
      </c>
      <c r="F854" s="9">
        <f t="shared" ca="1" si="78"/>
        <v>3.6123951258746317E-2</v>
      </c>
      <c r="G854" s="13">
        <f ca="1">IF((Prices!B854-Prices!B853)*B854&gt;0,1,0)</f>
        <v>0</v>
      </c>
      <c r="H854" s="9">
        <f>ABS(Prices!B854-Prices!B853)/Prices!B853</f>
        <v>2.5686305988120821E-3</v>
      </c>
      <c r="I854" s="13"/>
      <c r="J854" s="1">
        <f t="shared" ca="1" si="79"/>
        <v>4.3893330805528784E-2</v>
      </c>
      <c r="K854" s="9"/>
      <c r="L854" s="9">
        <f ca="1">L853-O854*Prices!B854</f>
        <v>0.40224558735109978</v>
      </c>
      <c r="M854" s="1">
        <f t="shared" ca="1" si="80"/>
        <v>0.49558763816808271</v>
      </c>
      <c r="N854" s="9">
        <f ca="1">IF(Prices!D853&gt;OFFSET(Prices!D853,-$N$3,0),1,IF(Prices!D853&lt;OFFSET(Prices!D853,-$N$3,0),-1,0))</f>
        <v>1</v>
      </c>
      <c r="O854" s="1">
        <f ca="1">IF(N854=1,O$3*L853/Prices!B853,O$3*M853*N854)</f>
        <v>3.5865469564268754E-2</v>
      </c>
      <c r="P854" s="14"/>
      <c r="Q854" s="9">
        <f ca="1">Q853-T854*Prices!B854</f>
        <v>0.49008005633969742</v>
      </c>
      <c r="R854" s="1">
        <f t="shared" ca="1" si="81"/>
        <v>0.39106646056879973</v>
      </c>
      <c r="S854" s="9">
        <f ca="1">IF(Prices!C853&lt;OFFSET(Prices!C853,-S$3,0),1,IF(Prices!C853&gt;OFFSET(Prices!C853,-S$3,0),-1,0))</f>
        <v>1</v>
      </c>
      <c r="T854" s="1">
        <f ca="1">IF(S854=1,T$3*Q853/Prices!B853,T$3*R853*S854)</f>
        <v>8.0278612412600283E-3</v>
      </c>
    </row>
    <row r="855" spans="1:20" x14ac:dyDescent="0.2">
      <c r="A855" s="4">
        <v>34703</v>
      </c>
      <c r="B855" s="9">
        <f ca="1">Prices!B854*(1+J855/(50*(ABS(O855)+ABS(T855)+0.0001)))</f>
        <v>1.2577421175606076</v>
      </c>
      <c r="C855" s="13">
        <f t="shared" ca="1" si="76"/>
        <v>1</v>
      </c>
      <c r="D855" s="9">
        <f ca="1">D854+C855*(Prices!B855-Prices!B854)/Prices!B854</f>
        <v>-0.57800637228881757</v>
      </c>
      <c r="E855" s="9">
        <f t="shared" ca="1" si="77"/>
        <v>0.61413032354756392</v>
      </c>
      <c r="F855" s="9">
        <f t="shared" ca="1" si="78"/>
        <v>3.6123951258746317E-2</v>
      </c>
      <c r="G855" s="13">
        <f ca="1">IF((Prices!B855-Prices!B854)*B855&gt;0,1,0)</f>
        <v>0</v>
      </c>
      <c r="H855" s="9">
        <f>ABS(Prices!B855-Prices!B854)/Prices!B854</f>
        <v>3.3800096571704342E-3</v>
      </c>
      <c r="I855" s="13"/>
      <c r="J855" s="1">
        <f t="shared" ca="1" si="79"/>
        <v>2.4549955783883928E-2</v>
      </c>
      <c r="K855" s="9"/>
      <c r="L855" s="9">
        <f ca="1">L854-O855*Prices!B855</f>
        <v>0.36215698801296992</v>
      </c>
      <c r="M855" s="1">
        <f t="shared" ca="1" si="80"/>
        <v>0.52795892316334259</v>
      </c>
      <c r="N855" s="9">
        <f ca="1">IF(Prices!D854&gt;OFFSET(Prices!D854,-$N$3,0),1,IF(Prices!D854&lt;OFFSET(Prices!D854,-$N$3,0),-1,0))</f>
        <v>1</v>
      </c>
      <c r="O855" s="1">
        <f ca="1">IF(N855=1,O$3*L854/Prices!B854,O$3*M854*N855)</f>
        <v>3.2371284995259923E-2</v>
      </c>
      <c r="P855" s="14"/>
      <c r="Q855" s="9">
        <f ca="1">Q854-T855*Prices!B855</f>
        <v>0.49976599043506548</v>
      </c>
      <c r="R855" s="1">
        <f t="shared" ca="1" si="81"/>
        <v>0.38324513135742372</v>
      </c>
      <c r="S855" s="9">
        <f ca="1">IF(Prices!C854&lt;OFFSET(Prices!C854,-S$3,0),1,IF(Prices!C854&gt;OFFSET(Prices!C854,-S$3,0),-1,0))</f>
        <v>-1</v>
      </c>
      <c r="T855" s="1">
        <f ca="1">IF(S855=1,T$3*Q854/Prices!B854,T$3*R854*S855)</f>
        <v>-7.821329211375995E-3</v>
      </c>
    </row>
    <row r="856" spans="1:20" x14ac:dyDescent="0.2">
      <c r="A856" s="4">
        <v>34704</v>
      </c>
      <c r="B856" s="9">
        <f ca="1">Prices!B855*(1+J856/(50*(ABS(O856)+ABS(T856)+0.0001)))</f>
        <v>1.2136728977458489</v>
      </c>
      <c r="C856" s="13">
        <f t="shared" ca="1" si="76"/>
        <v>-1</v>
      </c>
      <c r="D856" s="9">
        <f ca="1">D855+C856*(Prices!B856-Prices!B855)/Prices!B855</f>
        <v>-0.58099409838700877</v>
      </c>
      <c r="E856" s="9">
        <f t="shared" ca="1" si="77"/>
        <v>0.61711804964575512</v>
      </c>
      <c r="F856" s="9">
        <f t="shared" ca="1" si="78"/>
        <v>3.6123951258746317E-2</v>
      </c>
      <c r="G856" s="13">
        <f ca="1">IF((Prices!B856-Prices!B855)*B856&gt;0,1,0)</f>
        <v>1</v>
      </c>
      <c r="H856" s="9">
        <f>ABS(Prices!B856-Prices!B855)/Prices!B855</f>
        <v>2.9877260981912442E-3</v>
      </c>
      <c r="I856" s="13"/>
      <c r="J856" s="1">
        <f t="shared" ca="1" si="79"/>
        <v>-6.0460794943482735E-2</v>
      </c>
      <c r="K856" s="9"/>
      <c r="L856" s="9">
        <f ca="1">L855-O856*Prices!B856</f>
        <v>0.42773476585908871</v>
      </c>
      <c r="M856" s="1">
        <f t="shared" ca="1" si="80"/>
        <v>0.47516303084700834</v>
      </c>
      <c r="N856" s="9">
        <f ca="1">IF(Prices!D855&gt;OFFSET(Prices!D855,-$N$3,0),1,IF(Prices!D855&lt;OFFSET(Prices!D855,-$N$3,0),-1,0))</f>
        <v>-1</v>
      </c>
      <c r="O856" s="1">
        <f ca="1">IF(N856=1,O$3*L855/Prices!B855,O$3*M855*N856)</f>
        <v>-5.2795892316334261E-2</v>
      </c>
      <c r="P856" s="14"/>
      <c r="Q856" s="9">
        <f ca="1">Q855-T856*Prices!B856</f>
        <v>0.50928656598824662</v>
      </c>
      <c r="R856" s="1">
        <f t="shared" ca="1" si="81"/>
        <v>0.37558022873027525</v>
      </c>
      <c r="S856" s="9">
        <f ca="1">IF(Prices!C855&lt;OFFSET(Prices!C855,-S$3,0),1,IF(Prices!C855&gt;OFFSET(Prices!C855,-S$3,0),-1,0))</f>
        <v>-1</v>
      </c>
      <c r="T856" s="1">
        <f ca="1">IF(S856=1,T$3*Q855/Prices!B855,T$3*R855*S856)</f>
        <v>-7.6649026271484741E-3</v>
      </c>
    </row>
    <row r="857" spans="1:20" x14ac:dyDescent="0.2">
      <c r="A857" s="4">
        <v>34705</v>
      </c>
      <c r="B857" s="9">
        <f ca="1">Prices!B856*(1+J857/(50*(ABS(O857)+ABS(T857)+0.0001)))</f>
        <v>1.2173030624757128</v>
      </c>
      <c r="C857" s="13">
        <f t="shared" ca="1" si="76"/>
        <v>-1</v>
      </c>
      <c r="D857" s="9">
        <f ca="1">D856+C857*(Prices!B857-Prices!B856)/Prices!B856</f>
        <v>-0.57753221931124998</v>
      </c>
      <c r="E857" s="9">
        <f t="shared" ca="1" si="77"/>
        <v>0.61365617056999633</v>
      </c>
      <c r="F857" s="9">
        <f t="shared" ca="1" si="78"/>
        <v>3.6123951258746317E-2</v>
      </c>
      <c r="G857" s="13">
        <f ca="1">IF((Prices!B857-Prices!B856)*B857&gt;0,1,0)</f>
        <v>0</v>
      </c>
      <c r="H857" s="9">
        <f>ABS(Prices!B857-Prices!B856)/Prices!B856</f>
        <v>3.4618790757587718E-3</v>
      </c>
      <c r="I857" s="13"/>
      <c r="J857" s="1">
        <f t="shared" ca="1" si="79"/>
        <v>-5.5027907659306347E-2</v>
      </c>
      <c r="K857" s="9"/>
      <c r="L857" s="9">
        <f ca="1">L856-O857*Prices!B857</f>
        <v>0.48655044581733142</v>
      </c>
      <c r="M857" s="1">
        <f t="shared" ca="1" si="80"/>
        <v>0.4276467277623075</v>
      </c>
      <c r="N857" s="9">
        <f ca="1">IF(Prices!D856&gt;OFFSET(Prices!D856,-$N$3,0),1,IF(Prices!D856&lt;OFFSET(Prices!D856,-$N$3,0),-1,0))</f>
        <v>-1</v>
      </c>
      <c r="O857" s="1">
        <f ca="1">IF(N857=1,O$3*L856/Prices!B856,O$3*M856*N857)</f>
        <v>-4.7516303084700839E-2</v>
      </c>
      <c r="P857" s="14"/>
      <c r="Q857" s="9">
        <f ca="1">Q856-T857*Prices!B857</f>
        <v>0.51858443013069333</v>
      </c>
      <c r="R857" s="1">
        <f t="shared" ca="1" si="81"/>
        <v>0.36806862415566977</v>
      </c>
      <c r="S857" s="9">
        <f ca="1">IF(Prices!C856&lt;OFFSET(Prices!C856,-S$3,0),1,IF(Prices!C856&gt;OFFSET(Prices!C856,-S$3,0),-1,0))</f>
        <v>-1</v>
      </c>
      <c r="T857" s="1">
        <f ca="1">IF(S857=1,T$3*Q856/Prices!B856,T$3*R856*S857)</f>
        <v>-7.5116045746055054E-3</v>
      </c>
    </row>
    <row r="858" spans="1:20" x14ac:dyDescent="0.2">
      <c r="A858" s="4">
        <v>34708</v>
      </c>
      <c r="B858" s="9">
        <f ca="1">Prices!B857*(1+J858/(50*(ABS(O858)+ABS(T858)+0.0001)))</f>
        <v>1.2547099593851441</v>
      </c>
      <c r="C858" s="13">
        <f t="shared" ca="1" si="76"/>
        <v>1</v>
      </c>
      <c r="D858" s="9">
        <f ca="1">D857+C858*(Prices!B858-Prices!B857)/Prices!B857</f>
        <v>-0.57607802638832217</v>
      </c>
      <c r="E858" s="9">
        <f t="shared" ca="1" si="77"/>
        <v>0.61220197764706852</v>
      </c>
      <c r="F858" s="9">
        <f t="shared" ca="1" si="78"/>
        <v>3.6123951258746317E-2</v>
      </c>
      <c r="G858" s="13">
        <f ca="1">IF((Prices!B858-Prices!B857)*B858&gt;0,1,0)</f>
        <v>1</v>
      </c>
      <c r="H858" s="9">
        <f>ABS(Prices!B858-Prices!B857)/Prices!B857</f>
        <v>1.4541929229277943E-3</v>
      </c>
      <c r="I858" s="13"/>
      <c r="J858" s="1">
        <f t="shared" ca="1" si="79"/>
        <v>3.1946306125493117E-2</v>
      </c>
      <c r="K858" s="9"/>
      <c r="L858" s="9">
        <f ca="1">L857-O858*Prices!B858</f>
        <v>0.43782464741410276</v>
      </c>
      <c r="M858" s="1">
        <f t="shared" ca="1" si="80"/>
        <v>0.46695440637091401</v>
      </c>
      <c r="N858" s="9">
        <f ca="1">IF(Prices!D857&gt;OFFSET(Prices!D857,-$N$3,0),1,IF(Prices!D857&lt;OFFSET(Prices!D857,-$N$3,0),-1,0))</f>
        <v>1</v>
      </c>
      <c r="O858" s="1">
        <f ca="1">IF(N858=1,O$3*L857/Prices!B857,O$3*M857*N858)</f>
        <v>3.9307678608606511E-2</v>
      </c>
      <c r="P858" s="14"/>
      <c r="Q858" s="9">
        <f ca="1">Q857-T858*Prices!B858</f>
        <v>0.52770958746076069</v>
      </c>
      <c r="R858" s="1">
        <f t="shared" ca="1" si="81"/>
        <v>0.36070725167255635</v>
      </c>
      <c r="S858" s="9">
        <f ca="1">IF(Prices!C857&lt;OFFSET(Prices!C857,-S$3,0),1,IF(Prices!C857&gt;OFFSET(Prices!C857,-S$3,0),-1,0))</f>
        <v>-1</v>
      </c>
      <c r="T858" s="1">
        <f ca="1">IF(S858=1,T$3*Q857/Prices!B857,T$3*R857*S858)</f>
        <v>-7.3613724831133953E-3</v>
      </c>
    </row>
    <row r="859" spans="1:20" x14ac:dyDescent="0.2">
      <c r="A859" s="4">
        <v>34709</v>
      </c>
      <c r="B859" s="9">
        <f ca="1">Prices!B858*(1+J859/(50*(ABS(O859)+ABS(T859)+0.0001)))</f>
        <v>1.2643355699314838</v>
      </c>
      <c r="C859" s="13">
        <f t="shared" ca="1" si="76"/>
        <v>1</v>
      </c>
      <c r="D859" s="9">
        <f ca="1">D858+C859*(Prices!B859-Prices!B858)/Prices!B858</f>
        <v>-0.56631681309371096</v>
      </c>
      <c r="E859" s="9">
        <f t="shared" ca="1" si="77"/>
        <v>0.6024407643524573</v>
      </c>
      <c r="F859" s="9">
        <f t="shared" ca="1" si="78"/>
        <v>3.6123951258746317E-2</v>
      </c>
      <c r="G859" s="13">
        <f ca="1">IF((Prices!B859-Prices!B858)*B859&gt;0,1,0)</f>
        <v>1</v>
      </c>
      <c r="H859" s="9">
        <f>ABS(Prices!B859-Prices!B858)/Prices!B858</f>
        <v>9.7612132946111648E-3</v>
      </c>
      <c r="I859" s="13"/>
      <c r="J859" s="1">
        <f t="shared" ca="1" si="79"/>
        <v>4.3834024274463937E-2</v>
      </c>
      <c r="K859" s="9"/>
      <c r="L859" s="9">
        <f ca="1">L858-O859*Prices!B859</f>
        <v>0.3936148126957878</v>
      </c>
      <c r="M859" s="1">
        <f t="shared" ca="1" si="80"/>
        <v>0.50227423917295522</v>
      </c>
      <c r="N859" s="9">
        <f ca="1">IF(Prices!D858&gt;OFFSET(Prices!D858,-$N$3,0),1,IF(Prices!D858&lt;OFFSET(Prices!D858,-$N$3,0),-1,0))</f>
        <v>1</v>
      </c>
      <c r="O859" s="1">
        <f ca="1">IF(N859=1,O$3*L858/Prices!B858,O$3*M858*N859)</f>
        <v>3.5319832802041207E-2</v>
      </c>
      <c r="P859" s="14"/>
      <c r="Q859" s="9">
        <f ca="1">Q858-T859*Prices!B859</f>
        <v>0.51705237399472914</v>
      </c>
      <c r="R859" s="1">
        <f t="shared" ca="1" si="81"/>
        <v>0.36922144314497907</v>
      </c>
      <c r="S859" s="9">
        <f ca="1">IF(Prices!C858&lt;OFFSET(Prices!C858,-S$3,0),1,IF(Prices!C858&gt;OFFSET(Prices!C858,-S$3,0),-1,0))</f>
        <v>1</v>
      </c>
      <c r="T859" s="1">
        <f ca="1">IF(S859=1,T$3*Q858/Prices!B858,T$3*R858*S859)</f>
        <v>8.5141914724227268E-3</v>
      </c>
    </row>
    <row r="860" spans="1:20" x14ac:dyDescent="0.2">
      <c r="A860" s="4">
        <v>34710</v>
      </c>
      <c r="B860" s="9">
        <f ca="1">Prices!B859*(1+J860/(50*(ABS(O860)+ABS(T860)+0.0001)))</f>
        <v>1.233768785738881</v>
      </c>
      <c r="C860" s="13">
        <f t="shared" ca="1" si="76"/>
        <v>-1</v>
      </c>
      <c r="D860" s="9">
        <f ca="1">D859+C860*(Prices!B860-Prices!B859)/Prices!B859</f>
        <v>-0.56583746500710874</v>
      </c>
      <c r="E860" s="9">
        <f t="shared" ca="1" si="77"/>
        <v>0.60196141626585509</v>
      </c>
      <c r="F860" s="9">
        <f t="shared" ca="1" si="78"/>
        <v>3.6123951258746317E-2</v>
      </c>
      <c r="G860" s="13">
        <f ca="1">IF((Prices!B860-Prices!B859)*B860&gt;0,1,0)</f>
        <v>0</v>
      </c>
      <c r="H860" s="9">
        <f>ABS(Prices!B860-Prices!B859)/Prices!B859</f>
        <v>4.7934808660216819E-4</v>
      </c>
      <c r="I860" s="13"/>
      <c r="J860" s="1">
        <f t="shared" ca="1" si="79"/>
        <v>-4.1965821712378545E-2</v>
      </c>
      <c r="K860" s="9"/>
      <c r="L860" s="9">
        <f ca="1">L859-O860*Prices!B860</f>
        <v>0.45645434275871621</v>
      </c>
      <c r="M860" s="1">
        <f t="shared" ca="1" si="80"/>
        <v>0.45204681525565971</v>
      </c>
      <c r="N860" s="9">
        <f ca="1">IF(Prices!D859&gt;OFFSET(Prices!D859,-$N$3,0),1,IF(Prices!D859&lt;OFFSET(Prices!D859,-$N$3,0),-1,0))</f>
        <v>-1</v>
      </c>
      <c r="O860" s="1">
        <f ca="1">IF(N860=1,O$3*L859/Prices!B859,O$3*M859*N860)</f>
        <v>-5.0227423917295524E-2</v>
      </c>
      <c r="P860" s="14"/>
      <c r="Q860" s="9">
        <f ca="1">Q859-T860*Prices!B860</f>
        <v>0.50671628347615749</v>
      </c>
      <c r="R860" s="1">
        <f t="shared" ca="1" si="81"/>
        <v>0.37748304534989607</v>
      </c>
      <c r="S860" s="9">
        <f ca="1">IF(Prices!C859&lt;OFFSET(Prices!C859,-S$3,0),1,IF(Prices!C859&gt;OFFSET(Prices!C859,-S$3,0),-1,0))</f>
        <v>1</v>
      </c>
      <c r="T860" s="1">
        <f ca="1">IF(S860=1,T$3*Q859/Prices!B859,T$3*R859*S860)</f>
        <v>8.2616022049169791E-3</v>
      </c>
    </row>
    <row r="861" spans="1:20" x14ac:dyDescent="0.2">
      <c r="A861" s="4">
        <v>34711</v>
      </c>
      <c r="B861" s="9">
        <f ca="1">Prices!B860*(1+J861/(50*(ABS(O861)+ABS(T861)+0.0001)))</f>
        <v>1.2337153957798535</v>
      </c>
      <c r="C861" s="13">
        <f t="shared" ca="1" si="76"/>
        <v>-1</v>
      </c>
      <c r="D861" s="9">
        <f ca="1">D860+C861*(Prices!B861-Prices!B860)/Prices!B860</f>
        <v>-0.56951422945439512</v>
      </c>
      <c r="E861" s="9">
        <f t="shared" ca="1" si="77"/>
        <v>0.60563818071314146</v>
      </c>
      <c r="F861" s="9">
        <f t="shared" ca="1" si="78"/>
        <v>3.6123951258746317E-2</v>
      </c>
      <c r="G861" s="13">
        <f ca="1">IF((Prices!B861-Prices!B860)*B861&gt;0,1,0)</f>
        <v>1</v>
      </c>
      <c r="H861" s="9">
        <f>ABS(Prices!B861-Prices!B860)/Prices!B860</f>
        <v>3.6767644472863376E-3</v>
      </c>
      <c r="I861" s="13"/>
      <c r="J861" s="1">
        <f t="shared" ca="1" si="79"/>
        <v>-3.7104349282321508E-2</v>
      </c>
      <c r="K861" s="9"/>
      <c r="L861" s="9">
        <f ca="1">L860-O861*Prices!B861</f>
        <v>0.5132178613503694</v>
      </c>
      <c r="M861" s="1">
        <f t="shared" ca="1" si="80"/>
        <v>0.4068421337300937</v>
      </c>
      <c r="N861" s="9">
        <f ca="1">IF(Prices!D860&gt;OFFSET(Prices!D860,-$N$3,0),1,IF(Prices!D860&lt;OFFSET(Prices!D860,-$N$3,0),-1,0))</f>
        <v>-1</v>
      </c>
      <c r="O861" s="1">
        <f ca="1">IF(N861=1,O$3*L860/Prices!B860,O$3*M860*N861)</f>
        <v>-4.5204681525565976E-2</v>
      </c>
      <c r="P861" s="14"/>
      <c r="Q861" s="9">
        <f ca="1">Q860-T861*Prices!B861</f>
        <v>0.49654469627831543</v>
      </c>
      <c r="R861" s="1">
        <f t="shared" ca="1" si="81"/>
        <v>0.38558337759314054</v>
      </c>
      <c r="S861" s="9">
        <f ca="1">IF(Prices!C860&lt;OFFSET(Prices!C860,-S$3,0),1,IF(Prices!C860&gt;OFFSET(Prices!C860,-S$3,0),-1,0))</f>
        <v>1</v>
      </c>
      <c r="T861" s="1">
        <f ca="1">IF(S861=1,T$3*Q860/Prices!B860,T$3*R860*S861)</f>
        <v>8.1003322432444645E-3</v>
      </c>
    </row>
    <row r="862" spans="1:20" x14ac:dyDescent="0.2">
      <c r="A862" s="4">
        <v>34712</v>
      </c>
      <c r="B862" s="9">
        <f ca="1">Prices!B861*(1+J862/(50*(ABS(O862)+ABS(T862)+0.0001)))</f>
        <v>1.2387955632802796</v>
      </c>
      <c r="C862" s="13">
        <f t="shared" ca="1" si="76"/>
        <v>-1</v>
      </c>
      <c r="D862" s="9">
        <f ca="1">D861+C862*(Prices!B862-Prices!B861)/Prices!B861</f>
        <v>-0.56800112919159351</v>
      </c>
      <c r="E862" s="9">
        <f t="shared" ca="1" si="77"/>
        <v>0.60412508045033986</v>
      </c>
      <c r="F862" s="9">
        <f t="shared" ca="1" si="78"/>
        <v>3.6123951258746317E-2</v>
      </c>
      <c r="G862" s="13">
        <f ca="1">IF((Prices!B862-Prices!B861)*B862&gt;0,1,0)</f>
        <v>0</v>
      </c>
      <c r="H862" s="9">
        <f>ABS(Prices!B862-Prices!B861)/Prices!B861</f>
        <v>1.5131002628016347E-3</v>
      </c>
      <c r="I862" s="13"/>
      <c r="J862" s="1">
        <f t="shared" ca="1" si="79"/>
        <v>-3.2775561684257035E-2</v>
      </c>
      <c r="K862" s="9"/>
      <c r="L862" s="9">
        <f ca="1">L861-O862*Prices!B862</f>
        <v>0.56422772807744859</v>
      </c>
      <c r="M862" s="1">
        <f t="shared" ca="1" si="80"/>
        <v>0.36615792035708433</v>
      </c>
      <c r="N862" s="9">
        <f ca="1">IF(Prices!D861&gt;OFFSET(Prices!D861,-$N$3,0),1,IF(Prices!D861&lt;OFFSET(Prices!D861,-$N$3,0),-1,0))</f>
        <v>-1</v>
      </c>
      <c r="O862" s="1">
        <f ca="1">IF(N862=1,O$3*L861/Prices!B861,O$3*M861*N862)</f>
        <v>-4.068421337300937E-2</v>
      </c>
      <c r="P862" s="14"/>
      <c r="Q862" s="9">
        <f ca="1">Q861-T862*Prices!B862</f>
        <v>0.48662882879095776</v>
      </c>
      <c r="R862" s="1">
        <f t="shared" ca="1" si="81"/>
        <v>0.39349202928189286</v>
      </c>
      <c r="S862" s="9">
        <f ca="1">IF(Prices!C861&lt;OFFSET(Prices!C861,-S$3,0),1,IF(Prices!C861&gt;OFFSET(Prices!C861,-S$3,0),-1,0))</f>
        <v>1</v>
      </c>
      <c r="T862" s="1">
        <f ca="1">IF(S862=1,T$3*Q861/Prices!B861,T$3*R861*S862)</f>
        <v>7.9086516887523356E-3</v>
      </c>
    </row>
    <row r="863" spans="1:20" x14ac:dyDescent="0.2">
      <c r="A863" s="4">
        <v>34715</v>
      </c>
      <c r="B863" s="9">
        <f ca="1">Prices!B862*(1+J863/(50*(ABS(O863)+ABS(T863)+0.0001)))</f>
        <v>1.2375330384715231</v>
      </c>
      <c r="C863" s="13">
        <f t="shared" ca="1" si="76"/>
        <v>-1</v>
      </c>
      <c r="D863" s="9">
        <f ca="1">D862+C863*(Prices!B863-Prices!B862)/Prices!B862</f>
        <v>-0.5721485211201307</v>
      </c>
      <c r="E863" s="9">
        <f t="shared" ca="1" si="77"/>
        <v>0.60827247237887705</v>
      </c>
      <c r="F863" s="9">
        <f t="shared" ca="1" si="78"/>
        <v>3.6123951258746317E-2</v>
      </c>
      <c r="G863" s="13">
        <f ca="1">IF((Prices!B863-Prices!B862)*B863&gt;0,1,0)</f>
        <v>1</v>
      </c>
      <c r="H863" s="9">
        <f>ABS(Prices!B863-Prices!B862)/Prices!B862</f>
        <v>4.1473919285371441E-3</v>
      </c>
      <c r="I863" s="13"/>
      <c r="J863" s="1">
        <f t="shared" ca="1" si="79"/>
        <v>-2.8853328663704006E-2</v>
      </c>
      <c r="K863" s="9"/>
      <c r="L863" s="9">
        <f ca="1">L862-O863*Prices!B863</f>
        <v>0.61032701025040548</v>
      </c>
      <c r="M863" s="1">
        <f t="shared" ca="1" si="80"/>
        <v>0.32954212832137592</v>
      </c>
      <c r="N863" s="9">
        <f ca="1">IF(Prices!D862&gt;OFFSET(Prices!D862,-$N$3,0),1,IF(Prices!D862&lt;OFFSET(Prices!D862,-$N$3,0),-1,0))</f>
        <v>-1</v>
      </c>
      <c r="O863" s="1">
        <f ca="1">IF(N863=1,O$3*L862/Prices!B862,O$3*M862*N863)</f>
        <v>-3.6615792035708437E-2</v>
      </c>
      <c r="P863" s="14"/>
      <c r="Q863" s="9">
        <f ca="1">Q862-T863*Prices!B863</f>
        <v>0.4768558874056042</v>
      </c>
      <c r="R863" s="1">
        <f t="shared" ca="1" si="81"/>
        <v>0.40125449265389729</v>
      </c>
      <c r="S863" s="9">
        <f ca="1">IF(Prices!C862&lt;OFFSET(Prices!C862,-S$3,0),1,IF(Prices!C862&gt;OFFSET(Prices!C862,-S$3,0),-1,0))</f>
        <v>1</v>
      </c>
      <c r="T863" s="1">
        <f ca="1">IF(S863=1,T$3*Q862/Prices!B862,T$3*R862*S863)</f>
        <v>7.7624633720044314E-3</v>
      </c>
    </row>
    <row r="864" spans="1:20" x14ac:dyDescent="0.2">
      <c r="A864" s="4">
        <v>34716</v>
      </c>
      <c r="B864" s="9">
        <f ca="1">Prices!B863*(1+J864/(50*(ABS(O864)+ABS(T864)+0.0001)))</f>
        <v>1.2432713586700272</v>
      </c>
      <c r="C864" s="13">
        <f t="shared" ca="1" si="76"/>
        <v>-1</v>
      </c>
      <c r="D864" s="9">
        <f ca="1">D863+C864*(Prices!B864-Prices!B863)/Prices!B863</f>
        <v>-0.57000396194618319</v>
      </c>
      <c r="E864" s="9">
        <f t="shared" ca="1" si="77"/>
        <v>0.60612791320492954</v>
      </c>
      <c r="F864" s="9">
        <f t="shared" ca="1" si="78"/>
        <v>3.6123951258746317E-2</v>
      </c>
      <c r="G864" s="13">
        <f ca="1">IF((Prices!B864-Prices!B863)*B864&gt;0,1,0)</f>
        <v>0</v>
      </c>
      <c r="H864" s="9">
        <f>ABS(Prices!B864-Prices!B863)/Prices!B863</f>
        <v>2.1445591739475177E-3</v>
      </c>
      <c r="I864" s="13"/>
      <c r="J864" s="1">
        <f t="shared" ca="1" si="79"/>
        <v>-2.5379059735940544E-2</v>
      </c>
      <c r="K864" s="9"/>
      <c r="L864" s="9">
        <f ca="1">L863-O864*Prices!B864</f>
        <v>0.65172738783141992</v>
      </c>
      <c r="M864" s="1">
        <f t="shared" ca="1" si="80"/>
        <v>0.29658791548923835</v>
      </c>
      <c r="N864" s="9">
        <f ca="1">IF(Prices!D863&gt;OFFSET(Prices!D863,-$N$3,0),1,IF(Prices!D863&lt;OFFSET(Prices!D863,-$N$3,0),-1,0))</f>
        <v>-1</v>
      </c>
      <c r="O864" s="1">
        <f ca="1">IF(N864=1,O$3*L863/Prices!B863,O$3*M863*N864)</f>
        <v>-3.2954212832137592E-2</v>
      </c>
      <c r="P864" s="14"/>
      <c r="Q864" s="9">
        <f ca="1">Q863-T864*Prices!B864</f>
        <v>0.46733922257085186</v>
      </c>
      <c r="R864" s="1">
        <f t="shared" ca="1" si="81"/>
        <v>0.40882964575009434</v>
      </c>
      <c r="S864" s="9">
        <f ca="1">IF(Prices!C863&lt;OFFSET(Prices!C863,-S$3,0),1,IF(Prices!C863&gt;OFFSET(Prices!C863,-S$3,0),-1,0))</f>
        <v>1</v>
      </c>
      <c r="T864" s="1">
        <f ca="1">IF(S864=1,T$3*Q863/Prices!B863,T$3*R863*S864)</f>
        <v>7.5751530961970489E-3</v>
      </c>
    </row>
    <row r="865" spans="1:20" x14ac:dyDescent="0.2">
      <c r="A865" s="4">
        <v>34717</v>
      </c>
      <c r="B865" s="9">
        <f ca="1">Prices!B864*(1+J865/(50*(ABS(O865)+ABS(T865)+0.0001)))</f>
        <v>1.281383712199075</v>
      </c>
      <c r="C865" s="13">
        <f t="shared" ca="1" si="76"/>
        <v>1</v>
      </c>
      <c r="D865" s="9">
        <f ca="1">D864+C865*(Prices!B865-Prices!B864)/Prices!B864</f>
        <v>-0.56992436312424577</v>
      </c>
      <c r="E865" s="9">
        <f t="shared" ca="1" si="77"/>
        <v>0.60604831438299211</v>
      </c>
      <c r="F865" s="9">
        <f t="shared" ca="1" si="78"/>
        <v>3.6123951258746317E-2</v>
      </c>
      <c r="G865" s="13">
        <f ca="1">IF((Prices!B865-Prices!B864)*B865&gt;0,1,0)</f>
        <v>1</v>
      </c>
      <c r="H865" s="9">
        <f>ABS(Prices!B865-Prices!B864)/Prices!B864</f>
        <v>7.959882193742656E-5</v>
      </c>
      <c r="I865" s="13"/>
      <c r="J865" s="1">
        <f t="shared" ca="1" si="79"/>
        <v>5.9316662608102387E-2</v>
      </c>
      <c r="K865" s="9"/>
      <c r="L865" s="9">
        <f ca="1">L864-O865*Prices!B865</f>
        <v>0.58654946137504838</v>
      </c>
      <c r="M865" s="1">
        <f t="shared" ca="1" si="80"/>
        <v>0.34846464778498143</v>
      </c>
      <c r="N865" s="9">
        <f ca="1">IF(Prices!D864&gt;OFFSET(Prices!D864,-$N$3,0),1,IF(Prices!D864&lt;OFFSET(Prices!D864,-$N$3,0),-1,0))</f>
        <v>1</v>
      </c>
      <c r="O865" s="1">
        <f ca="1">IF(N865=1,O$3*L864/Prices!B864,O$3*M864*N865)</f>
        <v>5.187673229574305E-2</v>
      </c>
      <c r="P865" s="14"/>
      <c r="Q865" s="9">
        <f ca="1">Q864-T865*Prices!B865</f>
        <v>0.45799169412640361</v>
      </c>
      <c r="R865" s="1">
        <f t="shared" ca="1" si="81"/>
        <v>0.41626957606245368</v>
      </c>
      <c r="S865" s="9">
        <f ca="1">IF(Prices!C864&lt;OFFSET(Prices!C864,-S$3,0),1,IF(Prices!C864&gt;OFFSET(Prices!C864,-S$3,0),-1,0))</f>
        <v>1</v>
      </c>
      <c r="T865" s="1">
        <f ca="1">IF(S865=1,T$3*Q864/Prices!B864,T$3*R864*S865)</f>
        <v>7.4399303123593389E-3</v>
      </c>
    </row>
    <row r="866" spans="1:20" x14ac:dyDescent="0.2">
      <c r="A866" s="4">
        <v>34718</v>
      </c>
      <c r="B866" s="9">
        <f ca="1">Prices!B865*(1+J866/(50*(ABS(O866)+ABS(T866)+0.0001)))</f>
        <v>1.2738903440373177</v>
      </c>
      <c r="C866" s="13">
        <f t="shared" ca="1" si="76"/>
        <v>1</v>
      </c>
      <c r="D866" s="9">
        <f ca="1">D865+C866*(Prices!B866-Prices!B865)/Prices!B865</f>
        <v>-0.57024273307012285</v>
      </c>
      <c r="E866" s="9">
        <f t="shared" ca="1" si="77"/>
        <v>0.6063666843288692</v>
      </c>
      <c r="F866" s="9">
        <f t="shared" ca="1" si="78"/>
        <v>3.6123951258746317E-2</v>
      </c>
      <c r="G866" s="13">
        <f ca="1">IF((Prices!B866-Prices!B865)*B866&gt;0,1,0)</f>
        <v>0</v>
      </c>
      <c r="H866" s="9">
        <f>ABS(Prices!B866-Prices!B865)/Prices!B865</f>
        <v>3.1836994587707414E-4</v>
      </c>
      <c r="I866" s="13"/>
      <c r="J866" s="1">
        <f t="shared" ca="1" si="79"/>
        <v>3.8359538546806356E-2</v>
      </c>
      <c r="K866" s="9"/>
      <c r="L866" s="9">
        <f ca="1">L865-O866*Prices!B866</f>
        <v>0.52791318920957075</v>
      </c>
      <c r="M866" s="1">
        <f t="shared" ca="1" si="80"/>
        <v>0.39514957785303684</v>
      </c>
      <c r="N866" s="9">
        <f ca="1">IF(Prices!D865&gt;OFFSET(Prices!D865,-$N$3,0),1,IF(Prices!D865&lt;OFFSET(Prices!D865,-$N$3,0),-1,0))</f>
        <v>1</v>
      </c>
      <c r="O866" s="1">
        <f ca="1">IF(N866=1,O$3*L865/Prices!B865,O$3*M865*N866)</f>
        <v>4.6684930068055429E-2</v>
      </c>
      <c r="P866" s="14"/>
      <c r="Q866" s="9">
        <f ca="1">Q865-T866*Prices!B866</f>
        <v>0.46844838587709248</v>
      </c>
      <c r="R866" s="1">
        <f t="shared" ca="1" si="81"/>
        <v>0.40794418454120462</v>
      </c>
      <c r="S866" s="9">
        <f ca="1">IF(Prices!C865&lt;OFFSET(Prices!C865,-S$3,0),1,IF(Prices!C865&gt;OFFSET(Prices!C865,-S$3,0),-1,0))</f>
        <v>-1</v>
      </c>
      <c r="T866" s="1">
        <f ca="1">IF(S866=1,T$3*Q865/Prices!B865,T$3*R865*S866)</f>
        <v>-8.3253915212490731E-3</v>
      </c>
    </row>
    <row r="867" spans="1:20" x14ac:dyDescent="0.2">
      <c r="A867" s="4">
        <v>34719</v>
      </c>
      <c r="B867" s="9">
        <f ca="1">Prices!B866*(1+J867/(50*(ABS(O867)+ABS(T867)+0.0001)))</f>
        <v>1.2729193086046886</v>
      </c>
      <c r="C867" s="13">
        <f t="shared" ca="1" si="76"/>
        <v>1</v>
      </c>
      <c r="D867" s="9">
        <f ca="1">D866+C867*(Prices!B867-Prices!B866)/Prices!B866</f>
        <v>-0.55622999421661967</v>
      </c>
      <c r="E867" s="9">
        <f t="shared" ca="1" si="77"/>
        <v>0.59235394547536602</v>
      </c>
      <c r="F867" s="9">
        <f t="shared" ca="1" si="78"/>
        <v>3.6123951258746317E-2</v>
      </c>
      <c r="G867" s="13">
        <f ca="1">IF((Prices!B867-Prices!B866)*B867&gt;0,1,0)</f>
        <v>1</v>
      </c>
      <c r="H867" s="9">
        <f>ABS(Prices!B867-Prices!B866)/Prices!B866</f>
        <v>1.4012738853503232E-2</v>
      </c>
      <c r="I867" s="13"/>
      <c r="J867" s="1">
        <f t="shared" ca="1" si="79"/>
        <v>3.3872421182549378E-2</v>
      </c>
      <c r="K867" s="9"/>
      <c r="L867" s="9">
        <f ca="1">L866-O867*Prices!B867</f>
        <v>0.4743821193228423</v>
      </c>
      <c r="M867" s="1">
        <f t="shared" ca="1" si="80"/>
        <v>0.43718088272641031</v>
      </c>
      <c r="N867" s="9">
        <f ca="1">IF(Prices!D866&gt;OFFSET(Prices!D866,-$N$3,0),1,IF(Prices!D866&lt;OFFSET(Prices!D866,-$N$3,0),-1,0))</f>
        <v>1</v>
      </c>
      <c r="O867" s="1">
        <f ca="1">IF(N867=1,O$3*L866/Prices!B866,O$3*M866*N867)</f>
        <v>4.2031304873373469E-2</v>
      </c>
      <c r="P867" s="14"/>
      <c r="Q867" s="9">
        <f ca="1">Q866-T867*Prices!B867</f>
        <v>0.47883954014572605</v>
      </c>
      <c r="R867" s="1">
        <f t="shared" ca="1" si="81"/>
        <v>0.39978530085038055</v>
      </c>
      <c r="S867" s="9">
        <f ca="1">IF(Prices!C866&lt;OFFSET(Prices!C866,-S$3,0),1,IF(Prices!C866&gt;OFFSET(Prices!C866,-S$3,0),-1,0))</f>
        <v>-1</v>
      </c>
      <c r="T867" s="1">
        <f ca="1">IF(S867=1,T$3*Q866/Prices!B866,T$3*R866*S867)</f>
        <v>-8.1588836908240928E-3</v>
      </c>
    </row>
    <row r="868" spans="1:20" x14ac:dyDescent="0.2">
      <c r="A868" s="4">
        <v>34722</v>
      </c>
      <c r="B868" s="9">
        <f ca="1">Prices!B867*(1+J868/(50*(ABS(O868)+ABS(T868)+0.0001)))</f>
        <v>1.2900324562241545</v>
      </c>
      <c r="C868" s="13">
        <f t="shared" ca="1" si="76"/>
        <v>1</v>
      </c>
      <c r="D868" s="9">
        <f ca="1">D867+C868*(Prices!B868-Prices!B867)/Prices!B867</f>
        <v>-0.55615147662868003</v>
      </c>
      <c r="E868" s="9">
        <f t="shared" ca="1" si="77"/>
        <v>0.59227542788742638</v>
      </c>
      <c r="F868" s="9">
        <f t="shared" ca="1" si="78"/>
        <v>3.6123951258746317E-2</v>
      </c>
      <c r="G868" s="13">
        <f ca="1">IF((Prices!B868-Prices!B867)*B868&gt;0,1,0)</f>
        <v>1</v>
      </c>
      <c r="H868" s="9">
        <f>ABS(Prices!B868-Prices!B867)/Prices!B867</f>
        <v>7.8517587939689847E-5</v>
      </c>
      <c r="I868" s="13"/>
      <c r="J868" s="1">
        <f t="shared" ca="1" si="79"/>
        <v>2.9251633753944205E-2</v>
      </c>
      <c r="K868" s="9"/>
      <c r="L868" s="9">
        <f ca="1">L867-O868*Prices!B868</f>
        <v>0.42694018265658096</v>
      </c>
      <c r="M868" s="1">
        <f t="shared" ca="1" si="80"/>
        <v>0.47442822249736211</v>
      </c>
      <c r="N868" s="9">
        <f ca="1">IF(Prices!D867&gt;OFFSET(Prices!D867,-$N$3,0),1,IF(Prices!D867&lt;OFFSET(Prices!D867,-$N$3,0),-1,0))</f>
        <v>1</v>
      </c>
      <c r="O868" s="1">
        <f ca="1">IF(N868=1,O$3*L867/Prices!B867,O$3*M867*N868)</f>
        <v>3.7247339770951814E-2</v>
      </c>
      <c r="P868" s="14"/>
      <c r="Q868" s="9">
        <f ca="1">Q867-T868*Prices!B868</f>
        <v>0.48902367089958865</v>
      </c>
      <c r="R868" s="1">
        <f t="shared" ca="1" si="81"/>
        <v>0.39178959483337295</v>
      </c>
      <c r="S868" s="9">
        <f ca="1">IF(Prices!C867&lt;OFFSET(Prices!C867,-S$3,0),1,IF(Prices!C867&gt;OFFSET(Prices!C867,-S$3,0),-1,0))</f>
        <v>-1</v>
      </c>
      <c r="T868" s="1">
        <f ca="1">IF(S868=1,T$3*Q867/Prices!B867,T$3*R867*S868)</f>
        <v>-7.9957060170076106E-3</v>
      </c>
    </row>
    <row r="869" spans="1:20" x14ac:dyDescent="0.2">
      <c r="A869" s="4">
        <v>34723</v>
      </c>
      <c r="B869" s="9">
        <f ca="1">Prices!B868*(1+J869/(50*(ABS(O869)+ABS(T869)+0.0001)))</f>
        <v>1.289482509514041</v>
      </c>
      <c r="C869" s="13">
        <f t="shared" ca="1" si="76"/>
        <v>1</v>
      </c>
      <c r="D869" s="9">
        <f ca="1">D868+C869*(Prices!B869-Prices!B868)/Prices!B868</f>
        <v>-0.55780021652033429</v>
      </c>
      <c r="E869" s="9">
        <f t="shared" ca="1" si="77"/>
        <v>0.59392416777908064</v>
      </c>
      <c r="F869" s="9">
        <f t="shared" ca="1" si="78"/>
        <v>3.6123951258746317E-2</v>
      </c>
      <c r="G869" s="13">
        <f ca="1">IF((Prices!B869-Prices!B868)*B869&gt;0,1,0)</f>
        <v>0</v>
      </c>
      <c r="H869" s="9">
        <f>ABS(Prices!B869-Prices!B868)/Prices!B868</f>
        <v>1.6487398916542283E-3</v>
      </c>
      <c r="I869" s="13"/>
      <c r="J869" s="1">
        <f t="shared" ca="1" si="79"/>
        <v>2.5683889555525447E-2</v>
      </c>
      <c r="K869" s="9"/>
      <c r="L869" s="9">
        <f ca="1">L868-O869*Prices!B869</f>
        <v>0.38431655572197243</v>
      </c>
      <c r="M869" s="1">
        <f t="shared" ca="1" si="80"/>
        <v>0.50794790394955502</v>
      </c>
      <c r="N869" s="9">
        <f ca="1">IF(Prices!D868&gt;OFFSET(Prices!D868,-$N$3,0),1,IF(Prices!D868&lt;OFFSET(Prices!D868,-$N$3,0),-1,0))</f>
        <v>1</v>
      </c>
      <c r="O869" s="1">
        <f ca="1">IF(N869=1,O$3*L868/Prices!B868,O$3*M868*N869)</f>
        <v>3.3519681452192904E-2</v>
      </c>
      <c r="P869" s="14"/>
      <c r="Q869" s="9">
        <f ca="1">Q868-T869*Prices!B869</f>
        <v>0.49898766387539101</v>
      </c>
      <c r="R869" s="1">
        <f t="shared" ca="1" si="81"/>
        <v>0.3839538029367055</v>
      </c>
      <c r="S869" s="9">
        <f ca="1">IF(Prices!C868&lt;OFFSET(Prices!C868,-S$3,0),1,IF(Prices!C868&gt;OFFSET(Prices!C868,-S$3,0),-1,0))</f>
        <v>-1</v>
      </c>
      <c r="T869" s="1">
        <f ca="1">IF(S869=1,T$3*Q868/Prices!B868,T$3*R868*S869)</f>
        <v>-7.835791896667459E-3</v>
      </c>
    </row>
    <row r="870" spans="1:20" x14ac:dyDescent="0.2">
      <c r="A870" s="4">
        <v>34724</v>
      </c>
      <c r="B870" s="9">
        <f ca="1">Prices!B869*(1+J870/(50*(ABS(O870)+ABS(T870)+0.0001)))</f>
        <v>1.2866870124828547</v>
      </c>
      <c r="C870" s="13">
        <f t="shared" ca="1" si="76"/>
        <v>1</v>
      </c>
      <c r="D870" s="9">
        <f ca="1">D869+C870*(Prices!B870-Prices!B869)/Prices!B869</f>
        <v>-0.56181091170750019</v>
      </c>
      <c r="E870" s="9">
        <f t="shared" ca="1" si="77"/>
        <v>0.59793486296624654</v>
      </c>
      <c r="F870" s="9">
        <f t="shared" ca="1" si="78"/>
        <v>3.6123951258746317E-2</v>
      </c>
      <c r="G870" s="13">
        <f ca="1">IF((Prices!B870-Prices!B869)*B870&gt;0,1,0)</f>
        <v>0</v>
      </c>
      <c r="H870" s="9">
        <f>ABS(Prices!B870-Prices!B869)/Prices!B869</f>
        <v>4.0106951871658574E-3</v>
      </c>
      <c r="I870" s="13"/>
      <c r="J870" s="1">
        <f t="shared" ca="1" si="79"/>
        <v>2.2543993752682404E-2</v>
      </c>
      <c r="K870" s="9"/>
      <c r="L870" s="9">
        <f ca="1">L869-O870*Prices!B870</f>
        <v>0.34603903780581341</v>
      </c>
      <c r="M870" s="1">
        <f t="shared" ca="1" si="80"/>
        <v>0.53817097376097156</v>
      </c>
      <c r="N870" s="9">
        <f ca="1">IF(Prices!D869&gt;OFFSET(Prices!D869,-$N$3,0),1,IF(Prices!D869&lt;OFFSET(Prices!D869,-$N$3,0),-1,0))</f>
        <v>1</v>
      </c>
      <c r="O870" s="1">
        <f ca="1">IF(N870=1,O$3*L869/Prices!B869,O$3*M869*N870)</f>
        <v>3.0223069811416516E-2</v>
      </c>
      <c r="P870" s="14"/>
      <c r="Q870" s="9">
        <f ca="1">Q869-T870*Prices!B870</f>
        <v>0.50871321370377776</v>
      </c>
      <c r="R870" s="1">
        <f t="shared" ca="1" si="81"/>
        <v>0.37627472687797137</v>
      </c>
      <c r="S870" s="9">
        <f ca="1">IF(Prices!C869&lt;OFFSET(Prices!C869,-S$3,0),1,IF(Prices!C869&gt;OFFSET(Prices!C869,-S$3,0),-1,0))</f>
        <v>-1</v>
      </c>
      <c r="T870" s="1">
        <f ca="1">IF(S870=1,T$3*Q869/Prices!B869,T$3*R869*S870)</f>
        <v>-7.6790760587341104E-3</v>
      </c>
    </row>
    <row r="871" spans="1:20" x14ac:dyDescent="0.2">
      <c r="A871" s="4">
        <v>34725</v>
      </c>
      <c r="B871" s="9">
        <f ca="1">Prices!B870*(1+J871/(50*(ABS(O871)+ABS(T871)+0.0001)))</f>
        <v>1.2412112254743999</v>
      </c>
      <c r="C871" s="13">
        <f t="shared" ca="1" si="76"/>
        <v>-1</v>
      </c>
      <c r="D871" s="9">
        <f ca="1">D870+C871*(Prices!B871-Prices!B870)/Prices!B870</f>
        <v>-0.56457443322348921</v>
      </c>
      <c r="E871" s="9">
        <f t="shared" ca="1" si="77"/>
        <v>0.60069838448223556</v>
      </c>
      <c r="F871" s="9">
        <f t="shared" ca="1" si="78"/>
        <v>3.6123951258746317E-2</v>
      </c>
      <c r="G871" s="13">
        <f ca="1">IF((Prices!B871-Prices!B870)*B871&gt;0,1,0)</f>
        <v>1</v>
      </c>
      <c r="H871" s="9">
        <f>ABS(Prices!B871-Prices!B870)/Prices!B870</f>
        <v>2.7635215159889921E-3</v>
      </c>
      <c r="I871" s="13"/>
      <c r="J871" s="1">
        <f t="shared" ca="1" si="79"/>
        <v>-6.134259191365659E-2</v>
      </c>
      <c r="K871" s="9"/>
      <c r="L871" s="9">
        <f ca="1">L870-O871*Prices!B871</f>
        <v>0.41438675147345683</v>
      </c>
      <c r="M871" s="1">
        <f t="shared" ca="1" si="80"/>
        <v>0.48435387638487437</v>
      </c>
      <c r="N871" s="9">
        <f ca="1">IF(Prices!D870&gt;OFFSET(Prices!D870,-$N$3,0),1,IF(Prices!D870&lt;OFFSET(Prices!D870,-$N$3,0),-1,0))</f>
        <v>-1</v>
      </c>
      <c r="O871" s="1">
        <f ca="1">IF(N871=1,O$3*L870/Prices!B870,O$3*M870*N871)</f>
        <v>-5.3817097376097162E-2</v>
      </c>
      <c r="P871" s="14"/>
      <c r="Q871" s="9">
        <f ca="1">Q870-T871*Prices!B871</f>
        <v>0.51827059176647827</v>
      </c>
      <c r="R871" s="1">
        <f t="shared" ca="1" si="81"/>
        <v>0.36874923234041196</v>
      </c>
      <c r="S871" s="9">
        <f ca="1">IF(Prices!C870&lt;OFFSET(Prices!C870,-S$3,0),1,IF(Prices!C870&gt;OFFSET(Prices!C870,-S$3,0),-1,0))</f>
        <v>-1</v>
      </c>
      <c r="T871" s="1">
        <f ca="1">IF(S871=1,T$3*Q870/Prices!B870,T$3*R870*S871)</f>
        <v>-7.5254945375594273E-3</v>
      </c>
    </row>
    <row r="872" spans="1:20" x14ac:dyDescent="0.2">
      <c r="A872" s="4">
        <v>34726</v>
      </c>
      <c r="B872" s="9">
        <f ca="1">Prices!B871*(1+J872/(50*(ABS(O872)+ABS(T872)+0.0001)))</f>
        <v>1.2446454298531056</v>
      </c>
      <c r="C872" s="13">
        <f t="shared" ref="C872:C935" ca="1" si="82">IF(J872&gt;0,1,IF(J872&lt;0,-1,0))</f>
        <v>-1</v>
      </c>
      <c r="D872" s="9">
        <f ca="1">D871+C872*(Prices!B872-Prices!B871)/Prices!B871</f>
        <v>-0.56433821275104834</v>
      </c>
      <c r="E872" s="9">
        <f t="shared" ref="E872:E935" ca="1" si="83">F872-D872</f>
        <v>0.60046216400979469</v>
      </c>
      <c r="F872" s="9">
        <f t="shared" ref="F872:F935" ca="1" si="84">MAX(F871,D872)</f>
        <v>3.6123951258746317E-2</v>
      </c>
      <c r="G872" s="13">
        <f ca="1">IF((Prices!B872-Prices!B871)*B872&gt;0,1,0)</f>
        <v>0</v>
      </c>
      <c r="H872" s="9">
        <f>ABS(Prices!B872-Prices!B871)/Prices!B871</f>
        <v>2.3622047244091886E-4</v>
      </c>
      <c r="I872" s="13"/>
      <c r="J872" s="1">
        <f t="shared" ref="J872:J935" ca="1" si="85">O872+T872</f>
        <v>-5.581037228529568E-2</v>
      </c>
      <c r="K872" s="9"/>
      <c r="L872" s="9">
        <f ca="1">L871-O872*Prices!B872</f>
        <v>0.47588516315804436</v>
      </c>
      <c r="M872" s="1">
        <f t="shared" ca="1" si="80"/>
        <v>0.43591848874638695</v>
      </c>
      <c r="N872" s="9">
        <f ca="1">IF(Prices!D871&gt;OFFSET(Prices!D871,-$N$3,0),1,IF(Prices!D871&lt;OFFSET(Prices!D871,-$N$3,0),-1,0))</f>
        <v>-1</v>
      </c>
      <c r="O872" s="1">
        <f ca="1">IF(N872=1,O$3*L871/Prices!B871,O$3*M871*N872)</f>
        <v>-4.843538763848744E-2</v>
      </c>
      <c r="P872" s="14"/>
      <c r="Q872" s="9">
        <f ca="1">Q871-T872*Prices!B872</f>
        <v>0.52763460977253074</v>
      </c>
      <c r="R872" s="1">
        <f t="shared" ca="1" si="81"/>
        <v>0.36137424769360371</v>
      </c>
      <c r="S872" s="9">
        <f ca="1">IF(Prices!C871&lt;OFFSET(Prices!C871,-S$3,0),1,IF(Prices!C871&gt;OFFSET(Prices!C871,-S$3,0),-1,0))</f>
        <v>-1</v>
      </c>
      <c r="T872" s="1">
        <f ca="1">IF(S872=1,T$3*Q871/Prices!B871,T$3*R871*S872)</f>
        <v>-7.3749846468082391E-3</v>
      </c>
    </row>
    <row r="873" spans="1:20" x14ac:dyDescent="0.2">
      <c r="A873" s="4">
        <v>34729</v>
      </c>
      <c r="B873" s="9">
        <f ca="1">Prices!B872*(1+J873/(50*(ABS(O873)+ABS(T873)+0.0001)))</f>
        <v>1.2524718161253194</v>
      </c>
      <c r="C873" s="13">
        <f t="shared" ca="1" si="82"/>
        <v>-1</v>
      </c>
      <c r="D873" s="9">
        <f ca="1">D872+C873*(Prices!B873-Prices!B872)/Prices!B872</f>
        <v>-0.56575587046546905</v>
      </c>
      <c r="E873" s="9">
        <f t="shared" ca="1" si="83"/>
        <v>0.60187982172421539</v>
      </c>
      <c r="F873" s="9">
        <f t="shared" ca="1" si="84"/>
        <v>3.6123951258746317E-2</v>
      </c>
      <c r="G873" s="13">
        <f ca="1">IF((Prices!B873-Prices!B872)*B873&gt;0,1,0)</f>
        <v>1</v>
      </c>
      <c r="H873" s="9">
        <f>ABS(Prices!B873-Prices!B872)/Prices!B872</f>
        <v>1.4176577144207479E-3</v>
      </c>
      <c r="I873" s="13"/>
      <c r="J873" s="1">
        <f t="shared" ca="1" si="85"/>
        <v>-3.5280679153089814E-2</v>
      </c>
      <c r="K873" s="9"/>
      <c r="L873" s="9">
        <f ca="1">L872-O873*Prices!B873</f>
        <v>0.53131219900214743</v>
      </c>
      <c r="M873" s="1">
        <f t="shared" ca="1" si="80"/>
        <v>0.39232663987174826</v>
      </c>
      <c r="N873" s="9">
        <f ca="1">IF(Prices!D872&gt;OFFSET(Prices!D872,-$N$3,0),1,IF(Prices!D872&lt;OFFSET(Prices!D872,-$N$3,0),-1,0))</f>
        <v>-1</v>
      </c>
      <c r="O873" s="1">
        <f ca="1">IF(N873=1,O$3*L872/Prices!B872,O$3*M872*N873)</f>
        <v>-4.3591848874638697E-2</v>
      </c>
      <c r="P873" s="14"/>
      <c r="Q873" s="9">
        <f ca="1">Q872-T873*Prices!B873</f>
        <v>0.51706695747158138</v>
      </c>
      <c r="R873" s="1">
        <f t="shared" ca="1" si="81"/>
        <v>0.3696854174151526</v>
      </c>
      <c r="S873" s="9">
        <f ca="1">IF(Prices!C872&lt;OFFSET(Prices!C872,-S$3,0),1,IF(Prices!C872&gt;OFFSET(Prices!C872,-S$3,0),-1,0))</f>
        <v>1</v>
      </c>
      <c r="T873" s="1">
        <f ca="1">IF(S873=1,T$3*Q872/Prices!B872,T$3*R872*S873)</f>
        <v>8.3111697215488816E-3</v>
      </c>
    </row>
    <row r="874" spans="1:20" x14ac:dyDescent="0.2">
      <c r="A874" s="4">
        <v>34730</v>
      </c>
      <c r="B874" s="9">
        <f ca="1">Prices!B873*(1+J874/(50*(ABS(O874)+ABS(T874)+0.0001)))</f>
        <v>1.2548383379382175</v>
      </c>
      <c r="C874" s="13">
        <f t="shared" ca="1" si="82"/>
        <v>-1</v>
      </c>
      <c r="D874" s="9">
        <f ca="1">D873+C874*(Prices!B874-Prices!B873)/Prices!B873</f>
        <v>-0.56245268525115522</v>
      </c>
      <c r="E874" s="9">
        <f t="shared" ca="1" si="83"/>
        <v>0.59857663650990156</v>
      </c>
      <c r="F874" s="9">
        <f t="shared" ca="1" si="84"/>
        <v>3.6123951258746317E-2</v>
      </c>
      <c r="G874" s="13">
        <f ca="1">IF((Prices!B874-Prices!B873)*B874&gt;0,1,0)</f>
        <v>0</v>
      </c>
      <c r="H874" s="9">
        <f>ABS(Prices!B874-Prices!B873)/Prices!B873</f>
        <v>3.3031852143137878E-3</v>
      </c>
      <c r="I874" s="13"/>
      <c r="J874" s="1">
        <f t="shared" ca="1" si="85"/>
        <v>-3.1099483374173155E-2</v>
      </c>
      <c r="K874" s="9"/>
      <c r="L874" s="9">
        <f ca="1">L873-O874*Prices!B874</f>
        <v>0.58103175407309404</v>
      </c>
      <c r="M874" s="1">
        <f t="shared" ca="1" si="80"/>
        <v>0.35309397588457342</v>
      </c>
      <c r="N874" s="9">
        <f ca="1">IF(Prices!D873&gt;OFFSET(Prices!D873,-$N$3,0),1,IF(Prices!D873&lt;OFFSET(Prices!D873,-$N$3,0),-1,0))</f>
        <v>-1</v>
      </c>
      <c r="O874" s="1">
        <f ca="1">IF(N874=1,O$3*L873/Prices!B873,O$3*M873*N874)</f>
        <v>-3.9232663987174829E-2</v>
      </c>
      <c r="P874" s="14"/>
      <c r="Q874" s="9">
        <f ca="1">Q873-T874*Prices!B874</f>
        <v>0.50675977768072433</v>
      </c>
      <c r="R874" s="1">
        <f t="shared" ca="1" si="81"/>
        <v>0.37781859802815426</v>
      </c>
      <c r="S874" s="9">
        <f ca="1">IF(Prices!C873&lt;OFFSET(Prices!C873,-S$3,0),1,IF(Prices!C873&gt;OFFSET(Prices!C873,-S$3,0),-1,0))</f>
        <v>1</v>
      </c>
      <c r="T874" s="1">
        <f ca="1">IF(S874=1,T$3*Q873/Prices!B873,T$3*R873*S874)</f>
        <v>8.133180613001674E-3</v>
      </c>
    </row>
    <row r="875" spans="1:20" x14ac:dyDescent="0.2">
      <c r="A875" s="4">
        <v>34731</v>
      </c>
      <c r="B875" s="9">
        <f ca="1">Prices!B874*(1+J875/(50*(ABS(O875)+ABS(T875)+0.0001)))</f>
        <v>1.2420129911463615</v>
      </c>
      <c r="C875" s="13">
        <f t="shared" ca="1" si="82"/>
        <v>-1</v>
      </c>
      <c r="D875" s="9">
        <f ca="1">D874+C875*(Prices!B875-Prices!B874)/Prices!B874</f>
        <v>-0.55842838161350028</v>
      </c>
      <c r="E875" s="9">
        <f t="shared" ca="1" si="83"/>
        <v>0.59455233287224662</v>
      </c>
      <c r="F875" s="9">
        <f t="shared" ca="1" si="84"/>
        <v>3.6123951258746317E-2</v>
      </c>
      <c r="G875" s="13">
        <f ca="1">IF((Prices!B875-Prices!B874)*B875&gt;0,1,0)</f>
        <v>0</v>
      </c>
      <c r="H875" s="9">
        <f>ABS(Prices!B875-Prices!B874)/Prices!B874</f>
        <v>4.0243036376549392E-3</v>
      </c>
      <c r="I875" s="13"/>
      <c r="J875" s="1">
        <f t="shared" ca="1" si="85"/>
        <v>-4.2865769549020431E-2</v>
      </c>
      <c r="K875" s="9"/>
      <c r="L875" s="9">
        <f ca="1">L874-O875*Prices!B875</f>
        <v>0.6255992757092449</v>
      </c>
      <c r="M875" s="1">
        <f t="shared" ca="1" si="80"/>
        <v>0.31778457829611606</v>
      </c>
      <c r="N875" s="9">
        <f ca="1">IF(Prices!D874&gt;OFFSET(Prices!D874,-$N$3,0),1,IF(Prices!D874&lt;OFFSET(Prices!D874,-$N$3,0),-1,0))</f>
        <v>-1</v>
      </c>
      <c r="O875" s="1">
        <f ca="1">IF(N875=1,O$3*L874/Prices!B874,O$3*M874*N875)</f>
        <v>-3.5309397588457345E-2</v>
      </c>
      <c r="P875" s="14"/>
      <c r="Q875" s="9">
        <f ca="1">Q874-T875*Prices!B875</f>
        <v>0.51629743036934705</v>
      </c>
      <c r="R875" s="1">
        <f t="shared" ca="1" si="81"/>
        <v>0.37026222606759118</v>
      </c>
      <c r="S875" s="9">
        <f ca="1">IF(Prices!C874&lt;OFFSET(Prices!C874,-S$3,0),1,IF(Prices!C874&gt;OFFSET(Prices!C874,-S$3,0),-1,0))</f>
        <v>-1</v>
      </c>
      <c r="T875" s="1">
        <f ca="1">IF(S875=1,T$3*Q874/Prices!B874,T$3*R874*S875)</f>
        <v>-7.5563719605630858E-3</v>
      </c>
    </row>
    <row r="876" spans="1:20" x14ac:dyDescent="0.2">
      <c r="A876" s="4">
        <v>34732</v>
      </c>
      <c r="B876" s="9">
        <f ca="1">Prices!B875*(1+J876/(50*(ABS(O876)+ABS(T876)+0.0001)))</f>
        <v>1.2874003593178831</v>
      </c>
      <c r="C876" s="13">
        <f t="shared" ca="1" si="82"/>
        <v>1</v>
      </c>
      <c r="D876" s="9">
        <f ca="1">D875+C876*(Prices!B876-Prices!B875)/Prices!B875</f>
        <v>-0.55692307342145464</v>
      </c>
      <c r="E876" s="9">
        <f t="shared" ca="1" si="83"/>
        <v>0.59304702468020098</v>
      </c>
      <c r="F876" s="9">
        <f t="shared" ca="1" si="84"/>
        <v>3.6123951258746317E-2</v>
      </c>
      <c r="G876" s="13">
        <f ca="1">IF((Prices!B876-Prices!B875)*B876&gt;0,1,0)</f>
        <v>1</v>
      </c>
      <c r="H876" s="9">
        <f>ABS(Prices!B876-Prices!B875)/Prices!B875</f>
        <v>1.5053081920456447E-3</v>
      </c>
      <c r="I876" s="13"/>
      <c r="J876" s="1">
        <f t="shared" ca="1" si="85"/>
        <v>5.7745108681913668E-2</v>
      </c>
      <c r="K876" s="9"/>
      <c r="L876" s="9">
        <f ca="1">L875-O876*Prices!B876</f>
        <v>0.56294517616685413</v>
      </c>
      <c r="M876" s="1">
        <f t="shared" ca="1" si="80"/>
        <v>0.36734877380469194</v>
      </c>
      <c r="N876" s="9">
        <f ca="1">IF(Prices!D875&gt;OFFSET(Prices!D875,-$N$3,0),1,IF(Prices!D875&lt;OFFSET(Prices!D875,-$N$3,0),-1,0))</f>
        <v>1</v>
      </c>
      <c r="O876" s="1">
        <f ca="1">IF(N876=1,O$3*L875/Prices!B875,O$3*M875*N876)</f>
        <v>4.9564195508575888E-2</v>
      </c>
      <c r="P876" s="14"/>
      <c r="Q876" s="9">
        <f ca="1">Q875-T876*Prices!B876</f>
        <v>0.50595593802693073</v>
      </c>
      <c r="R876" s="1">
        <f t="shared" ca="1" si="81"/>
        <v>0.37844313924092898</v>
      </c>
      <c r="S876" s="9">
        <f ca="1">IF(Prices!C875&lt;OFFSET(Prices!C875,-S$3,0),1,IF(Prices!C875&gt;OFFSET(Prices!C875,-S$3,0),-1,0))</f>
        <v>1</v>
      </c>
      <c r="T876" s="1">
        <f ca="1">IF(S876=1,T$3*Q875/Prices!B875,T$3*R875*S876)</f>
        <v>8.1809131733377762E-3</v>
      </c>
    </row>
    <row r="877" spans="1:20" x14ac:dyDescent="0.2">
      <c r="A877" s="4">
        <v>34733</v>
      </c>
      <c r="B877" s="9">
        <f ca="1">Prices!B876*(1+J877/(50*(ABS(O877)+ABS(T877)+0.0001)))</f>
        <v>1.2820022227183829</v>
      </c>
      <c r="C877" s="13">
        <f t="shared" ca="1" si="82"/>
        <v>1</v>
      </c>
      <c r="D877" s="9">
        <f ca="1">D876+C877*(Prices!B877-Prices!B876)/Prices!B876</f>
        <v>-0.56048291837043018</v>
      </c>
      <c r="E877" s="9">
        <f t="shared" ca="1" si="83"/>
        <v>0.59660686962917653</v>
      </c>
      <c r="F877" s="9">
        <f t="shared" ca="1" si="84"/>
        <v>3.6123951258746317E-2</v>
      </c>
      <c r="G877" s="13">
        <f ca="1">IF((Prices!B877-Prices!B876)*B877&gt;0,1,0)</f>
        <v>0</v>
      </c>
      <c r="H877" s="9">
        <f>ABS(Prices!B877-Prices!B876)/Prices!B876</f>
        <v>3.5598449489755149E-3</v>
      </c>
      <c r="I877" s="13"/>
      <c r="J877" s="1">
        <f t="shared" ca="1" si="85"/>
        <v>3.6964415924686529E-2</v>
      </c>
      <c r="K877" s="9"/>
      <c r="L877" s="9">
        <f ca="1">L876-O877*Prices!B877</f>
        <v>0.5068510583043615</v>
      </c>
      <c r="M877" s="1">
        <f t="shared" ca="1" si="80"/>
        <v>0.41188205251419707</v>
      </c>
      <c r="N877" s="9">
        <f ca="1">IF(Prices!D876&gt;OFFSET(Prices!D876,-$N$3,0),1,IF(Prices!D876&lt;OFFSET(Prices!D876,-$N$3,0),-1,0))</f>
        <v>1</v>
      </c>
      <c r="O877" s="1">
        <f ca="1">IF(N877=1,O$3*L876/Prices!B876,O$3*M876*N877)</f>
        <v>4.453327870950511E-2</v>
      </c>
      <c r="P877" s="14"/>
      <c r="Q877" s="9">
        <f ca="1">Q876-T877*Prices!B877</f>
        <v>0.5154896775906882</v>
      </c>
      <c r="R877" s="1">
        <f t="shared" ca="1" si="81"/>
        <v>0.37087427645611043</v>
      </c>
      <c r="S877" s="9">
        <f ca="1">IF(Prices!C876&lt;OFFSET(Prices!C876,-S$3,0),1,IF(Prices!C876&gt;OFFSET(Prices!C876,-S$3,0),-1,0))</f>
        <v>-1</v>
      </c>
      <c r="T877" s="1">
        <f ca="1">IF(S877=1,T$3*Q876/Prices!B876,T$3*R876*S877)</f>
        <v>-7.5688627848185799E-3</v>
      </c>
    </row>
    <row r="878" spans="1:20" x14ac:dyDescent="0.2">
      <c r="A878" s="4">
        <v>34736</v>
      </c>
      <c r="B878" s="9">
        <f ca="1">Prices!B877*(1+J878/(50*(ABS(O878)+ABS(T878)+0.0001)))</f>
        <v>1.2344597229087533</v>
      </c>
      <c r="C878" s="13">
        <f t="shared" ca="1" si="82"/>
        <v>-1</v>
      </c>
      <c r="D878" s="9">
        <f ca="1">D877+C878*(Prices!B878-Prices!B877)/Prices!B877</f>
        <v>-0.55746608763051275</v>
      </c>
      <c r="E878" s="9">
        <f t="shared" ca="1" si="83"/>
        <v>0.5935900388892591</v>
      </c>
      <c r="F878" s="9">
        <f t="shared" ca="1" si="84"/>
        <v>3.6123951258746317E-2</v>
      </c>
      <c r="G878" s="13">
        <f ca="1">IF((Prices!B878-Prices!B877)*B878&gt;0,1,0)</f>
        <v>0</v>
      </c>
      <c r="H878" s="9">
        <f>ABS(Prices!B878-Prices!B877)/Prices!B877</f>
        <v>3.0168307399174544E-3</v>
      </c>
      <c r="I878" s="13"/>
      <c r="J878" s="1">
        <f t="shared" ca="1" si="85"/>
        <v>-4.8605690780541916E-2</v>
      </c>
      <c r="K878" s="9"/>
      <c r="L878" s="9">
        <f ca="1">L877-O878*Prices!B878</f>
        <v>0.55857520645909442</v>
      </c>
      <c r="M878" s="1">
        <f t="shared" ca="1" si="80"/>
        <v>0.37069384726277738</v>
      </c>
      <c r="N878" s="9">
        <f ca="1">IF(Prices!D877&gt;OFFSET(Prices!D877,-$N$3,0),1,IF(Prices!D877&lt;OFFSET(Prices!D877,-$N$3,0),-1,0))</f>
        <v>-1</v>
      </c>
      <c r="O878" s="1">
        <f ca="1">IF(N878=1,O$3*L877/Prices!B877,O$3*M877*N878)</f>
        <v>-4.118820525141971E-2</v>
      </c>
      <c r="P878" s="14"/>
      <c r="Q878" s="9">
        <f ca="1">Q877-T878*Prices!B878</f>
        <v>0.52480455591815989</v>
      </c>
      <c r="R878" s="1">
        <f t="shared" ca="1" si="81"/>
        <v>0.36345679092698824</v>
      </c>
      <c r="S878" s="9">
        <f ca="1">IF(Prices!C877&lt;OFFSET(Prices!C877,-S$3,0),1,IF(Prices!C877&gt;OFFSET(Prices!C877,-S$3,0),-1,0))</f>
        <v>-1</v>
      </c>
      <c r="T878" s="1">
        <f ca="1">IF(S878=1,T$3*Q877/Prices!B877,T$3*R877*S878)</f>
        <v>-7.4174855291222084E-3</v>
      </c>
    </row>
    <row r="879" spans="1:20" x14ac:dyDescent="0.2">
      <c r="A879" s="4">
        <v>34737</v>
      </c>
      <c r="B879" s="9">
        <f ca="1">Prices!B878*(1+J879/(50*(ABS(O879)+ABS(T879)+0.0001)))</f>
        <v>1.2399609307927211</v>
      </c>
      <c r="C879" s="13">
        <f t="shared" ca="1" si="82"/>
        <v>-1</v>
      </c>
      <c r="D879" s="9">
        <f ca="1">D878+C879*(Prices!B879-Prices!B878)/Prices!B878</f>
        <v>-0.55523643322694516</v>
      </c>
      <c r="E879" s="9">
        <f t="shared" ca="1" si="83"/>
        <v>0.5913603844856915</v>
      </c>
      <c r="F879" s="9">
        <f t="shared" ca="1" si="84"/>
        <v>3.6123951258746317E-2</v>
      </c>
      <c r="G879" s="13">
        <f ca="1">IF((Prices!B879-Prices!B878)*B879&gt;0,1,0)</f>
        <v>0</v>
      </c>
      <c r="H879" s="9">
        <f>ABS(Prices!B879-Prices!B878)/Prices!B878</f>
        <v>2.229654403567555E-3</v>
      </c>
      <c r="I879" s="13"/>
      <c r="J879" s="1">
        <f t="shared" ca="1" si="85"/>
        <v>-2.8711293375454996E-2</v>
      </c>
      <c r="K879" s="9"/>
      <c r="L879" s="9">
        <f ca="1">L878-O879*Prices!B879</f>
        <v>0.60502314552112046</v>
      </c>
      <c r="M879" s="1">
        <f t="shared" ca="1" si="80"/>
        <v>0.33362446253649963</v>
      </c>
      <c r="N879" s="9">
        <f ca="1">IF(Prices!D878&gt;OFFSET(Prices!D878,-$N$3,0),1,IF(Prices!D878&lt;OFFSET(Prices!D878,-$N$3,0),-1,0))</f>
        <v>-1</v>
      </c>
      <c r="O879" s="1">
        <f ca="1">IF(N879=1,O$3*L878/Prices!B878,O$3*M878*N879)</f>
        <v>-3.7069384726277736E-2</v>
      </c>
      <c r="P879" s="14"/>
      <c r="Q879" s="9">
        <f ca="1">Q878-T879*Prices!B879</f>
        <v>0.51433186745557902</v>
      </c>
      <c r="R879" s="1">
        <f t="shared" ca="1" si="81"/>
        <v>0.37181488227781095</v>
      </c>
      <c r="S879" s="9">
        <f ca="1">IF(Prices!C878&lt;OFFSET(Prices!C878,-S$3,0),1,IF(Prices!C878&gt;OFFSET(Prices!C878,-S$3,0),-1,0))</f>
        <v>1</v>
      </c>
      <c r="T879" s="1">
        <f ca="1">IF(S879=1,T$3*Q878/Prices!B878,T$3*R878*S879)</f>
        <v>8.3580913508227404E-3</v>
      </c>
    </row>
    <row r="880" spans="1:20" x14ac:dyDescent="0.2">
      <c r="A880" s="4">
        <v>34738</v>
      </c>
      <c r="B880" s="9">
        <f ca="1">Prices!B879*(1+J880/(50*(ABS(O880)+ABS(T880)+0.0001)))</f>
        <v>1.2713384301812738</v>
      </c>
      <c r="C880" s="13">
        <f t="shared" ca="1" si="82"/>
        <v>1</v>
      </c>
      <c r="D880" s="9">
        <f ca="1">D879+C880*(Prices!B880-Prices!B879)/Prices!B879</f>
        <v>-0.55276237097634651</v>
      </c>
      <c r="E880" s="9">
        <f t="shared" ca="1" si="83"/>
        <v>0.58888632223509285</v>
      </c>
      <c r="F880" s="9">
        <f t="shared" ca="1" si="84"/>
        <v>3.6123951258746317E-2</v>
      </c>
      <c r="G880" s="13">
        <f ca="1">IF((Prices!B880-Prices!B879)*B880&gt;0,1,0)</f>
        <v>1</v>
      </c>
      <c r="H880" s="9">
        <f>ABS(Prices!B880-Prices!B879)/Prices!B879</f>
        <v>2.4740622505986455E-3</v>
      </c>
      <c r="I880" s="13"/>
      <c r="J880" s="1">
        <f t="shared" ca="1" si="85"/>
        <v>4.0849667679353642E-2</v>
      </c>
      <c r="K880" s="9"/>
      <c r="L880" s="9">
        <f ca="1">L879-O880*Prices!B880</f>
        <v>0.54437114447650115</v>
      </c>
      <c r="M880" s="1">
        <f t="shared" ca="1" si="80"/>
        <v>0.3819104278614095</v>
      </c>
      <c r="N880" s="9">
        <f ca="1">IF(Prices!D879&gt;OFFSET(Prices!D879,-$N$3,0),1,IF(Prices!D879&lt;OFFSET(Prices!D879,-$N$3,0),-1,0))</f>
        <v>1</v>
      </c>
      <c r="O880" s="1">
        <f ca="1">IF(N880=1,O$3*L879/Prices!B879,O$3*M879*N880)</f>
        <v>4.8285965324909863E-2</v>
      </c>
      <c r="P880" s="14"/>
      <c r="Q880" s="9">
        <f ca="1">Q879-T880*Prices!B880</f>
        <v>0.52367260092816215</v>
      </c>
      <c r="R880" s="1">
        <f t="shared" ca="1" si="81"/>
        <v>0.36437858463225475</v>
      </c>
      <c r="S880" s="9">
        <f ca="1">IF(Prices!C879&lt;OFFSET(Prices!C879,-S$3,0),1,IF(Prices!C879&gt;OFFSET(Prices!C879,-S$3,0),-1,0))</f>
        <v>-1</v>
      </c>
      <c r="T880" s="1">
        <f ca="1">IF(S880=1,T$3*Q879/Prices!B879,T$3*R879*S880)</f>
        <v>-7.4362976455562193E-3</v>
      </c>
    </row>
    <row r="881" spans="1:20" x14ac:dyDescent="0.2">
      <c r="A881" s="4">
        <v>34739</v>
      </c>
      <c r="B881" s="9">
        <f ca="1">Prices!B880*(1+J881/(50*(ABS(O881)+ABS(T881)+0.0001)))</f>
        <v>1.281173479705735</v>
      </c>
      <c r="C881" s="13">
        <f t="shared" ca="1" si="82"/>
        <v>1</v>
      </c>
      <c r="D881" s="9">
        <f ca="1">D880+C881*(Prices!B881-Prices!B880)/Prices!B880</f>
        <v>-0.5516478100337463</v>
      </c>
      <c r="E881" s="9">
        <f t="shared" ca="1" si="83"/>
        <v>0.58777176129249264</v>
      </c>
      <c r="F881" s="9">
        <f t="shared" ca="1" si="84"/>
        <v>3.6123951258746317E-2</v>
      </c>
      <c r="G881" s="13">
        <f ca="1">IF((Prices!B881-Prices!B880)*B881&gt;0,1,0)</f>
        <v>1</v>
      </c>
      <c r="H881" s="9">
        <f>ABS(Prices!B881-Prices!B880)/Prices!B880</f>
        <v>1.1145609426001656E-3</v>
      </c>
      <c r="I881" s="13"/>
      <c r="J881" s="1">
        <f t="shared" ca="1" si="85"/>
        <v>5.1676272960921393E-2</v>
      </c>
      <c r="K881" s="9"/>
      <c r="L881" s="9">
        <f ca="1">L880-O881*Prices!B881</f>
        <v>0.48987335654725983</v>
      </c>
      <c r="M881" s="1">
        <f t="shared" ca="1" si="80"/>
        <v>0.4252486289979831</v>
      </c>
      <c r="N881" s="9">
        <f ca="1">IF(Prices!D880&gt;OFFSET(Prices!D880,-$N$3,0),1,IF(Prices!D880&lt;OFFSET(Prices!D880,-$N$3,0),-1,0))</f>
        <v>1</v>
      </c>
      <c r="O881" s="1">
        <f ca="1">IF(N881=1,O$3*L880/Prices!B880,O$3*M880*N881)</f>
        <v>4.333820113657362E-2</v>
      </c>
      <c r="P881" s="14"/>
      <c r="Q881" s="9">
        <f ca="1">Q880-T881*Prices!B881</f>
        <v>0.51318747560904476</v>
      </c>
      <c r="R881" s="1">
        <f t="shared" ca="1" si="81"/>
        <v>0.37271665645660251</v>
      </c>
      <c r="S881" s="9">
        <f ca="1">IF(Prices!C880&lt;OFFSET(Prices!C880,-S$3,0),1,IF(Prices!C880&gt;OFFSET(Prices!C880,-S$3,0),-1,0))</f>
        <v>1</v>
      </c>
      <c r="T881" s="1">
        <f ca="1">IF(S881=1,T$3*Q880/Prices!B880,T$3*R880*S881)</f>
        <v>8.3380718243477765E-3</v>
      </c>
    </row>
    <row r="882" spans="1:20" x14ac:dyDescent="0.2">
      <c r="A882" s="4">
        <v>34740</v>
      </c>
      <c r="B882" s="9">
        <f ca="1">Prices!B881*(1+J882/(50*(ABS(O882)+ABS(T882)+0.0001)))</f>
        <v>1.2825967365936379</v>
      </c>
      <c r="C882" s="13">
        <f t="shared" ca="1" si="82"/>
        <v>1</v>
      </c>
      <c r="D882" s="9">
        <f ca="1">D881+C882*(Prices!B882-Prices!B881)/Prices!B881</f>
        <v>-0.54846689552082384</v>
      </c>
      <c r="E882" s="9">
        <f t="shared" ca="1" si="83"/>
        <v>0.58459084677957018</v>
      </c>
      <c r="F882" s="9">
        <f t="shared" ca="1" si="84"/>
        <v>3.6123951258746317E-2</v>
      </c>
      <c r="G882" s="13">
        <f ca="1">IF((Prices!B882-Prices!B881)*B882&gt;0,1,0)</f>
        <v>1</v>
      </c>
      <c r="H882" s="9">
        <f>ABS(Prices!B882-Prices!B881)/Prices!B881</f>
        <v>3.1809145129224679E-3</v>
      </c>
      <c r="I882" s="13"/>
      <c r="J882" s="1">
        <f t="shared" ca="1" si="85"/>
        <v>4.7118159178454778E-2</v>
      </c>
      <c r="K882" s="9"/>
      <c r="L882" s="9">
        <f ca="1">L881-O882*Prices!B882</f>
        <v>0.44073019636560029</v>
      </c>
      <c r="M882" s="1">
        <f t="shared" ca="1" si="80"/>
        <v>0.46420476073136363</v>
      </c>
      <c r="N882" s="9">
        <f ca="1">IF(Prices!D881&gt;OFFSET(Prices!D881,-$N$3,0),1,IF(Prices!D881&lt;OFFSET(Prices!D881,-$N$3,0),-1,0))</f>
        <v>1</v>
      </c>
      <c r="O882" s="1">
        <f ca="1">IF(N882=1,O$3*L881/Prices!B881,O$3*M881*N882)</f>
        <v>3.8956131733380507E-2</v>
      </c>
      <c r="P882" s="14"/>
      <c r="Q882" s="9">
        <f ca="1">Q881-T882*Prices!B882</f>
        <v>0.50289107798708355</v>
      </c>
      <c r="R882" s="1">
        <f t="shared" ca="1" si="81"/>
        <v>0.38087868390167678</v>
      </c>
      <c r="S882" s="9">
        <f ca="1">IF(Prices!C881&lt;OFFSET(Prices!C881,-S$3,0),1,IF(Prices!C881&gt;OFFSET(Prices!C881,-S$3,0),-1,0))</f>
        <v>1</v>
      </c>
      <c r="T882" s="1">
        <f ca="1">IF(S882=1,T$3*Q881/Prices!B881,T$3*R881*S882)</f>
        <v>8.1620274450742714E-3</v>
      </c>
    </row>
    <row r="883" spans="1:20" x14ac:dyDescent="0.2">
      <c r="A883" s="4">
        <v>34743</v>
      </c>
      <c r="B883" s="9">
        <f ca="1">Prices!B882*(1+J883/(50*(ABS(O883)+ABS(T883)+0.0001)))</f>
        <v>1.2866713390895843</v>
      </c>
      <c r="C883" s="13">
        <f t="shared" ca="1" si="82"/>
        <v>1</v>
      </c>
      <c r="D883" s="9">
        <f ca="1">D882+C883*(Prices!B883-Prices!B882)/Prices!B882</f>
        <v>-0.54577169139874704</v>
      </c>
      <c r="E883" s="9">
        <f t="shared" ca="1" si="83"/>
        <v>0.58189564265749338</v>
      </c>
      <c r="F883" s="9">
        <f t="shared" ca="1" si="84"/>
        <v>3.6123951258746317E-2</v>
      </c>
      <c r="G883" s="13">
        <f ca="1">IF((Prices!B883-Prices!B882)*B883&gt;0,1,0)</f>
        <v>1</v>
      </c>
      <c r="H883" s="9">
        <f>ABS(Prices!B883-Prices!B882)/Prices!B882</f>
        <v>2.6952041220767715E-3</v>
      </c>
      <c r="I883" s="13"/>
      <c r="J883" s="1">
        <f t="shared" ca="1" si="85"/>
        <v>4.2909901859930002E-2</v>
      </c>
      <c r="K883" s="9"/>
      <c r="L883" s="9">
        <f ca="1">L882-O883*Prices!B883</f>
        <v>0.39653839094484344</v>
      </c>
      <c r="M883" s="1">
        <f t="shared" ca="1" si="80"/>
        <v>0.49914175608337319</v>
      </c>
      <c r="N883" s="9">
        <f ca="1">IF(Prices!D882&gt;OFFSET(Prices!D882,-$N$3,0),1,IF(Prices!D882&lt;OFFSET(Prices!D882,-$N$3,0),-1,0))</f>
        <v>1</v>
      </c>
      <c r="O883" s="1">
        <f ca="1">IF(N883=1,O$3*L882/Prices!B882,O$3*M882*N883)</f>
        <v>3.4936995352009538E-2</v>
      </c>
      <c r="P883" s="14"/>
      <c r="Q883" s="9">
        <f ca="1">Q882-T883*Prices!B883</f>
        <v>0.49280614854521493</v>
      </c>
      <c r="R883" s="1">
        <f t="shared" ca="1" si="81"/>
        <v>0.38885159040959727</v>
      </c>
      <c r="S883" s="9">
        <f ca="1">IF(Prices!C882&lt;OFFSET(Prices!C882,-S$3,0),1,IF(Prices!C882&gt;OFFSET(Prices!C882,-S$3,0),-1,0))</f>
        <v>1</v>
      </c>
      <c r="T883" s="1">
        <f ca="1">IF(S883=1,T$3*Q882/Prices!B882,T$3*R882*S883)</f>
        <v>7.9729065079204679E-3</v>
      </c>
    </row>
    <row r="884" spans="1:20" x14ac:dyDescent="0.2">
      <c r="A884" s="4">
        <v>34744</v>
      </c>
      <c r="B884" s="9">
        <f ca="1">Prices!B883*(1+J884/(50*(ABS(O884)+ABS(T884)+0.0001)))</f>
        <v>1.2901335323781846</v>
      </c>
      <c r="C884" s="13">
        <f t="shared" ca="1" si="82"/>
        <v>1</v>
      </c>
      <c r="D884" s="9">
        <f ca="1">D883+C884*(Prices!B884-Prices!B883)/Prices!B883</f>
        <v>-0.54237221317912476</v>
      </c>
      <c r="E884" s="9">
        <f t="shared" ca="1" si="83"/>
        <v>0.57849616443787111</v>
      </c>
      <c r="F884" s="9">
        <f t="shared" ca="1" si="84"/>
        <v>3.6123951258746317E-2</v>
      </c>
      <c r="G884" s="13">
        <f ca="1">IF((Prices!B884-Prices!B883)*B884&gt;0,1,0)</f>
        <v>1</v>
      </c>
      <c r="H884" s="9">
        <f>ABS(Prices!B884-Prices!B883)/Prices!B883</f>
        <v>3.3994782196222571E-3</v>
      </c>
      <c r="I884" s="13"/>
      <c r="J884" s="1">
        <f t="shared" ca="1" si="85"/>
        <v>3.9141404115257052E-2</v>
      </c>
      <c r="K884" s="9"/>
      <c r="L884" s="9">
        <f ca="1">L883-O884*Prices!B884</f>
        <v>0.35674974948803301</v>
      </c>
      <c r="M884" s="1">
        <f t="shared" ca="1" si="80"/>
        <v>0.53049114267083808</v>
      </c>
      <c r="N884" s="9">
        <f ca="1">IF(Prices!D883&gt;OFFSET(Prices!D883,-$N$3,0),1,IF(Prices!D883&lt;OFFSET(Prices!D883,-$N$3,0),-1,0))</f>
        <v>1</v>
      </c>
      <c r="O884" s="1">
        <f ca="1">IF(N884=1,O$3*L883/Prices!B883,O$3*M883*N884)</f>
        <v>3.1349386587464896E-2</v>
      </c>
      <c r="P884" s="14"/>
      <c r="Q884" s="9">
        <f ca="1">Q883-T884*Prices!B884</f>
        <v>0.48291651989894113</v>
      </c>
      <c r="R884" s="1">
        <f t="shared" ca="1" si="81"/>
        <v>0.39664360793738945</v>
      </c>
      <c r="S884" s="9">
        <f ca="1">IF(Prices!C883&lt;OFFSET(Prices!C883,-S$3,0),1,IF(Prices!C883&gt;OFFSET(Prices!C883,-S$3,0),-1,0))</f>
        <v>1</v>
      </c>
      <c r="T884" s="1">
        <f ca="1">IF(S884=1,T$3*Q883/Prices!B883,T$3*R883*S884)</f>
        <v>7.7920175277921564E-3</v>
      </c>
    </row>
    <row r="885" spans="1:20" x14ac:dyDescent="0.2">
      <c r="A885" s="4">
        <v>34745</v>
      </c>
      <c r="B885" s="9">
        <f ca="1">Prices!B884*(1+J885/(50*(ABS(O885)+ABS(T885)+0.0001)))</f>
        <v>1.2502162420156215</v>
      </c>
      <c r="C885" s="13">
        <f t="shared" ca="1" si="82"/>
        <v>-1</v>
      </c>
      <c r="D885" s="9">
        <f ca="1">D884+C885*(Prices!B885-Prices!B884)/Prices!B884</f>
        <v>-0.54505106599979913</v>
      </c>
      <c r="E885" s="9">
        <f t="shared" ca="1" si="83"/>
        <v>0.58117501725854548</v>
      </c>
      <c r="F885" s="9">
        <f t="shared" ca="1" si="84"/>
        <v>3.6123951258746317E-2</v>
      </c>
      <c r="G885" s="13">
        <f ca="1">IF((Prices!B885-Prices!B884)*B885&gt;0,1,0)</f>
        <v>1</v>
      </c>
      <c r="H885" s="9">
        <f>ABS(Prices!B885-Prices!B884)/Prices!B884</f>
        <v>2.6788528206743204E-3</v>
      </c>
      <c r="I885" s="13"/>
      <c r="J885" s="1">
        <f t="shared" ca="1" si="85"/>
        <v>-4.5439336140721674E-2</v>
      </c>
      <c r="K885" s="9"/>
      <c r="L885" s="9">
        <f ca="1">L884-O885*Prices!B885</f>
        <v>0.42426005230432384</v>
      </c>
      <c r="M885" s="1">
        <f t="shared" ca="1" si="80"/>
        <v>0.47744202840375427</v>
      </c>
      <c r="N885" s="9">
        <f ca="1">IF(Prices!D884&gt;OFFSET(Prices!D884,-$N$3,0),1,IF(Prices!D884&lt;OFFSET(Prices!D884,-$N$3,0),-1,0))</f>
        <v>-1</v>
      </c>
      <c r="O885" s="1">
        <f ca="1">IF(N885=1,O$3*L884/Prices!B884,O$3*M884*N885)</f>
        <v>-5.3049114267083808E-2</v>
      </c>
      <c r="P885" s="14"/>
      <c r="Q885" s="9">
        <f ca="1">Q884-T885*Prices!B885</f>
        <v>0.47323231625533269</v>
      </c>
      <c r="R885" s="1">
        <f t="shared" ca="1" si="81"/>
        <v>0.40425338606375161</v>
      </c>
      <c r="S885" s="9">
        <f ca="1">IF(Prices!C884&lt;OFFSET(Prices!C884,-S$3,0),1,IF(Prices!C884&gt;OFFSET(Prices!C884,-S$3,0),-1,0))</f>
        <v>1</v>
      </c>
      <c r="T885" s="1">
        <f ca="1">IF(S885=1,T$3*Q884/Prices!B884,T$3*R884*S885)</f>
        <v>7.6097781263621354E-3</v>
      </c>
    </row>
    <row r="886" spans="1:20" x14ac:dyDescent="0.2">
      <c r="A886" s="4">
        <v>34746</v>
      </c>
      <c r="B886" s="9">
        <f ca="1">Prices!B885*(1+J886/(50*(ABS(O886)+ABS(T886)+0.0001)))</f>
        <v>1.2540423745636451</v>
      </c>
      <c r="C886" s="13">
        <f t="shared" ca="1" si="82"/>
        <v>-1</v>
      </c>
      <c r="D886" s="9">
        <f ca="1">D885+C886*(Prices!B886-Prices!B885)/Prices!B885</f>
        <v>-0.55471631823930878</v>
      </c>
      <c r="E886" s="9">
        <f t="shared" ca="1" si="83"/>
        <v>0.59084026949805513</v>
      </c>
      <c r="F886" s="9">
        <f t="shared" ca="1" si="84"/>
        <v>3.6123951258746317E-2</v>
      </c>
      <c r="G886" s="13">
        <f ca="1">IF((Prices!B886-Prices!B885)*B886&gt;0,1,0)</f>
        <v>1</v>
      </c>
      <c r="H886" s="9">
        <f>ABS(Prices!B886-Prices!B885)/Prices!B885</f>
        <v>9.6652522395096474E-3</v>
      </c>
      <c r="I886" s="13"/>
      <c r="J886" s="1">
        <f t="shared" ca="1" si="85"/>
        <v>-4.0306951288350712E-2</v>
      </c>
      <c r="K886" s="9"/>
      <c r="L886" s="9">
        <f ca="1">L885-O886*Prices!B886</f>
        <v>0.48560657853392225</v>
      </c>
      <c r="M886" s="1">
        <f t="shared" ca="1" si="80"/>
        <v>0.42969782556337882</v>
      </c>
      <c r="N886" s="9">
        <f ca="1">IF(Prices!D885&gt;OFFSET(Prices!D885,-$N$3,0),1,IF(Prices!D885&lt;OFFSET(Prices!D885,-$N$3,0),-1,0))</f>
        <v>-1</v>
      </c>
      <c r="O886" s="1">
        <f ca="1">IF(N886=1,O$3*L885/Prices!B885,O$3*M885*N886)</f>
        <v>-4.7744202840375428E-2</v>
      </c>
      <c r="P886" s="14"/>
      <c r="Q886" s="9">
        <f ca="1">Q885-T886*Prices!B886</f>
        <v>0.46367619173613611</v>
      </c>
      <c r="R886" s="1">
        <f t="shared" ca="1" si="81"/>
        <v>0.41169063761577634</v>
      </c>
      <c r="S886" s="9">
        <f ca="1">IF(Prices!C885&lt;OFFSET(Prices!C885,-S$3,0),1,IF(Prices!C885&gt;OFFSET(Prices!C885,-S$3,0),-1,0))</f>
        <v>1</v>
      </c>
      <c r="T886" s="1">
        <f ca="1">IF(S886=1,T$3*Q885/Prices!B885,T$3*R885*S886)</f>
        <v>7.4372515520247165E-3</v>
      </c>
    </row>
    <row r="887" spans="1:20" x14ac:dyDescent="0.2">
      <c r="A887" s="4">
        <v>34747</v>
      </c>
      <c r="B887" s="9">
        <f ca="1">Prices!B886*(1+J887/(50*(ABS(O887)+ABS(T887)+0.0001)))</f>
        <v>1.2666295668286474</v>
      </c>
      <c r="C887" s="13">
        <f t="shared" ca="1" si="82"/>
        <v>-1</v>
      </c>
      <c r="D887" s="9">
        <f ca="1">D886+C887*(Prices!B887-Prices!B886)/Prices!B886</f>
        <v>-0.55510545358058061</v>
      </c>
      <c r="E887" s="9">
        <f t="shared" ca="1" si="83"/>
        <v>0.59122940483932696</v>
      </c>
      <c r="F887" s="9">
        <f t="shared" ca="1" si="84"/>
        <v>3.6123951258746317E-2</v>
      </c>
      <c r="G887" s="13">
        <f ca="1">IF((Prices!B887-Prices!B886)*B887&gt;0,1,0)</f>
        <v>1</v>
      </c>
      <c r="H887" s="9">
        <f>ABS(Prices!B887-Prices!B886)/Prices!B886</f>
        <v>3.8913534127182426E-4</v>
      </c>
      <c r="I887" s="13"/>
      <c r="J887" s="1">
        <f t="shared" ca="1" si="85"/>
        <v>-3.5752470831905844E-2</v>
      </c>
      <c r="K887" s="9"/>
      <c r="L887" s="9">
        <f ca="1">L886-O887*Prices!B887</f>
        <v>0.54083993703183897</v>
      </c>
      <c r="M887" s="1">
        <f t="shared" ca="1" si="80"/>
        <v>0.38672804300704094</v>
      </c>
      <c r="N887" s="9">
        <f ca="1">IF(Prices!D886&gt;OFFSET(Prices!D886,-$N$3,0),1,IF(Prices!D886&lt;OFFSET(Prices!D886,-$N$3,0),-1,0))</f>
        <v>-1</v>
      </c>
      <c r="O887" s="1">
        <f ca="1">IF(N887=1,O$3*L886/Prices!B886,O$3*M886*N887)</f>
        <v>-4.2969782556337884E-2</v>
      </c>
      <c r="P887" s="14"/>
      <c r="Q887" s="9">
        <f ca="1">Q886-T887*Prices!B887</f>
        <v>0.45439905924555118</v>
      </c>
      <c r="R887" s="1">
        <f t="shared" ca="1" si="81"/>
        <v>0.41890794934020836</v>
      </c>
      <c r="S887" s="9">
        <f ca="1">IF(Prices!C886&lt;OFFSET(Prices!C886,-S$3,0),1,IF(Prices!C886&gt;OFFSET(Prices!C886,-S$3,0),-1,0))</f>
        <v>1</v>
      </c>
      <c r="T887" s="1">
        <f ca="1">IF(S887=1,T$3*Q886/Prices!B886,T$3*R886*S887)</f>
        <v>7.2173117244320358E-3</v>
      </c>
    </row>
    <row r="888" spans="1:20" x14ac:dyDescent="0.2">
      <c r="A888" s="4">
        <v>34750</v>
      </c>
      <c r="B888" s="9">
        <f ca="1">Prices!B887*(1+J888/(50*(ABS(O888)+ABS(T888)+0.0001)))</f>
        <v>1.2676777415065226</v>
      </c>
      <c r="C888" s="13">
        <f t="shared" ca="1" si="82"/>
        <v>-1</v>
      </c>
      <c r="D888" s="9">
        <f ca="1">D887+C888*(Prices!B888-Prices!B887)/Prices!B887</f>
        <v>-0.56451886574799937</v>
      </c>
      <c r="E888" s="9">
        <f t="shared" ca="1" si="83"/>
        <v>0.60064281700674571</v>
      </c>
      <c r="F888" s="9">
        <f t="shared" ca="1" si="84"/>
        <v>3.6123951258746317E-2</v>
      </c>
      <c r="G888" s="13">
        <f ca="1">IF((Prices!B888-Prices!B887)*B888&gt;0,1,0)</f>
        <v>1</v>
      </c>
      <c r="H888" s="9">
        <f>ABS(Prices!B888-Prices!B887)/Prices!B887</f>
        <v>9.4134121674187016E-3</v>
      </c>
      <c r="I888" s="13"/>
      <c r="J888" s="1">
        <f t="shared" ca="1" si="85"/>
        <v>-3.1602646229355866E-2</v>
      </c>
      <c r="K888" s="9"/>
      <c r="L888" s="9">
        <f ca="1">L887-O888*Prices!B888</f>
        <v>0.59101790061200254</v>
      </c>
      <c r="M888" s="1">
        <f t="shared" ca="1" si="80"/>
        <v>0.34805523870633687</v>
      </c>
      <c r="N888" s="9">
        <f ca="1">IF(Prices!D887&gt;OFFSET(Prices!D887,-$N$3,0),1,IF(Prices!D887&lt;OFFSET(Prices!D887,-$N$3,0),-1,0))</f>
        <v>-1</v>
      </c>
      <c r="O888" s="1">
        <f ca="1">IF(N888=1,O$3*L887/Prices!B887,O$3*M887*N888)</f>
        <v>-3.8672804300704099E-2</v>
      </c>
      <c r="P888" s="14"/>
      <c r="Q888" s="9">
        <f ca="1">Q887-T888*Prices!B888</f>
        <v>0.44522552914797686</v>
      </c>
      <c r="R888" s="1">
        <f t="shared" ca="1" si="81"/>
        <v>0.42597810741155662</v>
      </c>
      <c r="S888" s="9">
        <f ca="1">IF(Prices!C887&lt;OFFSET(Prices!C887,-S$3,0),1,IF(Prices!C887&gt;OFFSET(Prices!C887,-S$3,0),-1,0))</f>
        <v>1</v>
      </c>
      <c r="T888" s="1">
        <f ca="1">IF(S888=1,T$3*Q887/Prices!B887,T$3*R887*S888)</f>
        <v>7.0701580713482363E-3</v>
      </c>
    </row>
    <row r="889" spans="1:20" x14ac:dyDescent="0.2">
      <c r="A889" s="4">
        <v>34751</v>
      </c>
      <c r="B889" s="9">
        <f ca="1">Prices!B888*(1+J889/(50*(ABS(O889)+ABS(T889)+0.0001)))</f>
        <v>1.3234005839791392</v>
      </c>
      <c r="C889" s="13">
        <f t="shared" ca="1" si="82"/>
        <v>1</v>
      </c>
      <c r="D889" s="9">
        <f ca="1">D888+C889*(Prices!B889-Prices!B888)/Prices!B888</f>
        <v>-0.57045335515069684</v>
      </c>
      <c r="E889" s="9">
        <f t="shared" ca="1" si="83"/>
        <v>0.60657730640944318</v>
      </c>
      <c r="F889" s="9">
        <f t="shared" ca="1" si="84"/>
        <v>3.6123951258746317E-2</v>
      </c>
      <c r="G889" s="13">
        <f ca="1">IF((Prices!B889-Prices!B888)*B889&gt;0,1,0)</f>
        <v>0</v>
      </c>
      <c r="H889" s="9">
        <f>ABS(Prices!B889-Prices!B888)/Prices!B888</f>
        <v>5.9344894026975258E-3</v>
      </c>
      <c r="I889" s="13"/>
      <c r="J889" s="1">
        <f t="shared" ca="1" si="85"/>
        <v>5.24133338297956E-2</v>
      </c>
      <c r="K889" s="9"/>
      <c r="L889" s="9">
        <f ca="1">L888-O889*Prices!B889</f>
        <v>0.53226684949760095</v>
      </c>
      <c r="M889" s="1">
        <f t="shared" ca="1" si="80"/>
        <v>0.39360575127758946</v>
      </c>
      <c r="N889" s="9">
        <f ca="1">IF(Prices!D888&gt;OFFSET(Prices!D888,-$N$3,0),1,IF(Prices!D888&lt;OFFSET(Prices!D888,-$N$3,0),-1,0))</f>
        <v>1</v>
      </c>
      <c r="O889" s="1">
        <f ca="1">IF(N889=1,O$3*L888/Prices!B888,O$3*M888*N889)</f>
        <v>4.5550512571252602E-2</v>
      </c>
      <c r="P889" s="14"/>
      <c r="Q889" s="9">
        <f ca="1">Q888-T889*Prices!B889</f>
        <v>0.43637386228870811</v>
      </c>
      <c r="R889" s="1">
        <f t="shared" ca="1" si="81"/>
        <v>0.4328409286700996</v>
      </c>
      <c r="S889" s="9">
        <f ca="1">IF(Prices!C888&lt;OFFSET(Prices!C888,-S$3,0),1,IF(Prices!C888&gt;OFFSET(Prices!C888,-S$3,0),-1,0))</f>
        <v>1</v>
      </c>
      <c r="T889" s="1">
        <f ca="1">IF(S889=1,T$3*Q888/Prices!B888,T$3*R888*S889)</f>
        <v>6.8628212585429959E-3</v>
      </c>
    </row>
    <row r="890" spans="1:20" x14ac:dyDescent="0.2">
      <c r="A890" s="4">
        <v>34752</v>
      </c>
      <c r="B890" s="9">
        <f ca="1">Prices!B889*(1+J890/(50*(ABS(O890)+ABS(T890)+0.0001)))</f>
        <v>1.3155424078659306</v>
      </c>
      <c r="C890" s="13">
        <f t="shared" ca="1" si="82"/>
        <v>1</v>
      </c>
      <c r="D890" s="9">
        <f ca="1">D889+C890*(Prices!B890-Prices!B889)/Prices!B889</f>
        <v>-0.5654138141365862</v>
      </c>
      <c r="E890" s="9">
        <f t="shared" ca="1" si="83"/>
        <v>0.60153776539533255</v>
      </c>
      <c r="F890" s="9">
        <f t="shared" ca="1" si="84"/>
        <v>3.6123951258746317E-2</v>
      </c>
      <c r="G890" s="13">
        <f ca="1">IF((Prices!B890-Prices!B889)*B890&gt;0,1,0)</f>
        <v>1</v>
      </c>
      <c r="H890" s="9">
        <f>ABS(Prices!B890-Prices!B889)/Prices!B889</f>
        <v>5.039541014110676E-3</v>
      </c>
      <c r="I890" s="13"/>
      <c r="J890" s="1">
        <f t="shared" ca="1" si="85"/>
        <v>4.8033929442963447E-2</v>
      </c>
      <c r="K890" s="9"/>
      <c r="L890" s="9">
        <f ca="1">L889-O890*Prices!B890</f>
        <v>0.47877192648599137</v>
      </c>
      <c r="M890" s="1">
        <f t="shared" ca="1" si="80"/>
        <v>0.43487314540827648</v>
      </c>
      <c r="N890" s="9">
        <f ca="1">IF(Prices!D889&gt;OFFSET(Prices!D889,-$N$3,0),1,IF(Prices!D889&lt;OFFSET(Prices!D889,-$N$3,0),-1,0))</f>
        <v>1</v>
      </c>
      <c r="O890" s="1">
        <f ca="1">IF(N890=1,O$3*L889/Prices!B889,O$3*M889*N890)</f>
        <v>4.1267394130687002E-2</v>
      </c>
      <c r="P890" s="14"/>
      <c r="Q890" s="9">
        <f ca="1">Q889-T890*Prices!B890</f>
        <v>0.42760240256340415</v>
      </c>
      <c r="R890" s="1">
        <f t="shared" ca="1" si="81"/>
        <v>0.43960746398237605</v>
      </c>
      <c r="S890" s="9">
        <f ca="1">IF(Prices!C889&lt;OFFSET(Prices!C889,-S$3,0),1,IF(Prices!C889&gt;OFFSET(Prices!C889,-S$3,0),-1,0))</f>
        <v>1</v>
      </c>
      <c r="T890" s="1">
        <f ca="1">IF(S890=1,T$3*Q889/Prices!B889,T$3*R889*S890)</f>
        <v>6.7665353122764475E-3</v>
      </c>
    </row>
    <row r="891" spans="1:20" x14ac:dyDescent="0.2">
      <c r="A891" s="4">
        <v>34753</v>
      </c>
      <c r="B891" s="9">
        <f ca="1">Prices!B890*(1+J891/(50*(ABS(O891)+ABS(T891)+0.0001)))</f>
        <v>1.2772421346748219</v>
      </c>
      <c r="C891" s="13">
        <f t="shared" ca="1" si="82"/>
        <v>-1</v>
      </c>
      <c r="D891" s="9">
        <f ca="1">D890+C891*(Prices!B891-Prices!B890)/Prices!B890</f>
        <v>-0.56379381876514445</v>
      </c>
      <c r="E891" s="9">
        <f t="shared" ca="1" si="83"/>
        <v>0.5999177700238908</v>
      </c>
      <c r="F891" s="9">
        <f t="shared" ca="1" si="84"/>
        <v>3.6123951258746317E-2</v>
      </c>
      <c r="G891" s="13">
        <f ca="1">IF((Prices!B891-Prices!B890)*B891&gt;0,1,0)</f>
        <v>0</v>
      </c>
      <c r="H891" s="9">
        <f>ABS(Prices!B891-Prices!B890)/Prices!B890</f>
        <v>1.6199953714417887E-3</v>
      </c>
      <c r="I891" s="13"/>
      <c r="J891" s="1">
        <f t="shared" ca="1" si="85"/>
        <v>-3.6890039179207593E-2</v>
      </c>
      <c r="K891" s="9"/>
      <c r="L891" s="9">
        <f ca="1">L890-O891*Prices!B891</f>
        <v>0.53505320896473052</v>
      </c>
      <c r="M891" s="1">
        <f t="shared" ca="1" si="80"/>
        <v>0.39138583086744883</v>
      </c>
      <c r="N891" s="9">
        <f ca="1">IF(Prices!D890&gt;OFFSET(Prices!D890,-$N$3,0),1,IF(Prices!D890&lt;OFFSET(Prices!D890,-$N$3,0),-1,0))</f>
        <v>-1</v>
      </c>
      <c r="O891" s="1">
        <f ca="1">IF(N891=1,O$3*L890/Prices!B890,O$3*M890*N891)</f>
        <v>-4.3487314540827653E-2</v>
      </c>
      <c r="P891" s="14"/>
      <c r="Q891" s="9">
        <f ca="1">Q890-T891*Prices!B891</f>
        <v>0.41906420879039546</v>
      </c>
      <c r="R891" s="1">
        <f t="shared" ca="1" si="81"/>
        <v>0.44620473934399613</v>
      </c>
      <c r="S891" s="9">
        <f ca="1">IF(Prices!C890&lt;OFFSET(Prices!C890,-S$3,0),1,IF(Prices!C890&gt;OFFSET(Prices!C890,-S$3,0),-1,0))</f>
        <v>1</v>
      </c>
      <c r="T891" s="1">
        <f ca="1">IF(S891=1,T$3*Q890/Prices!B890,T$3*R890*S891)</f>
        <v>6.5972753616200591E-3</v>
      </c>
    </row>
    <row r="892" spans="1:20" x14ac:dyDescent="0.2">
      <c r="A892" s="4">
        <v>34754</v>
      </c>
      <c r="B892" s="9">
        <f ca="1">Prices!B891*(1+J892/(50*(ABS(O892)+ABS(T892)+0.0001)))</f>
        <v>1.275706191212477</v>
      </c>
      <c r="C892" s="13">
        <f t="shared" ca="1" si="82"/>
        <v>-1</v>
      </c>
      <c r="D892" s="9">
        <f ca="1">D891+C892*(Prices!B892-Prices!B891)/Prices!B891</f>
        <v>-0.55861687547971717</v>
      </c>
      <c r="E892" s="9">
        <f t="shared" ca="1" si="83"/>
        <v>0.59474082673846351</v>
      </c>
      <c r="F892" s="9">
        <f t="shared" ca="1" si="84"/>
        <v>3.6123951258746317E-2</v>
      </c>
      <c r="G892" s="13">
        <f ca="1">IF((Prices!B892-Prices!B891)*B892&gt;0,1,0)</f>
        <v>0</v>
      </c>
      <c r="H892" s="9">
        <f>ABS(Prices!B892-Prices!B891)/Prices!B891</f>
        <v>5.1769432854272355E-3</v>
      </c>
      <c r="I892" s="13"/>
      <c r="J892" s="1">
        <f t="shared" ca="1" si="85"/>
        <v>-3.2662548334922985E-2</v>
      </c>
      <c r="K892" s="9"/>
      <c r="L892" s="9">
        <f ca="1">L891-O892*Prices!B892</f>
        <v>0.58544413468891454</v>
      </c>
      <c r="M892" s="1">
        <f t="shared" ca="1" si="80"/>
        <v>0.35224724778070393</v>
      </c>
      <c r="N892" s="9">
        <f ca="1">IF(Prices!D891&gt;OFFSET(Prices!D891,-$N$3,0),1,IF(Prices!D891&lt;OFFSET(Prices!D891,-$N$3,0),-1,0))</f>
        <v>-1</v>
      </c>
      <c r="O892" s="1">
        <f ca="1">IF(N892=1,O$3*L891/Prices!B891,O$3*M891*N892)</f>
        <v>-3.9138583086744887E-2</v>
      </c>
      <c r="P892" s="14"/>
      <c r="Q892" s="9">
        <f ca="1">Q891-T892*Prices!B892</f>
        <v>0.41072631404742477</v>
      </c>
      <c r="R892" s="1">
        <f t="shared" ca="1" si="81"/>
        <v>0.45268077409581803</v>
      </c>
      <c r="S892" s="9">
        <f ca="1">IF(Prices!C891&lt;OFFSET(Prices!C891,-S$3,0),1,IF(Prices!C891&gt;OFFSET(Prices!C891,-S$3,0),-1,0))</f>
        <v>1</v>
      </c>
      <c r="T892" s="1">
        <f ca="1">IF(S892=1,T$3*Q891/Prices!B891,T$3*R891*S892)</f>
        <v>6.4760347518219045E-3</v>
      </c>
    </row>
    <row r="893" spans="1:20" x14ac:dyDescent="0.2">
      <c r="A893" s="4">
        <v>34757</v>
      </c>
      <c r="B893" s="9">
        <f ca="1">Prices!B892*(1+J893/(50*(ABS(O893)+ABS(T893)+0.0001)))</f>
        <v>1.3132004346388344</v>
      </c>
      <c r="C893" s="13">
        <f t="shared" ca="1" si="82"/>
        <v>1</v>
      </c>
      <c r="D893" s="9">
        <f ca="1">D892+C893*(Prices!B893-Prices!B892)/Prices!B892</f>
        <v>-0.55294697256709591</v>
      </c>
      <c r="E893" s="9">
        <f t="shared" ca="1" si="83"/>
        <v>0.58907092382584225</v>
      </c>
      <c r="F893" s="9">
        <f t="shared" ca="1" si="84"/>
        <v>3.6123951258746317E-2</v>
      </c>
      <c r="G893" s="13">
        <f ca="1">IF((Prices!B893-Prices!B892)*B893&gt;0,1,0)</f>
        <v>1</v>
      </c>
      <c r="H893" s="9">
        <f>ABS(Prices!B893-Prices!B892)/Prices!B892</f>
        <v>5.6699029126212521E-3</v>
      </c>
      <c r="I893" s="13"/>
      <c r="J893" s="1">
        <f t="shared" ca="1" si="85"/>
        <v>5.1851603689196071E-2</v>
      </c>
      <c r="K893" s="9"/>
      <c r="L893" s="9">
        <f ca="1">L892-O893*Prices!B893</f>
        <v>0.52656778007957816</v>
      </c>
      <c r="M893" s="1">
        <f t="shared" ca="1" si="80"/>
        <v>0.39771863688275555</v>
      </c>
      <c r="N893" s="9">
        <f ca="1">IF(Prices!D892&gt;OFFSET(Prices!D892,-$N$3,0),1,IF(Prices!D892&lt;OFFSET(Prices!D892,-$N$3,0),-1,0))</f>
        <v>1</v>
      </c>
      <c r="O893" s="1">
        <f ca="1">IF(N893=1,O$3*L892/Prices!B892,O$3*M892*N893)</f>
        <v>4.5471389102051611E-2</v>
      </c>
      <c r="P893" s="14"/>
      <c r="Q893" s="9">
        <f ca="1">Q892-T893*Prices!B893</f>
        <v>0.4024652121999901</v>
      </c>
      <c r="R893" s="1">
        <f t="shared" ca="1" si="81"/>
        <v>0.45906098868296247</v>
      </c>
      <c r="S893" s="9">
        <f ca="1">IF(Prices!C892&lt;OFFSET(Prices!C892,-S$3,0),1,IF(Prices!C892&gt;OFFSET(Prices!C892,-S$3,0),-1,0))</f>
        <v>1</v>
      </c>
      <c r="T893" s="1">
        <f ca="1">IF(S893=1,T$3*Q892/Prices!B892,T$3*R892*S893)</f>
        <v>6.3802145871444619E-3</v>
      </c>
    </row>
    <row r="894" spans="1:20" x14ac:dyDescent="0.2">
      <c r="A894" s="4">
        <v>34758</v>
      </c>
      <c r="B894" s="9">
        <f ca="1">Prices!B893*(1+J894/(50*(ABS(O894)+ABS(T894)+0.0001)))</f>
        <v>1.2689689480551058</v>
      </c>
      <c r="C894" s="13">
        <f t="shared" ca="1" si="82"/>
        <v>-1</v>
      </c>
      <c r="D894" s="9">
        <f ca="1">D893+C894*(Prices!B894-Prices!B893)/Prices!B893</f>
        <v>-0.55132510046329608</v>
      </c>
      <c r="E894" s="9">
        <f t="shared" ca="1" si="83"/>
        <v>0.58744905172204243</v>
      </c>
      <c r="F894" s="9">
        <f t="shared" ca="1" si="84"/>
        <v>3.6123951258746317E-2</v>
      </c>
      <c r="G894" s="13">
        <f ca="1">IF((Prices!B894-Prices!B893)*B894&gt;0,1,0)</f>
        <v>0</v>
      </c>
      <c r="H894" s="9">
        <f>ABS(Prices!B894-Prices!B893)/Prices!B893</f>
        <v>1.6218721037998076E-3</v>
      </c>
      <c r="I894" s="13"/>
      <c r="J894" s="1">
        <f t="shared" ca="1" si="85"/>
        <v>-3.9771863688275559E-2</v>
      </c>
      <c r="K894" s="9"/>
      <c r="L894" s="9">
        <f ca="1">L893-O894*Prices!B894</f>
        <v>0.57798086826941197</v>
      </c>
      <c r="M894" s="1">
        <f t="shared" ca="1" si="80"/>
        <v>0.35794677319447998</v>
      </c>
      <c r="N894" s="9">
        <f ca="1">IF(Prices!D893&gt;OFFSET(Prices!D893,-$N$3,0),1,IF(Prices!D893&lt;OFFSET(Prices!D893,-$N$3,0),-1,0))</f>
        <v>-1</v>
      </c>
      <c r="O894" s="1">
        <f ca="1">IF(N894=1,O$3*L893/Prices!B893,O$3*M893*N894)</f>
        <v>-3.9771863688275559E-2</v>
      </c>
      <c r="P894" s="14"/>
      <c r="Q894" s="9">
        <f ca="1">Q893-T894*Prices!B894</f>
        <v>0.4024652121999901</v>
      </c>
      <c r="R894" s="1">
        <f t="shared" ca="1" si="81"/>
        <v>0.45906098868296247</v>
      </c>
      <c r="S894" s="9">
        <f ca="1">IF(Prices!C893&lt;OFFSET(Prices!C893,-S$3,0),1,IF(Prices!C893&gt;OFFSET(Prices!C893,-S$3,0),-1,0))</f>
        <v>0</v>
      </c>
      <c r="T894" s="1">
        <f ca="1">IF(S894=1,T$3*Q893/Prices!B893,T$3*R893*S894)</f>
        <v>0</v>
      </c>
    </row>
    <row r="895" spans="1:20" x14ac:dyDescent="0.2">
      <c r="A895" s="4">
        <v>34759</v>
      </c>
      <c r="B895" s="9">
        <f ca="1">Prices!B894*(1+J895/(50*(ABS(O895)+ABS(T895)+0.0001)))</f>
        <v>1.2745512864228656</v>
      </c>
      <c r="C895" s="13">
        <f t="shared" ca="1" si="82"/>
        <v>-1</v>
      </c>
      <c r="D895" s="9">
        <f ca="1">D894+C895*(Prices!B895-Prices!B894)/Prices!B894</f>
        <v>-0.55364582452920474</v>
      </c>
      <c r="E895" s="9">
        <f t="shared" ca="1" si="83"/>
        <v>0.58976977578795109</v>
      </c>
      <c r="F895" s="9">
        <f t="shared" ca="1" si="84"/>
        <v>3.6123951258746317E-2</v>
      </c>
      <c r="G895" s="13">
        <f ca="1">IF((Prices!B895-Prices!B894)*B895&gt;0,1,0)</f>
        <v>1</v>
      </c>
      <c r="H895" s="9">
        <f>ABS(Prices!B895-Prices!B894)/Prices!B894</f>
        <v>2.3207240659086515E-3</v>
      </c>
      <c r="I895" s="13"/>
      <c r="J895" s="1">
        <f t="shared" ca="1" si="85"/>
        <v>-2.9567939295157906E-2</v>
      </c>
      <c r="K895" s="9"/>
      <c r="L895" s="9">
        <f ca="1">L894-O895*Prices!B895</f>
        <v>0.62436003167222076</v>
      </c>
      <c r="M895" s="1">
        <f t="shared" ca="1" si="80"/>
        <v>0.32215209587503196</v>
      </c>
      <c r="N895" s="9">
        <f ca="1">IF(Prices!D894&gt;OFFSET(Prices!D894,-$N$3,0),1,IF(Prices!D894&lt;OFFSET(Prices!D894,-$N$3,0),-1,0))</f>
        <v>-1</v>
      </c>
      <c r="O895" s="1">
        <f ca="1">IF(N895=1,O$3*L894/Prices!B894,O$3*M894*N895)</f>
        <v>-3.5794677319448E-2</v>
      </c>
      <c r="P895" s="14"/>
      <c r="Q895" s="9">
        <f ca="1">Q894-T895*Prices!B895</f>
        <v>0.39439722774191743</v>
      </c>
      <c r="R895" s="1">
        <f t="shared" ca="1" si="81"/>
        <v>0.46528772670725255</v>
      </c>
      <c r="S895" s="9">
        <f ca="1">IF(Prices!C894&lt;OFFSET(Prices!C894,-S$3,0),1,IF(Prices!C894&gt;OFFSET(Prices!C894,-S$3,0),-1,0))</f>
        <v>1</v>
      </c>
      <c r="T895" s="1">
        <f ca="1">IF(S895=1,T$3*Q894/Prices!B894,T$3*R894*S895)</f>
        <v>6.2267380242900915E-3</v>
      </c>
    </row>
    <row r="896" spans="1:20" x14ac:dyDescent="0.2">
      <c r="A896" s="4">
        <v>34760</v>
      </c>
      <c r="B896" s="9">
        <f ca="1">Prices!B895*(1+J896/(50*(ABS(O896)+ABS(T896)+0.0001)))</f>
        <v>1.2698482618926468</v>
      </c>
      <c r="C896" s="13">
        <f t="shared" ca="1" si="82"/>
        <v>-1</v>
      </c>
      <c r="D896" s="9">
        <f ca="1">D895+C896*(Prices!B896-Prices!B895)/Prices!B895</f>
        <v>-0.55387735960676898</v>
      </c>
      <c r="E896" s="9">
        <f t="shared" ca="1" si="83"/>
        <v>0.59000131086551533</v>
      </c>
      <c r="F896" s="9">
        <f t="shared" ca="1" si="84"/>
        <v>3.6123951258746317E-2</v>
      </c>
      <c r="G896" s="13">
        <f ca="1">IF((Prices!B896-Prices!B895)*B896&gt;0,1,0)</f>
        <v>1</v>
      </c>
      <c r="H896" s="9">
        <f>ABS(Prices!B896-Prices!B895)/Prices!B895</f>
        <v>2.3153507756422547E-4</v>
      </c>
      <c r="I896" s="13"/>
      <c r="J896" s="1">
        <f t="shared" ca="1" si="85"/>
        <v>-4.1520964121648254E-2</v>
      </c>
      <c r="K896" s="9"/>
      <c r="L896" s="9">
        <f ca="1">L895-O896*Prices!B896</f>
        <v>0.66611094329762488</v>
      </c>
      <c r="M896" s="1">
        <f t="shared" ca="1" si="80"/>
        <v>0.28993688628752878</v>
      </c>
      <c r="N896" s="9">
        <f ca="1">IF(Prices!D895&gt;OFFSET(Prices!D895,-$N$3,0),1,IF(Prices!D895&lt;OFFSET(Prices!D895,-$N$3,0),-1,0))</f>
        <v>-1</v>
      </c>
      <c r="O896" s="1">
        <f ca="1">IF(N896=1,O$3*L895/Prices!B895,O$3*M895*N896)</f>
        <v>-3.22152095875032E-2</v>
      </c>
      <c r="P896" s="14"/>
      <c r="Q896" s="9">
        <f ca="1">Q895-T896*Prices!B896</f>
        <v>0.40645748561816941</v>
      </c>
      <c r="R896" s="1">
        <f t="shared" ca="1" si="81"/>
        <v>0.45598197217310749</v>
      </c>
      <c r="S896" s="9">
        <f ca="1">IF(Prices!C895&lt;OFFSET(Prices!C895,-S$3,0),1,IF(Prices!C895&gt;OFFSET(Prices!C895,-S$3,0),-1,0))</f>
        <v>-1</v>
      </c>
      <c r="T896" s="1">
        <f ca="1">IF(S896=1,T$3*Q895/Prices!B895,T$3*R895*S896)</f>
        <v>-9.3057545341450505E-3</v>
      </c>
    </row>
    <row r="897" spans="1:20" x14ac:dyDescent="0.2">
      <c r="A897" s="4">
        <v>34761</v>
      </c>
      <c r="B897" s="9">
        <f ca="1">Prices!B896*(1+J897/(50*(ABS(O897)+ABS(T897)+0.0001)))</f>
        <v>1.3218751323761524</v>
      </c>
      <c r="C897" s="13">
        <f t="shared" ca="1" si="82"/>
        <v>1</v>
      </c>
      <c r="D897" s="9">
        <f ca="1">D896+C897*(Prices!B897-Prices!B896)/Prices!B896</f>
        <v>-0.53821377935985537</v>
      </c>
      <c r="E897" s="9">
        <f t="shared" ca="1" si="83"/>
        <v>0.57433773061860172</v>
      </c>
      <c r="F897" s="9">
        <f t="shared" ca="1" si="84"/>
        <v>3.6123951258746317E-2</v>
      </c>
      <c r="G897" s="13">
        <f ca="1">IF((Prices!B897-Prices!B896)*B897&gt;0,1,0)</f>
        <v>1</v>
      </c>
      <c r="H897" s="9">
        <f>ABS(Prices!B897-Prices!B896)/Prices!B896</f>
        <v>1.5663580246913569E-2</v>
      </c>
      <c r="I897" s="13"/>
      <c r="J897" s="1">
        <f t="shared" ca="1" si="85"/>
        <v>5.7669941390529222E-2</v>
      </c>
      <c r="K897" s="9"/>
      <c r="L897" s="9">
        <f ca="1">L896-O897*Prices!B897</f>
        <v>0.59845648074649338</v>
      </c>
      <c r="M897" s="1">
        <f t="shared" ca="1" si="80"/>
        <v>0.3413343356160492</v>
      </c>
      <c r="N897" s="9">
        <f ca="1">IF(Prices!D896&gt;OFFSET(Prices!D896,-$N$3,0),1,IF(Prices!D896&lt;OFFSET(Prices!D896,-$N$3,0),-1,0))</f>
        <v>1</v>
      </c>
      <c r="O897" s="1">
        <f ca="1">IF(N897=1,O$3*L896/Prices!B896,O$3*M896*N897)</f>
        <v>5.1397449328520438E-2</v>
      </c>
      <c r="P897" s="14"/>
      <c r="Q897" s="9">
        <f ca="1">Q896-T897*Prices!B897</f>
        <v>0.39820100431694727</v>
      </c>
      <c r="R897" s="1">
        <f t="shared" ca="1" si="81"/>
        <v>0.46225446423511629</v>
      </c>
      <c r="S897" s="9">
        <f ca="1">IF(Prices!C896&lt;OFFSET(Prices!C896,-S$3,0),1,IF(Prices!C896&gt;OFFSET(Prices!C896,-S$3,0),-1,0))</f>
        <v>1</v>
      </c>
      <c r="T897" s="1">
        <f ca="1">IF(S897=1,T$3*Q896/Prices!B896,T$3*R896*S897)</f>
        <v>6.272492062008788E-3</v>
      </c>
    </row>
    <row r="898" spans="1:20" x14ac:dyDescent="0.2">
      <c r="A898" s="4">
        <v>34764</v>
      </c>
      <c r="B898" s="9">
        <f ca="1">Prices!B897*(1+J898/(50*(ABS(O898)+ABS(T898)+0.0001)))</f>
        <v>1.3425749958026445</v>
      </c>
      <c r="C898" s="13">
        <f t="shared" ca="1" si="82"/>
        <v>1</v>
      </c>
      <c r="D898" s="9">
        <f ca="1">D897+C898*(Prices!B898-Prices!B897)/Prices!B897</f>
        <v>-0.52347549781309544</v>
      </c>
      <c r="E898" s="9">
        <f t="shared" ca="1" si="83"/>
        <v>0.55959944907184178</v>
      </c>
      <c r="F898" s="9">
        <f t="shared" ca="1" si="84"/>
        <v>3.6123951258746317E-2</v>
      </c>
      <c r="G898" s="13">
        <f ca="1">IF((Prices!B898-Prices!B897)*B898&gt;0,1,0)</f>
        <v>1</v>
      </c>
      <c r="H898" s="9">
        <f>ABS(Prices!B898-Prices!B897)/Prices!B897</f>
        <v>1.4738281546759921E-2</v>
      </c>
      <c r="I898" s="13"/>
      <c r="J898" s="1">
        <f t="shared" ca="1" si="85"/>
        <v>5.1515359842732117E-2</v>
      </c>
      <c r="K898" s="9"/>
      <c r="L898" s="9">
        <f ca="1">L897-O898*Prices!B898</f>
        <v>0.53772881066117151</v>
      </c>
      <c r="M898" s="1">
        <f t="shared" ca="1" si="80"/>
        <v>0.38679938771256928</v>
      </c>
      <c r="N898" s="9">
        <f ca="1">IF(Prices!D897&gt;OFFSET(Prices!D897,-$N$3,0),1,IF(Prices!D897&lt;OFFSET(Prices!D897,-$N$3,0),-1,0))</f>
        <v>1</v>
      </c>
      <c r="O898" s="1">
        <f ca="1">IF(N898=1,O$3*L897/Prices!B897,O$3*M897*N898)</f>
        <v>4.5465052096520048E-2</v>
      </c>
      <c r="P898" s="14"/>
      <c r="Q898" s="9">
        <f ca="1">Q897-T898*Prices!B898</f>
        <v>0.39011960826033182</v>
      </c>
      <c r="R898" s="1">
        <f t="shared" ca="1" si="81"/>
        <v>0.46830477198132836</v>
      </c>
      <c r="S898" s="9">
        <f ca="1">IF(Prices!C897&lt;OFFSET(Prices!C897,-S$3,0),1,IF(Prices!C897&gt;OFFSET(Prices!C897,-S$3,0),-1,0))</f>
        <v>1</v>
      </c>
      <c r="T898" s="1">
        <f ca="1">IF(S898=1,T$3*Q897/Prices!B897,T$3*R897*S898)</f>
        <v>6.0503077462120683E-3</v>
      </c>
    </row>
    <row r="899" spans="1:20" x14ac:dyDescent="0.2">
      <c r="A899" s="4">
        <v>34765</v>
      </c>
      <c r="B899" s="9">
        <f ca="1">Prices!B898*(1+J899/(50*(ABS(O899)+ABS(T899)+0.0001)))</f>
        <v>1.3623561770236945</v>
      </c>
      <c r="C899" s="13">
        <f t="shared" ca="1" si="82"/>
        <v>1</v>
      </c>
      <c r="D899" s="9">
        <f ca="1">D898+C899*(Prices!B899-Prices!B898)/Prices!B898</f>
        <v>-0.51950754093655138</v>
      </c>
      <c r="E899" s="9">
        <f t="shared" ca="1" si="83"/>
        <v>0.55563149219529773</v>
      </c>
      <c r="F899" s="9">
        <f t="shared" ca="1" si="84"/>
        <v>3.6123951258746317E-2</v>
      </c>
      <c r="G899" s="13">
        <f ca="1">IF((Prices!B899-Prices!B898)*B899&gt;0,1,0)</f>
        <v>1</v>
      </c>
      <c r="H899" s="9">
        <f>ABS(Prices!B899-Prices!B898)/Prices!B898</f>
        <v>3.9679568765440291E-3</v>
      </c>
      <c r="I899" s="13"/>
      <c r="J899" s="1">
        <f t="shared" ca="1" si="85"/>
        <v>4.6099628083644373E-2</v>
      </c>
      <c r="K899" s="9"/>
      <c r="L899" s="9">
        <f ca="1">L898-O899*Prices!B899</f>
        <v>0.48374256112185648</v>
      </c>
      <c r="M899" s="1">
        <f t="shared" ca="1" si="80"/>
        <v>0.42705759020273709</v>
      </c>
      <c r="N899" s="9">
        <f ca="1">IF(Prices!D898&gt;OFFSET(Prices!D898,-$N$3,0),1,IF(Prices!D898&lt;OFFSET(Prices!D898,-$N$3,0),-1,0))</f>
        <v>1</v>
      </c>
      <c r="O899" s="1">
        <f ca="1">IF(N899=1,O$3*L898/Prices!B898,O$3*M898*N899)</f>
        <v>4.0258202490167816E-2</v>
      </c>
      <c r="P899" s="14"/>
      <c r="Q899" s="9">
        <f ca="1">Q898-T899*Prices!B899</f>
        <v>0.38228625653947979</v>
      </c>
      <c r="R899" s="1">
        <f t="shared" ca="1" si="81"/>
        <v>0.47414619757480492</v>
      </c>
      <c r="S899" s="9">
        <f ca="1">IF(Prices!C898&lt;OFFSET(Prices!C898,-S$3,0),1,IF(Prices!C898&gt;OFFSET(Prices!C898,-S$3,0),-1,0))</f>
        <v>1</v>
      </c>
      <c r="T899" s="1">
        <f ca="1">IF(S899=1,T$3*Q898/Prices!B898,T$3*R898*S899)</f>
        <v>5.841425593476556E-3</v>
      </c>
    </row>
    <row r="900" spans="1:20" x14ac:dyDescent="0.2">
      <c r="A900" s="4">
        <v>34766</v>
      </c>
      <c r="B900" s="9">
        <f ca="1">Prices!B899*(1+J900/(50*(ABS(O900)+ABS(T900)+0.0001)))</f>
        <v>1.367755951903755</v>
      </c>
      <c r="C900" s="13">
        <f t="shared" ca="1" si="82"/>
        <v>1</v>
      </c>
      <c r="D900" s="9">
        <f ca="1">D899+C900*(Prices!B900-Prices!B899)/Prices!B899</f>
        <v>-0.51488412557488095</v>
      </c>
      <c r="E900" s="9">
        <f t="shared" ca="1" si="83"/>
        <v>0.55100807683362729</v>
      </c>
      <c r="F900" s="9">
        <f t="shared" ca="1" si="84"/>
        <v>3.6123951258746317E-2</v>
      </c>
      <c r="G900" s="13">
        <f ca="1">IF((Prices!B900-Prices!B899)*B900&gt;0,1,0)</f>
        <v>1</v>
      </c>
      <c r="H900" s="9">
        <f>ABS(Prices!B900-Prices!B899)/Prices!B899</f>
        <v>4.6234153616703825E-3</v>
      </c>
      <c r="I900" s="13"/>
      <c r="J900" s="1">
        <f t="shared" ca="1" si="85"/>
        <v>4.1774780941815998E-2</v>
      </c>
      <c r="K900" s="9"/>
      <c r="L900" s="9">
        <f ca="1">L899-O900*Prices!B900</f>
        <v>0.4351446507308524</v>
      </c>
      <c r="M900" s="1">
        <f t="shared" ca="1" si="80"/>
        <v>0.46313086097990763</v>
      </c>
      <c r="N900" s="9">
        <f ca="1">IF(Prices!D899&gt;OFFSET(Prices!D899,-$N$3,0),1,IF(Prices!D899&lt;OFFSET(Prices!D899,-$N$3,0),-1,0))</f>
        <v>1</v>
      </c>
      <c r="O900" s="1">
        <f ca="1">IF(N900=1,O$3*L899/Prices!B899,O$3*M899*N900)</f>
        <v>3.6073270777170513E-2</v>
      </c>
      <c r="P900" s="14"/>
      <c r="Q900" s="9">
        <f ca="1">Q899-T900*Prices!B900</f>
        <v>0.37460518204566939</v>
      </c>
      <c r="R900" s="1">
        <f t="shared" ca="1" si="81"/>
        <v>0.4798477077394504</v>
      </c>
      <c r="S900" s="9">
        <f ca="1">IF(Prices!C899&lt;OFFSET(Prices!C899,-S$3,0),1,IF(Prices!C899&gt;OFFSET(Prices!C899,-S$3,0),-1,0))</f>
        <v>1</v>
      </c>
      <c r="T900" s="1">
        <f ca="1">IF(S900=1,T$3*Q899/Prices!B899,T$3*R899*S900)</f>
        <v>5.7015101646454855E-3</v>
      </c>
    </row>
    <row r="901" spans="1:20" x14ac:dyDescent="0.2">
      <c r="A901" s="4">
        <v>34767</v>
      </c>
      <c r="B901" s="9">
        <f ca="1">Prices!B900*(1+J901/(50*(ABS(O901)+ABS(T901)+0.0001)))</f>
        <v>1.3260738443768632</v>
      </c>
      <c r="C901" s="13">
        <f t="shared" ca="1" si="82"/>
        <v>-1</v>
      </c>
      <c r="D901" s="9">
        <f ca="1">D900+C901*(Prices!B901-Prices!B900)/Prices!B900</f>
        <v>-0.51228614457725619</v>
      </c>
      <c r="E901" s="9">
        <f t="shared" ca="1" si="83"/>
        <v>0.54841009583600253</v>
      </c>
      <c r="F901" s="9">
        <f t="shared" ca="1" si="84"/>
        <v>3.6123951258746317E-2</v>
      </c>
      <c r="G901" s="13">
        <f ca="1">IF((Prices!B901-Prices!B900)*B901&gt;0,1,0)</f>
        <v>0</v>
      </c>
      <c r="H901" s="9">
        <f>ABS(Prices!B901-Prices!B900)/Prices!B900</f>
        <v>2.5979809976247469E-3</v>
      </c>
      <c r="I901" s="13"/>
      <c r="J901" s="1">
        <f t="shared" ca="1" si="85"/>
        <v>-4.0751845271897097E-2</v>
      </c>
      <c r="K901" s="9"/>
      <c r="L901" s="9">
        <f ca="1">L900-O901*Prices!B901</f>
        <v>0.49737554452072258</v>
      </c>
      <c r="M901" s="1">
        <f t="shared" ca="1" si="80"/>
        <v>0.41681777488191685</v>
      </c>
      <c r="N901" s="9">
        <f ca="1">IF(Prices!D900&gt;OFFSET(Prices!D900,-$N$3,0),1,IF(Prices!D900&lt;OFFSET(Prices!D900,-$N$3,0),-1,0))</f>
        <v>-1</v>
      </c>
      <c r="O901" s="1">
        <f ca="1">IF(N901=1,O$3*L900/Prices!B900,O$3*M900*N901)</f>
        <v>-4.6313086097990765E-2</v>
      </c>
      <c r="P901" s="14"/>
      <c r="Q901" s="9">
        <f ca="1">Q900-T901*Prices!B901</f>
        <v>0.36713254274764734</v>
      </c>
      <c r="R901" s="1">
        <f t="shared" ca="1" si="81"/>
        <v>0.48540894856554406</v>
      </c>
      <c r="S901" s="9">
        <f ca="1">IF(Prices!C900&lt;OFFSET(Prices!C900,-S$3,0),1,IF(Prices!C900&gt;OFFSET(Prices!C900,-S$3,0),-1,0))</f>
        <v>1</v>
      </c>
      <c r="T901" s="1">
        <f ca="1">IF(S901=1,T$3*Q900/Prices!B900,T$3*R900*S901)</f>
        <v>5.5612408260936668E-3</v>
      </c>
    </row>
    <row r="902" spans="1:20" x14ac:dyDescent="0.2">
      <c r="A902" s="4">
        <v>34768</v>
      </c>
      <c r="B902" s="9">
        <f ca="1">Prices!B901*(1+J902/(50*(ABS(O902)+ABS(T902)+0.0001)))</f>
        <v>1.3230993709333581</v>
      </c>
      <c r="C902" s="13">
        <f t="shared" ca="1" si="82"/>
        <v>-1</v>
      </c>
      <c r="D902" s="9">
        <f ca="1">D901+C902*(Prices!B902-Prices!B901)/Prices!B901</f>
        <v>-0.49539249272044295</v>
      </c>
      <c r="E902" s="9">
        <f t="shared" ca="1" si="83"/>
        <v>0.53151644397918929</v>
      </c>
      <c r="F902" s="9">
        <f t="shared" ca="1" si="84"/>
        <v>3.6123951258746317E-2</v>
      </c>
      <c r="G902" s="13">
        <f ca="1">IF((Prices!B902-Prices!B901)*B902&gt;0,1,0)</f>
        <v>0</v>
      </c>
      <c r="H902" s="9">
        <f>ABS(Prices!B902-Prices!B901)/Prices!B901</f>
        <v>1.6893651856813234E-2</v>
      </c>
      <c r="I902" s="13"/>
      <c r="J902" s="1">
        <f t="shared" ca="1" si="85"/>
        <v>-3.6217275847235407E-2</v>
      </c>
      <c r="K902" s="9"/>
      <c r="L902" s="9">
        <f ca="1">L901-O902*Prices!B902</f>
        <v>0.55243717258262381</v>
      </c>
      <c r="M902" s="1">
        <f t="shared" ca="1" si="80"/>
        <v>0.37513599739372516</v>
      </c>
      <c r="N902" s="9">
        <f ca="1">IF(Prices!D901&gt;OFFSET(Prices!D901,-$N$3,0),1,IF(Prices!D901&lt;OFFSET(Prices!D901,-$N$3,0),-1,0))</f>
        <v>-1</v>
      </c>
      <c r="O902" s="1">
        <f ca="1">IF(N902=1,O$3*L901/Prices!B901,O$3*M901*N902)</f>
        <v>-4.1681777488191685E-2</v>
      </c>
      <c r="P902" s="14"/>
      <c r="Q902" s="9">
        <f ca="1">Q901-T902*Prices!B902</f>
        <v>0.3599139360799441</v>
      </c>
      <c r="R902" s="1">
        <f t="shared" ca="1" si="81"/>
        <v>0.49087345020650036</v>
      </c>
      <c r="S902" s="9">
        <f ca="1">IF(Prices!C901&lt;OFFSET(Prices!C901,-S$3,0),1,IF(Prices!C901&gt;OFFSET(Prices!C901,-S$3,0),-1,0))</f>
        <v>1</v>
      </c>
      <c r="T902" s="1">
        <f ca="1">IF(S902=1,T$3*Q901/Prices!B901,T$3*R901*S902)</f>
        <v>5.464501640956276E-3</v>
      </c>
    </row>
    <row r="903" spans="1:20" x14ac:dyDescent="0.2">
      <c r="A903" s="4">
        <v>34771</v>
      </c>
      <c r="B903" s="9">
        <f ca="1">Prices!B902*(1+J903/(50*(ABS(O903)+ABS(T903)+0.0001)))</f>
        <v>1.3013276739872646</v>
      </c>
      <c r="C903" s="13">
        <f t="shared" ca="1" si="82"/>
        <v>-1</v>
      </c>
      <c r="D903" s="9">
        <f ca="1">D902+C903*(Prices!B903-Prices!B902)/Prices!B902</f>
        <v>-0.49910180384837644</v>
      </c>
      <c r="E903" s="9">
        <f t="shared" ca="1" si="83"/>
        <v>0.53522575510712278</v>
      </c>
      <c r="F903" s="9">
        <f t="shared" ca="1" si="84"/>
        <v>3.6123951258746317E-2</v>
      </c>
      <c r="G903" s="13">
        <f ca="1">IF((Prices!B903-Prices!B902)*B903&gt;0,1,0)</f>
        <v>1</v>
      </c>
      <c r="H903" s="9">
        <f>ABS(Prices!B903-Prices!B902)/Prices!B902</f>
        <v>3.7093111279334796E-3</v>
      </c>
      <c r="I903" s="13"/>
      <c r="J903" s="1">
        <f t="shared" ca="1" si="85"/>
        <v>-3.2064486399782141E-2</v>
      </c>
      <c r="K903" s="9"/>
      <c r="L903" s="9">
        <f ca="1">L902-O903*Prices!B903</f>
        <v>0.60217645447705781</v>
      </c>
      <c r="M903" s="1">
        <f t="shared" ca="1" si="80"/>
        <v>0.33762239765435265</v>
      </c>
      <c r="N903" s="9">
        <f ca="1">IF(Prices!D902&gt;OFFSET(Prices!D902,-$N$3,0),1,IF(Prices!D902&lt;OFFSET(Prices!D902,-$N$3,0),-1,0))</f>
        <v>-1</v>
      </c>
      <c r="O903" s="1">
        <f ca="1">IF(N903=1,O$3*L902/Prices!B902,O$3*M902*N903)</f>
        <v>-3.7513599739372516E-2</v>
      </c>
      <c r="P903" s="14"/>
      <c r="Q903" s="9">
        <f ca="1">Q902-T903*Prices!B903</f>
        <v>0.35268895670298123</v>
      </c>
      <c r="R903" s="1">
        <f t="shared" ca="1" si="81"/>
        <v>0.49632256354609072</v>
      </c>
      <c r="S903" s="9">
        <f ca="1">IF(Prices!C902&lt;OFFSET(Prices!C902,-S$3,0),1,IF(Prices!C902&gt;OFFSET(Prices!C902,-S$3,0),-1,0))</f>
        <v>1</v>
      </c>
      <c r="T903" s="1">
        <f ca="1">IF(S903=1,T$3*Q902/Prices!B902,T$3*R902*S903)</f>
        <v>5.4491133395903725E-3</v>
      </c>
    </row>
    <row r="904" spans="1:20" x14ac:dyDescent="0.2">
      <c r="A904" s="4">
        <v>34772</v>
      </c>
      <c r="B904" s="9">
        <f ca="1">Prices!B903*(1+J904/(50*(ABS(O904)+ABS(T904)+0.0001)))</f>
        <v>1.2994425590150618</v>
      </c>
      <c r="C904" s="13">
        <f t="shared" ca="1" si="82"/>
        <v>-1</v>
      </c>
      <c r="D904" s="9">
        <f ca="1">D903+C904*(Prices!B904-Prices!B903)/Prices!B903</f>
        <v>-0.49646208742934028</v>
      </c>
      <c r="E904" s="9">
        <f t="shared" ca="1" si="83"/>
        <v>0.53258603868808663</v>
      </c>
      <c r="F904" s="9">
        <f t="shared" ca="1" si="84"/>
        <v>3.6123951258746317E-2</v>
      </c>
      <c r="G904" s="13">
        <f ca="1">IF((Prices!B904-Prices!B903)*B904&gt;0,1,0)</f>
        <v>0</v>
      </c>
      <c r="H904" s="9">
        <f>ABS(Prices!B904-Prices!B903)/Prices!B903</f>
        <v>2.6397164190361706E-3</v>
      </c>
      <c r="I904" s="13"/>
      <c r="J904" s="1">
        <f t="shared" ca="1" si="85"/>
        <v>-4.3688691036357079E-2</v>
      </c>
      <c r="K904" s="9"/>
      <c r="L904" s="9">
        <f ca="1">L903-O904*Prices!B904</f>
        <v>0.64682364034286943</v>
      </c>
      <c r="M904" s="1">
        <f t="shared" ca="1" si="80"/>
        <v>0.3038601578889174</v>
      </c>
      <c r="N904" s="9">
        <f ca="1">IF(Prices!D903&gt;OFFSET(Prices!D903,-$N$3,0),1,IF(Prices!D903&lt;OFFSET(Prices!D903,-$N$3,0),-1,0))</f>
        <v>-1</v>
      </c>
      <c r="O904" s="1">
        <f ca="1">IF(N904=1,O$3*L903/Prices!B903,O$3*M903*N904)</f>
        <v>-3.3762239765435263E-2</v>
      </c>
      <c r="P904" s="14"/>
      <c r="Q904" s="9">
        <f ca="1">Q903-T904*Prices!B904</f>
        <v>0.36581569586364826</v>
      </c>
      <c r="R904" s="1">
        <f t="shared" ca="1" si="81"/>
        <v>0.48639611227516893</v>
      </c>
      <c r="S904" s="9">
        <f ca="1">IF(Prices!C903&lt;OFFSET(Prices!C903,-S$3,0),1,IF(Prices!C903&gt;OFFSET(Prices!C903,-S$3,0),-1,0))</f>
        <v>-1</v>
      </c>
      <c r="T904" s="1">
        <f ca="1">IF(S904=1,T$3*Q903/Prices!B903,T$3*R903*S904)</f>
        <v>-9.9264512709218138E-3</v>
      </c>
    </row>
    <row r="905" spans="1:20" x14ac:dyDescent="0.2">
      <c r="A905" s="4">
        <v>34773</v>
      </c>
      <c r="B905" s="9">
        <f ca="1">Prices!B904*(1+J905/(50*(ABS(O905)+ABS(T905)+0.0001)))</f>
        <v>1.3041504642503683</v>
      </c>
      <c r="C905" s="13">
        <f t="shared" ca="1" si="82"/>
        <v>-1</v>
      </c>
      <c r="D905" s="9">
        <f ca="1">D904+C905*(Prices!B905-Prices!B904)/Prices!B904</f>
        <v>-0.50946874199679326</v>
      </c>
      <c r="E905" s="9">
        <f t="shared" ca="1" si="83"/>
        <v>0.54559269325553961</v>
      </c>
      <c r="F905" s="9">
        <f t="shared" ca="1" si="84"/>
        <v>3.6123951258746317E-2</v>
      </c>
      <c r="G905" s="13">
        <f ca="1">IF((Prices!B905-Prices!B904)*B905&gt;0,1,0)</f>
        <v>1</v>
      </c>
      <c r="H905" s="9">
        <f>ABS(Prices!B905-Prices!B904)/Prices!B904</f>
        <v>1.3006654567453027E-2</v>
      </c>
      <c r="I905" s="13"/>
      <c r="J905" s="1">
        <f t="shared" ca="1" si="85"/>
        <v>-2.485341300813481E-2</v>
      </c>
      <c r="K905" s="9"/>
      <c r="L905" s="9">
        <f ca="1">L904-O905*Prices!B905</f>
        <v>0.68752874709366885</v>
      </c>
      <c r="M905" s="1">
        <f t="shared" ca="1" si="80"/>
        <v>0.27347414210002569</v>
      </c>
      <c r="N905" s="9">
        <f ca="1">IF(Prices!D904&gt;OFFSET(Prices!D904,-$N$3,0),1,IF(Prices!D904&lt;OFFSET(Prices!D904,-$N$3,0),-1,0))</f>
        <v>-1</v>
      </c>
      <c r="O905" s="1">
        <f ca="1">IF(N905=1,O$3*L904/Prices!B904,O$3*M904*N905)</f>
        <v>-3.0386015788891742E-2</v>
      </c>
      <c r="P905" s="14"/>
      <c r="Q905" s="9">
        <f ca="1">Q904-T905*Prices!B905</f>
        <v>0.35840422117854626</v>
      </c>
      <c r="R905" s="1">
        <f t="shared" ca="1" si="81"/>
        <v>0.49192871505592589</v>
      </c>
      <c r="S905" s="9">
        <f ca="1">IF(Prices!C904&lt;OFFSET(Prices!C904,-S$3,0),1,IF(Prices!C904&gt;OFFSET(Prices!C904,-S$3,0),-1,0))</f>
        <v>1</v>
      </c>
      <c r="T905" s="1">
        <f ca="1">IF(S905=1,T$3*Q904/Prices!B904,T$3*R904*S905)</f>
        <v>5.5326027807569306E-3</v>
      </c>
    </row>
    <row r="906" spans="1:20" x14ac:dyDescent="0.2">
      <c r="A906" s="4">
        <v>34774</v>
      </c>
      <c r="B906" s="9">
        <f ca="1">Prices!B905*(1+J906/(50*(ABS(O906)+ABS(T906)+0.0001)))</f>
        <v>1.3216316990281238</v>
      </c>
      <c r="C906" s="13">
        <f t="shared" ca="1" si="82"/>
        <v>-1</v>
      </c>
      <c r="D906" s="9">
        <f ca="1">D905+C906*(Prices!B906-Prices!B905)/Prices!B905</f>
        <v>-0.5103645317847898</v>
      </c>
      <c r="E906" s="9">
        <f t="shared" ca="1" si="83"/>
        <v>0.54648848304353614</v>
      </c>
      <c r="F906" s="9">
        <f t="shared" ca="1" si="84"/>
        <v>3.6123951258746317E-2</v>
      </c>
      <c r="G906" s="13">
        <f ca="1">IF((Prices!B906-Prices!B905)*B906&gt;0,1,0)</f>
        <v>1</v>
      </c>
      <c r="H906" s="9">
        <f>ABS(Prices!B906-Prices!B905)/Prices!B905</f>
        <v>8.9578978799648395E-4</v>
      </c>
      <c r="I906" s="13"/>
      <c r="J906" s="1">
        <f t="shared" ca="1" si="85"/>
        <v>-2.1996500188226721E-2</v>
      </c>
      <c r="K906" s="9"/>
      <c r="L906" s="9">
        <f ca="1">L905-O906*Prices!B906</f>
        <v>0.72419616006644028</v>
      </c>
      <c r="M906" s="1">
        <f t="shared" ca="1" si="80"/>
        <v>0.2461267278900231</v>
      </c>
      <c r="N906" s="9">
        <f ca="1">IF(Prices!D905&gt;OFFSET(Prices!D905,-$N$3,0),1,IF(Prices!D905&lt;OFFSET(Prices!D905,-$N$3,0),-1,0))</f>
        <v>-1</v>
      </c>
      <c r="O906" s="1">
        <f ca="1">IF(N906=1,O$3*L905/Prices!B905,O$3*M905*N906)</f>
        <v>-2.7347414210002571E-2</v>
      </c>
      <c r="P906" s="14"/>
      <c r="Q906" s="9">
        <f ca="1">Q905-T906*Prices!B906</f>
        <v>0.3512297156581492</v>
      </c>
      <c r="R906" s="1">
        <f t="shared" ca="1" si="81"/>
        <v>0.49727962907770173</v>
      </c>
      <c r="S906" s="9">
        <f ca="1">IF(Prices!C905&lt;OFFSET(Prices!C905,-S$3,0),1,IF(Prices!C905&gt;OFFSET(Prices!C905,-S$3,0),-1,0))</f>
        <v>1</v>
      </c>
      <c r="T906" s="1">
        <f ca="1">IF(S906=1,T$3*Q905/Prices!B905,T$3*R905*S906)</f>
        <v>5.3509140217758485E-3</v>
      </c>
    </row>
    <row r="907" spans="1:20" x14ac:dyDescent="0.2">
      <c r="A907" s="4">
        <v>34775</v>
      </c>
      <c r="B907" s="9">
        <f ca="1">Prices!B906*(1+J907/(50*(ABS(O907)+ABS(T907)+0.0001)))</f>
        <v>1.323454735195513</v>
      </c>
      <c r="C907" s="13">
        <f t="shared" ca="1" si="82"/>
        <v>-1</v>
      </c>
      <c r="D907" s="9">
        <f ca="1">D906+C907*(Prices!B907-Prices!B906)/Prices!B906</f>
        <v>-0.50626250314517163</v>
      </c>
      <c r="E907" s="9">
        <f t="shared" ca="1" si="83"/>
        <v>0.54238645440391797</v>
      </c>
      <c r="F907" s="9">
        <f t="shared" ca="1" si="84"/>
        <v>3.6123951258746317E-2</v>
      </c>
      <c r="G907" s="13">
        <f ca="1">IF((Prices!B907-Prices!B906)*B907&gt;0,1,0)</f>
        <v>0</v>
      </c>
      <c r="H907" s="9">
        <f>ABS(Prices!B907-Prices!B906)/Prices!B906</f>
        <v>4.1020286396181837E-3</v>
      </c>
      <c r="I907" s="13"/>
      <c r="J907" s="1">
        <f t="shared" ca="1" si="85"/>
        <v>-1.9373566051858079E-2</v>
      </c>
      <c r="K907" s="9"/>
      <c r="L907" s="9">
        <f ca="1">L906-O907*Prices!B907</f>
        <v>0.75706146204159508</v>
      </c>
      <c r="M907" s="1">
        <f t="shared" ca="1" si="80"/>
        <v>0.22151405510102079</v>
      </c>
      <c r="N907" s="9">
        <f ca="1">IF(Prices!D906&gt;OFFSET(Prices!D906,-$N$3,0),1,IF(Prices!D906&lt;OFFSET(Prices!D906,-$N$3,0),-1,0))</f>
        <v>-1</v>
      </c>
      <c r="O907" s="1">
        <f ca="1">IF(N907=1,O$3*L906/Prices!B906,O$3*M906*N907)</f>
        <v>-2.461267278900231E-2</v>
      </c>
      <c r="P907" s="14"/>
      <c r="Q907" s="9">
        <f ca="1">Q906-T907*Prices!B907</f>
        <v>0.34423393643204053</v>
      </c>
      <c r="R907" s="1">
        <f t="shared" ca="1" si="81"/>
        <v>0.50251873581484596</v>
      </c>
      <c r="S907" s="9">
        <f ca="1">IF(Prices!C906&lt;OFFSET(Prices!C906,-S$3,0),1,IF(Prices!C906&gt;OFFSET(Prices!C906,-S$3,0),-1,0))</f>
        <v>1</v>
      </c>
      <c r="T907" s="1">
        <f ca="1">IF(S907=1,T$3*Q906/Prices!B906,T$3*R906*S907)</f>
        <v>5.2391067371442305E-3</v>
      </c>
    </row>
    <row r="908" spans="1:20" x14ac:dyDescent="0.2">
      <c r="A908" s="4">
        <v>34778</v>
      </c>
      <c r="B908" s="9">
        <f ca="1">Prices!B907*(1+J908/(50*(ABS(O908)+ABS(T908)+0.0001)))</f>
        <v>1.3619628923543388</v>
      </c>
      <c r="C908" s="13">
        <f t="shared" ca="1" si="82"/>
        <v>1</v>
      </c>
      <c r="D908" s="9">
        <f ca="1">D907+C908*(Prices!B908-Prices!B907)/Prices!B907</f>
        <v>-0.51142988126244859</v>
      </c>
      <c r="E908" s="9">
        <f t="shared" ca="1" si="83"/>
        <v>0.54755383252119494</v>
      </c>
      <c r="F908" s="9">
        <f t="shared" ca="1" si="84"/>
        <v>3.6123951258746317E-2</v>
      </c>
      <c r="G908" s="13">
        <f ca="1">IF((Prices!B908-Prices!B907)*B908&gt;0,1,0)</f>
        <v>0</v>
      </c>
      <c r="H908" s="9">
        <f>ABS(Prices!B908-Prices!B907)/Prices!B907</f>
        <v>5.1673781172769462E-3</v>
      </c>
      <c r="I908" s="13"/>
      <c r="J908" s="1">
        <f t="shared" ca="1" si="85"/>
        <v>6.185188716603035E-2</v>
      </c>
      <c r="K908" s="9"/>
      <c r="L908" s="9">
        <f ca="1">L907-O908*Prices!B908</f>
        <v>0.68174651812067433</v>
      </c>
      <c r="M908" s="1">
        <f t="shared" ca="1" si="80"/>
        <v>0.27821003817910028</v>
      </c>
      <c r="N908" s="9">
        <f ca="1">IF(Prices!D907&gt;OFFSET(Prices!D907,-$N$3,0),1,IF(Prices!D907&lt;OFFSET(Prices!D907,-$N$3,0),-1,0))</f>
        <v>1</v>
      </c>
      <c r="O908" s="1">
        <f ca="1">IF(N908=1,O$3*L907/Prices!B907,O$3*M907*N908)</f>
        <v>5.6695983078079472E-2</v>
      </c>
      <c r="P908" s="14"/>
      <c r="Q908" s="9">
        <f ca="1">Q907-T908*Prices!B908</f>
        <v>0.33738483344160658</v>
      </c>
      <c r="R908" s="1">
        <f t="shared" ca="1" si="81"/>
        <v>0.50767463990279682</v>
      </c>
      <c r="S908" s="9">
        <f ca="1">IF(Prices!C907&lt;OFFSET(Prices!C907,-S$3,0),1,IF(Prices!C907&gt;OFFSET(Prices!C907,-S$3,0),-1,0))</f>
        <v>1</v>
      </c>
      <c r="T908" s="1">
        <f ca="1">IF(S908=1,T$3*Q907/Prices!B907,T$3*R907*S908)</f>
        <v>5.1559040879508812E-3</v>
      </c>
    </row>
    <row r="909" spans="1:20" x14ac:dyDescent="0.2">
      <c r="A909" s="4">
        <v>34779</v>
      </c>
      <c r="B909" s="9">
        <f ca="1">Prices!B908*(1+J909/(50*(ABS(O909)+ABS(T909)+0.0001)))</f>
        <v>1.3549209773598412</v>
      </c>
      <c r="C909" s="13">
        <f t="shared" ca="1" si="82"/>
        <v>1</v>
      </c>
      <c r="D909" s="9">
        <f ca="1">D908+C909*(Prices!B909-Prices!B908)/Prices!B908</f>
        <v>-0.51617242868792279</v>
      </c>
      <c r="E909" s="9">
        <f t="shared" ca="1" si="83"/>
        <v>0.55229637994666914</v>
      </c>
      <c r="F909" s="9">
        <f t="shared" ca="1" si="84"/>
        <v>3.6123951258746317E-2</v>
      </c>
      <c r="G909" s="13">
        <f ca="1">IF((Prices!B909-Prices!B908)*B909&gt;0,1,0)</f>
        <v>0</v>
      </c>
      <c r="H909" s="9">
        <f>ABS(Prices!B909-Prices!B908)/Prices!B908</f>
        <v>4.7425474254742337E-3</v>
      </c>
      <c r="I909" s="13"/>
      <c r="J909" s="1">
        <f t="shared" ca="1" si="85"/>
        <v>5.6400442999773835E-2</v>
      </c>
      <c r="K909" s="9"/>
      <c r="L909" s="9">
        <f ca="1">L908-O909*Prices!B909</f>
        <v>0.61389518782804076</v>
      </c>
      <c r="M909" s="1">
        <f t="shared" ca="1" si="80"/>
        <v>0.32953091427972314</v>
      </c>
      <c r="N909" s="9">
        <f ca="1">IF(Prices!D908&gt;OFFSET(Prices!D908,-$N$3,0),1,IF(Prices!D908&lt;OFFSET(Prices!D908,-$N$3,0),-1,0))</f>
        <v>1</v>
      </c>
      <c r="O909" s="1">
        <f ca="1">IF(N909=1,O$3*L908/Prices!B908,O$3*M908*N909)</f>
        <v>5.1320876100622879E-2</v>
      </c>
      <c r="P909" s="14"/>
      <c r="Q909" s="9">
        <f ca="1">Q908-T909*Prices!B909</f>
        <v>0.33066913804423909</v>
      </c>
      <c r="R909" s="1">
        <f t="shared" ca="1" si="81"/>
        <v>0.51275420680194783</v>
      </c>
      <c r="S909" s="9">
        <f ca="1">IF(Prices!C908&lt;OFFSET(Prices!C908,-S$3,0),1,IF(Prices!C908&gt;OFFSET(Prices!C908,-S$3,0),-1,0))</f>
        <v>1</v>
      </c>
      <c r="T909" s="1">
        <f ca="1">IF(S909=1,T$3*Q908/Prices!B908,T$3*R908*S909)</f>
        <v>5.0795668991509575E-3</v>
      </c>
    </row>
    <row r="910" spans="1:20" x14ac:dyDescent="0.2">
      <c r="A910" s="4">
        <v>34780</v>
      </c>
      <c r="B910" s="9">
        <f ca="1">Prices!B909*(1+J910/(50*(ABS(O910)+ABS(T910)+0.0001)))</f>
        <v>1.348490691698879</v>
      </c>
      <c r="C910" s="13">
        <f t="shared" ca="1" si="82"/>
        <v>1</v>
      </c>
      <c r="D910" s="9">
        <f ca="1">D909+C910*(Prices!B910-Prices!B909)/Prices!B909</f>
        <v>-0.51488659554368255</v>
      </c>
      <c r="E910" s="9">
        <f t="shared" ca="1" si="83"/>
        <v>0.55101054680242889</v>
      </c>
      <c r="F910" s="9">
        <f t="shared" ca="1" si="84"/>
        <v>3.6123951258746317E-2</v>
      </c>
      <c r="G910" s="13">
        <f ca="1">IF((Prices!B910-Prices!B909)*B910&gt;0,1,0)</f>
        <v>1</v>
      </c>
      <c r="H910" s="9">
        <f>ABS(Prices!B910-Prices!B909)/Prices!B909</f>
        <v>1.2858331442402501E-3</v>
      </c>
      <c r="I910" s="13"/>
      <c r="J910" s="1">
        <f t="shared" ca="1" si="85"/>
        <v>5.1435520417282242E-2</v>
      </c>
      <c r="K910" s="9"/>
      <c r="L910" s="9">
        <f ca="1">L909-O910*Prices!B910</f>
        <v>0.5524267323672768</v>
      </c>
      <c r="M910" s="1">
        <f t="shared" ca="1" si="80"/>
        <v>0.37596425425612739</v>
      </c>
      <c r="N910" s="9">
        <f ca="1">IF(Prices!D909&gt;OFFSET(Prices!D909,-$N$3,0),1,IF(Prices!D909&lt;OFFSET(Prices!D909,-$N$3,0),-1,0))</f>
        <v>1</v>
      </c>
      <c r="O910" s="1">
        <f ca="1">IF(N910=1,O$3*L909/Prices!B909,O$3*M909*N910)</f>
        <v>4.643333997640426E-2</v>
      </c>
      <c r="P910" s="14"/>
      <c r="Q910" s="9">
        <f ca="1">Q909-T910*Prices!B910</f>
        <v>0.3240472515766048</v>
      </c>
      <c r="R910" s="1">
        <f t="shared" ca="1" si="81"/>
        <v>0.5177563872428258</v>
      </c>
      <c r="S910" s="9">
        <f ca="1">IF(Prices!C909&lt;OFFSET(Prices!C909,-S$3,0),1,IF(Prices!C909&gt;OFFSET(Prices!C909,-S$3,0),-1,0))</f>
        <v>1</v>
      </c>
      <c r="T910" s="1">
        <f ca="1">IF(S910=1,T$3*Q909/Prices!B909,T$3*R909*S910)</f>
        <v>5.0021804408779827E-3</v>
      </c>
    </row>
    <row r="911" spans="1:20" x14ac:dyDescent="0.2">
      <c r="A911" s="4">
        <v>34781</v>
      </c>
      <c r="B911" s="9">
        <f ca="1">Prices!B910*(1+J911/(50*(ABS(O911)+ABS(T911)+0.0001)))</f>
        <v>1.3502193378657186</v>
      </c>
      <c r="C911" s="13">
        <f t="shared" ca="1" si="82"/>
        <v>1</v>
      </c>
      <c r="D911" s="9">
        <f ca="1">D910+C911*(Prices!B911-Prices!B910)/Prices!B910</f>
        <v>-0.51194053118350724</v>
      </c>
      <c r="E911" s="9">
        <f t="shared" ca="1" si="83"/>
        <v>0.54806448244225359</v>
      </c>
      <c r="F911" s="9">
        <f t="shared" ca="1" si="84"/>
        <v>3.6123951258746317E-2</v>
      </c>
      <c r="G911" s="13">
        <f ca="1">IF((Prices!B911-Prices!B910)*B911&gt;0,1,0)</f>
        <v>1</v>
      </c>
      <c r="H911" s="9">
        <f>ABS(Prices!B911-Prices!B910)/Prices!B910</f>
        <v>2.9460643601752637E-3</v>
      </c>
      <c r="I911" s="13"/>
      <c r="J911" s="1">
        <f t="shared" ca="1" si="85"/>
        <v>4.6626090246457003E-2</v>
      </c>
      <c r="K911" s="9"/>
      <c r="L911" s="9">
        <f ca="1">L910-O911*Prices!B911</f>
        <v>0.49702131065976557</v>
      </c>
      <c r="M911" s="1">
        <f t="shared" ca="1" si="80"/>
        <v>0.41769463138010965</v>
      </c>
      <c r="N911" s="9">
        <f ca="1">IF(Prices!D910&gt;OFFSET(Prices!D910,-$N$3,0),1,IF(Prices!D910&lt;OFFSET(Prices!D910,-$N$3,0),-1,0))</f>
        <v>1</v>
      </c>
      <c r="O911" s="1">
        <f ca="1">IF(N911=1,O$3*L910/Prices!B910,O$3*M910*N911)</f>
        <v>4.1730377123982233E-2</v>
      </c>
      <c r="P911" s="14"/>
      <c r="Q911" s="9">
        <f ca="1">Q910-T911*Prices!B911</f>
        <v>0.31754721326389507</v>
      </c>
      <c r="R911" s="1">
        <f t="shared" ca="1" si="81"/>
        <v>0.52265210036530052</v>
      </c>
      <c r="S911" s="9">
        <f ca="1">IF(Prices!C910&lt;OFFSET(Prices!C910,-S$3,0),1,IF(Prices!C910&gt;OFFSET(Prices!C910,-S$3,0),-1,0))</f>
        <v>1</v>
      </c>
      <c r="T911" s="1">
        <f ca="1">IF(S911=1,T$3*Q910/Prices!B910,T$3*R910*S911)</f>
        <v>4.8957131224747668E-3</v>
      </c>
    </row>
    <row r="912" spans="1:20" x14ac:dyDescent="0.2">
      <c r="A912" s="4">
        <v>34782</v>
      </c>
      <c r="B912" s="9">
        <f ca="1">Prices!B911*(1+J912/(50*(ABS(O912)+ABS(T912)+0.0001)))</f>
        <v>1.3541912515522512</v>
      </c>
      <c r="C912" s="13">
        <f t="shared" ca="1" si="82"/>
        <v>1</v>
      </c>
      <c r="D912" s="9">
        <f ca="1">D911+C912*(Prices!B912-Prices!B911)/Prices!B911</f>
        <v>-0.51668557901057677</v>
      </c>
      <c r="E912" s="9">
        <f t="shared" ca="1" si="83"/>
        <v>0.55280953026932311</v>
      </c>
      <c r="F912" s="9">
        <f t="shared" ca="1" si="84"/>
        <v>3.6123951258746317E-2</v>
      </c>
      <c r="G912" s="13">
        <f ca="1">IF((Prices!B912-Prices!B911)*B912&gt;0,1,0)</f>
        <v>0</v>
      </c>
      <c r="H912" s="9">
        <f>ABS(Prices!B912-Prices!B911)/Prices!B911</f>
        <v>4.7450478270695141E-3</v>
      </c>
      <c r="I912" s="13"/>
      <c r="J912" s="1">
        <f t="shared" ca="1" si="85"/>
        <v>4.2218178301765802E-2</v>
      </c>
      <c r="K912" s="9"/>
      <c r="L912" s="9">
        <f ca="1">L911-O912*Prices!B912</f>
        <v>0.44755501858280433</v>
      </c>
      <c r="M912" s="1">
        <f t="shared" ca="1" si="80"/>
        <v>0.45512939154127297</v>
      </c>
      <c r="N912" s="9">
        <f ca="1">IF(Prices!D911&gt;OFFSET(Prices!D911,-$N$3,0),1,IF(Prices!D911&lt;OFFSET(Prices!D911,-$N$3,0),-1,0))</f>
        <v>1</v>
      </c>
      <c r="O912" s="1">
        <f ca="1">IF(N912=1,O$3*L911/Prices!B911,O$3*M911*N912)</f>
        <v>3.743476016116333E-2</v>
      </c>
      <c r="P912" s="14"/>
      <c r="Q912" s="9">
        <f ca="1">Q911-T912*Prices!B912</f>
        <v>0.31122640453290296</v>
      </c>
      <c r="R912" s="1">
        <f t="shared" ca="1" si="81"/>
        <v>0.52743551850590298</v>
      </c>
      <c r="S912" s="9">
        <f ca="1">IF(Prices!C911&lt;OFFSET(Prices!C911,-S$3,0),1,IF(Prices!C911&gt;OFFSET(Prices!C911,-S$3,0),-1,0))</f>
        <v>1</v>
      </c>
      <c r="T912" s="1">
        <f ca="1">IF(S912=1,T$3*Q911/Prices!B911,T$3*R911*S912)</f>
        <v>4.7834181406024709E-3</v>
      </c>
    </row>
    <row r="913" spans="1:20" x14ac:dyDescent="0.2">
      <c r="A913" s="4">
        <v>34785</v>
      </c>
      <c r="B913" s="9">
        <f ca="1">Prices!B912*(1+J913/(50*(ABS(O913)+ABS(T913)+0.0001)))</f>
        <v>1.2999721281738348</v>
      </c>
      <c r="C913" s="13">
        <f t="shared" ca="1" si="82"/>
        <v>-1</v>
      </c>
      <c r="D913" s="9">
        <f ca="1">D912+C913*(Prices!B913-Prices!B912)/Prices!B912</f>
        <v>-0.5214532496629154</v>
      </c>
      <c r="E913" s="9">
        <f t="shared" ca="1" si="83"/>
        <v>0.55757720092166174</v>
      </c>
      <c r="F913" s="9">
        <f t="shared" ca="1" si="84"/>
        <v>3.6123951258746317E-2</v>
      </c>
      <c r="G913" s="13">
        <f ca="1">IF((Prices!B913-Prices!B912)*B913&gt;0,1,0)</f>
        <v>1</v>
      </c>
      <c r="H913" s="9">
        <f>ABS(Prices!B913-Prices!B912)/Prices!B912</f>
        <v>4.7676706523385763E-3</v>
      </c>
      <c r="I913" s="13"/>
      <c r="J913" s="1">
        <f t="shared" ca="1" si="85"/>
        <v>-4.0802383614050058E-2</v>
      </c>
      <c r="K913" s="9"/>
      <c r="L913" s="9">
        <f ca="1">L912-O913*Prices!B913</f>
        <v>0.50798254789773911</v>
      </c>
      <c r="M913" s="1">
        <f t="shared" ca="1" si="80"/>
        <v>0.40961645238714567</v>
      </c>
      <c r="N913" s="9">
        <f ca="1">IF(Prices!D912&gt;OFFSET(Prices!D912,-$N$3,0),1,IF(Prices!D912&lt;OFFSET(Prices!D912,-$N$3,0),-1,0))</f>
        <v>-1</v>
      </c>
      <c r="O913" s="1">
        <f ca="1">IF(N913=1,O$3*L912/Prices!B912,O$3*M912*N913)</f>
        <v>-4.5512939154127297E-2</v>
      </c>
      <c r="P913" s="14"/>
      <c r="Q913" s="9">
        <f ca="1">Q912-T913*Prices!B913</f>
        <v>0.30497219994234243</v>
      </c>
      <c r="R913" s="1">
        <f t="shared" ca="1" si="81"/>
        <v>0.53214607404598024</v>
      </c>
      <c r="S913" s="9">
        <f ca="1">IF(Prices!C912&lt;OFFSET(Prices!C912,-S$3,0),1,IF(Prices!C912&gt;OFFSET(Prices!C912,-S$3,0),-1,0))</f>
        <v>1</v>
      </c>
      <c r="T913" s="1">
        <f ca="1">IF(S913=1,T$3*Q912/Prices!B912,T$3*R912*S913)</f>
        <v>4.7105555400772364E-3</v>
      </c>
    </row>
    <row r="914" spans="1:20" x14ac:dyDescent="0.2">
      <c r="A914" s="4">
        <v>34786</v>
      </c>
      <c r="B914" s="9">
        <f ca="1">Prices!B913*(1+J914/(50*(ABS(O914)+ABS(T914)+0.0001)))</f>
        <v>1.3012106686216436</v>
      </c>
      <c r="C914" s="13">
        <f t="shared" ca="1" si="82"/>
        <v>-1</v>
      </c>
      <c r="D914" s="9">
        <f ca="1">D913+C914*(Prices!B914-Prices!B913)/Prices!B913</f>
        <v>-0.52544511529521176</v>
      </c>
      <c r="E914" s="9">
        <f t="shared" ca="1" si="83"/>
        <v>0.56156906655395811</v>
      </c>
      <c r="F914" s="9">
        <f t="shared" ca="1" si="84"/>
        <v>3.6123951258746317E-2</v>
      </c>
      <c r="G914" s="13">
        <f ca="1">IF((Prices!B914-Prices!B913)*B914&gt;0,1,0)</f>
        <v>1</v>
      </c>
      <c r="H914" s="9">
        <f>ABS(Prices!B914-Prices!B913)/Prices!B913</f>
        <v>3.991865632296347E-3</v>
      </c>
      <c r="I914" s="13"/>
      <c r="J914" s="1">
        <f t="shared" ca="1" si="85"/>
        <v>-4.0961645238714567E-2</v>
      </c>
      <c r="K914" s="9"/>
      <c r="L914" s="9">
        <f ca="1">L913-O914*Prices!B914</f>
        <v>0.56258442100094563</v>
      </c>
      <c r="M914" s="1">
        <f t="shared" ref="M914:M977" ca="1" si="86">M913+O914</f>
        <v>0.36865480714843113</v>
      </c>
      <c r="N914" s="9">
        <f ca="1">IF(Prices!D913&gt;OFFSET(Prices!D913,-$N$3,0),1,IF(Prices!D913&lt;OFFSET(Prices!D913,-$N$3,0),-1,0))</f>
        <v>-1</v>
      </c>
      <c r="O914" s="1">
        <f ca="1">IF(N914=1,O$3*L913/Prices!B913,O$3*M913*N914)</f>
        <v>-4.0961645238714567E-2</v>
      </c>
      <c r="P914" s="14"/>
      <c r="Q914" s="9">
        <f ca="1">Q913-T914*Prices!B914</f>
        <v>0.30497219994234243</v>
      </c>
      <c r="R914" s="1">
        <f t="shared" ref="R914:R977" ca="1" si="87">R913+T914</f>
        <v>0.53214607404598024</v>
      </c>
      <c r="S914" s="9">
        <f ca="1">IF(Prices!C913&lt;OFFSET(Prices!C913,-S$3,0),1,IF(Prices!C913&gt;OFFSET(Prices!C913,-S$3,0),-1,0))</f>
        <v>0</v>
      </c>
      <c r="T914" s="1">
        <f ca="1">IF(S914=1,T$3*Q913/Prices!B913,T$3*R913*S914)</f>
        <v>0</v>
      </c>
    </row>
    <row r="915" spans="1:20" x14ac:dyDescent="0.2">
      <c r="A915" s="4">
        <v>34787</v>
      </c>
      <c r="B915" s="9">
        <f ca="1">Prices!B914*(1+J915/(50*(ABS(O915)+ABS(T915)+0.0001)))</f>
        <v>1.359603131532271</v>
      </c>
      <c r="C915" s="13">
        <f t="shared" ca="1" si="82"/>
        <v>1</v>
      </c>
      <c r="D915" s="9">
        <f ca="1">D914+C915*(Prices!B915-Prices!B914)/Prices!B914</f>
        <v>-0.51276694575282611</v>
      </c>
      <c r="E915" s="9">
        <f t="shared" ca="1" si="83"/>
        <v>0.54889089701157245</v>
      </c>
      <c r="F915" s="9">
        <f t="shared" ca="1" si="84"/>
        <v>3.6123951258746317E-2</v>
      </c>
      <c r="G915" s="13">
        <f ca="1">IF((Prices!B915-Prices!B914)*B915&gt;0,1,0)</f>
        <v>1</v>
      </c>
      <c r="H915" s="9">
        <f>ABS(Prices!B915-Prices!B914)/Prices!B914</f>
        <v>1.26781695423857E-2</v>
      </c>
      <c r="I915" s="13"/>
      <c r="J915" s="1">
        <f t="shared" ca="1" si="85"/>
        <v>4.6780109601606459E-2</v>
      </c>
      <c r="K915" s="9"/>
      <c r="L915" s="9">
        <f ca="1">L914-O915*Prices!B915</f>
        <v>0.50561272483371555</v>
      </c>
      <c r="M915" s="1">
        <f t="shared" ca="1" si="86"/>
        <v>0.41085918981916975</v>
      </c>
      <c r="N915" s="9">
        <f ca="1">IF(Prices!D914&gt;OFFSET(Prices!D914,-$N$3,0),1,IF(Prices!D914&lt;OFFSET(Prices!D914,-$N$3,0),-1,0))</f>
        <v>1</v>
      </c>
      <c r="O915" s="1">
        <f ca="1">IF(N915=1,O$3*L914/Prices!B914,O$3*M914*N915)</f>
        <v>4.2204382670738609E-2</v>
      </c>
      <c r="P915" s="14"/>
      <c r="Q915" s="9">
        <f ca="1">Q914-T915*Prices!B915</f>
        <v>0.29879542615836391</v>
      </c>
      <c r="R915" s="1">
        <f t="shared" ca="1" si="87"/>
        <v>0.53672180097684807</v>
      </c>
      <c r="S915" s="9">
        <f ca="1">IF(Prices!C914&lt;OFFSET(Prices!C914,-S$3,0),1,IF(Prices!C914&gt;OFFSET(Prices!C914,-S$3,0),-1,0))</f>
        <v>1</v>
      </c>
      <c r="T915" s="1">
        <f ca="1">IF(S915=1,T$3*Q914/Prices!B914,T$3*R914*S915)</f>
        <v>4.5757269308678537E-3</v>
      </c>
    </row>
    <row r="916" spans="1:20" x14ac:dyDescent="0.2">
      <c r="A916" s="4">
        <v>34788</v>
      </c>
      <c r="B916" s="9">
        <f ca="1">Prices!B915*(1+J916/(50*(ABS(O916)+ABS(T916)+0.0001)))</f>
        <v>1.3648392642832501</v>
      </c>
      <c r="C916" s="13">
        <f t="shared" ca="1" si="82"/>
        <v>1</v>
      </c>
      <c r="D916" s="9">
        <f ca="1">D915+C916*(Prices!B916-Prices!B915)/Prices!B915</f>
        <v>-0.53039788137768729</v>
      </c>
      <c r="E916" s="9">
        <f t="shared" ca="1" si="83"/>
        <v>0.56652183263643363</v>
      </c>
      <c r="F916" s="9">
        <f t="shared" ca="1" si="84"/>
        <v>3.6123951258746317E-2</v>
      </c>
      <c r="G916" s="13">
        <f ca="1">IF((Prices!B916-Prices!B915)*B916&gt;0,1,0)</f>
        <v>0</v>
      </c>
      <c r="H916" s="9">
        <f>ABS(Prices!B916-Prices!B915)/Prices!B915</f>
        <v>1.7630935624861132E-2</v>
      </c>
      <c r="I916" s="13"/>
      <c r="J916" s="1">
        <f t="shared" ca="1" si="85"/>
        <v>2.6721132899176686E-2</v>
      </c>
      <c r="K916" s="9"/>
      <c r="L916" s="9">
        <f ca="1">L915-O916*Prices!B916</f>
        <v>0.45594289489060941</v>
      </c>
      <c r="M916" s="1">
        <f t="shared" ca="1" si="86"/>
        <v>0.4483147587378834</v>
      </c>
      <c r="N916" s="9">
        <f ca="1">IF(Prices!D915&gt;OFFSET(Prices!D915,-$N$3,0),1,IF(Prices!D915&lt;OFFSET(Prices!D915,-$N$3,0),-1,0))</f>
        <v>1</v>
      </c>
      <c r="O916" s="1">
        <f ca="1">IF(N916=1,O$3*L915/Prices!B915,O$3*M915*N916)</f>
        <v>3.7455568918713648E-2</v>
      </c>
      <c r="P916" s="14"/>
      <c r="Q916" s="9">
        <f ca="1">Q915-T916*Prices!B916</f>
        <v>0.31303036176387189</v>
      </c>
      <c r="R916" s="1">
        <f t="shared" ca="1" si="87"/>
        <v>0.52598736495731113</v>
      </c>
      <c r="S916" s="9">
        <f ca="1">IF(Prices!C915&lt;OFFSET(Prices!C915,-S$3,0),1,IF(Prices!C915&gt;OFFSET(Prices!C915,-S$3,0),-1,0))</f>
        <v>-1</v>
      </c>
      <c r="T916" s="1">
        <f ca="1">IF(S916=1,T$3*Q915/Prices!B915,T$3*R915*S916)</f>
        <v>-1.0734436019536962E-2</v>
      </c>
    </row>
    <row r="917" spans="1:20" x14ac:dyDescent="0.2">
      <c r="A917" s="4">
        <v>34789</v>
      </c>
      <c r="B917" s="9">
        <f ca="1">Prices!B916*(1+J917/(50*(ABS(O917)+ABS(T917)+0.0001)))</f>
        <v>1.3401634020634554</v>
      </c>
      <c r="C917" s="13">
        <f t="shared" ca="1" si="82"/>
        <v>1</v>
      </c>
      <c r="D917" s="9">
        <f ca="1">D916+C917*(Prices!B917-Prices!B916)/Prices!B916</f>
        <v>-0.50370306198246828</v>
      </c>
      <c r="E917" s="9">
        <f t="shared" ca="1" si="83"/>
        <v>0.53982701324121463</v>
      </c>
      <c r="F917" s="9">
        <f t="shared" ca="1" si="84"/>
        <v>3.6123951258746317E-2</v>
      </c>
      <c r="G917" s="13">
        <f ca="1">IF((Prices!B917-Prices!B916)*B917&gt;0,1,0)</f>
        <v>1</v>
      </c>
      <c r="H917" s="9">
        <f>ABS(Prices!B917-Prices!B916)/Prices!B916</f>
        <v>2.669481939521897E-2</v>
      </c>
      <c r="I917" s="13"/>
      <c r="J917" s="1">
        <f t="shared" ca="1" si="85"/>
        <v>2.3862493473842943E-2</v>
      </c>
      <c r="K917" s="9"/>
      <c r="L917" s="9">
        <f ca="1">L916-O917*Prices!B917</f>
        <v>0.40913147407818468</v>
      </c>
      <c r="M917" s="1">
        <f t="shared" ca="1" si="86"/>
        <v>0.48269699951087258</v>
      </c>
      <c r="N917" s="9">
        <f ca="1">IF(Prices!D916&gt;OFFSET(Prices!D916,-$N$3,0),1,IF(Prices!D916&lt;OFFSET(Prices!D916,-$N$3,0),-1,0))</f>
        <v>1</v>
      </c>
      <c r="O917" s="1">
        <f ca="1">IF(N917=1,O$3*L916/Prices!B916,O$3*M916*N917)</f>
        <v>3.4382240772989167E-2</v>
      </c>
      <c r="P917" s="14"/>
      <c r="Q917" s="9">
        <f ca="1">Q916-T917*Prices!B917</f>
        <v>0.32735299771165949</v>
      </c>
      <c r="R917" s="1">
        <f t="shared" ca="1" si="87"/>
        <v>0.51546761765816496</v>
      </c>
      <c r="S917" s="9">
        <f ca="1">IF(Prices!C916&lt;OFFSET(Prices!C916,-S$3,0),1,IF(Prices!C916&gt;OFFSET(Prices!C916,-S$3,0),-1,0))</f>
        <v>-1</v>
      </c>
      <c r="T917" s="1">
        <f ca="1">IF(S917=1,T$3*Q916/Prices!B916,T$3*R916*S917)</f>
        <v>-1.0519747299146223E-2</v>
      </c>
    </row>
    <row r="918" spans="1:20" x14ac:dyDescent="0.2">
      <c r="A918" s="4">
        <v>34792</v>
      </c>
      <c r="B918" s="9">
        <f ca="1">Prices!B917*(1+J918/(50*(ABS(O918)+ABS(T918)+0.0001)))</f>
        <v>1.3886521082304304</v>
      </c>
      <c r="C918" s="13">
        <f t="shared" ca="1" si="82"/>
        <v>1</v>
      </c>
      <c r="D918" s="9">
        <f ca="1">D917+C918*(Prices!B918-Prices!B917)/Prices!B917</f>
        <v>-0.50847720814478925</v>
      </c>
      <c r="E918" s="9">
        <f t="shared" ca="1" si="83"/>
        <v>0.5446011594035356</v>
      </c>
      <c r="F918" s="9">
        <f t="shared" ca="1" si="84"/>
        <v>3.6123951258746317E-2</v>
      </c>
      <c r="G918" s="13">
        <f ca="1">IF((Prices!B918-Prices!B917)*B918&gt;0,1,0)</f>
        <v>0</v>
      </c>
      <c r="H918" s="9">
        <f>ABS(Prices!B918-Prices!B917)/Prices!B917</f>
        <v>4.7741461623209335E-3</v>
      </c>
      <c r="I918" s="13"/>
      <c r="J918" s="1">
        <f t="shared" ca="1" si="85"/>
        <v>3.4858764129307135E-2</v>
      </c>
      <c r="K918" s="9"/>
      <c r="L918" s="9">
        <f ca="1">L917-O918*Prices!B918</f>
        <v>0.3684136520160517</v>
      </c>
      <c r="M918" s="1">
        <f t="shared" ca="1" si="86"/>
        <v>0.51274705269325849</v>
      </c>
      <c r="N918" s="9">
        <f ca="1">IF(Prices!D917&gt;OFFSET(Prices!D917,-$N$3,0),1,IF(Prices!D917&lt;OFFSET(Prices!D917,-$N$3,0),-1,0))</f>
        <v>1</v>
      </c>
      <c r="O918" s="1">
        <f ca="1">IF(N918=1,O$3*L917/Prices!B917,O$3*M917*N918)</f>
        <v>3.005005318238595E-2</v>
      </c>
      <c r="P918" s="14"/>
      <c r="Q918" s="9">
        <f ca="1">Q917-T918*Prices!B918</f>
        <v>0.32083719437858127</v>
      </c>
      <c r="R918" s="1">
        <f t="shared" ca="1" si="87"/>
        <v>0.5202763286050861</v>
      </c>
      <c r="S918" s="9">
        <f ca="1">IF(Prices!C917&lt;OFFSET(Prices!C917,-S$3,0),1,IF(Prices!C917&gt;OFFSET(Prices!C917,-S$3,0),-1,0))</f>
        <v>1</v>
      </c>
      <c r="T918" s="1">
        <f ca="1">IF(S918=1,T$3*Q917/Prices!B917,T$3*R917*S918)</f>
        <v>4.8087109469211829E-3</v>
      </c>
    </row>
    <row r="919" spans="1:20" x14ac:dyDescent="0.2">
      <c r="A919" s="4">
        <v>34793</v>
      </c>
      <c r="B919" s="9">
        <f ca="1">Prices!B918*(1+J919/(50*(ABS(O919)+ABS(T919)+0.0001)))</f>
        <v>1.3325226755347703</v>
      </c>
      <c r="C919" s="13">
        <f t="shared" ca="1" si="82"/>
        <v>-1</v>
      </c>
      <c r="D919" s="9">
        <f ca="1">D918+C919*(Prices!B919-Prices!B918)/Prices!B918</f>
        <v>-0.50109713434405123</v>
      </c>
      <c r="E919" s="9">
        <f t="shared" ca="1" si="83"/>
        <v>0.53722108560279758</v>
      </c>
      <c r="F919" s="9">
        <f t="shared" ca="1" si="84"/>
        <v>3.6123951258746317E-2</v>
      </c>
      <c r="G919" s="13">
        <f ca="1">IF((Prices!B919-Prices!B918)*B919&gt;0,1,0)</f>
        <v>0</v>
      </c>
      <c r="H919" s="9">
        <f>ABS(Prices!B919-Prices!B918)/Prices!B918</f>
        <v>7.3800738007380141E-3</v>
      </c>
      <c r="I919" s="13"/>
      <c r="J919" s="1">
        <f t="shared" ca="1" si="85"/>
        <v>-4.6539100924254541E-2</v>
      </c>
      <c r="K919" s="9"/>
      <c r="L919" s="9">
        <f ca="1">L918-O919*Prices!B919</f>
        <v>0.43737813060329495</v>
      </c>
      <c r="M919" s="1">
        <f t="shared" ca="1" si="86"/>
        <v>0.46147234742393262</v>
      </c>
      <c r="N919" s="9">
        <f ca="1">IF(Prices!D918&gt;OFFSET(Prices!D918,-$N$3,0),1,IF(Prices!D918&lt;OFFSET(Prices!D918,-$N$3,0),-1,0))</f>
        <v>-1</v>
      </c>
      <c r="O919" s="1">
        <f ca="1">IF(N919=1,O$3*L918/Prices!B918,O$3*M918*N919)</f>
        <v>-5.127470526932585E-2</v>
      </c>
      <c r="P919" s="14"/>
      <c r="Q919" s="9">
        <f ca="1">Q918-T919*Prices!B919</f>
        <v>0.31446780653446038</v>
      </c>
      <c r="R919" s="1">
        <f t="shared" ca="1" si="87"/>
        <v>0.52501193295015747</v>
      </c>
      <c r="S919" s="9">
        <f ca="1">IF(Prices!C918&lt;OFFSET(Prices!C918,-S$3,0),1,IF(Prices!C918&gt;OFFSET(Prices!C918,-S$3,0),-1,0))</f>
        <v>1</v>
      </c>
      <c r="T919" s="1">
        <f ca="1">IF(S919=1,T$3*Q918/Prices!B918,T$3*R918*S919)</f>
        <v>4.7356043450713101E-3</v>
      </c>
    </row>
    <row r="920" spans="1:20" x14ac:dyDescent="0.2">
      <c r="A920" s="4">
        <v>34794</v>
      </c>
      <c r="B920" s="9">
        <f ca="1">Prices!B919*(1+J920/(50*(ABS(O920)+ABS(T920)+0.0001)))</f>
        <v>1.3230930791151083</v>
      </c>
      <c r="C920" s="13">
        <f t="shared" ca="1" si="82"/>
        <v>-1</v>
      </c>
      <c r="D920" s="9">
        <f ca="1">D919+C920*(Prices!B920-Prices!B919)/Prices!B919</f>
        <v>-0.50288152096115157</v>
      </c>
      <c r="E920" s="9">
        <f t="shared" ca="1" si="83"/>
        <v>0.53900547221989792</v>
      </c>
      <c r="F920" s="9">
        <f t="shared" ca="1" si="84"/>
        <v>3.6123951258746317E-2</v>
      </c>
      <c r="G920" s="13">
        <f ca="1">IF((Prices!B920-Prices!B919)*B920&gt;0,1,0)</f>
        <v>1</v>
      </c>
      <c r="H920" s="9">
        <f>ABS(Prices!B920-Prices!B919)/Prices!B919</f>
        <v>1.7843866171003404E-3</v>
      </c>
      <c r="I920" s="13"/>
      <c r="J920" s="1">
        <f t="shared" ca="1" si="85"/>
        <v>-4.1471133529984931E-2</v>
      </c>
      <c r="K920" s="9"/>
      <c r="L920" s="9">
        <f ca="1">L919-O920*Prices!B920</f>
        <v>0.49955691469519564</v>
      </c>
      <c r="M920" s="1">
        <f t="shared" ca="1" si="86"/>
        <v>0.41532511268153938</v>
      </c>
      <c r="N920" s="9">
        <f ca="1">IF(Prices!D919&gt;OFFSET(Prices!D919,-$N$3,0),1,IF(Prices!D919&lt;OFFSET(Prices!D919,-$N$3,0),-1,0))</f>
        <v>-1</v>
      </c>
      <c r="O920" s="1">
        <f ca="1">IF(N920=1,O$3*L919/Prices!B919,O$3*M919*N920)</f>
        <v>-4.6147234742393267E-2</v>
      </c>
      <c r="P920" s="14"/>
      <c r="Q920" s="9">
        <f ca="1">Q919-T920*Prices!B920</f>
        <v>0.30816722776086142</v>
      </c>
      <c r="R920" s="1">
        <f t="shared" ca="1" si="87"/>
        <v>0.52968803416256582</v>
      </c>
      <c r="S920" s="9">
        <f ca="1">IF(Prices!C919&lt;OFFSET(Prices!C919,-S$3,0),1,IF(Prices!C919&gt;OFFSET(Prices!C919,-S$3,0),-1,0))</f>
        <v>1</v>
      </c>
      <c r="T920" s="1">
        <f ca="1">IF(S920=1,T$3*Q919/Prices!B919,T$3*R919*S920)</f>
        <v>4.6761012124083333E-3</v>
      </c>
    </row>
    <row r="921" spans="1:20" x14ac:dyDescent="0.2">
      <c r="A921" s="4">
        <v>34795</v>
      </c>
      <c r="B921" s="9">
        <f ca="1">Prices!B920*(1+J921/(50*(ABS(O921)+ABS(T921)+0.0001)))</f>
        <v>1.3258457686811922</v>
      </c>
      <c r="C921" s="13">
        <f t="shared" ca="1" si="82"/>
        <v>-1</v>
      </c>
      <c r="D921" s="9">
        <f ca="1">D920+C921*(Prices!B921-Prices!B920)/Prices!B920</f>
        <v>-0.50896731582533439</v>
      </c>
      <c r="E921" s="9">
        <f t="shared" ca="1" si="83"/>
        <v>0.54509126708408073</v>
      </c>
      <c r="F921" s="9">
        <f t="shared" ca="1" si="84"/>
        <v>3.6123951258746317E-2</v>
      </c>
      <c r="G921" s="13">
        <f ca="1">IF((Prices!B921-Prices!B920)*B921&gt;0,1,0)</f>
        <v>1</v>
      </c>
      <c r="H921" s="9">
        <f>ABS(Prices!B921-Prices!B920)/Prices!B920</f>
        <v>6.0857948641828601E-3</v>
      </c>
      <c r="I921" s="13"/>
      <c r="J921" s="1">
        <f t="shared" ca="1" si="85"/>
        <v>-3.6958261190064859E-2</v>
      </c>
      <c r="K921" s="9"/>
      <c r="L921" s="9">
        <f ca="1">L920-O921*Prices!B921</f>
        <v>0.5558583869703051</v>
      </c>
      <c r="M921" s="1">
        <f t="shared" ca="1" si="86"/>
        <v>0.37379260141338544</v>
      </c>
      <c r="N921" s="9">
        <f ca="1">IF(Prices!D920&gt;OFFSET(Prices!D920,-$N$3,0),1,IF(Prices!D920&lt;OFFSET(Prices!D920,-$N$3,0),-1,0))</f>
        <v>-1</v>
      </c>
      <c r="O921" s="1">
        <f ca="1">IF(N921=1,O$3*L920/Prices!B920,O$3*M920*N921)</f>
        <v>-4.1532511268153938E-2</v>
      </c>
      <c r="P921" s="14"/>
      <c r="Q921" s="9">
        <f ca="1">Q920-T921*Prices!B921</f>
        <v>0.30196637435500384</v>
      </c>
      <c r="R921" s="1">
        <f t="shared" ca="1" si="87"/>
        <v>0.53426228424065492</v>
      </c>
      <c r="S921" s="9">
        <f ca="1">IF(Prices!C920&lt;OFFSET(Prices!C920,-S$3,0),1,IF(Prices!C920&gt;OFFSET(Prices!C920,-S$3,0),-1,0))</f>
        <v>1</v>
      </c>
      <c r="T921" s="1">
        <f ca="1">IF(S921=1,T$3*Q920/Prices!B920,T$3*R920*S921)</f>
        <v>4.5742500780890814E-3</v>
      </c>
    </row>
    <row r="922" spans="1:20" x14ac:dyDescent="0.2">
      <c r="A922" s="4">
        <v>34796</v>
      </c>
      <c r="B922" s="9">
        <f ca="1">Prices!B921*(1+J922/(50*(ABS(O922)+ABS(T922)+0.0001)))</f>
        <v>1.3343133977110326</v>
      </c>
      <c r="C922" s="13">
        <f t="shared" ca="1" si="82"/>
        <v>-1</v>
      </c>
      <c r="D922" s="9">
        <f ca="1">D921+C922*(Prices!B922-Prices!B921)/Prices!B921</f>
        <v>-0.50852470738626687</v>
      </c>
      <c r="E922" s="9">
        <f t="shared" ca="1" si="83"/>
        <v>0.54464865864501322</v>
      </c>
      <c r="F922" s="9">
        <f t="shared" ca="1" si="84"/>
        <v>3.6123951258746317E-2</v>
      </c>
      <c r="G922" s="13">
        <f ca="1">IF((Prices!B922-Prices!B921)*B922&gt;0,1,0)</f>
        <v>0</v>
      </c>
      <c r="H922" s="9">
        <f>ABS(Prices!B922-Prices!B921)/Prices!B921</f>
        <v>4.4260843906752283E-4</v>
      </c>
      <c r="I922" s="13"/>
      <c r="J922" s="1">
        <f t="shared" ca="1" si="85"/>
        <v>-3.2924164621199799E-2</v>
      </c>
      <c r="K922" s="9"/>
      <c r="L922" s="9">
        <f ca="1">L921-O922*Prices!B922</f>
        <v>0.60650728446181879</v>
      </c>
      <c r="M922" s="1">
        <f t="shared" ca="1" si="86"/>
        <v>0.33641334127204692</v>
      </c>
      <c r="N922" s="9">
        <f ca="1">IF(Prices!D921&gt;OFFSET(Prices!D921,-$N$3,0),1,IF(Prices!D921&lt;OFFSET(Prices!D921,-$N$3,0),-1,0))</f>
        <v>-1</v>
      </c>
      <c r="O922" s="1">
        <f ca="1">IF(N922=1,O$3*L921/Prices!B921,O$3*M921*N922)</f>
        <v>-3.7379260141338543E-2</v>
      </c>
      <c r="P922" s="14"/>
      <c r="Q922" s="9">
        <f ca="1">Q921-T922*Prices!B922</f>
        <v>0.29592971992521583</v>
      </c>
      <c r="R922" s="1">
        <f t="shared" ca="1" si="87"/>
        <v>0.5387173797607937</v>
      </c>
      <c r="S922" s="9">
        <f ca="1">IF(Prices!C921&lt;OFFSET(Prices!C921,-S$3,0),1,IF(Prices!C921&gt;OFFSET(Prices!C921,-S$3,0),-1,0))</f>
        <v>1</v>
      </c>
      <c r="T922" s="1">
        <f ca="1">IF(S922=1,T$3*Q921/Prices!B921,T$3*R921*S922)</f>
        <v>4.4550955201387412E-3</v>
      </c>
    </row>
    <row r="923" spans="1:20" x14ac:dyDescent="0.2">
      <c r="A923" s="4">
        <v>34799</v>
      </c>
      <c r="B923" s="9">
        <f ca="1">Prices!B922*(1+J923/(50*(ABS(O923)+ABS(T923)+0.0001)))</f>
        <v>1.3341833422017295</v>
      </c>
      <c r="C923" s="13">
        <f t="shared" ca="1" si="82"/>
        <v>-1</v>
      </c>
      <c r="D923" s="9">
        <f ca="1">D922+C923*(Prices!B923-Prices!B922)/Prices!B922</f>
        <v>-0.49317415388073188</v>
      </c>
      <c r="E923" s="9">
        <f t="shared" ca="1" si="83"/>
        <v>0.52929810513947817</v>
      </c>
      <c r="F923" s="9">
        <f t="shared" ca="1" si="84"/>
        <v>3.6123951258746317E-2</v>
      </c>
      <c r="G923" s="13">
        <f ca="1">IF((Prices!B923-Prices!B922)*B923&gt;0,1,0)</f>
        <v>0</v>
      </c>
      <c r="H923" s="9">
        <f>ABS(Prices!B923-Prices!B922)/Prices!B922</f>
        <v>1.5350553505535004E-2</v>
      </c>
      <c r="I923" s="13"/>
      <c r="J923" s="1">
        <f t="shared" ca="1" si="85"/>
        <v>-2.9273367781445049E-2</v>
      </c>
      <c r="K923" s="9"/>
      <c r="L923" s="9">
        <f ca="1">L922-O923*Prices!B923</f>
        <v>0.65139155245433533</v>
      </c>
      <c r="M923" s="1">
        <f t="shared" ca="1" si="86"/>
        <v>0.3027720071448422</v>
      </c>
      <c r="N923" s="9">
        <f ca="1">IF(Prices!D922&gt;OFFSET(Prices!D922,-$N$3,0),1,IF(Prices!D922&lt;OFFSET(Prices!D922,-$N$3,0),-1,0))</f>
        <v>-1</v>
      </c>
      <c r="O923" s="1">
        <f ca="1">IF(N923=1,O$3*L922/Prices!B922,O$3*M922*N923)</f>
        <v>-3.3641334127204693E-2</v>
      </c>
      <c r="P923" s="14"/>
      <c r="Q923" s="9">
        <f ca="1">Q922-T923*Prices!B923</f>
        <v>0.29010197922670333</v>
      </c>
      <c r="R923" s="1">
        <f t="shared" ca="1" si="87"/>
        <v>0.54308534610655335</v>
      </c>
      <c r="S923" s="9">
        <f ca="1">IF(Prices!C922&lt;OFFSET(Prices!C922,-S$3,0),1,IF(Prices!C922&gt;OFFSET(Prices!C922,-S$3,0),-1,0))</f>
        <v>1</v>
      </c>
      <c r="T923" s="1">
        <f ca="1">IF(S923=1,T$3*Q922/Prices!B922,T$3*R922*S923)</f>
        <v>4.3679663457596432E-3</v>
      </c>
    </row>
    <row r="924" spans="1:20" x14ac:dyDescent="0.2">
      <c r="A924" s="4">
        <v>34800</v>
      </c>
      <c r="B924" s="9">
        <f ca="1">Prices!B923*(1+J924/(50*(ABS(O924)+ABS(T924)+0.0001)))</f>
        <v>1.3608339092708623</v>
      </c>
      <c r="C924" s="13">
        <f t="shared" ca="1" si="82"/>
        <v>1</v>
      </c>
      <c r="D924" s="9">
        <f ca="1">D923+C924*(Prices!B924-Prices!B923)/Prices!B923</f>
        <v>-0.49145027440239281</v>
      </c>
      <c r="E924" s="9">
        <f t="shared" ca="1" si="83"/>
        <v>0.5275742256611391</v>
      </c>
      <c r="F924" s="9">
        <f t="shared" ca="1" si="84"/>
        <v>3.6123951258746317E-2</v>
      </c>
      <c r="G924" s="13">
        <f ca="1">IF((Prices!B924-Prices!B923)*B924&gt;0,1,0)</f>
        <v>1</v>
      </c>
      <c r="H924" s="9">
        <f>ABS(Prices!B924-Prices!B923)/Prices!B923</f>
        <v>1.7238794783390561E-3</v>
      </c>
      <c r="I924" s="13"/>
      <c r="J924" s="1">
        <f t="shared" ca="1" si="85"/>
        <v>5.3171334754885023E-2</v>
      </c>
      <c r="K924" s="9"/>
      <c r="L924" s="9">
        <f ca="1">L923-O924*Prices!B924</f>
        <v>0.58614010515593784</v>
      </c>
      <c r="M924" s="1">
        <f t="shared" ca="1" si="86"/>
        <v>0.35159463886829712</v>
      </c>
      <c r="N924" s="9">
        <f ca="1">IF(Prices!D923&gt;OFFSET(Prices!D923,-$N$3,0),1,IF(Prices!D923&lt;OFFSET(Prices!D923,-$N$3,0),-1,0))</f>
        <v>1</v>
      </c>
      <c r="O924" s="1">
        <f ca="1">IF(N924=1,O$3*L923/Prices!B923,O$3*M923*N924)</f>
        <v>4.8822631723454905E-2</v>
      </c>
      <c r="P924" s="14"/>
      <c r="Q924" s="9">
        <f ca="1">Q923-T924*Prices!B924</f>
        <v>0.284289937625197</v>
      </c>
      <c r="R924" s="1">
        <f t="shared" ca="1" si="87"/>
        <v>0.54743404913798344</v>
      </c>
      <c r="S924" s="9">
        <f ca="1">IF(Prices!C923&lt;OFFSET(Prices!C923,-S$3,0),1,IF(Prices!C923&gt;OFFSET(Prices!C923,-S$3,0),-1,0))</f>
        <v>1</v>
      </c>
      <c r="T924" s="1">
        <f ca="1">IF(S924=1,T$3*Q923/Prices!B923,T$3*R923*S924)</f>
        <v>4.3487030314301204E-3</v>
      </c>
    </row>
    <row r="925" spans="1:20" x14ac:dyDescent="0.2">
      <c r="A925" s="4">
        <v>34801</v>
      </c>
      <c r="B925" s="9">
        <f ca="1">Prices!B924*(1+J925/(50*(ABS(O925)+ABS(T925)+0.0001)))</f>
        <v>1.3155934206616353</v>
      </c>
      <c r="C925" s="13">
        <f t="shared" ca="1" si="82"/>
        <v>-1</v>
      </c>
      <c r="D925" s="9">
        <f ca="1">D924+C925*(Prices!B925-Prices!B924)/Prices!B924</f>
        <v>-0.48868184941174558</v>
      </c>
      <c r="E925" s="9">
        <f t="shared" ca="1" si="83"/>
        <v>0.52480580067049187</v>
      </c>
      <c r="F925" s="9">
        <f t="shared" ca="1" si="84"/>
        <v>3.6123951258746317E-2</v>
      </c>
      <c r="G925" s="13">
        <f ca="1">IF((Prices!B925-Prices!B924)*B925&gt;0,1,0)</f>
        <v>0</v>
      </c>
      <c r="H925" s="9">
        <f>ABS(Prices!B925-Prices!B924)/Prices!B924</f>
        <v>2.7684249906472403E-3</v>
      </c>
      <c r="I925" s="13"/>
      <c r="J925" s="1">
        <f t="shared" ca="1" si="85"/>
        <v>-3.0905218654877647E-2</v>
      </c>
      <c r="K925" s="9"/>
      <c r="L925" s="9">
        <f ca="1">L924-O925*Prices!B925</f>
        <v>0.63300063862430445</v>
      </c>
      <c r="M925" s="1">
        <f t="shared" ca="1" si="86"/>
        <v>0.31643517498146739</v>
      </c>
      <c r="N925" s="9">
        <f ca="1">IF(Prices!D924&gt;OFFSET(Prices!D924,-$N$3,0),1,IF(Prices!D924&lt;OFFSET(Prices!D924,-$N$3,0),-1,0))</f>
        <v>-1</v>
      </c>
      <c r="O925" s="1">
        <f ca="1">IF(N925=1,O$3*L924/Prices!B924,O$3*M924*N925)</f>
        <v>-3.5159463886829716E-2</v>
      </c>
      <c r="P925" s="14"/>
      <c r="Q925" s="9">
        <f ca="1">Q924-T925*Prices!B925</f>
        <v>0.2786198795800513</v>
      </c>
      <c r="R925" s="1">
        <f t="shared" ca="1" si="87"/>
        <v>0.55168829436993549</v>
      </c>
      <c r="S925" s="9">
        <f ca="1">IF(Prices!C924&lt;OFFSET(Prices!C924,-S$3,0),1,IF(Prices!C924&gt;OFFSET(Prices!C924,-S$3,0),-1,0))</f>
        <v>1</v>
      </c>
      <c r="T925" s="1">
        <f ca="1">IF(S925=1,T$3*Q924/Prices!B924,T$3*R924*S925)</f>
        <v>4.2542452319520689E-3</v>
      </c>
    </row>
    <row r="926" spans="1:20" x14ac:dyDescent="0.2">
      <c r="A926" s="4">
        <v>34802</v>
      </c>
      <c r="B926" s="9">
        <f ca="1">Prices!B925*(1+J926/(50*(ABS(O926)+ABS(T926)+0.0001)))</f>
        <v>1.3124227673734206</v>
      </c>
      <c r="C926" s="13">
        <f t="shared" ca="1" si="82"/>
        <v>-1</v>
      </c>
      <c r="D926" s="9">
        <f ca="1">D925+C926*(Prices!B926-Prices!B925)/Prices!B925</f>
        <v>-0.50068665133251389</v>
      </c>
      <c r="E926" s="9">
        <f t="shared" ca="1" si="83"/>
        <v>0.53681060259126023</v>
      </c>
      <c r="F926" s="9">
        <f t="shared" ca="1" si="84"/>
        <v>3.6123951258746317E-2</v>
      </c>
      <c r="G926" s="13">
        <f ca="1">IF((Prices!B926-Prices!B925)*B926&gt;0,1,0)</f>
        <v>1</v>
      </c>
      <c r="H926" s="9">
        <f>ABS(Prices!B926-Prices!B925)/Prices!B925</f>
        <v>1.2004801920768318E-2</v>
      </c>
      <c r="I926" s="13"/>
      <c r="J926" s="1">
        <f t="shared" ca="1" si="85"/>
        <v>-2.74625469162132E-2</v>
      </c>
      <c r="K926" s="9"/>
      <c r="L926" s="9">
        <f ca="1">L925-O926*Prices!B926</f>
        <v>0.67568141502580481</v>
      </c>
      <c r="M926" s="1">
        <f t="shared" ca="1" si="86"/>
        <v>0.28479165748332064</v>
      </c>
      <c r="N926" s="9">
        <f ca="1">IF(Prices!D925&gt;OFFSET(Prices!D925,-$N$3,0),1,IF(Prices!D925&lt;OFFSET(Prices!D925,-$N$3,0),-1,0))</f>
        <v>-1</v>
      </c>
      <c r="O926" s="1">
        <f ca="1">IF(N926=1,O$3*L925/Prices!B925,O$3*M925*N926)</f>
        <v>-3.1643517498146742E-2</v>
      </c>
      <c r="P926" s="14"/>
      <c r="Q926" s="9">
        <f ca="1">Q925-T926*Prices!B926</f>
        <v>0.27298058645913936</v>
      </c>
      <c r="R926" s="1">
        <f t="shared" ca="1" si="87"/>
        <v>0.55586926495186906</v>
      </c>
      <c r="S926" s="9">
        <f ca="1">IF(Prices!C925&lt;OFFSET(Prices!C925,-S$3,0),1,IF(Prices!C925&gt;OFFSET(Prices!C925,-S$3,0),-1,0))</f>
        <v>1</v>
      </c>
      <c r="T926" s="1">
        <f ca="1">IF(S926=1,T$3*Q925/Prices!B925,T$3*R925*S926)</f>
        <v>4.180970581933543E-3</v>
      </c>
    </row>
    <row r="927" spans="1:20" x14ac:dyDescent="0.2">
      <c r="A927" s="4">
        <v>34803</v>
      </c>
      <c r="B927" s="9">
        <f ca="1">Prices!B926*(1+J927/(50*(ABS(O927)+ABS(T927)+0.0001)))</f>
        <v>1.328600062992638</v>
      </c>
      <c r="C927" s="13">
        <f t="shared" ca="1" si="82"/>
        <v>-1</v>
      </c>
      <c r="D927" s="9">
        <f ca="1">D926+C927*(Prices!B927-Prices!B926)/Prices!B926</f>
        <v>-0.50068665133251389</v>
      </c>
      <c r="E927" s="9">
        <f t="shared" ca="1" si="83"/>
        <v>0.53681060259126023</v>
      </c>
      <c r="F927" s="9">
        <f t="shared" ca="1" si="84"/>
        <v>3.6123951258746317E-2</v>
      </c>
      <c r="G927" s="13">
        <f ca="1">IF((Prices!B927-Prices!B926)*B927&gt;0,1,0)</f>
        <v>0</v>
      </c>
      <c r="H927" s="9">
        <f>ABS(Prices!B927-Prices!B926)/Prices!B926</f>
        <v>0</v>
      </c>
      <c r="I927" s="13"/>
      <c r="J927" s="1">
        <f t="shared" ca="1" si="85"/>
        <v>-2.4431410907597494E-2</v>
      </c>
      <c r="K927" s="9"/>
      <c r="L927" s="9">
        <f ca="1">L926-O927*Prices!B927</f>
        <v>0.71409411378715515</v>
      </c>
      <c r="M927" s="1">
        <f t="shared" ca="1" si="86"/>
        <v>0.2563124917349886</v>
      </c>
      <c r="N927" s="9">
        <f ca="1">IF(Prices!D926&gt;OFFSET(Prices!D926,-$N$3,0),1,IF(Prices!D926&lt;OFFSET(Prices!D926,-$N$3,0),-1,0))</f>
        <v>-1</v>
      </c>
      <c r="O927" s="1">
        <f ca="1">IF(N927=1,O$3*L926/Prices!B926,O$3*M926*N927)</f>
        <v>-2.8479165748332064E-2</v>
      </c>
      <c r="P927" s="14"/>
      <c r="Q927" s="9">
        <f ca="1">Q926-T927*Prices!B927</f>
        <v>0.26752097472995656</v>
      </c>
      <c r="R927" s="1">
        <f t="shared" ca="1" si="87"/>
        <v>0.55991701979260367</v>
      </c>
      <c r="S927" s="9">
        <f ca="1">IF(Prices!C926&lt;OFFSET(Prices!C926,-S$3,0),1,IF(Prices!C926&gt;OFFSET(Prices!C926,-S$3,0),-1,0))</f>
        <v>1</v>
      </c>
      <c r="T927" s="1">
        <f ca="1">IF(S927=1,T$3*Q926/Prices!B926,T$3*R926*S927)</f>
        <v>4.0477548407345694E-3</v>
      </c>
    </row>
    <row r="928" spans="1:20" x14ac:dyDescent="0.2">
      <c r="A928" s="4">
        <v>34806</v>
      </c>
      <c r="B928" s="9">
        <f ca="1">Prices!B927*(1+J928/(50*(ABS(O928)+ABS(T928)+0.0001)))</f>
        <v>1.3291212598431157</v>
      </c>
      <c r="C928" s="13">
        <f t="shared" ca="1" si="82"/>
        <v>-1</v>
      </c>
      <c r="D928" s="9">
        <f ca="1">D927+C928*(Prices!B928-Prices!B927)/Prices!B927</f>
        <v>-0.50068665133251389</v>
      </c>
      <c r="E928" s="9">
        <f t="shared" ca="1" si="83"/>
        <v>0.53681060259126023</v>
      </c>
      <c r="F928" s="9">
        <f t="shared" ca="1" si="84"/>
        <v>3.6123951258746317E-2</v>
      </c>
      <c r="G928" s="13">
        <f ca="1">IF((Prices!B928-Prices!B927)*B928&gt;0,1,0)</f>
        <v>0</v>
      </c>
      <c r="H928" s="9">
        <f>ABS(Prices!B928-Prices!B927)/Prices!B927</f>
        <v>0</v>
      </c>
      <c r="I928" s="13"/>
      <c r="J928" s="1">
        <f t="shared" ca="1" si="85"/>
        <v>-2.1664449429578986E-2</v>
      </c>
      <c r="K928" s="9"/>
      <c r="L928" s="9">
        <f ca="1">L927-O928*Prices!B928</f>
        <v>0.7486655426723704</v>
      </c>
      <c r="M928" s="1">
        <f t="shared" ca="1" si="86"/>
        <v>0.23068124256148975</v>
      </c>
      <c r="N928" s="9">
        <f ca="1">IF(Prices!D927&gt;OFFSET(Prices!D927,-$N$3,0),1,IF(Prices!D927&lt;OFFSET(Prices!D927,-$N$3,0),-1,0))</f>
        <v>-1</v>
      </c>
      <c r="O928" s="1">
        <f ca="1">IF(N928=1,O$3*L927/Prices!B927,O$3*M927*N928)</f>
        <v>-2.5631249173498863E-2</v>
      </c>
      <c r="P928" s="14"/>
      <c r="Q928" s="9">
        <f ca="1">Q927-T928*Prices!B928</f>
        <v>0.26217055523535743</v>
      </c>
      <c r="R928" s="1">
        <f t="shared" ca="1" si="87"/>
        <v>0.56388381953652356</v>
      </c>
      <c r="S928" s="9">
        <f ca="1">IF(Prices!C927&lt;OFFSET(Prices!C927,-S$3,0),1,IF(Prices!C927&gt;OFFSET(Prices!C927,-S$3,0),-1,0))</f>
        <v>1</v>
      </c>
      <c r="T928" s="1">
        <f ca="1">IF(S928=1,T$3*Q927/Prices!B927,T$3*R927*S928)</f>
        <v>3.966799743919878E-3</v>
      </c>
    </row>
    <row r="929" spans="1:20" x14ac:dyDescent="0.2">
      <c r="A929" s="4">
        <v>34807</v>
      </c>
      <c r="B929" s="9">
        <f ca="1">Prices!B928*(1+J929/(50*(ABS(O929)+ABS(T929)+0.0001)))</f>
        <v>1.3757306572385661</v>
      </c>
      <c r="C929" s="13">
        <f t="shared" ca="1" si="82"/>
        <v>1</v>
      </c>
      <c r="D929" s="9">
        <f ca="1">D928+C929*(Prices!B929-Prices!B928)/Prices!B928</f>
        <v>-0.49015877470143443</v>
      </c>
      <c r="E929" s="9">
        <f t="shared" ca="1" si="83"/>
        <v>0.52628272596018078</v>
      </c>
      <c r="F929" s="9">
        <f t="shared" ca="1" si="84"/>
        <v>3.6123951258746317E-2</v>
      </c>
      <c r="G929" s="13">
        <f ca="1">IF((Prices!B929-Prices!B928)*B929&gt;0,1,0)</f>
        <v>1</v>
      </c>
      <c r="H929" s="9">
        <f>ABS(Prices!B929-Prices!B928)/Prices!B928</f>
        <v>1.052787663107947E-2</v>
      </c>
      <c r="I929" s="13"/>
      <c r="J929" s="1">
        <f t="shared" ca="1" si="85"/>
        <v>5.9393509320836438E-2</v>
      </c>
      <c r="K929" s="9"/>
      <c r="L929" s="9">
        <f ca="1">L928-O929*Prices!B929</f>
        <v>0.67301080255801393</v>
      </c>
      <c r="M929" s="1">
        <f t="shared" ca="1" si="86"/>
        <v>0.2861872881332847</v>
      </c>
      <c r="N929" s="9">
        <f ca="1">IF(Prices!D928&gt;OFFSET(Prices!D928,-$N$3,0),1,IF(Prices!D928&lt;OFFSET(Prices!D928,-$N$3,0),-1,0))</f>
        <v>1</v>
      </c>
      <c r="O929" s="1">
        <f ca="1">IF(N929=1,O$3*L928/Prices!B928,O$3*M928*N929)</f>
        <v>5.5506045571794956E-2</v>
      </c>
      <c r="P929" s="14"/>
      <c r="Q929" s="9">
        <f ca="1">Q928-T929*Prices!B929</f>
        <v>0.25687194214541387</v>
      </c>
      <c r="R929" s="1">
        <f t="shared" ca="1" si="87"/>
        <v>0.56777128328556503</v>
      </c>
      <c r="S929" s="9">
        <f ca="1">IF(Prices!C928&lt;OFFSET(Prices!C928,-S$3,0),1,IF(Prices!C928&gt;OFFSET(Prices!C928,-S$3,0),-1,0))</f>
        <v>1</v>
      </c>
      <c r="T929" s="1">
        <f ca="1">IF(S929=1,T$3*Q928/Prices!B928,T$3*R928*S929)</f>
        <v>3.8874637490414802E-3</v>
      </c>
    </row>
    <row r="930" spans="1:20" x14ac:dyDescent="0.2">
      <c r="A930" s="4">
        <v>34808</v>
      </c>
      <c r="B930" s="9">
        <f ca="1">Prices!B929*(1+J930/(50*(ABS(O930)+ABS(T930)+0.0001)))</f>
        <v>1.3902088040336009</v>
      </c>
      <c r="C930" s="13">
        <f t="shared" ca="1" si="82"/>
        <v>1</v>
      </c>
      <c r="D930" s="9">
        <f ca="1">D929+C930*(Prices!B930-Prices!B929)/Prices!B929</f>
        <v>-0.4849496771225642</v>
      </c>
      <c r="E930" s="9">
        <f t="shared" ca="1" si="83"/>
        <v>0.52107362838131055</v>
      </c>
      <c r="F930" s="9">
        <f t="shared" ca="1" si="84"/>
        <v>3.6123951258746317E-2</v>
      </c>
      <c r="G930" s="13">
        <f ca="1">IF((Prices!B930-Prices!B929)*B930&gt;0,1,0)</f>
        <v>1</v>
      </c>
      <c r="H930" s="9">
        <f>ABS(Prices!B930-Prices!B929)/Prices!B929</f>
        <v>5.2090975788702176E-3</v>
      </c>
      <c r="I930" s="13"/>
      <c r="J930" s="1">
        <f t="shared" ca="1" si="85"/>
        <v>5.3146382317468578E-2</v>
      </c>
      <c r="K930" s="9"/>
      <c r="L930" s="9">
        <f ca="1">L929-O930*Prices!B930</f>
        <v>0.60535914440799665</v>
      </c>
      <c r="M930" s="1">
        <f t="shared" ca="1" si="86"/>
        <v>0.33556445633269877</v>
      </c>
      <c r="N930" s="9">
        <f ca="1">IF(Prices!D929&gt;OFFSET(Prices!D929,-$N$3,0),1,IF(Prices!D929&lt;OFFSET(Prices!D929,-$N$3,0),-1,0))</f>
        <v>1</v>
      </c>
      <c r="O930" s="1">
        <f ca="1">IF(N930=1,O$3*L929/Prices!B929,O$3*M929*N930)</f>
        <v>4.9377168199414082E-2</v>
      </c>
      <c r="P930" s="14"/>
      <c r="Q930" s="9">
        <f ca="1">Q929-T930*Prices!B930</f>
        <v>0.25170774188226741</v>
      </c>
      <c r="R930" s="1">
        <f t="shared" ca="1" si="87"/>
        <v>0.57154049740361956</v>
      </c>
      <c r="S930" s="9">
        <f ca="1">IF(Prices!C929&lt;OFFSET(Prices!C929,-S$3,0),1,IF(Prices!C929&gt;OFFSET(Prices!C929,-S$3,0),-1,0))</f>
        <v>1</v>
      </c>
      <c r="T930" s="1">
        <f ca="1">IF(S930=1,T$3*Q929/Prices!B929,T$3*R929*S930)</f>
        <v>3.7692141180544953E-3</v>
      </c>
    </row>
    <row r="931" spans="1:20" x14ac:dyDescent="0.2">
      <c r="A931" s="4">
        <v>34809</v>
      </c>
      <c r="B931" s="9">
        <f ca="1">Prices!B930*(1+J931/(50*(ABS(O931)+ABS(T931)+0.0001)))</f>
        <v>1.3974448623511924</v>
      </c>
      <c r="C931" s="13">
        <f t="shared" ca="1" si="82"/>
        <v>1</v>
      </c>
      <c r="D931" s="9">
        <f ca="1">D930+C931*(Prices!B931-Prices!B930)/Prices!B930</f>
        <v>-0.49582479572704574</v>
      </c>
      <c r="E931" s="9">
        <f t="shared" ca="1" si="83"/>
        <v>0.53194874698579209</v>
      </c>
      <c r="F931" s="9">
        <f t="shared" ca="1" si="84"/>
        <v>3.6123951258746317E-2</v>
      </c>
      <c r="G931" s="13">
        <f ca="1">IF((Prices!B931-Prices!B930)*B931&gt;0,1,0)</f>
        <v>0</v>
      </c>
      <c r="H931" s="9">
        <f>ABS(Prices!B931-Prices!B930)/Prices!B930</f>
        <v>1.0875118604481523E-2</v>
      </c>
      <c r="I931" s="13"/>
      <c r="J931" s="1">
        <f t="shared" ca="1" si="85"/>
        <v>4.7857871161553905E-2</v>
      </c>
      <c r="K931" s="9"/>
      <c r="L931" s="9">
        <f ca="1">L930-O931*Prices!B931</f>
        <v>0.54548156521657143</v>
      </c>
      <c r="M931" s="1">
        <f t="shared" ca="1" si="86"/>
        <v>0.37974803011621799</v>
      </c>
      <c r="N931" s="9">
        <f ca="1">IF(Prices!D930&gt;OFFSET(Prices!D930,-$N$3,0),1,IF(Prices!D930&lt;OFFSET(Prices!D930,-$N$3,0),-1,0))</f>
        <v>1</v>
      </c>
      <c r="O931" s="1">
        <f ca="1">IF(N931=1,O$3*L930/Prices!B930,O$3*M930*N931)</f>
        <v>4.4183573783519205E-2</v>
      </c>
      <c r="P931" s="14"/>
      <c r="Q931" s="9">
        <f ca="1">Q930-T931*Prices!B931</f>
        <v>0.24672833407555478</v>
      </c>
      <c r="R931" s="1">
        <f t="shared" ca="1" si="87"/>
        <v>0.57521479478165427</v>
      </c>
      <c r="S931" s="9">
        <f ca="1">IF(Prices!C930&lt;OFFSET(Prices!C930,-S$3,0),1,IF(Prices!C930&gt;OFFSET(Prices!C930,-S$3,0),-1,0))</f>
        <v>1</v>
      </c>
      <c r="T931" s="1">
        <f ca="1">IF(S931=1,T$3*Q930/Prices!B930,T$3*R930*S931)</f>
        <v>3.6742973780347038E-3</v>
      </c>
    </row>
    <row r="932" spans="1:20" x14ac:dyDescent="0.2">
      <c r="A932" s="4">
        <v>34810</v>
      </c>
      <c r="B932" s="9">
        <f ca="1">Prices!B931*(1+J932/(50*(ABS(O932)+ABS(T932)+0.0001)))</f>
        <v>1.3328925530918576</v>
      </c>
      <c r="C932" s="13">
        <f t="shared" ca="1" si="82"/>
        <v>-1</v>
      </c>
      <c r="D932" s="9">
        <f ca="1">D931+C932*(Prices!B932-Prices!B931)/Prices!B931</f>
        <v>-0.49287320186636097</v>
      </c>
      <c r="E932" s="9">
        <f t="shared" ca="1" si="83"/>
        <v>0.52899715312510731</v>
      </c>
      <c r="F932" s="9">
        <f t="shared" ca="1" si="84"/>
        <v>3.6123951258746317E-2</v>
      </c>
      <c r="G932" s="13">
        <f ca="1">IF((Prices!B932-Prices!B931)*B932&gt;0,1,0)</f>
        <v>0</v>
      </c>
      <c r="H932" s="9">
        <f>ABS(Prices!B932-Prices!B931)/Prices!B931</f>
        <v>2.9515938606847723E-3</v>
      </c>
      <c r="I932" s="13"/>
      <c r="J932" s="1">
        <f t="shared" ca="1" si="85"/>
        <v>-3.4333593831049863E-2</v>
      </c>
      <c r="K932" s="9"/>
      <c r="L932" s="9">
        <f ca="1">L931-O932*Prices!B932</f>
        <v>0.59679311904587484</v>
      </c>
      <c r="M932" s="1">
        <f t="shared" ca="1" si="86"/>
        <v>0.34177322710459618</v>
      </c>
      <c r="N932" s="9">
        <f ca="1">IF(Prices!D931&gt;OFFSET(Prices!D931,-$N$3,0),1,IF(Prices!D931&lt;OFFSET(Prices!D931,-$N$3,0),-1,0))</f>
        <v>-1</v>
      </c>
      <c r="O932" s="1">
        <f ca="1">IF(N932=1,O$3*L931/Prices!B931,O$3*M931*N932)</f>
        <v>-3.7974803011621802E-2</v>
      </c>
      <c r="P932" s="14"/>
      <c r="Q932" s="9">
        <f ca="1">Q931-T932*Prices!B932</f>
        <v>0.24180833223076598</v>
      </c>
      <c r="R932" s="1">
        <f t="shared" ca="1" si="87"/>
        <v>0.57885600396222625</v>
      </c>
      <c r="S932" s="9">
        <f ca="1">IF(Prices!C931&lt;OFFSET(Prices!C931,-S$3,0),1,IF(Prices!C931&gt;OFFSET(Prices!C931,-S$3,0),-1,0))</f>
        <v>1</v>
      </c>
      <c r="T932" s="1">
        <f ca="1">IF(S932=1,T$3*Q931/Prices!B931,T$3*R931*S932)</f>
        <v>3.6412091805719418E-3</v>
      </c>
    </row>
    <row r="933" spans="1:20" x14ac:dyDescent="0.2">
      <c r="A933" s="4">
        <v>34813</v>
      </c>
      <c r="B933" s="9">
        <f ca="1">Prices!B932*(1+J933/(50*(ABS(O933)+ABS(T933)+0.0001)))</f>
        <v>1.3242349343111723</v>
      </c>
      <c r="C933" s="13">
        <f t="shared" ca="1" si="82"/>
        <v>-1</v>
      </c>
      <c r="D933" s="9">
        <f ca="1">D932+C933*(Prices!B933-Prices!B932)/Prices!B932</f>
        <v>-0.4985718401138447</v>
      </c>
      <c r="E933" s="9">
        <f t="shared" ca="1" si="83"/>
        <v>0.53469579137259104</v>
      </c>
      <c r="F933" s="9">
        <f t="shared" ca="1" si="84"/>
        <v>3.6123951258746317E-2</v>
      </c>
      <c r="G933" s="13">
        <f ca="1">IF((Prices!B933-Prices!B932)*B933&gt;0,1,0)</f>
        <v>1</v>
      </c>
      <c r="H933" s="9">
        <f>ABS(Prices!B933-Prices!B932)/Prices!B932</f>
        <v>5.6986382474837477E-3</v>
      </c>
      <c r="I933" s="13"/>
      <c r="J933" s="1">
        <f t="shared" ca="1" si="85"/>
        <v>-4.5754442789704142E-2</v>
      </c>
      <c r="K933" s="9"/>
      <c r="L933" s="9">
        <f ca="1">L932-O933*Prices!B933</f>
        <v>0.64323668287711844</v>
      </c>
      <c r="M933" s="1">
        <f t="shared" ca="1" si="86"/>
        <v>0.30759590439413653</v>
      </c>
      <c r="N933" s="9">
        <f ca="1">IF(Prices!D932&gt;OFFSET(Prices!D932,-$N$3,0),1,IF(Prices!D932&lt;OFFSET(Prices!D932,-$N$3,0),-1,0))</f>
        <v>-1</v>
      </c>
      <c r="O933" s="1">
        <f ca="1">IF(N933=1,O$3*L932/Prices!B932,O$3*M932*N933)</f>
        <v>-3.4177322710459618E-2</v>
      </c>
      <c r="P933" s="14"/>
      <c r="Q933" s="9">
        <f ca="1">Q932-T933*Prices!B933</f>
        <v>0.25754048070645136</v>
      </c>
      <c r="R933" s="1">
        <f t="shared" ca="1" si="87"/>
        <v>0.56727888388298175</v>
      </c>
      <c r="S933" s="9">
        <f ca="1">IF(Prices!C932&lt;OFFSET(Prices!C932,-S$3,0),1,IF(Prices!C932&gt;OFFSET(Prices!C932,-S$3,0),-1,0))</f>
        <v>-1</v>
      </c>
      <c r="T933" s="1">
        <f ca="1">IF(S933=1,T$3*Q932/Prices!B932,T$3*R932*S933)</f>
        <v>-1.1577120079244526E-2</v>
      </c>
    </row>
    <row r="934" spans="1:20" x14ac:dyDescent="0.2">
      <c r="A934" s="4">
        <v>34814</v>
      </c>
      <c r="B934" s="9">
        <f ca="1">Prices!B933*(1+J934/(50*(ABS(O934)+ABS(T934)+0.0001)))</f>
        <v>1.3317863949573299</v>
      </c>
      <c r="C934" s="13">
        <f t="shared" ca="1" si="82"/>
        <v>-1</v>
      </c>
      <c r="D934" s="9">
        <f ca="1">D933+C934*(Prices!B934-Prices!B933)/Prices!B933</f>
        <v>-0.50387024323401552</v>
      </c>
      <c r="E934" s="9">
        <f t="shared" ca="1" si="83"/>
        <v>0.53999419449276187</v>
      </c>
      <c r="F934" s="9">
        <f t="shared" ca="1" si="84"/>
        <v>3.6123951258746317E-2</v>
      </c>
      <c r="G934" s="13">
        <f ca="1">IF((Prices!B934-Prices!B933)*B934&gt;0,1,0)</f>
        <v>1</v>
      </c>
      <c r="H934" s="9">
        <f>ABS(Prices!B934-Prices!B933)/Prices!B933</f>
        <v>5.2984031201707962E-3</v>
      </c>
      <c r="I934" s="13"/>
      <c r="J934" s="1">
        <f t="shared" ca="1" si="85"/>
        <v>-4.2105168117073294E-2</v>
      </c>
      <c r="K934" s="9"/>
      <c r="L934" s="9">
        <f ca="1">L933-O934*Prices!B934</f>
        <v>0.68525735937640142</v>
      </c>
      <c r="M934" s="1">
        <f t="shared" ca="1" si="86"/>
        <v>0.27683631395472286</v>
      </c>
      <c r="N934" s="9">
        <f ca="1">IF(Prices!D933&gt;OFFSET(Prices!D933,-$N$3,0),1,IF(Prices!D933&lt;OFFSET(Prices!D933,-$N$3,0),-1,0))</f>
        <v>-1</v>
      </c>
      <c r="O934" s="1">
        <f ca="1">IF(N934=1,O$3*L933/Prices!B933,O$3*M933*N934)</f>
        <v>-3.0759590439413655E-2</v>
      </c>
      <c r="P934" s="14"/>
      <c r="Q934" s="9">
        <f ca="1">Q933-T934*Prices!B934</f>
        <v>0.27303967437190219</v>
      </c>
      <c r="R934" s="1">
        <f t="shared" ca="1" si="87"/>
        <v>0.55593330620532211</v>
      </c>
      <c r="S934" s="9">
        <f ca="1">IF(Prices!C933&lt;OFFSET(Prices!C933,-S$3,0),1,IF(Prices!C933&gt;OFFSET(Prices!C933,-S$3,0),-1,0))</f>
        <v>-1</v>
      </c>
      <c r="T934" s="1">
        <f ca="1">IF(S934=1,T$3*Q933/Prices!B933,T$3*R933*S934)</f>
        <v>-1.1345577677659636E-2</v>
      </c>
    </row>
    <row r="935" spans="1:20" x14ac:dyDescent="0.2">
      <c r="A935" s="4">
        <v>34815</v>
      </c>
      <c r="B935" s="9">
        <f ca="1">Prices!B934*(1+J935/(50*(ABS(O935)+ABS(T935)+0.0001)))</f>
        <v>1.3388482323557787</v>
      </c>
      <c r="C935" s="13">
        <f t="shared" ca="1" si="82"/>
        <v>-1</v>
      </c>
      <c r="D935" s="9">
        <f ca="1">D934+C935*(Prices!B935-Prices!B934)/Prices!B934</f>
        <v>-0.49201166772709803</v>
      </c>
      <c r="E935" s="9">
        <f t="shared" ca="1" si="83"/>
        <v>0.52813561898584438</v>
      </c>
      <c r="F935" s="9">
        <f t="shared" ca="1" si="84"/>
        <v>3.6123951258746317E-2</v>
      </c>
      <c r="G935" s="13">
        <f ca="1">IF((Prices!B935-Prices!B934)*B935&gt;0,1,0)</f>
        <v>0</v>
      </c>
      <c r="H935" s="9">
        <f>ABS(Prices!B935-Prices!B934)/Prices!B934</f>
        <v>1.1858575506917495E-2</v>
      </c>
      <c r="I935" s="13"/>
      <c r="J935" s="1">
        <f t="shared" ca="1" si="85"/>
        <v>-3.8802297519578727E-2</v>
      </c>
      <c r="K935" s="9"/>
      <c r="L935" s="9">
        <f ca="1">L934-O935*Prices!B935</f>
        <v>0.72262749339714949</v>
      </c>
      <c r="M935" s="1">
        <f t="shared" ca="1" si="86"/>
        <v>0.24915268255925058</v>
      </c>
      <c r="N935" s="9">
        <f ca="1">IF(Prices!D934&gt;OFFSET(Prices!D934,-$N$3,0),1,IF(Prices!D934&lt;OFFSET(Prices!D934,-$N$3,0),-1,0))</f>
        <v>-1</v>
      </c>
      <c r="O935" s="1">
        <f ca="1">IF(N935=1,O$3*L934/Prices!B934,O$3*M934*N935)</f>
        <v>-2.7683631395472287E-2</v>
      </c>
      <c r="P935" s="14"/>
      <c r="Q935" s="9">
        <f ca="1">Q934-T935*Prices!B935</f>
        <v>0.28804876177283345</v>
      </c>
      <c r="R935" s="1">
        <f t="shared" ca="1" si="87"/>
        <v>0.54481464008121572</v>
      </c>
      <c r="S935" s="9">
        <f ca="1">IF(Prices!C934&lt;OFFSET(Prices!C934,-S$3,0),1,IF(Prices!C934&gt;OFFSET(Prices!C934,-S$3,0),-1,0))</f>
        <v>-1</v>
      </c>
      <c r="T935" s="1">
        <f ca="1">IF(S935=1,T$3*Q934/Prices!B934,T$3*R934*S935)</f>
        <v>-1.1118666124106443E-2</v>
      </c>
    </row>
    <row r="936" spans="1:20" x14ac:dyDescent="0.2">
      <c r="A936" s="4">
        <v>34816</v>
      </c>
      <c r="B936" s="9">
        <f ca="1">Prices!B935*(1+J936/(50*(ABS(O936)+ABS(T936)+0.0001)))</f>
        <v>1.3677383482911987</v>
      </c>
      <c r="C936" s="13">
        <f t="shared" ref="C936:C981" ca="1" si="88">IF(J936&gt;0,1,IF(J936&lt;0,-1,0))</f>
        <v>1</v>
      </c>
      <c r="D936" s="9">
        <f ca="1">D935+C936*(Prices!B936-Prices!B935)/Prices!B935</f>
        <v>-0.48593714368828034</v>
      </c>
      <c r="E936" s="9">
        <f t="shared" ref="E936:E981" ca="1" si="89">F936-D936</f>
        <v>0.52206109494702668</v>
      </c>
      <c r="F936" s="9">
        <f t="shared" ref="F936:F981" ca="1" si="90">MAX(F935,D936)</f>
        <v>3.6123951258746317E-2</v>
      </c>
      <c r="G936" s="13">
        <f ca="1">IF((Prices!B936-Prices!B935)*B936&gt;0,1,0)</f>
        <v>1</v>
      </c>
      <c r="H936" s="9">
        <f>ABS(Prices!B936-Prices!B935)/Prices!B935</f>
        <v>6.0745240388176787E-3</v>
      </c>
      <c r="I936" s="13"/>
      <c r="J936" s="1">
        <f t="shared" ref="J936:J981" ca="1" si="91">O936+T936</f>
        <v>4.2635635000223937E-2</v>
      </c>
      <c r="K936" s="9"/>
      <c r="L936" s="9">
        <f ca="1">L935-O936*Prices!B936</f>
        <v>0.64992578224945941</v>
      </c>
      <c r="M936" s="1">
        <f t="shared" ca="1" si="86"/>
        <v>0.30268461036109884</v>
      </c>
      <c r="N936" s="9">
        <f ca="1">IF(Prices!D935&gt;OFFSET(Prices!D935,-$N$3,0),1,IF(Prices!D935&lt;OFFSET(Prices!D935,-$N$3,0),-1,0))</f>
        <v>1</v>
      </c>
      <c r="O936" s="1">
        <f ca="1">IF(N936=1,O$3*L935/Prices!B935,O$3*M935*N936)</f>
        <v>5.3531927801848248E-2</v>
      </c>
      <c r="P936" s="14"/>
      <c r="Q936" s="9">
        <f ca="1">Q935-T936*Prices!B936</f>
        <v>0.30284701702671946</v>
      </c>
      <c r="R936" s="1">
        <f t="shared" ca="1" si="87"/>
        <v>0.53391834727959142</v>
      </c>
      <c r="S936" s="9">
        <f ca="1">IF(Prices!C935&lt;OFFSET(Prices!C935,-S$3,0),1,IF(Prices!C935&gt;OFFSET(Prices!C935,-S$3,0),-1,0))</f>
        <v>-1</v>
      </c>
      <c r="T936" s="1">
        <f ca="1">IF(S936=1,T$3*Q935/Prices!B935,T$3*R935*S936)</f>
        <v>-1.0896292801624314E-2</v>
      </c>
    </row>
    <row r="937" spans="1:20" x14ac:dyDescent="0.2">
      <c r="A937" s="4">
        <v>34817</v>
      </c>
      <c r="B937" s="9">
        <f ca="1">Prices!B936*(1+J937/(50*(ABS(O937)+ABS(T937)+0.0001)))</f>
        <v>1.375322221796067</v>
      </c>
      <c r="C937" s="13">
        <f t="shared" ca="1" si="88"/>
        <v>1</v>
      </c>
      <c r="D937" s="9">
        <f ca="1">D936+C937*(Prices!B937-Prices!B936)/Prices!B936</f>
        <v>-0.49035508051178378</v>
      </c>
      <c r="E937" s="9">
        <f t="shared" ca="1" si="89"/>
        <v>0.52647903177053013</v>
      </c>
      <c r="F937" s="9">
        <f t="shared" ca="1" si="90"/>
        <v>3.6123951258746317E-2</v>
      </c>
      <c r="G937" s="13">
        <f ca="1">IF((Prices!B937-Prices!B936)*B937&gt;0,1,0)</f>
        <v>0</v>
      </c>
      <c r="H937" s="9">
        <f>ABS(Prices!B937-Prices!B936)/Prices!B936</f>
        <v>4.4179368235034277E-3</v>
      </c>
      <c r="I937" s="13"/>
      <c r="J937" s="1">
        <f t="shared" ca="1" si="91"/>
        <v>3.7177150486810751E-2</v>
      </c>
      <c r="K937" s="9"/>
      <c r="L937" s="9">
        <f ca="1">L936-O937*Prices!B937</f>
        <v>0.58522033712910781</v>
      </c>
      <c r="M937" s="1">
        <f t="shared" ca="1" si="86"/>
        <v>0.35054012779350141</v>
      </c>
      <c r="N937" s="9">
        <f ca="1">IF(Prices!D936&gt;OFFSET(Prices!D936,-$N$3,0),1,IF(Prices!D936&lt;OFFSET(Prices!D936,-$N$3,0),-1,0))</f>
        <v>1</v>
      </c>
      <c r="O937" s="1">
        <f ca="1">IF(N937=1,O$3*L936/Prices!B936,O$3*M936*N937)</f>
        <v>4.7855517432402579E-2</v>
      </c>
      <c r="P937" s="14"/>
      <c r="Q937" s="9">
        <f ca="1">Q936-T937*Prices!B937</f>
        <v>0.31728523697385419</v>
      </c>
      <c r="R937" s="1">
        <f t="shared" ca="1" si="87"/>
        <v>0.52323998033399954</v>
      </c>
      <c r="S937" s="9">
        <f ca="1">IF(Prices!C936&lt;OFFSET(Prices!C936,-S$3,0),1,IF(Prices!C936&gt;OFFSET(Prices!C936,-S$3,0),-1,0))</f>
        <v>-1</v>
      </c>
      <c r="T937" s="1">
        <f ca="1">IF(S937=1,T$3*Q936/Prices!B936,T$3*R936*S937)</f>
        <v>-1.0678366945591829E-2</v>
      </c>
    </row>
    <row r="938" spans="1:20" x14ac:dyDescent="0.2">
      <c r="A938" s="4">
        <v>34820</v>
      </c>
      <c r="B938" s="9">
        <f ca="1">Prices!B937*(1+J938/(50*(ABS(O938)+ABS(T938)+0.0001)))</f>
        <v>1.3685809457221392</v>
      </c>
      <c r="C938" s="13">
        <f t="shared" ca="1" si="88"/>
        <v>1</v>
      </c>
      <c r="D938" s="9">
        <f ca="1">D937+C938*(Prices!B938-Prices!B937)/Prices!B937</f>
        <v>-0.49494054016713468</v>
      </c>
      <c r="E938" s="9">
        <f t="shared" ca="1" si="89"/>
        <v>0.53106449142588097</v>
      </c>
      <c r="F938" s="9">
        <f t="shared" ca="1" si="90"/>
        <v>3.6123951258746317E-2</v>
      </c>
      <c r="G938" s="13">
        <f ca="1">IF((Prices!B938-Prices!B937)*B938&gt;0,1,0)</f>
        <v>0</v>
      </c>
      <c r="H938" s="9">
        <f>ABS(Prices!B938-Prices!B937)/Prices!B937</f>
        <v>4.5854596553509229E-3</v>
      </c>
      <c r="I938" s="13"/>
      <c r="J938" s="1">
        <f t="shared" ca="1" si="91"/>
        <v>3.2817526931971569E-2</v>
      </c>
      <c r="K938" s="9"/>
      <c r="L938" s="9">
        <f ca="1">L937-O938*Prices!B938</f>
        <v>0.52696665384073671</v>
      </c>
      <c r="M938" s="1">
        <f t="shared" ca="1" si="86"/>
        <v>0.39382245433215296</v>
      </c>
      <c r="N938" s="9">
        <f ca="1">IF(Prices!D937&gt;OFFSET(Prices!D937,-$N$3,0),1,IF(Prices!D937&lt;OFFSET(Prices!D937,-$N$3,0),-1,0))</f>
        <v>1</v>
      </c>
      <c r="O938" s="1">
        <f ca="1">IF(N938=1,O$3*L937/Prices!B937,O$3*M937*N938)</f>
        <v>4.3282326538651564E-2</v>
      </c>
      <c r="P938" s="14"/>
      <c r="Q938" s="9">
        <f ca="1">Q937-T938*Prices!B938</f>
        <v>0.3313698107644848</v>
      </c>
      <c r="R938" s="1">
        <f t="shared" ca="1" si="87"/>
        <v>0.51277518072731954</v>
      </c>
      <c r="S938" s="9">
        <f ca="1">IF(Prices!C937&lt;OFFSET(Prices!C937,-S$3,0),1,IF(Prices!C937&gt;OFFSET(Prices!C937,-S$3,0),-1,0))</f>
        <v>-1</v>
      </c>
      <c r="T938" s="1">
        <f ca="1">IF(S938=1,T$3*Q937/Prices!B937,T$3*R937*S938)</f>
        <v>-1.0464799606679991E-2</v>
      </c>
    </row>
    <row r="939" spans="1:20" x14ac:dyDescent="0.2">
      <c r="A939" s="4">
        <v>34821</v>
      </c>
      <c r="B939" s="9">
        <f ca="1">Prices!B938*(1+J939/(50*(ABS(O939)+ABS(T939)+0.0001)))</f>
        <v>1.3616118091238636</v>
      </c>
      <c r="C939" s="13">
        <f t="shared" ca="1" si="88"/>
        <v>1</v>
      </c>
      <c r="D939" s="9">
        <f ca="1">D938+C939*(Prices!B939-Prices!B938)/Prices!B938</f>
        <v>-0.48609887288130377</v>
      </c>
      <c r="E939" s="9">
        <f t="shared" ca="1" si="89"/>
        <v>0.52222282414005006</v>
      </c>
      <c r="F939" s="9">
        <f t="shared" ca="1" si="90"/>
        <v>3.6123951258746317E-2</v>
      </c>
      <c r="G939" s="13">
        <f ca="1">IF((Prices!B939-Prices!B938)*B939&gt;0,1,0)</f>
        <v>1</v>
      </c>
      <c r="H939" s="9">
        <f>ABS(Prices!B939-Prices!B938)/Prices!B938</f>
        <v>8.8416672858308929E-3</v>
      </c>
      <c r="I939" s="13"/>
      <c r="J939" s="1">
        <f t="shared" ca="1" si="91"/>
        <v>2.8897973897953545E-2</v>
      </c>
      <c r="K939" s="9"/>
      <c r="L939" s="9">
        <f ca="1">L938-O939*Prices!B939</f>
        <v>0.47380406207426429</v>
      </c>
      <c r="M939" s="1">
        <f t="shared" ca="1" si="86"/>
        <v>0.43297593184465288</v>
      </c>
      <c r="N939" s="9">
        <f ca="1">IF(Prices!D938&gt;OFFSET(Prices!D938,-$N$3,0),1,IF(Prices!D938&lt;OFFSET(Prices!D938,-$N$3,0),-1,0))</f>
        <v>1</v>
      </c>
      <c r="O939" s="1">
        <f ca="1">IF(N939=1,O$3*L938/Prices!B938,O$3*M938*N939)</f>
        <v>3.9153477512499937E-2</v>
      </c>
      <c r="P939" s="14"/>
      <c r="Q939" s="9">
        <f ca="1">Q938-T939*Prices!B939</f>
        <v>0.34529473357231588</v>
      </c>
      <c r="R939" s="1">
        <f t="shared" ca="1" si="87"/>
        <v>0.50251967711277312</v>
      </c>
      <c r="S939" s="9">
        <f ca="1">IF(Prices!C938&lt;OFFSET(Prices!C938,-S$3,0),1,IF(Prices!C938&gt;OFFSET(Prices!C938,-S$3,0),-1,0))</f>
        <v>-1</v>
      </c>
      <c r="T939" s="1">
        <f ca="1">IF(S939=1,T$3*Q938/Prices!B938,T$3*R938*S939)</f>
        <v>-1.025550361454639E-2</v>
      </c>
    </row>
    <row r="940" spans="1:20" x14ac:dyDescent="0.2">
      <c r="A940" s="4">
        <v>34822</v>
      </c>
      <c r="B940" s="9">
        <f ca="1">Prices!B939*(1+J940/(50*(ABS(O940)+ABS(T940)+0.0001)))</f>
        <v>1.3363975104897547</v>
      </c>
      <c r="C940" s="13">
        <f t="shared" ca="1" si="88"/>
        <v>-1</v>
      </c>
      <c r="D940" s="9">
        <f ca="1">D939+C940*(Prices!B940-Prices!B939)/Prices!B939</f>
        <v>-0.48661441272516898</v>
      </c>
      <c r="E940" s="9">
        <f t="shared" ca="1" si="89"/>
        <v>0.52273836398391527</v>
      </c>
      <c r="F940" s="9">
        <f t="shared" ca="1" si="90"/>
        <v>3.6123951258746317E-2</v>
      </c>
      <c r="G940" s="13">
        <f ca="1">IF((Prices!B940-Prices!B939)*B940&gt;0,1,0)</f>
        <v>1</v>
      </c>
      <c r="H940" s="9">
        <f>ABS(Prices!B940-Prices!B939)/Prices!B939</f>
        <v>5.1553984386518267E-4</v>
      </c>
      <c r="I940" s="13"/>
      <c r="J940" s="1">
        <f t="shared" ca="1" si="91"/>
        <v>-3.8211501954942301E-2</v>
      </c>
      <c r="K940" s="9"/>
      <c r="L940" s="9">
        <f ca="1">L939-O940*Prices!B940</f>
        <v>0.53262384241536043</v>
      </c>
      <c r="M940" s="1">
        <f t="shared" ca="1" si="86"/>
        <v>0.38967833866018758</v>
      </c>
      <c r="N940" s="9">
        <f ca="1">IF(Prices!D939&gt;OFFSET(Prices!D939,-$N$3,0),1,IF(Prices!D939&lt;OFFSET(Prices!D939,-$N$3,0),-1,0))</f>
        <v>-1</v>
      </c>
      <c r="O940" s="1">
        <f ca="1">IF(N940=1,O$3*L939/Prices!B939,O$3*M939*N940)</f>
        <v>-4.3297593184465293E-2</v>
      </c>
      <c r="P940" s="14"/>
      <c r="Q940" s="9">
        <f ca="1">Q939-T940*Prices!B940</f>
        <v>0.3383852786370089</v>
      </c>
      <c r="R940" s="1">
        <f t="shared" ca="1" si="87"/>
        <v>0.50760576834229609</v>
      </c>
      <c r="S940" s="9">
        <f ca="1">IF(Prices!C939&lt;OFFSET(Prices!C939,-S$3,0),1,IF(Prices!C939&gt;OFFSET(Prices!C939,-S$3,0),-1,0))</f>
        <v>1</v>
      </c>
      <c r="T940" s="1">
        <f ca="1">IF(S940=1,T$3*Q939/Prices!B939,T$3*R939*S940)</f>
        <v>5.0860912295229918E-3</v>
      </c>
    </row>
    <row r="941" spans="1:20" x14ac:dyDescent="0.2">
      <c r="A941" s="4">
        <v>34823</v>
      </c>
      <c r="B941" s="9">
        <f ca="1">Prices!B940*(1+J941/(50*(ABS(O941)+ABS(T941)+0.0001)))</f>
        <v>1.3313852011946852</v>
      </c>
      <c r="C941" s="13">
        <f t="shared" ca="1" si="88"/>
        <v>-1</v>
      </c>
      <c r="D941" s="9">
        <f ca="1">D940+C941*(Prices!B941-Prices!B940)/Prices!B940</f>
        <v>-0.4908838275208996</v>
      </c>
      <c r="E941" s="9">
        <f t="shared" ca="1" si="89"/>
        <v>0.52700777877964589</v>
      </c>
      <c r="F941" s="9">
        <f t="shared" ca="1" si="90"/>
        <v>3.6123951258746317E-2</v>
      </c>
      <c r="G941" s="13">
        <f ca="1">IF((Prices!B941-Prices!B940)*B941&gt;0,1,0)</f>
        <v>1</v>
      </c>
      <c r="H941" s="9">
        <f>ABS(Prices!B941-Prices!B940)/Prices!B940</f>
        <v>4.2694147957306056E-3</v>
      </c>
      <c r="I941" s="13"/>
      <c r="J941" s="1">
        <f t="shared" ca="1" si="91"/>
        <v>-4.9119949232864682E-2</v>
      </c>
      <c r="K941" s="9"/>
      <c r="L941" s="9">
        <f ca="1">L940-O941*Prices!B941</f>
        <v>0.58578765815876987</v>
      </c>
      <c r="M941" s="1">
        <f t="shared" ca="1" si="86"/>
        <v>0.35071050479416882</v>
      </c>
      <c r="N941" s="9">
        <f ca="1">IF(Prices!D940&gt;OFFSET(Prices!D940,-$N$3,0),1,IF(Prices!D940&lt;OFFSET(Prices!D940,-$N$3,0),-1,0))</f>
        <v>-1</v>
      </c>
      <c r="O941" s="1">
        <f ca="1">IF(N941=1,O$3*L940/Prices!B940,O$3*M940*N941)</f>
        <v>-3.8967833866018764E-2</v>
      </c>
      <c r="P941" s="14"/>
      <c r="Q941" s="9">
        <f ca="1">Q940-T941*Prices!B941</f>
        <v>0.3522358096319968</v>
      </c>
      <c r="R941" s="1">
        <f t="shared" ca="1" si="87"/>
        <v>0.49745365297545019</v>
      </c>
      <c r="S941" s="9">
        <f ca="1">IF(Prices!C940&lt;OFFSET(Prices!C940,-S$3,0),1,IF(Prices!C940&gt;OFFSET(Prices!C940,-S$3,0),-1,0))</f>
        <v>-1</v>
      </c>
      <c r="T941" s="1">
        <f ca="1">IF(S941=1,T$3*Q940/Prices!B940,T$3*R940*S941)</f>
        <v>-1.0152115366845921E-2</v>
      </c>
    </row>
    <row r="942" spans="1:20" x14ac:dyDescent="0.2">
      <c r="A942" s="4">
        <v>34824</v>
      </c>
      <c r="B942" s="9">
        <f ca="1">Prices!B941*(1+J942/(50*(ABS(O942)+ABS(T942)+0.0001)))</f>
        <v>1.3440679141386764</v>
      </c>
      <c r="C942" s="13">
        <f t="shared" ca="1" si="88"/>
        <v>-1</v>
      </c>
      <c r="D942" s="9">
        <f ca="1">D941+C942*(Prices!B942-Prices!B941)/Prices!B941</f>
        <v>-0.49125031582992251</v>
      </c>
      <c r="E942" s="9">
        <f t="shared" ca="1" si="89"/>
        <v>0.52737426708866886</v>
      </c>
      <c r="F942" s="9">
        <f t="shared" ca="1" si="90"/>
        <v>3.6123951258746317E-2</v>
      </c>
      <c r="G942" s="13">
        <f ca="1">IF((Prices!B942-Prices!B941)*B942&gt;0,1,0)</f>
        <v>1</v>
      </c>
      <c r="H942" s="9">
        <f>ABS(Prices!B942-Prices!B941)/Prices!B941</f>
        <v>3.6648830902290177E-4</v>
      </c>
      <c r="I942" s="13"/>
      <c r="J942" s="1">
        <f t="shared" ca="1" si="91"/>
        <v>-2.9907438229442581E-2</v>
      </c>
      <c r="K942" s="9"/>
      <c r="L942" s="9">
        <f ca="1">L941-O942*Prices!B942</f>
        <v>0.63365262785307808</v>
      </c>
      <c r="M942" s="1">
        <f t="shared" ca="1" si="86"/>
        <v>0.31563945431475193</v>
      </c>
      <c r="N942" s="9">
        <f ca="1">IF(Prices!D941&gt;OFFSET(Prices!D941,-$N$3,0),1,IF(Prices!D941&lt;OFFSET(Prices!D941,-$N$3,0),-1,0))</f>
        <v>-1</v>
      </c>
      <c r="O942" s="1">
        <f ca="1">IF(N942=1,O$3*L941/Prices!B941,O$3*M941*N942)</f>
        <v>-3.5071050479416881E-2</v>
      </c>
      <c r="P942" s="14"/>
      <c r="Q942" s="9">
        <f ca="1">Q941-T942*Prices!B942</f>
        <v>0.34518851163323189</v>
      </c>
      <c r="R942" s="1">
        <f t="shared" ca="1" si="87"/>
        <v>0.50261726522542449</v>
      </c>
      <c r="S942" s="9">
        <f ca="1">IF(Prices!C941&lt;OFFSET(Prices!C941,-S$3,0),1,IF(Prices!C941&gt;OFFSET(Prices!C941,-S$3,0),-1,0))</f>
        <v>1</v>
      </c>
      <c r="T942" s="1">
        <f ca="1">IF(S942=1,T$3*Q941/Prices!B941,T$3*R941*S942)</f>
        <v>5.1636122499742988E-3</v>
      </c>
    </row>
    <row r="943" spans="1:20" x14ac:dyDescent="0.2">
      <c r="A943" s="4">
        <v>34827</v>
      </c>
      <c r="B943" s="9">
        <f ca="1">Prices!B942*(1+J943/(50*(ABS(O943)+ABS(T943)+0.0001)))</f>
        <v>1.337569432471388</v>
      </c>
      <c r="C943" s="13">
        <f t="shared" ca="1" si="88"/>
        <v>-1</v>
      </c>
      <c r="D943" s="9">
        <f ca="1">D942+C943*(Prices!B943-Prices!B942)/Prices!B942</f>
        <v>-0.49125031582992251</v>
      </c>
      <c r="E943" s="9">
        <f t="shared" ca="1" si="89"/>
        <v>0.52737426708866886</v>
      </c>
      <c r="F943" s="9">
        <f t="shared" ca="1" si="90"/>
        <v>3.6123951258746317E-2</v>
      </c>
      <c r="G943" s="13">
        <f ca="1">IF((Prices!B943-Prices!B942)*B943&gt;0,1,0)</f>
        <v>0</v>
      </c>
      <c r="H943" s="9">
        <f>ABS(Prices!B943-Prices!B942)/Prices!B942</f>
        <v>0</v>
      </c>
      <c r="I943" s="13"/>
      <c r="J943" s="1">
        <f t="shared" ca="1" si="91"/>
        <v>-4.1616290735983684E-2</v>
      </c>
      <c r="K943" s="9"/>
      <c r="L943" s="9">
        <f ca="1">L942-O943*Prices!B943</f>
        <v>0.67673110057795538</v>
      </c>
      <c r="M943" s="1">
        <f t="shared" ca="1" si="86"/>
        <v>0.28407550888327676</v>
      </c>
      <c r="N943" s="9">
        <f ca="1">IF(Prices!D942&gt;OFFSET(Prices!D942,-$N$3,0),1,IF(Prices!D942&lt;OFFSET(Prices!D942,-$N$3,0),-1,0))</f>
        <v>-1</v>
      </c>
      <c r="O943" s="1">
        <f ca="1">IF(N943=1,O$3*L942/Prices!B942,O$3*M942*N943)</f>
        <v>-3.1563945431475192E-2</v>
      </c>
      <c r="P943" s="14"/>
      <c r="Q943" s="9">
        <f ca="1">Q942-T943*Prices!B943</f>
        <v>0.3589079525048251</v>
      </c>
      <c r="R943" s="1">
        <f t="shared" ca="1" si="87"/>
        <v>0.492564919920916</v>
      </c>
      <c r="S943" s="9">
        <f ca="1">IF(Prices!C942&lt;OFFSET(Prices!C942,-S$3,0),1,IF(Prices!C942&gt;OFFSET(Prices!C942,-S$3,0),-1,0))</f>
        <v>-1</v>
      </c>
      <c r="T943" s="1">
        <f ca="1">IF(S943=1,T$3*Q942/Prices!B942,T$3*R942*S943)</f>
        <v>-1.005234530450849E-2</v>
      </c>
    </row>
    <row r="944" spans="1:20" x14ac:dyDescent="0.2">
      <c r="A944" s="4">
        <v>34828</v>
      </c>
      <c r="B944" s="9">
        <f ca="1">Prices!B943*(1+J944/(50*(ABS(O944)+ABS(T944)+0.0001)))</f>
        <v>1.3460879892905795</v>
      </c>
      <c r="C944" s="13">
        <f t="shared" ca="1" si="88"/>
        <v>-1</v>
      </c>
      <c r="D944" s="9">
        <f ca="1">D943+C944*(Prices!B944-Prices!B943)/Prices!B943</f>
        <v>-0.4944009606130409</v>
      </c>
      <c r="E944" s="9">
        <f t="shared" ca="1" si="89"/>
        <v>0.53052491187178719</v>
      </c>
      <c r="F944" s="9">
        <f t="shared" ca="1" si="90"/>
        <v>3.6123951258746317E-2</v>
      </c>
      <c r="G944" s="13">
        <f ca="1">IF((Prices!B944-Prices!B943)*B944&gt;0,1,0)</f>
        <v>1</v>
      </c>
      <c r="H944" s="9">
        <f>ABS(Prices!B944-Prices!B943)/Prices!B943</f>
        <v>3.1506447831183841E-3</v>
      </c>
      <c r="I944" s="13"/>
      <c r="J944" s="1">
        <f t="shared" ca="1" si="91"/>
        <v>-2.3148055687494954E-2</v>
      </c>
      <c r="K944" s="9"/>
      <c r="L944" s="9">
        <f ca="1">L943-O944*Prices!B944</f>
        <v>0.71562387849916476</v>
      </c>
      <c r="M944" s="1">
        <f t="shared" ca="1" si="86"/>
        <v>0.25566795799494907</v>
      </c>
      <c r="N944" s="9">
        <f ca="1">IF(Prices!D943&gt;OFFSET(Prices!D943,-$N$3,0),1,IF(Prices!D943&lt;OFFSET(Prices!D943,-$N$3,0),-1,0))</f>
        <v>-1</v>
      </c>
      <c r="O944" s="1">
        <f ca="1">IF(N944=1,O$3*L943/Prices!B943,O$3*M943*N944)</f>
        <v>-2.8407550888327679E-2</v>
      </c>
      <c r="P944" s="14"/>
      <c r="Q944" s="9">
        <f ca="1">Q943-T944*Prices!B944</f>
        <v>0.35170717762536502</v>
      </c>
      <c r="R944" s="1">
        <f t="shared" ca="1" si="87"/>
        <v>0.49782441512174874</v>
      </c>
      <c r="S944" s="9">
        <f ca="1">IF(Prices!C943&lt;OFFSET(Prices!C943,-S$3,0),1,IF(Prices!C943&gt;OFFSET(Prices!C943,-S$3,0),-1,0))</f>
        <v>1</v>
      </c>
      <c r="T944" s="1">
        <f ca="1">IF(S944=1,T$3*Q943/Prices!B943,T$3*R943*S944)</f>
        <v>5.259495200832724E-3</v>
      </c>
    </row>
    <row r="945" spans="1:20" x14ac:dyDescent="0.2">
      <c r="A945" s="4">
        <v>34829</v>
      </c>
      <c r="B945" s="9">
        <f ca="1">Prices!B944*(1+J945/(50*(ABS(O945)+ABS(T945)+0.0001)))</f>
        <v>1.35094078182399</v>
      </c>
      <c r="C945" s="13">
        <f t="shared" ca="1" si="88"/>
        <v>-1</v>
      </c>
      <c r="D945" s="9">
        <f ca="1">D944+C945*(Prices!B945-Prices!B944)/Prices!B944</f>
        <v>-0.48614736335937053</v>
      </c>
      <c r="E945" s="9">
        <f t="shared" ca="1" si="89"/>
        <v>0.52227131461811682</v>
      </c>
      <c r="F945" s="9">
        <f t="shared" ca="1" si="90"/>
        <v>3.6123951258746317E-2</v>
      </c>
      <c r="G945" s="13">
        <f ca="1">IF((Prices!B945-Prices!B944)*B945&gt;0,1,0)</f>
        <v>0</v>
      </c>
      <c r="H945" s="9">
        <f>ABS(Prices!B945-Prices!B944)/Prices!B944</f>
        <v>8.2535972536703587E-3</v>
      </c>
      <c r="I945" s="13"/>
      <c r="J945" s="1">
        <f t="shared" ca="1" si="91"/>
        <v>-2.0429009259061555E-2</v>
      </c>
      <c r="K945" s="9"/>
      <c r="L945" s="9">
        <f ca="1">L944-O945*Prices!B945</f>
        <v>0.75033847383571894</v>
      </c>
      <c r="M945" s="1">
        <f t="shared" ca="1" si="86"/>
        <v>0.23010116219545415</v>
      </c>
      <c r="N945" s="9">
        <f ca="1">IF(Prices!D944&gt;OFFSET(Prices!D944,-$N$3,0),1,IF(Prices!D944&lt;OFFSET(Prices!D944,-$N$3,0),-1,0))</f>
        <v>-1</v>
      </c>
      <c r="O945" s="1">
        <f ca="1">IF(N945=1,O$3*L944/Prices!B944,O$3*M944*N945)</f>
        <v>-2.5566795799494908E-2</v>
      </c>
      <c r="P945" s="14"/>
      <c r="Q945" s="9">
        <f ca="1">Q944-T945*Prices!B945</f>
        <v>0.34473109106076461</v>
      </c>
      <c r="R945" s="1">
        <f t="shared" ca="1" si="87"/>
        <v>0.50296220166218208</v>
      </c>
      <c r="S945" s="9">
        <f ca="1">IF(Prices!C944&lt;OFFSET(Prices!C944,-S$3,0),1,IF(Prices!C944&gt;OFFSET(Prices!C944,-S$3,0),-1,0))</f>
        <v>1</v>
      </c>
      <c r="T945" s="1">
        <f ca="1">IF(S945=1,T$3*Q944/Prices!B944,T$3*R944*S945)</f>
        <v>5.1377865404333509E-3</v>
      </c>
    </row>
    <row r="946" spans="1:20" x14ac:dyDescent="0.2">
      <c r="A946" s="4">
        <v>34830</v>
      </c>
      <c r="B946" s="9">
        <f ca="1">Prices!B945*(1+J946/(50*(ABS(O946)+ABS(T946)+0.0001)))</f>
        <v>1.3405241408364088</v>
      </c>
      <c r="C946" s="13">
        <f t="shared" ca="1" si="88"/>
        <v>-1</v>
      </c>
      <c r="D946" s="9">
        <f ca="1">D945+C946*(Prices!B946-Prices!B945)/Prices!B945</f>
        <v>-0.46972373690481167</v>
      </c>
      <c r="E946" s="9">
        <f t="shared" ca="1" si="89"/>
        <v>0.50584768816355796</v>
      </c>
      <c r="F946" s="9">
        <f t="shared" ca="1" si="90"/>
        <v>3.6123951258746317E-2</v>
      </c>
      <c r="G946" s="13">
        <f ca="1">IF((Prices!B946-Prices!B945)*B946&gt;0,1,0)</f>
        <v>0</v>
      </c>
      <c r="H946" s="9">
        <f>ABS(Prices!B946-Prices!B945)/Prices!B945</f>
        <v>1.6423626454558835E-2</v>
      </c>
      <c r="I946" s="13"/>
      <c r="J946" s="1">
        <f t="shared" ca="1" si="91"/>
        <v>-1.793232728066245E-2</v>
      </c>
      <c r="K946" s="9"/>
      <c r="L946" s="9">
        <f ca="1">L945-O946*Prices!B946</f>
        <v>0.78106848404692186</v>
      </c>
      <c r="M946" s="1">
        <f t="shared" ca="1" si="86"/>
        <v>0.20709104597590874</v>
      </c>
      <c r="N946" s="9">
        <f ca="1">IF(Prices!D945&gt;OFFSET(Prices!D945,-$N$3,0),1,IF(Prices!D945&lt;OFFSET(Prices!D945,-$N$3,0),-1,0))</f>
        <v>-1</v>
      </c>
      <c r="O946" s="1">
        <f ca="1">IF(N946=1,O$3*L945/Prices!B945,O$3*M945*N946)</f>
        <v>-2.3010116219545417E-2</v>
      </c>
      <c r="P946" s="14"/>
      <c r="Q946" s="9">
        <f ca="1">Q945-T946*Prices!B946</f>
        <v>0.33794970393288642</v>
      </c>
      <c r="R946" s="1">
        <f t="shared" ca="1" si="87"/>
        <v>0.50803999060106508</v>
      </c>
      <c r="S946" s="9">
        <f ca="1">IF(Prices!C945&lt;OFFSET(Prices!C945,-S$3,0),1,IF(Prices!C945&gt;OFFSET(Prices!C945,-S$3,0),-1,0))</f>
        <v>1</v>
      </c>
      <c r="T946" s="1">
        <f ca="1">IF(S946=1,T$3*Q945/Prices!B945,T$3*R945*S946)</f>
        <v>5.0777889388829668E-3</v>
      </c>
    </row>
    <row r="947" spans="1:20" x14ac:dyDescent="0.2">
      <c r="A947" s="4">
        <v>34831</v>
      </c>
      <c r="B947" s="9">
        <f ca="1">Prices!B946*(1+J947/(50*(ABS(O947)+ABS(T947)+0.0001)))</f>
        <v>1.3542755494630814</v>
      </c>
      <c r="C947" s="13">
        <f t="shared" ca="1" si="88"/>
        <v>1</v>
      </c>
      <c r="D947" s="9">
        <f ca="1">D946+C947*(Prices!B947-Prices!B946)/Prices!B946</f>
        <v>-0.48732014274532076</v>
      </c>
      <c r="E947" s="9">
        <f t="shared" ca="1" si="89"/>
        <v>0.52344409400406711</v>
      </c>
      <c r="F947" s="9">
        <f t="shared" ca="1" si="90"/>
        <v>3.6123951258746317E-2</v>
      </c>
      <c r="G947" s="13">
        <f ca="1">IF((Prices!B947-Prices!B946)*B947&gt;0,1,0)</f>
        <v>0</v>
      </c>
      <c r="H947" s="9">
        <f>ABS(Prices!B947-Prices!B946)/Prices!B946</f>
        <v>1.7596405840509064E-2</v>
      </c>
      <c r="I947" s="13"/>
      <c r="J947" s="1">
        <f t="shared" ca="1" si="91"/>
        <v>4.8324298207216579E-2</v>
      </c>
      <c r="K947" s="9"/>
      <c r="L947" s="9">
        <f ca="1">L946-O947*Prices!B947</f>
        <v>0.7043360354456818</v>
      </c>
      <c r="M947" s="1">
        <f t="shared" ca="1" si="86"/>
        <v>0.26557614399514662</v>
      </c>
      <c r="N947" s="9">
        <f ca="1">IF(Prices!D946&gt;OFFSET(Prices!D946,-$N$3,0),1,IF(Prices!D946&lt;OFFSET(Prices!D946,-$N$3,0),-1,0))</f>
        <v>1</v>
      </c>
      <c r="O947" s="1">
        <f ca="1">IF(N947=1,O$3*L946/Prices!B946,O$3*M946*N947)</f>
        <v>5.8485098019237881E-2</v>
      </c>
      <c r="P947" s="14"/>
      <c r="Q947" s="9">
        <f ca="1">Q946-T947*Prices!B947</f>
        <v>0.35128067328625839</v>
      </c>
      <c r="R947" s="1">
        <f t="shared" ca="1" si="87"/>
        <v>0.4978791907890438</v>
      </c>
      <c r="S947" s="9">
        <f ca="1">IF(Prices!C946&lt;OFFSET(Prices!C946,-S$3,0),1,IF(Prices!C946&gt;OFFSET(Prices!C946,-S$3,0),-1,0))</f>
        <v>-1</v>
      </c>
      <c r="T947" s="1">
        <f ca="1">IF(S947=1,T$3*Q946/Prices!B946,T$3*R946*S947)</f>
        <v>-1.0160799812021303E-2</v>
      </c>
    </row>
    <row r="948" spans="1:20" x14ac:dyDescent="0.2">
      <c r="A948" s="4">
        <v>34834</v>
      </c>
      <c r="B948" s="9">
        <f ca="1">Prices!B947*(1+J948/(50*(ABS(O948)+ABS(T948)+0.0001)))</f>
        <v>1.3300005315215575</v>
      </c>
      <c r="C948" s="13">
        <f t="shared" ca="1" si="88"/>
        <v>1</v>
      </c>
      <c r="D948" s="9">
        <f ca="1">D947+C948*(Prices!B948-Prices!B947)/Prices!B947</f>
        <v>-0.4877012403062963</v>
      </c>
      <c r="E948" s="9">
        <f t="shared" ca="1" si="89"/>
        <v>0.52382519156504259</v>
      </c>
      <c r="F948" s="9">
        <f t="shared" ca="1" si="90"/>
        <v>3.6123951258746317E-2</v>
      </c>
      <c r="G948" s="13">
        <f ca="1">IF((Prices!B948-Prices!B947)*B948&gt;0,1,0)</f>
        <v>0</v>
      </c>
      <c r="H948" s="9">
        <f>ABS(Prices!B948-Prices!B947)/Prices!B947</f>
        <v>3.8109756097556776E-4</v>
      </c>
      <c r="I948" s="13"/>
      <c r="J948" s="1">
        <f t="shared" ca="1" si="91"/>
        <v>4.3726565227335118E-2</v>
      </c>
      <c r="K948" s="9"/>
      <c r="L948" s="9">
        <f ca="1">L947-O948*Prices!B948</f>
        <v>0.63392927397563514</v>
      </c>
      <c r="M948" s="1">
        <f t="shared" ca="1" si="86"/>
        <v>0.31926029303826259</v>
      </c>
      <c r="N948" s="9">
        <f ca="1">IF(Prices!D947&gt;OFFSET(Prices!D947,-$N$3,0),1,IF(Prices!D947&lt;OFFSET(Prices!D947,-$N$3,0),-1,0))</f>
        <v>1</v>
      </c>
      <c r="O948" s="1">
        <f ca="1">IF(N948=1,O$3*L947/Prices!B947,O$3*M947*N948)</f>
        <v>5.368414904311599E-2</v>
      </c>
      <c r="P948" s="14"/>
      <c r="Q948" s="9">
        <f ca="1">Q947-T948*Prices!B948</f>
        <v>0.36434004446065499</v>
      </c>
      <c r="R948" s="1">
        <f t="shared" ca="1" si="87"/>
        <v>0.48792160697326292</v>
      </c>
      <c r="S948" s="9">
        <f ca="1">IF(Prices!C947&lt;OFFSET(Prices!C947,-S$3,0),1,IF(Prices!C947&gt;OFFSET(Prices!C947,-S$3,0),-1,0))</f>
        <v>-1</v>
      </c>
      <c r="T948" s="1">
        <f ca="1">IF(S948=1,T$3*Q947/Prices!B947,T$3*R947*S948)</f>
        <v>-9.9575838157808759E-3</v>
      </c>
    </row>
    <row r="949" spans="1:20" x14ac:dyDescent="0.2">
      <c r="A949" s="4">
        <v>34835</v>
      </c>
      <c r="B949" s="9">
        <f ca="1">Prices!B948*(1+J949/(50*(ABS(O949)+ABS(T949)+0.0001)))</f>
        <v>1.2853327745317136</v>
      </c>
      <c r="C949" s="13">
        <f t="shared" ca="1" si="88"/>
        <v>-1</v>
      </c>
      <c r="D949" s="9">
        <f ca="1">D948+C949*(Prices!B949-Prices!B948)/Prices!B948</f>
        <v>-0.48991244884613611</v>
      </c>
      <c r="E949" s="9">
        <f t="shared" ca="1" si="89"/>
        <v>0.5260364001048824</v>
      </c>
      <c r="F949" s="9">
        <f t="shared" ca="1" si="90"/>
        <v>3.6123951258746317E-2</v>
      </c>
      <c r="G949" s="13">
        <f ca="1">IF((Prices!B949-Prices!B948)*B949&gt;0,1,0)</f>
        <v>1</v>
      </c>
      <c r="H949" s="9">
        <f>ABS(Prices!B949-Prices!B948)/Prices!B948</f>
        <v>2.2112085398398036E-3</v>
      </c>
      <c r="I949" s="13"/>
      <c r="J949" s="1">
        <f t="shared" ca="1" si="91"/>
        <v>-4.1684461443291514E-2</v>
      </c>
      <c r="K949" s="9"/>
      <c r="L949" s="9">
        <f ca="1">L948-O949*Prices!B949</f>
        <v>0.67589284689258433</v>
      </c>
      <c r="M949" s="1">
        <f t="shared" ca="1" si="86"/>
        <v>0.28733426373443632</v>
      </c>
      <c r="N949" s="9">
        <f ca="1">IF(Prices!D948&gt;OFFSET(Prices!D948,-$N$3,0),1,IF(Prices!D948&lt;OFFSET(Prices!D948,-$N$3,0),-1,0))</f>
        <v>-1</v>
      </c>
      <c r="O949" s="1">
        <f ca="1">IF(N949=1,O$3*L948/Prices!B948,O$3*M948*N949)</f>
        <v>-3.1926029303826257E-2</v>
      </c>
      <c r="P949" s="14"/>
      <c r="Q949" s="9">
        <f ca="1">Q948-T949*Prices!B949</f>
        <v>0.3771665276647681</v>
      </c>
      <c r="R949" s="1">
        <f t="shared" ca="1" si="87"/>
        <v>0.47816317483379767</v>
      </c>
      <c r="S949" s="9">
        <f ca="1">IF(Prices!C948&lt;OFFSET(Prices!C948,-S$3,0),1,IF(Prices!C948&gt;OFFSET(Prices!C948,-S$3,0),-1,0))</f>
        <v>-1</v>
      </c>
      <c r="T949" s="1">
        <f ca="1">IF(S949=1,T$3*Q948/Prices!B948,T$3*R948*S949)</f>
        <v>-9.758432139465258E-3</v>
      </c>
    </row>
    <row r="950" spans="1:20" x14ac:dyDescent="0.2">
      <c r="A950" s="4">
        <v>34836</v>
      </c>
      <c r="B950" s="9">
        <f ca="1">Prices!B949*(1+J950/(50*(ABS(O950)+ABS(T950)+0.0001)))</f>
        <v>1.2881804642350394</v>
      </c>
      <c r="C950" s="13">
        <f t="shared" ca="1" si="88"/>
        <v>-1</v>
      </c>
      <c r="D950" s="9">
        <f ca="1">D949+C950*(Prices!B950-Prices!B949)/Prices!B949</f>
        <v>-0.48899948475605692</v>
      </c>
      <c r="E950" s="9">
        <f t="shared" ca="1" si="89"/>
        <v>0.52512343601480327</v>
      </c>
      <c r="F950" s="9">
        <f t="shared" ca="1" si="90"/>
        <v>3.6123951258746317E-2</v>
      </c>
      <c r="G950" s="13">
        <f ca="1">IF((Prices!B950-Prices!B949)*B950&gt;0,1,0)</f>
        <v>0</v>
      </c>
      <c r="H950" s="9">
        <f>ABS(Prices!B950-Prices!B949)/Prices!B949</f>
        <v>9.1296409007919188E-4</v>
      </c>
      <c r="I950" s="13"/>
      <c r="J950" s="1">
        <f t="shared" ca="1" si="91"/>
        <v>-3.8296689870119582E-2</v>
      </c>
      <c r="K950" s="9"/>
      <c r="L950" s="9">
        <f ca="1">L949-O950*Prices!B950</f>
        <v>0.71362558240619056</v>
      </c>
      <c r="M950" s="1">
        <f t="shared" ca="1" si="86"/>
        <v>0.25860083736099271</v>
      </c>
      <c r="N950" s="9">
        <f ca="1">IF(Prices!D949&gt;OFFSET(Prices!D949,-$N$3,0),1,IF(Prices!D949&lt;OFFSET(Prices!D949,-$N$3,0),-1,0))</f>
        <v>-1</v>
      </c>
      <c r="O950" s="1">
        <f ca="1">IF(N950=1,O$3*L949/Prices!B949,O$3*M949*N950)</f>
        <v>-2.8733426373443633E-2</v>
      </c>
      <c r="P950" s="14"/>
      <c r="Q950" s="9">
        <f ca="1">Q949-T950*Prices!B950</f>
        <v>0.38972500528860299</v>
      </c>
      <c r="R950" s="1">
        <f t="shared" ca="1" si="87"/>
        <v>0.4685999113371217</v>
      </c>
      <c r="S950" s="9">
        <f ca="1">IF(Prices!C949&lt;OFFSET(Prices!C949,-S$3,0),1,IF(Prices!C949&gt;OFFSET(Prices!C949,-S$3,0),-1,0))</f>
        <v>-1</v>
      </c>
      <c r="T950" s="1">
        <f ca="1">IF(S950=1,T$3*Q949/Prices!B949,T$3*R949*S950)</f>
        <v>-9.5632634966759528E-3</v>
      </c>
    </row>
    <row r="951" spans="1:20" x14ac:dyDescent="0.2">
      <c r="A951" s="4">
        <v>34837</v>
      </c>
      <c r="B951" s="9">
        <f ca="1">Prices!B950*(1+J951/(50*(ABS(O951)+ABS(T951)+0.0001)))</f>
        <v>1.2870103347081205</v>
      </c>
      <c r="C951" s="13">
        <f t="shared" ca="1" si="88"/>
        <v>-1</v>
      </c>
      <c r="D951" s="9">
        <f ca="1">D950+C951*(Prices!B951-Prices!B950)/Prices!B950</f>
        <v>-0.47574940860619408</v>
      </c>
      <c r="E951" s="9">
        <f t="shared" ca="1" si="89"/>
        <v>0.51187335986494042</v>
      </c>
      <c r="F951" s="9">
        <f t="shared" ca="1" si="90"/>
        <v>3.6123951258746317E-2</v>
      </c>
      <c r="G951" s="13">
        <f ca="1">IF((Prices!B951-Prices!B950)*B951&gt;0,1,0)</f>
        <v>0</v>
      </c>
      <c r="H951" s="9">
        <f>ABS(Prices!B951-Prices!B950)/Prices!B950</f>
        <v>1.3250076149862825E-2</v>
      </c>
      <c r="I951" s="13"/>
      <c r="J951" s="1">
        <f t="shared" ca="1" si="91"/>
        <v>-3.5232081962841708E-2</v>
      </c>
      <c r="K951" s="9"/>
      <c r="L951" s="9">
        <f ca="1">L950-O951*Prices!B951</f>
        <v>0.74713507891142794</v>
      </c>
      <c r="M951" s="1">
        <f t="shared" ca="1" si="86"/>
        <v>0.23274075362489344</v>
      </c>
      <c r="N951" s="9">
        <f ca="1">IF(Prices!D950&gt;OFFSET(Prices!D950,-$N$3,0),1,IF(Prices!D950&lt;OFFSET(Prices!D950,-$N$3,0),-1,0))</f>
        <v>-1</v>
      </c>
      <c r="O951" s="1">
        <f ca="1">IF(N951=1,O$3*L950/Prices!B950,O$3*M950*N951)</f>
        <v>-2.5860083736099271E-2</v>
      </c>
      <c r="P951" s="14"/>
      <c r="Q951" s="9">
        <f ca="1">Q950-T951*Prices!B951</f>
        <v>0.40186924059081586</v>
      </c>
      <c r="R951" s="1">
        <f t="shared" ca="1" si="87"/>
        <v>0.45922791311037925</v>
      </c>
      <c r="S951" s="9">
        <f ca="1">IF(Prices!C950&lt;OFFSET(Prices!C950,-S$3,0),1,IF(Prices!C950&gt;OFFSET(Prices!C950,-S$3,0),-1,0))</f>
        <v>-1</v>
      </c>
      <c r="T951" s="1">
        <f ca="1">IF(S951=1,T$3*Q950/Prices!B950,T$3*R950*S951)</f>
        <v>-9.371998226742435E-3</v>
      </c>
    </row>
    <row r="952" spans="1:20" x14ac:dyDescent="0.2">
      <c r="A952" s="4">
        <v>34838</v>
      </c>
      <c r="B952" s="9">
        <f ca="1">Prices!B951*(1+J952/(50*(ABS(O952)+ABS(T952)+0.0001)))</f>
        <v>1.3145659277856143</v>
      </c>
      <c r="C952" s="13">
        <f t="shared" ca="1" si="88"/>
        <v>1</v>
      </c>
      <c r="D952" s="9">
        <f ca="1">D951+C952*(Prices!B952-Prices!B951)/Prices!B951</f>
        <v>-0.46494527216538528</v>
      </c>
      <c r="E952" s="9">
        <f t="shared" ca="1" si="89"/>
        <v>0.50106922342413163</v>
      </c>
      <c r="F952" s="9">
        <f t="shared" ca="1" si="90"/>
        <v>3.6123951258746317E-2</v>
      </c>
      <c r="G952" s="13">
        <f ca="1">IF((Prices!B952-Prices!B951)*B952&gt;0,1,0)</f>
        <v>1</v>
      </c>
      <c r="H952" s="9">
        <f>ABS(Prices!B952-Prices!B951)/Prices!B951</f>
        <v>1.0804136440808776E-2</v>
      </c>
      <c r="I952" s="13"/>
      <c r="J952" s="1">
        <f t="shared" ca="1" si="91"/>
        <v>4.8473651254031642E-2</v>
      </c>
      <c r="K952" s="9"/>
      <c r="L952" s="9">
        <f ca="1">L951-O952*Prices!B952</f>
        <v>0.67161435608705777</v>
      </c>
      <c r="M952" s="1">
        <f t="shared" ca="1" si="86"/>
        <v>0.29039896314113267</v>
      </c>
      <c r="N952" s="9">
        <f ca="1">IF(Prices!D951&gt;OFFSET(Prices!D951,-$N$3,0),1,IF(Prices!D951&lt;OFFSET(Prices!D951,-$N$3,0),-1,0))</f>
        <v>1</v>
      </c>
      <c r="O952" s="1">
        <f ca="1">IF(N952=1,O$3*L951/Prices!B951,O$3*M951*N952)</f>
        <v>5.7658209516239227E-2</v>
      </c>
      <c r="P952" s="14"/>
      <c r="Q952" s="9">
        <f ca="1">Q951-T952*Prices!B952</f>
        <v>0.41389917500265533</v>
      </c>
      <c r="R952" s="1">
        <f t="shared" ca="1" si="87"/>
        <v>0.45004335484817165</v>
      </c>
      <c r="S952" s="9">
        <f ca="1">IF(Prices!C951&lt;OFFSET(Prices!C951,-S$3,0),1,IF(Prices!C951&gt;OFFSET(Prices!C951,-S$3,0),-1,0))</f>
        <v>-1</v>
      </c>
      <c r="T952" s="1">
        <f ca="1">IF(S952=1,T$3*Q951/Prices!B951,T$3*R951*S952)</f>
        <v>-9.1845582622075844E-3</v>
      </c>
    </row>
    <row r="953" spans="1:20" x14ac:dyDescent="0.2">
      <c r="A953" s="4">
        <v>34841</v>
      </c>
      <c r="B953" s="9">
        <f ca="1">Prices!B952*(1+J953/(50*(ABS(O953)+ABS(T953)+0.0001)))</f>
        <v>1.3281421270287115</v>
      </c>
      <c r="C953" s="13">
        <f t="shared" ca="1" si="88"/>
        <v>1</v>
      </c>
      <c r="D953" s="9">
        <f ca="1">D952+C953*(Prices!B953-Prices!B952)/Prices!B952</f>
        <v>-0.47097672734938284</v>
      </c>
      <c r="E953" s="9">
        <f t="shared" ca="1" si="89"/>
        <v>0.50710067860812913</v>
      </c>
      <c r="F953" s="9">
        <f t="shared" ca="1" si="90"/>
        <v>3.6123951258746317E-2</v>
      </c>
      <c r="G953" s="13">
        <f ca="1">IF((Prices!B953-Prices!B952)*B953&gt;0,1,0)</f>
        <v>0</v>
      </c>
      <c r="H953" s="9">
        <f>ABS(Prices!B953-Prices!B952)/Prices!B952</f>
        <v>6.0314551839975705E-3</v>
      </c>
      <c r="I953" s="13"/>
      <c r="J953" s="1">
        <f t="shared" ca="1" si="91"/>
        <v>4.2275232772257657E-2</v>
      </c>
      <c r="K953" s="9"/>
      <c r="L953" s="9">
        <f ca="1">L952-O953*Prices!B953</f>
        <v>0.60485800166731885</v>
      </c>
      <c r="M953" s="1">
        <f t="shared" ca="1" si="86"/>
        <v>0.34167506301035377</v>
      </c>
      <c r="N953" s="9">
        <f ca="1">IF(Prices!D952&gt;OFFSET(Prices!D952,-$N$3,0),1,IF(Prices!D952&lt;OFFSET(Prices!D952,-$N$3,0),-1,0))</f>
        <v>1</v>
      </c>
      <c r="O953" s="1">
        <f ca="1">IF(N953=1,O$3*L952/Prices!B952,O$3*M952*N953)</f>
        <v>5.127609986922109E-2</v>
      </c>
      <c r="P953" s="14"/>
      <c r="Q953" s="9">
        <f ca="1">Q952-T953*Prices!B953</f>
        <v>0.42561740387619201</v>
      </c>
      <c r="R953" s="1">
        <f t="shared" ca="1" si="87"/>
        <v>0.44104248775120825</v>
      </c>
      <c r="S953" s="9">
        <f ca="1">IF(Prices!C952&lt;OFFSET(Prices!C952,-S$3,0),1,IF(Prices!C952&gt;OFFSET(Prices!C952,-S$3,0),-1,0))</f>
        <v>-1</v>
      </c>
      <c r="T953" s="1">
        <f ca="1">IF(S953=1,T$3*Q952/Prices!B952,T$3*R952*S953)</f>
        <v>-9.000867096963433E-3</v>
      </c>
    </row>
    <row r="954" spans="1:20" x14ac:dyDescent="0.2">
      <c r="A954" s="4">
        <v>34842</v>
      </c>
      <c r="B954" s="9">
        <f ca="1">Prices!B953*(1+J954/(50*(ABS(O954)+ABS(T954)+0.0001)))</f>
        <v>1.3195964629915966</v>
      </c>
      <c r="C954" s="13">
        <f t="shared" ca="1" si="88"/>
        <v>1</v>
      </c>
      <c r="D954" s="9">
        <f ca="1">D953+C954*(Prices!B954-Prices!B953)/Prices!B953</f>
        <v>-0.46652170008154353</v>
      </c>
      <c r="E954" s="9">
        <f t="shared" ca="1" si="89"/>
        <v>0.50264565134028982</v>
      </c>
      <c r="F954" s="9">
        <f t="shared" ca="1" si="90"/>
        <v>3.6123951258746317E-2</v>
      </c>
      <c r="G954" s="13">
        <f ca="1">IF((Prices!B954-Prices!B953)*B954&gt;0,1,0)</f>
        <v>1</v>
      </c>
      <c r="H954" s="9">
        <f>ABS(Prices!B954-Prices!B953)/Prices!B953</f>
        <v>4.4550272678393326E-3</v>
      </c>
      <c r="I954" s="13"/>
      <c r="J954" s="1">
        <f t="shared" ca="1" si="91"/>
        <v>3.7638786289781026E-2</v>
      </c>
      <c r="K954" s="9"/>
      <c r="L954" s="9">
        <f ca="1">L953-O954*Prices!B954</f>
        <v>0.54410273561152711</v>
      </c>
      <c r="M954" s="1">
        <f t="shared" ca="1" si="86"/>
        <v>0.38813469905515896</v>
      </c>
      <c r="N954" s="9">
        <f ca="1">IF(Prices!D953&gt;OFFSET(Prices!D953,-$N$3,0),1,IF(Prices!D953&lt;OFFSET(Prices!D953,-$N$3,0),-1,0))</f>
        <v>1</v>
      </c>
      <c r="O954" s="1">
        <f ca="1">IF(N954=1,O$3*L953/Prices!B953,O$3*M953*N954)</f>
        <v>4.6459636044805193E-2</v>
      </c>
      <c r="P954" s="14"/>
      <c r="Q954" s="9">
        <f ca="1">Q953-T954*Prices!B954</f>
        <v>0.43715242910083713</v>
      </c>
      <c r="R954" s="1">
        <f t="shared" ca="1" si="87"/>
        <v>0.43222163799618407</v>
      </c>
      <c r="S954" s="9">
        <f ca="1">IF(Prices!C953&lt;OFFSET(Prices!C953,-S$3,0),1,IF(Prices!C953&gt;OFFSET(Prices!C953,-S$3,0),-1,0))</f>
        <v>-1</v>
      </c>
      <c r="T954" s="1">
        <f ca="1">IF(S954=1,T$3*Q953/Prices!B953,T$3*R953*S954)</f>
        <v>-8.8208497550241651E-3</v>
      </c>
    </row>
    <row r="955" spans="1:20" x14ac:dyDescent="0.2">
      <c r="A955" s="4">
        <v>34843</v>
      </c>
      <c r="B955" s="9">
        <f ca="1">Prices!B954*(1+J955/(50*(ABS(O955)+ABS(T955)+0.0001)))</f>
        <v>1.2816009940147362</v>
      </c>
      <c r="C955" s="13">
        <f t="shared" ca="1" si="88"/>
        <v>-1</v>
      </c>
      <c r="D955" s="9">
        <f ca="1">D954+C955*(Prices!B955-Prices!B954)/Prices!B954</f>
        <v>-0.46820404312658442</v>
      </c>
      <c r="E955" s="9">
        <f t="shared" ca="1" si="89"/>
        <v>0.50432799438533071</v>
      </c>
      <c r="F955" s="9">
        <f t="shared" ca="1" si="90"/>
        <v>3.6123951258746317E-2</v>
      </c>
      <c r="G955" s="13">
        <f ca="1">IF((Prices!B955-Prices!B954)*B955&gt;0,1,0)</f>
        <v>1</v>
      </c>
      <c r="H955" s="9">
        <f>ABS(Prices!B955-Prices!B954)/Prices!B954</f>
        <v>1.6823430450408959E-3</v>
      </c>
      <c r="I955" s="13"/>
      <c r="J955" s="1">
        <f t="shared" ca="1" si="91"/>
        <v>-4.7457902665439582E-2</v>
      </c>
      <c r="K955" s="9"/>
      <c r="L955" s="9">
        <f ca="1">L954-O955*Prices!B955</f>
        <v>0.59494449984076236</v>
      </c>
      <c r="M955" s="1">
        <f t="shared" ca="1" si="86"/>
        <v>0.34932122914964303</v>
      </c>
      <c r="N955" s="9">
        <f ca="1">IF(Prices!D954&gt;OFFSET(Prices!D954,-$N$3,0),1,IF(Prices!D954&lt;OFFSET(Prices!D954,-$N$3,0),-1,0))</f>
        <v>-1</v>
      </c>
      <c r="O955" s="1">
        <f ca="1">IF(N955=1,O$3*L954/Prices!B954,O$3*M954*N955)</f>
        <v>-3.8813469905515902E-2</v>
      </c>
      <c r="P955" s="14"/>
      <c r="Q955" s="9">
        <f ca="1">Q954-T955*Prices!B955</f>
        <v>0.44847577157306118</v>
      </c>
      <c r="R955" s="1">
        <f t="shared" ca="1" si="87"/>
        <v>0.42357720523626041</v>
      </c>
      <c r="S955" s="9">
        <f ca="1">IF(Prices!C954&lt;OFFSET(Prices!C954,-S$3,0),1,IF(Prices!C954&gt;OFFSET(Prices!C954,-S$3,0),-1,0))</f>
        <v>-1</v>
      </c>
      <c r="T955" s="1">
        <f ca="1">IF(S955=1,T$3*Q954/Prices!B954,T$3*R954*S955)</f>
        <v>-8.6444327599236818E-3</v>
      </c>
    </row>
    <row r="956" spans="1:20" x14ac:dyDescent="0.2">
      <c r="A956" s="4">
        <v>34844</v>
      </c>
      <c r="B956" s="9">
        <f ca="1">Prices!B955*(1+J956/(50*(ABS(O956)+ABS(T956)+0.0001)))</f>
        <v>1.2837622202108345</v>
      </c>
      <c r="C956" s="13">
        <f t="shared" ca="1" si="88"/>
        <v>-1</v>
      </c>
      <c r="D956" s="9">
        <f ca="1">D955+C956*(Prices!B956-Prices!B955)/Prices!B955</f>
        <v>-0.49103021306322081</v>
      </c>
      <c r="E956" s="9">
        <f t="shared" ca="1" si="89"/>
        <v>0.52715416432196716</v>
      </c>
      <c r="F956" s="9">
        <f t="shared" ca="1" si="90"/>
        <v>3.6123951258746317E-2</v>
      </c>
      <c r="G956" s="13">
        <f ca="1">IF((Prices!B956-Prices!B955)*B956&gt;0,1,0)</f>
        <v>1</v>
      </c>
      <c r="H956" s="9">
        <f>ABS(Prices!B956-Prices!B955)/Prices!B955</f>
        <v>2.2826169936636411E-2</v>
      </c>
      <c r="I956" s="13"/>
      <c r="J956" s="1">
        <f t="shared" ca="1" si="91"/>
        <v>-4.3403667019689507E-2</v>
      </c>
      <c r="K956" s="9"/>
      <c r="L956" s="9">
        <f ca="1">L955-O956*Prices!B956</f>
        <v>0.64174655812223158</v>
      </c>
      <c r="M956" s="1">
        <f t="shared" ca="1" si="86"/>
        <v>0.31438910623467875</v>
      </c>
      <c r="N956" s="9">
        <f ca="1">IF(Prices!D955&gt;OFFSET(Prices!D955,-$N$3,0),1,IF(Prices!D955&lt;OFFSET(Prices!D955,-$N$3,0),-1,0))</f>
        <v>-1</v>
      </c>
      <c r="O956" s="1">
        <f ca="1">IF(N956=1,O$3*L955/Prices!B955,O$3*M955*N956)</f>
        <v>-3.4932122914964302E-2</v>
      </c>
      <c r="P956" s="14"/>
      <c r="Q956" s="9">
        <f ca="1">Q955-T956*Prices!B956</f>
        <v>0.45982594636457202</v>
      </c>
      <c r="R956" s="1">
        <f t="shared" ca="1" si="87"/>
        <v>0.41510566113153519</v>
      </c>
      <c r="S956" s="9">
        <f ca="1">IF(Prices!C955&lt;OFFSET(Prices!C955,-S$3,0),1,IF(Prices!C955&gt;OFFSET(Prices!C955,-S$3,0),-1,0))</f>
        <v>-1</v>
      </c>
      <c r="T956" s="1">
        <f ca="1">IF(S956=1,T$3*Q955/Prices!B955,T$3*R955*S956)</f>
        <v>-8.4715441047252087E-3</v>
      </c>
    </row>
    <row r="957" spans="1:20" x14ac:dyDescent="0.2">
      <c r="A957" s="4">
        <v>34845</v>
      </c>
      <c r="B957" s="9">
        <f ca="1">Prices!B956*(1+J957/(50*(ABS(O957)+ABS(T957)+0.0001)))</f>
        <v>1.3226527324118382</v>
      </c>
      <c r="C957" s="13">
        <f t="shared" ca="1" si="88"/>
        <v>-1</v>
      </c>
      <c r="D957" s="9">
        <f ca="1">D956+C957*(Prices!B957-Prices!B956)/Prices!B956</f>
        <v>-0.50648028023742586</v>
      </c>
      <c r="E957" s="9">
        <f t="shared" ca="1" si="89"/>
        <v>0.54260423149617221</v>
      </c>
      <c r="F957" s="9">
        <f t="shared" ca="1" si="90"/>
        <v>3.6123951258746317E-2</v>
      </c>
      <c r="G957" s="13">
        <f ca="1">IF((Prices!B957-Prices!B956)*B957&gt;0,1,0)</f>
        <v>1</v>
      </c>
      <c r="H957" s="9">
        <f>ABS(Prices!B957-Prices!B956)/Prices!B956</f>
        <v>1.545006717420506E-2</v>
      </c>
      <c r="I957" s="13"/>
      <c r="J957" s="1">
        <f t="shared" ca="1" si="91"/>
        <v>-2.4574812304844616E-2</v>
      </c>
      <c r="K957" s="9"/>
      <c r="L957" s="9">
        <f ca="1">L956-O957*Prices!B957</f>
        <v>0.68451919602545963</v>
      </c>
      <c r="M957" s="1">
        <f t="shared" ca="1" si="86"/>
        <v>0.28295019561121088</v>
      </c>
      <c r="N957" s="9">
        <f ca="1">IF(Prices!D956&gt;OFFSET(Prices!D956,-$N$3,0),1,IF(Prices!D956&lt;OFFSET(Prices!D956,-$N$3,0),-1,0))</f>
        <v>-1</v>
      </c>
      <c r="O957" s="1">
        <f ca="1">IF(N957=1,O$3*L956/Prices!B956,O$3*M956*N957)</f>
        <v>-3.1438910623467875E-2</v>
      </c>
      <c r="P957" s="14"/>
      <c r="Q957" s="9">
        <f ca="1">Q956-T957*Prices!B957</f>
        <v>0.45048734060208506</v>
      </c>
      <c r="R957" s="1">
        <f t="shared" ca="1" si="87"/>
        <v>0.42196975945015847</v>
      </c>
      <c r="S957" s="9">
        <f ca="1">IF(Prices!C956&lt;OFFSET(Prices!C956,-S$3,0),1,IF(Prices!C956&gt;OFFSET(Prices!C956,-S$3,0),-1,0))</f>
        <v>1</v>
      </c>
      <c r="T957" s="1">
        <f ca="1">IF(S957=1,T$3*Q956/Prices!B956,T$3*R956*S957)</f>
        <v>6.864098318623257E-3</v>
      </c>
    </row>
    <row r="958" spans="1:20" x14ac:dyDescent="0.2">
      <c r="A958" s="4">
        <v>34848</v>
      </c>
      <c r="B958" s="9">
        <f ca="1">Prices!B957*(1+J958/(50*(ABS(O958)+ABS(T958)+0.0001)))</f>
        <v>1.3436594416493157</v>
      </c>
      <c r="C958" s="13">
        <f t="shared" ca="1" si="88"/>
        <v>-1</v>
      </c>
      <c r="D958" s="9">
        <f ca="1">D957+C958*(Prices!B958-Prices!B957)/Prices!B957</f>
        <v>-0.50648028023742586</v>
      </c>
      <c r="E958" s="9">
        <f t="shared" ca="1" si="89"/>
        <v>0.54260423149617221</v>
      </c>
      <c r="F958" s="9">
        <f t="shared" ca="1" si="90"/>
        <v>3.6123951258746317E-2</v>
      </c>
      <c r="G958" s="13">
        <f ca="1">IF((Prices!B958-Prices!B957)*B958&gt;0,1,0)</f>
        <v>0</v>
      </c>
      <c r="H958" s="9">
        <f>ABS(Prices!B958-Prices!B957)/Prices!B957</f>
        <v>0</v>
      </c>
      <c r="I958" s="13"/>
      <c r="J958" s="1">
        <f t="shared" ca="1" si="91"/>
        <v>-2.1672640426948577E-2</v>
      </c>
      <c r="K958" s="9"/>
      <c r="L958" s="9">
        <f ca="1">L957-O958*Prices!B958</f>
        <v>0.7230145701383649</v>
      </c>
      <c r="M958" s="1">
        <f t="shared" ca="1" si="86"/>
        <v>0.2546551760500898</v>
      </c>
      <c r="N958" s="9">
        <f ca="1">IF(Prices!D957&gt;OFFSET(Prices!D957,-$N$3,0),1,IF(Prices!D957&lt;OFFSET(Prices!D957,-$N$3,0),-1,0))</f>
        <v>-1</v>
      </c>
      <c r="O958" s="1">
        <f ca="1">IF(N958=1,O$3*L957/Prices!B957,O$3*M957*N958)</f>
        <v>-2.8295019561121088E-2</v>
      </c>
      <c r="P958" s="14"/>
      <c r="Q958" s="9">
        <f ca="1">Q957-T958*Prices!B958</f>
        <v>0.44147759379004337</v>
      </c>
      <c r="R958" s="1">
        <f t="shared" ca="1" si="87"/>
        <v>0.42859213858433098</v>
      </c>
      <c r="S958" s="9">
        <f ca="1">IF(Prices!C957&lt;OFFSET(Prices!C957,-S$3,0),1,IF(Prices!C957&gt;OFFSET(Prices!C957,-S$3,0),-1,0))</f>
        <v>1</v>
      </c>
      <c r="T958" s="1">
        <f ca="1">IF(S958=1,T$3*Q957/Prices!B957,T$3*R957*S958)</f>
        <v>6.6223791341725111E-3</v>
      </c>
    </row>
    <row r="959" spans="1:20" x14ac:dyDescent="0.2">
      <c r="A959" s="4">
        <v>34849</v>
      </c>
      <c r="B959" s="9">
        <f ca="1">Prices!B958*(1+J959/(50*(ABS(O959)+ABS(T959)+0.0001)))</f>
        <v>1.3876644474655466</v>
      </c>
      <c r="C959" s="13">
        <f t="shared" ca="1" si="88"/>
        <v>1</v>
      </c>
      <c r="D959" s="9">
        <f ca="1">D958+C959*(Prices!B959-Prices!B958)/Prices!B958</f>
        <v>-0.51037590684529066</v>
      </c>
      <c r="E959" s="9">
        <f t="shared" ca="1" si="89"/>
        <v>0.54649985810403701</v>
      </c>
      <c r="F959" s="9">
        <f t="shared" ca="1" si="90"/>
        <v>3.6123951258746317E-2</v>
      </c>
      <c r="G959" s="13">
        <f ca="1">IF((Prices!B959-Prices!B958)*B959&gt;0,1,0)</f>
        <v>0</v>
      </c>
      <c r="H959" s="9">
        <f>ABS(Prices!B959-Prices!B958)/Prices!B958</f>
        <v>3.8956266078648159E-3</v>
      </c>
      <c r="I959" s="13"/>
      <c r="J959" s="1">
        <f t="shared" ca="1" si="91"/>
        <v>5.9633229613845901E-2</v>
      </c>
      <c r="K959" s="9"/>
      <c r="L959" s="9">
        <f ca="1">L958-O959*Prices!B959</f>
        <v>0.65099477260425886</v>
      </c>
      <c r="M959" s="1">
        <f t="shared" ca="1" si="86"/>
        <v>0.30779847411244665</v>
      </c>
      <c r="N959" s="9">
        <f ca="1">IF(Prices!D958&gt;OFFSET(Prices!D958,-$N$3,0),1,IF(Prices!D958&lt;OFFSET(Prices!D958,-$N$3,0),-1,0))</f>
        <v>1</v>
      </c>
      <c r="O959" s="1">
        <f ca="1">IF(N959=1,O$3*L958/Prices!B958,O$3*M958*N959)</f>
        <v>5.314329806235684E-2</v>
      </c>
      <c r="P959" s="14"/>
      <c r="Q959" s="9">
        <f ca="1">Q958-T959*Prices!B959</f>
        <v>0.43268243855146538</v>
      </c>
      <c r="R959" s="1">
        <f t="shared" ca="1" si="87"/>
        <v>0.43508207013582006</v>
      </c>
      <c r="S959" s="9">
        <f ca="1">IF(Prices!C958&lt;OFFSET(Prices!C958,-S$3,0),1,IF(Prices!C958&gt;OFFSET(Prices!C958,-S$3,0),-1,0))</f>
        <v>1</v>
      </c>
      <c r="T959" s="1">
        <f ca="1">IF(S959=1,T$3*Q958/Prices!B958,T$3*R958*S959)</f>
        <v>6.489931551489061E-3</v>
      </c>
    </row>
    <row r="960" spans="1:20" x14ac:dyDescent="0.2">
      <c r="A960" s="4">
        <v>34850</v>
      </c>
      <c r="B960" s="9">
        <f ca="1">Prices!B959*(1+J960/(50*(ABS(O960)+ABS(T960)+0.0001)))</f>
        <v>1.3374574106038586</v>
      </c>
      <c r="C960" s="13">
        <f t="shared" ca="1" si="88"/>
        <v>-1</v>
      </c>
      <c r="D960" s="9">
        <f ca="1">D959+C960*(Prices!B960-Prices!B959)/Prices!B959</f>
        <v>-0.49724131416524342</v>
      </c>
      <c r="E960" s="9">
        <f t="shared" ca="1" si="89"/>
        <v>0.53336526542398977</v>
      </c>
      <c r="F960" s="9">
        <f t="shared" ca="1" si="90"/>
        <v>3.6123951258746317E-2</v>
      </c>
      <c r="G960" s="13">
        <f ca="1">IF((Prices!B960-Prices!B959)*B960&gt;0,1,0)</f>
        <v>0</v>
      </c>
      <c r="H960" s="9">
        <f>ABS(Prices!B960-Prices!B959)/Prices!B959</f>
        <v>1.3134592680047253E-2</v>
      </c>
      <c r="I960" s="13"/>
      <c r="J960" s="1">
        <f t="shared" ca="1" si="91"/>
        <v>-2.4394333264971563E-2</v>
      </c>
      <c r="K960" s="9"/>
      <c r="L960" s="9">
        <f ca="1">L959-O960*Prices!B960</f>
        <v>0.69215974053205742</v>
      </c>
      <c r="M960" s="1">
        <f t="shared" ca="1" si="86"/>
        <v>0.27701862670120198</v>
      </c>
      <c r="N960" s="9">
        <f ca="1">IF(Prices!D959&gt;OFFSET(Prices!D959,-$N$3,0),1,IF(Prices!D959&lt;OFFSET(Prices!D959,-$N$3,0),-1,0))</f>
        <v>-1</v>
      </c>
      <c r="O960" s="1">
        <f ca="1">IF(N960=1,O$3*L959/Prices!B959,O$3*M959*N960)</f>
        <v>-3.0779847411244666E-2</v>
      </c>
      <c r="P960" s="14"/>
      <c r="Q960" s="9">
        <f ca="1">Q959-T960*Prices!B960</f>
        <v>0.42414245193223971</v>
      </c>
      <c r="R960" s="1">
        <f t="shared" ca="1" si="87"/>
        <v>0.44146758428209315</v>
      </c>
      <c r="S960" s="9">
        <f ca="1">IF(Prices!C959&lt;OFFSET(Prices!C959,-S$3,0),1,IF(Prices!C959&gt;OFFSET(Prices!C959,-S$3,0),-1,0))</f>
        <v>1</v>
      </c>
      <c r="T960" s="1">
        <f ca="1">IF(S960=1,T$3*Q959/Prices!B959,T$3*R959*S960)</f>
        <v>6.3855141462731023E-3</v>
      </c>
    </row>
    <row r="961" spans="1:20" x14ac:dyDescent="0.2">
      <c r="A961" s="4">
        <v>34851</v>
      </c>
      <c r="B961" s="9">
        <f ca="1">Prices!B960*(1+J961/(50*(ABS(O961)+ABS(T961)+0.0001)))</f>
        <v>1.3206678801488916</v>
      </c>
      <c r="C961" s="13">
        <f t="shared" ca="1" si="88"/>
        <v>-1</v>
      </c>
      <c r="D961" s="9">
        <f ca="1">D960+C961*(Prices!B961-Prices!B960)/Prices!B960</f>
        <v>-0.49088569879213145</v>
      </c>
      <c r="E961" s="9">
        <f t="shared" ca="1" si="89"/>
        <v>0.52700965005087774</v>
      </c>
      <c r="F961" s="9">
        <f t="shared" ca="1" si="90"/>
        <v>3.6123951258746317E-2</v>
      </c>
      <c r="G961" s="13">
        <f ca="1">IF((Prices!B961-Prices!B960)*B961&gt;0,1,0)</f>
        <v>0</v>
      </c>
      <c r="H961" s="9">
        <f>ABS(Prices!B961-Prices!B960)/Prices!B960</f>
        <v>6.355615373111973E-3</v>
      </c>
      <c r="I961" s="13"/>
      <c r="J961" s="1">
        <f t="shared" ca="1" si="91"/>
        <v>-2.1359071404496756E-2</v>
      </c>
      <c r="K961" s="9"/>
      <c r="L961" s="9">
        <f ca="1">L960-O961*Prices!B961</f>
        <v>0.72897274583438021</v>
      </c>
      <c r="M961" s="1">
        <f t="shared" ca="1" si="86"/>
        <v>0.24931676403108177</v>
      </c>
      <c r="N961" s="9">
        <f ca="1">IF(Prices!D960&gt;OFFSET(Prices!D960,-$N$3,0),1,IF(Prices!D960&lt;OFFSET(Prices!D960,-$N$3,0),-1,0))</f>
        <v>-1</v>
      </c>
      <c r="O961" s="1">
        <f ca="1">IF(N961=1,O$3*L960/Prices!B960,O$3*M960*N961)</f>
        <v>-2.77018626701202E-2</v>
      </c>
      <c r="P961" s="14"/>
      <c r="Q961" s="9">
        <f ca="1">Q960-T961*Prices!B961</f>
        <v>0.41571351661935269</v>
      </c>
      <c r="R961" s="1">
        <f t="shared" ca="1" si="87"/>
        <v>0.44781037554771658</v>
      </c>
      <c r="S961" s="9">
        <f ca="1">IF(Prices!C960&lt;OFFSET(Prices!C960,-S$3,0),1,IF(Prices!C960&gt;OFFSET(Prices!C960,-S$3,0),-1,0))</f>
        <v>1</v>
      </c>
      <c r="T961" s="1">
        <f ca="1">IF(S961=1,T$3*Q960/Prices!B960,T$3*R960*S961)</f>
        <v>6.3427912656234446E-3</v>
      </c>
    </row>
    <row r="962" spans="1:20" x14ac:dyDescent="0.2">
      <c r="A962" s="4">
        <v>34852</v>
      </c>
      <c r="B962" s="9">
        <f ca="1">Prices!B961*(1+J962/(50*(ABS(O962)+ABS(T962)+0.0001)))</f>
        <v>1.3024001984546822</v>
      </c>
      <c r="C962" s="13">
        <f t="shared" ca="1" si="88"/>
        <v>-1</v>
      </c>
      <c r="D962" s="9">
        <f ca="1">D961+C962*(Prices!B962-Prices!B961)/Prices!B961</f>
        <v>-0.50149597797039924</v>
      </c>
      <c r="E962" s="9">
        <f t="shared" ca="1" si="89"/>
        <v>0.53761992922914559</v>
      </c>
      <c r="F962" s="9">
        <f t="shared" ca="1" si="90"/>
        <v>3.6123951258746317E-2</v>
      </c>
      <c r="G962" s="13">
        <f ca="1">IF((Prices!B962-Prices!B961)*B962&gt;0,1,0)</f>
        <v>1</v>
      </c>
      <c r="H962" s="9">
        <f>ABS(Prices!B962-Prices!B961)/Prices!B961</f>
        <v>1.0610279178267741E-2</v>
      </c>
      <c r="I962" s="13"/>
      <c r="J962" s="1">
        <f t="shared" ca="1" si="91"/>
        <v>-3.3887883914062514E-2</v>
      </c>
      <c r="K962" s="9"/>
      <c r="L962" s="9">
        <f ca="1">L961-O962*Prices!B962</f>
        <v>0.76245598724375452</v>
      </c>
      <c r="M962" s="1">
        <f t="shared" ca="1" si="86"/>
        <v>0.2243850876279736</v>
      </c>
      <c r="N962" s="9">
        <f ca="1">IF(Prices!D961&gt;OFFSET(Prices!D961,-$N$3,0),1,IF(Prices!D961&lt;OFFSET(Prices!D961,-$N$3,0),-1,0))</f>
        <v>-1</v>
      </c>
      <c r="O962" s="1">
        <f ca="1">IF(N962=1,O$3*L961/Prices!B961,O$3*M961*N962)</f>
        <v>-2.4931676403108179E-2</v>
      </c>
      <c r="P962" s="14"/>
      <c r="Q962" s="9">
        <f ca="1">Q961-T962*Prices!B962</f>
        <v>0.42774170330656436</v>
      </c>
      <c r="R962" s="1">
        <f t="shared" ca="1" si="87"/>
        <v>0.43885416803676225</v>
      </c>
      <c r="S962" s="9">
        <f ca="1">IF(Prices!C961&lt;OFFSET(Prices!C961,-S$3,0),1,IF(Prices!C961&gt;OFFSET(Prices!C961,-S$3,0),-1,0))</f>
        <v>-1</v>
      </c>
      <c r="T962" s="1">
        <f ca="1">IF(S962=1,T$3*Q961/Prices!B961,T$3*R961*S962)</f>
        <v>-8.9562075109543317E-3</v>
      </c>
    </row>
    <row r="963" spans="1:20" x14ac:dyDescent="0.2">
      <c r="A963" s="4">
        <v>34855</v>
      </c>
      <c r="B963" s="9">
        <f ca="1">Prices!B962*(1+J963/(50*(ABS(O963)+ABS(T963)+0.0001)))</f>
        <v>1.3162257719691011</v>
      </c>
      <c r="C963" s="13">
        <f t="shared" ca="1" si="88"/>
        <v>-1</v>
      </c>
      <c r="D963" s="9">
        <f ca="1">D962+C963*(Prices!B963-Prices!B962)/Prices!B962</f>
        <v>-0.50335748206570818</v>
      </c>
      <c r="E963" s="9">
        <f t="shared" ca="1" si="89"/>
        <v>0.53948143332445453</v>
      </c>
      <c r="F963" s="9">
        <f t="shared" ca="1" si="90"/>
        <v>3.6123951258746317E-2</v>
      </c>
      <c r="G963" s="13">
        <f ca="1">IF((Prices!B963-Prices!B962)*B963&gt;0,1,0)</f>
        <v>1</v>
      </c>
      <c r="H963" s="9">
        <f>ABS(Prices!B963-Prices!B962)/Prices!B962</f>
        <v>1.8615040953089701E-3</v>
      </c>
      <c r="I963" s="13"/>
      <c r="J963" s="1">
        <f t="shared" ca="1" si="91"/>
        <v>-3.1215592123532608E-2</v>
      </c>
      <c r="K963" s="9"/>
      <c r="L963" s="9">
        <f ca="1">L962-O963*Prices!B963</f>
        <v>0.79264700078409833</v>
      </c>
      <c r="M963" s="1">
        <f t="shared" ca="1" si="86"/>
        <v>0.20194657886517625</v>
      </c>
      <c r="N963" s="9">
        <f ca="1">IF(Prices!D962&gt;OFFSET(Prices!D962,-$N$3,0),1,IF(Prices!D962&lt;OFFSET(Prices!D962,-$N$3,0),-1,0))</f>
        <v>-1</v>
      </c>
      <c r="O963" s="1">
        <f ca="1">IF(N963=1,O$3*L962/Prices!B962,O$3*M962*N963)</f>
        <v>-2.2438508762797363E-2</v>
      </c>
      <c r="P963" s="14"/>
      <c r="Q963" s="9">
        <f ca="1">Q962-T963*Prices!B963</f>
        <v>0.43955126896843361</v>
      </c>
      <c r="R963" s="1">
        <f t="shared" ca="1" si="87"/>
        <v>0.43007708467602701</v>
      </c>
      <c r="S963" s="9">
        <f ca="1">IF(Prices!C962&lt;OFFSET(Prices!C962,-S$3,0),1,IF(Prices!C962&gt;OFFSET(Prices!C962,-S$3,0),-1,0))</f>
        <v>-1</v>
      </c>
      <c r="T963" s="1">
        <f ca="1">IF(S963=1,T$3*Q962/Prices!B962,T$3*R962*S963)</f>
        <v>-8.7770833607352453E-3</v>
      </c>
    </row>
    <row r="964" spans="1:20" x14ac:dyDescent="0.2">
      <c r="A964" s="4">
        <v>34856</v>
      </c>
      <c r="B964" s="9">
        <f ca="1">Prices!B963*(1+J964/(50*(ABS(O964)+ABS(T964)+0.0001)))</f>
        <v>1.3186831264332026</v>
      </c>
      <c r="C964" s="13">
        <f t="shared" ca="1" si="88"/>
        <v>-1</v>
      </c>
      <c r="D964" s="9">
        <f ca="1">D963+C964*(Prices!B964-Prices!B963)/Prices!B963</f>
        <v>-0.496073944347388</v>
      </c>
      <c r="E964" s="9">
        <f t="shared" ca="1" si="89"/>
        <v>0.53219789560613429</v>
      </c>
      <c r="F964" s="9">
        <f t="shared" ca="1" si="90"/>
        <v>3.6123951258746317E-2</v>
      </c>
      <c r="G964" s="13">
        <f ca="1">IF((Prices!B964-Prices!B963)*B964&gt;0,1,0)</f>
        <v>0</v>
      </c>
      <c r="H964" s="9">
        <f>ABS(Prices!B964-Prices!B963)/Prices!B963</f>
        <v>7.2835377183201851E-3</v>
      </c>
      <c r="I964" s="13"/>
      <c r="J964" s="1">
        <f t="shared" ca="1" si="91"/>
        <v>-2.8796199580038168E-2</v>
      </c>
      <c r="K964" s="9"/>
      <c r="L964" s="9">
        <f ca="1">L963-O964*Prices!B964</f>
        <v>0.81962100532311988</v>
      </c>
      <c r="M964" s="1">
        <f t="shared" ca="1" si="86"/>
        <v>0.18175192097865861</v>
      </c>
      <c r="N964" s="9">
        <f ca="1">IF(Prices!D963&gt;OFFSET(Prices!D963,-$N$3,0),1,IF(Prices!D963&lt;OFFSET(Prices!D963,-$N$3,0),-1,0))</f>
        <v>-1</v>
      </c>
      <c r="O964" s="1">
        <f ca="1">IF(N964=1,O$3*L963/Prices!B963,O$3*M963*N964)</f>
        <v>-2.0194657886517628E-2</v>
      </c>
      <c r="P964" s="14"/>
      <c r="Q964" s="9">
        <f ca="1">Q963-T964*Prices!B964</f>
        <v>0.451040348208469</v>
      </c>
      <c r="R964" s="1">
        <f t="shared" ca="1" si="87"/>
        <v>0.42147554298250645</v>
      </c>
      <c r="S964" s="9">
        <f ca="1">IF(Prices!C963&lt;OFFSET(Prices!C963,-S$3,0),1,IF(Prices!C963&gt;OFFSET(Prices!C963,-S$3,0),-1,0))</f>
        <v>-1</v>
      </c>
      <c r="T964" s="1">
        <f ca="1">IF(S964=1,T$3*Q963/Prices!B963,T$3*R963*S964)</f>
        <v>-8.6015416935205403E-3</v>
      </c>
    </row>
    <row r="965" spans="1:20" x14ac:dyDescent="0.2">
      <c r="A965" s="4">
        <v>34857</v>
      </c>
      <c r="B965" s="9">
        <f ca="1">Prices!B964*(1+J965/(50*(ABS(O965)+ABS(T965)+0.0001)))</f>
        <v>1.3090860348142519</v>
      </c>
      <c r="C965" s="13">
        <f t="shared" ca="1" si="88"/>
        <v>-1</v>
      </c>
      <c r="D965" s="9">
        <f ca="1">D964+C965*(Prices!B965-Prices!B964)/Prices!B964</f>
        <v>-0.50049110388920115</v>
      </c>
      <c r="E965" s="9">
        <f t="shared" ca="1" si="89"/>
        <v>0.5366150551479475</v>
      </c>
      <c r="F965" s="9">
        <f t="shared" ca="1" si="90"/>
        <v>3.6123951258746317E-2</v>
      </c>
      <c r="G965" s="13">
        <f ca="1">IF((Prices!B965-Prices!B964)*B965&gt;0,1,0)</f>
        <v>1</v>
      </c>
      <c r="H965" s="9">
        <f>ABS(Prices!B965-Prices!B964)/Prices!B964</f>
        <v>4.4171595418131268E-3</v>
      </c>
      <c r="I965" s="13"/>
      <c r="J965" s="1">
        <f t="shared" ca="1" si="91"/>
        <v>-2.6604702957515991E-2</v>
      </c>
      <c r="K965" s="9"/>
      <c r="L965" s="9">
        <f ca="1">L964-O965*Prices!B965</f>
        <v>0.84400484304161671</v>
      </c>
      <c r="M965" s="1">
        <f t="shared" ca="1" si="86"/>
        <v>0.16357672888079275</v>
      </c>
      <c r="N965" s="9">
        <f ca="1">IF(Prices!D964&gt;OFFSET(Prices!D964,-$N$3,0),1,IF(Prices!D964&lt;OFFSET(Prices!D964,-$N$3,0),-1,0))</f>
        <v>-1</v>
      </c>
      <c r="O965" s="1">
        <f ca="1">IF(N965=1,O$3*L964/Prices!B964,O$3*M964*N965)</f>
        <v>-1.8175192097865861E-2</v>
      </c>
      <c r="P965" s="14"/>
      <c r="Q965" s="9">
        <f ca="1">Q964-T965*Prices!B965</f>
        <v>0.46234937997777559</v>
      </c>
      <c r="R965" s="1">
        <f t="shared" ca="1" si="87"/>
        <v>0.41304603212285634</v>
      </c>
      <c r="S965" s="9">
        <f ca="1">IF(Prices!C964&lt;OFFSET(Prices!C964,-S$3,0),1,IF(Prices!C964&gt;OFFSET(Prices!C964,-S$3,0),-1,0))</f>
        <v>-1</v>
      </c>
      <c r="T965" s="1">
        <f ca="1">IF(S965=1,T$3*Q964/Prices!B964,T$3*R964*S965)</f>
        <v>-8.4295108596501283E-3</v>
      </c>
    </row>
    <row r="966" spans="1:20" x14ac:dyDescent="0.2">
      <c r="A966" s="4">
        <v>34858</v>
      </c>
      <c r="B966" s="9">
        <f ca="1">Prices!B965*(1+J966/(50*(ABS(O966)+ABS(T966)+0.0001)))</f>
        <v>1.3621742549960201</v>
      </c>
      <c r="C966" s="13">
        <f t="shared" ca="1" si="88"/>
        <v>1</v>
      </c>
      <c r="D966" s="9">
        <f ca="1">D965+C966*(Prices!B966-Prices!B965)/Prices!B965</f>
        <v>-0.50839211760416836</v>
      </c>
      <c r="E966" s="9">
        <f t="shared" ca="1" si="89"/>
        <v>0.5445160688629147</v>
      </c>
      <c r="F966" s="9">
        <f t="shared" ca="1" si="90"/>
        <v>3.6123951258746317E-2</v>
      </c>
      <c r="G966" s="13">
        <f ca="1">IF((Prices!B966-Prices!B965)*B966&gt;0,1,0)</f>
        <v>0</v>
      </c>
      <c r="H966" s="9">
        <f>ABS(Prices!B966-Prices!B965)/Prices!B965</f>
        <v>7.901013714967162E-3</v>
      </c>
      <c r="I966" s="13"/>
      <c r="J966" s="1">
        <f t="shared" ca="1" si="91"/>
        <v>5.464939860632171E-2</v>
      </c>
      <c r="K966" s="9"/>
      <c r="L966" s="9">
        <f ca="1">L965-O966*Prices!B966</f>
        <v>0.76027120812149207</v>
      </c>
      <c r="M966" s="1">
        <f t="shared" ca="1" si="86"/>
        <v>0.2264870481295716</v>
      </c>
      <c r="N966" s="9">
        <f ca="1">IF(Prices!D965&gt;OFFSET(Prices!D965,-$N$3,0),1,IF(Prices!D965&lt;OFFSET(Prices!D965,-$N$3,0),-1,0))</f>
        <v>1</v>
      </c>
      <c r="O966" s="1">
        <f ca="1">IF(N966=1,O$3*L965/Prices!B965,O$3*M965*N966)</f>
        <v>6.2910319248778837E-2</v>
      </c>
      <c r="P966" s="14"/>
      <c r="Q966" s="9">
        <f ca="1">Q965-T966*Prices!B966</f>
        <v>0.473344665352886</v>
      </c>
      <c r="R966" s="1">
        <f t="shared" ca="1" si="87"/>
        <v>0.4047851114803992</v>
      </c>
      <c r="S966" s="9">
        <f ca="1">IF(Prices!C965&lt;OFFSET(Prices!C965,-S$3,0),1,IF(Prices!C965&gt;OFFSET(Prices!C965,-S$3,0),-1,0))</f>
        <v>-1</v>
      </c>
      <c r="T966" s="1">
        <f ca="1">IF(S966=1,T$3*Q965/Prices!B965,T$3*R965*S966)</f>
        <v>-8.2609206424571271E-3</v>
      </c>
    </row>
    <row r="967" spans="1:20" x14ac:dyDescent="0.2">
      <c r="A967" s="4">
        <v>34859</v>
      </c>
      <c r="B967" s="9">
        <f ca="1">Prices!B966*(1+J967/(50*(ABS(O967)+ABS(T967)+0.0001)))</f>
        <v>1.3509803226719774</v>
      </c>
      <c r="C967" s="13">
        <f t="shared" ca="1" si="88"/>
        <v>1</v>
      </c>
      <c r="D967" s="9">
        <f ca="1">D966+C967*(Prices!B967-Prices!B966)/Prices!B966</f>
        <v>-0.49449279378748923</v>
      </c>
      <c r="E967" s="9">
        <f t="shared" ca="1" si="89"/>
        <v>0.53061674504623557</v>
      </c>
      <c r="F967" s="9">
        <f t="shared" ca="1" si="90"/>
        <v>3.6123951258746317E-2</v>
      </c>
      <c r="G967" s="13">
        <f ca="1">IF((Prices!B967-Prices!B966)*B967&gt;0,1,0)</f>
        <v>1</v>
      </c>
      <c r="H967" s="9">
        <f>ABS(Prices!B967-Prices!B966)/Prices!B966</f>
        <v>1.389932381667916E-2</v>
      </c>
      <c r="I967" s="13"/>
      <c r="J967" s="1">
        <f t="shared" ca="1" si="91"/>
        <v>4.9024598906492106E-2</v>
      </c>
      <c r="K967" s="9"/>
      <c r="L967" s="9">
        <f ca="1">L966-O967*Prices!B967</f>
        <v>0.68318736173832506</v>
      </c>
      <c r="M967" s="1">
        <f t="shared" ca="1" si="86"/>
        <v>0.28360734926567166</v>
      </c>
      <c r="N967" s="9">
        <f ca="1">IF(Prices!D966&gt;OFFSET(Prices!D966,-$N$3,0),1,IF(Prices!D966&lt;OFFSET(Prices!D966,-$N$3,0),-1,0))</f>
        <v>1</v>
      </c>
      <c r="O967" s="1">
        <f ca="1">IF(N967=1,O$3*L966/Prices!B966,O$3*M966*N967)</f>
        <v>5.7120301136100088E-2</v>
      </c>
      <c r="P967" s="14"/>
      <c r="Q967" s="9">
        <f ca="1">Q966-T967*Prices!B967</f>
        <v>0.48426981551174197</v>
      </c>
      <c r="R967" s="1">
        <f t="shared" ca="1" si="87"/>
        <v>0.39668940925079121</v>
      </c>
      <c r="S967" s="9">
        <f ca="1">IF(Prices!C966&lt;OFFSET(Prices!C966,-S$3,0),1,IF(Prices!C966&gt;OFFSET(Prices!C966,-S$3,0),-1,0))</f>
        <v>-1</v>
      </c>
      <c r="T967" s="1">
        <f ca="1">IF(S967=1,T$3*Q966/Prices!B966,T$3*R966*S967)</f>
        <v>-8.0957022296079834E-3</v>
      </c>
    </row>
    <row r="968" spans="1:20" x14ac:dyDescent="0.2">
      <c r="A968" s="4">
        <v>34862</v>
      </c>
      <c r="B968" s="9">
        <f ca="1">Prices!B967*(1+J968/(50*(ABS(O968)+ABS(T968)+0.0001)))</f>
        <v>1.3764433869558714</v>
      </c>
      <c r="C968" s="13">
        <f t="shared" ca="1" si="88"/>
        <v>1</v>
      </c>
      <c r="D968" s="9">
        <f ca="1">D967+C968*(Prices!B968-Prices!B967)/Prices!B967</f>
        <v>-0.49893888493235772</v>
      </c>
      <c r="E968" s="9">
        <f t="shared" ca="1" si="89"/>
        <v>0.53506283619110406</v>
      </c>
      <c r="F968" s="9">
        <f t="shared" ca="1" si="90"/>
        <v>3.6123951258746317E-2</v>
      </c>
      <c r="G968" s="13">
        <f ca="1">IF((Prices!B968-Prices!B967)*B968&gt;0,1,0)</f>
        <v>0</v>
      </c>
      <c r="H968" s="9">
        <f>ABS(Prices!B968-Prices!B967)/Prices!B967</f>
        <v>4.4460911448684741E-3</v>
      </c>
      <c r="I968" s="13"/>
      <c r="J968" s="1">
        <f t="shared" ca="1" si="91"/>
        <v>5.7802247116759804E-2</v>
      </c>
      <c r="K968" s="9"/>
      <c r="L968" s="9">
        <f ca="1">L967-O968*Prices!B968</f>
        <v>0.61517237689242366</v>
      </c>
      <c r="M968" s="1">
        <f t="shared" ca="1" si="86"/>
        <v>0.33423257058751865</v>
      </c>
      <c r="N968" s="9">
        <f ca="1">IF(Prices!D967&gt;OFFSET(Prices!D967,-$N$3,0),1,IF(Prices!D967&lt;OFFSET(Prices!D967,-$N$3,0),-1,0))</f>
        <v>1</v>
      </c>
      <c r="O968" s="1">
        <f ca="1">IF(N968=1,O$3*L967/Prices!B967,O$3*M967*N968)</f>
        <v>5.0625221321846992E-2</v>
      </c>
      <c r="P968" s="14"/>
      <c r="Q968" s="9">
        <f ca="1">Q967-T968*Prices!B968</f>
        <v>0.47462748135627664</v>
      </c>
      <c r="R968" s="1">
        <f t="shared" ca="1" si="87"/>
        <v>0.40386643504570402</v>
      </c>
      <c r="S968" s="9">
        <f ca="1">IF(Prices!C967&lt;OFFSET(Prices!C967,-S$3,0),1,IF(Prices!C967&gt;OFFSET(Prices!C967,-S$3,0),-1,0))</f>
        <v>1</v>
      </c>
      <c r="T968" s="1">
        <f ca="1">IF(S968=1,T$3*Q967/Prices!B967,T$3*R967*S968)</f>
        <v>7.1770257949128127E-3</v>
      </c>
    </row>
    <row r="969" spans="1:20" x14ac:dyDescent="0.2">
      <c r="A969" s="4">
        <v>34863</v>
      </c>
      <c r="B969" s="9">
        <f ca="1">Prices!B968*(1+J969/(50*(ABS(O969)+ABS(T969)+0.0001)))</f>
        <v>1.3703192581590533</v>
      </c>
      <c r="C969" s="13">
        <f t="shared" ca="1" si="88"/>
        <v>1</v>
      </c>
      <c r="D969" s="9">
        <f ca="1">D968+C969*(Prices!B969-Prices!B968)/Prices!B968</f>
        <v>-0.50050196643589329</v>
      </c>
      <c r="E969" s="9">
        <f t="shared" ca="1" si="89"/>
        <v>0.53662591769463963</v>
      </c>
      <c r="F969" s="9">
        <f t="shared" ca="1" si="90"/>
        <v>3.6123951258746317E-2</v>
      </c>
      <c r="G969" s="13">
        <f ca="1">IF((Prices!B969-Prices!B968)*B969&gt;0,1,0)</f>
        <v>0</v>
      </c>
      <c r="H969" s="9">
        <f>ABS(Prices!B969-Prices!B968)/Prices!B968</f>
        <v>1.5630815035355347E-3</v>
      </c>
      <c r="I969" s="13"/>
      <c r="J969" s="1">
        <f t="shared" ca="1" si="91"/>
        <v>5.2854326249622552E-2</v>
      </c>
      <c r="K969" s="9"/>
      <c r="L969" s="9">
        <f ca="1">L968-O969*Prices!B969</f>
        <v>0.55375129565956194</v>
      </c>
      <c r="M969" s="1">
        <f t="shared" ca="1" si="86"/>
        <v>0.38002135934021114</v>
      </c>
      <c r="N969" s="9">
        <f ca="1">IF(Prices!D968&gt;OFFSET(Prices!D968,-$N$3,0),1,IF(Prices!D968&lt;OFFSET(Prices!D968,-$N$3,0),-1,0))</f>
        <v>1</v>
      </c>
      <c r="O969" s="1">
        <f ca="1">IF(N969=1,O$3*L968/Prices!B968,O$3*M968*N969)</f>
        <v>4.5788788752692496E-2</v>
      </c>
      <c r="P969" s="14"/>
      <c r="Q969" s="9">
        <f ca="1">Q968-T969*Prices!B969</f>
        <v>0.46514976935789465</v>
      </c>
      <c r="R969" s="1">
        <f t="shared" ca="1" si="87"/>
        <v>0.41093197254263408</v>
      </c>
      <c r="S969" s="9">
        <f ca="1">IF(Prices!C968&lt;OFFSET(Prices!C968,-S$3,0),1,IF(Prices!C968&gt;OFFSET(Prices!C968,-S$3,0),-1,0))</f>
        <v>1</v>
      </c>
      <c r="T969" s="1">
        <f ca="1">IF(S969=1,T$3*Q968/Prices!B968,T$3*R968*S969)</f>
        <v>7.0655374969300589E-3</v>
      </c>
    </row>
    <row r="970" spans="1:20" x14ac:dyDescent="0.2">
      <c r="A970" s="4">
        <v>34864</v>
      </c>
      <c r="B970" s="9">
        <f ca="1">Prices!B969*(1+J970/(50*(ABS(O970)+ABS(T970)+0.0001)))</f>
        <v>1.322894026047462</v>
      </c>
      <c r="C970" s="13">
        <f t="shared" ca="1" si="88"/>
        <v>-1</v>
      </c>
      <c r="D970" s="9">
        <f ca="1">D969+C970*(Prices!B970-Prices!B969)/Prices!B969</f>
        <v>-0.50698772758096566</v>
      </c>
      <c r="E970" s="9">
        <f t="shared" ca="1" si="89"/>
        <v>0.54311167883971201</v>
      </c>
      <c r="F970" s="9">
        <f t="shared" ca="1" si="90"/>
        <v>3.6123951258746317E-2</v>
      </c>
      <c r="G970" s="13">
        <f ca="1">IF((Prices!B970-Prices!B969)*B970&gt;0,1,0)</f>
        <v>1</v>
      </c>
      <c r="H970" s="9">
        <f>ABS(Prices!B970-Prices!B969)/Prices!B969</f>
        <v>6.4857611450724259E-3</v>
      </c>
      <c r="I970" s="13"/>
      <c r="J970" s="1">
        <f t="shared" ca="1" si="91"/>
        <v>-3.1066847886341162E-2</v>
      </c>
      <c r="K970" s="9"/>
      <c r="L970" s="9">
        <f ca="1">L969-O970*Prices!B970</f>
        <v>0.6050579793840839</v>
      </c>
      <c r="M970" s="1">
        <f t="shared" ca="1" si="86"/>
        <v>0.34201922340619001</v>
      </c>
      <c r="N970" s="9">
        <f ca="1">IF(Prices!D969&gt;OFFSET(Prices!D969,-$N$3,0),1,IF(Prices!D969&lt;OFFSET(Prices!D969,-$N$3,0),-1,0))</f>
        <v>-1</v>
      </c>
      <c r="O970" s="1">
        <f ca="1">IF(N970=1,O$3*L969/Prices!B969,O$3*M969*N970)</f>
        <v>-3.8002135934021117E-2</v>
      </c>
      <c r="P970" s="14"/>
      <c r="Q970" s="9">
        <f ca="1">Q969-T970*Prices!B970</f>
        <v>0.45578643696472193</v>
      </c>
      <c r="R970" s="1">
        <f t="shared" ca="1" si="87"/>
        <v>0.41786726059031404</v>
      </c>
      <c r="S970" s="9">
        <f ca="1">IF(Prices!C969&lt;OFFSET(Prices!C969,-S$3,0),1,IF(Prices!C969&gt;OFFSET(Prices!C969,-S$3,0),-1,0))</f>
        <v>1</v>
      </c>
      <c r="T970" s="1">
        <f ca="1">IF(S970=1,T$3*Q969/Prices!B969,T$3*R969*S970)</f>
        <v>6.9352880476799567E-3</v>
      </c>
    </row>
    <row r="971" spans="1:20" x14ac:dyDescent="0.2">
      <c r="A971" s="4">
        <v>34865</v>
      </c>
      <c r="B971" s="9">
        <f ca="1">Prices!B970*(1+J971/(50*(ABS(O971)+ABS(T971)+0.0001)))</f>
        <v>1.3320455085270082</v>
      </c>
      <c r="C971" s="13">
        <f t="shared" ca="1" si="88"/>
        <v>-1</v>
      </c>
      <c r="D971" s="9">
        <f ca="1">D970+C971*(Prices!B971-Prices!B970)/Prices!B970</f>
        <v>-0.49854390860459347</v>
      </c>
      <c r="E971" s="9">
        <f t="shared" ca="1" si="89"/>
        <v>0.53466785986333976</v>
      </c>
      <c r="F971" s="9">
        <f t="shared" ca="1" si="90"/>
        <v>3.6123951258746317E-2</v>
      </c>
      <c r="G971" s="13">
        <f ca="1">IF((Prices!B971-Prices!B970)*B971&gt;0,1,0)</f>
        <v>0</v>
      </c>
      <c r="H971" s="9">
        <f>ABS(Prices!B971-Prices!B970)/Prices!B970</f>
        <v>8.4438189763721763E-3</v>
      </c>
      <c r="I971" s="13"/>
      <c r="J971" s="1">
        <f t="shared" ca="1" si="91"/>
        <v>-2.7450030821994872E-2</v>
      </c>
      <c r="K971" s="9"/>
      <c r="L971" s="9">
        <f ca="1">L970-O971*Prices!B971</f>
        <v>0.6508440928214706</v>
      </c>
      <c r="M971" s="1">
        <f t="shared" ca="1" si="86"/>
        <v>0.30781730106557104</v>
      </c>
      <c r="N971" s="9">
        <f ca="1">IF(Prices!D970&gt;OFFSET(Prices!D970,-$N$3,0),1,IF(Prices!D970&lt;OFFSET(Prices!D970,-$N$3,0),-1,0))</f>
        <v>-1</v>
      </c>
      <c r="O971" s="1">
        <f ca="1">IF(N971=1,O$3*L970/Prices!B970,O$3*M970*N971)</f>
        <v>-3.4201922340619001E-2</v>
      </c>
      <c r="P971" s="14"/>
      <c r="Q971" s="9">
        <f ca="1">Q970-T971*Prices!B971</f>
        <v>0.4467476797887398</v>
      </c>
      <c r="R971" s="1">
        <f t="shared" ca="1" si="87"/>
        <v>0.42461915210893819</v>
      </c>
      <c r="S971" s="9">
        <f ca="1">IF(Prices!C970&lt;OFFSET(Prices!C970,-S$3,0),1,IF(Prices!C970&gt;OFFSET(Prices!C970,-S$3,0),-1,0))</f>
        <v>1</v>
      </c>
      <c r="T971" s="1">
        <f ca="1">IF(S971=1,T$3*Q970/Prices!B970,T$3*R970*S971)</f>
        <v>6.7518915186241301E-3</v>
      </c>
    </row>
    <row r="972" spans="1:20" x14ac:dyDescent="0.2">
      <c r="A972" s="4">
        <v>34866</v>
      </c>
      <c r="B972" s="9">
        <f ca="1">Prices!B971*(1+J972/(50*(ABS(O972)+ABS(T972)+0.0001)))</f>
        <v>1.3574784136597156</v>
      </c>
      <c r="C972" s="13">
        <f t="shared" ca="1" si="88"/>
        <v>1</v>
      </c>
      <c r="D972" s="9">
        <f ca="1">D971+C972*(Prices!B972-Prices!B971)/Prices!B971</f>
        <v>-0.49264266112569599</v>
      </c>
      <c r="E972" s="9">
        <f t="shared" ca="1" si="89"/>
        <v>0.52876661238444234</v>
      </c>
      <c r="F972" s="9">
        <f t="shared" ca="1" si="90"/>
        <v>3.6123951258746317E-2</v>
      </c>
      <c r="G972" s="13">
        <f ca="1">IF((Prices!B972-Prices!B971)*B972&gt;0,1,0)</f>
        <v>1</v>
      </c>
      <c r="H972" s="9">
        <f>ABS(Prices!B972-Prices!B971)/Prices!B971</f>
        <v>5.9012474788974513E-3</v>
      </c>
      <c r="I972" s="13"/>
      <c r="J972" s="1">
        <f t="shared" ca="1" si="91"/>
        <v>4.0125237994757861E-2</v>
      </c>
      <c r="K972" s="9"/>
      <c r="L972" s="9">
        <f ca="1">L971-O972*Prices!B972</f>
        <v>0.58537560433313174</v>
      </c>
      <c r="M972" s="1">
        <f t="shared" ca="1" si="86"/>
        <v>0.35643492210250766</v>
      </c>
      <c r="N972" s="9">
        <f ca="1">IF(Prices!D971&gt;OFFSET(Prices!D971,-$N$3,0),1,IF(Prices!D971&lt;OFFSET(Prices!D971,-$N$3,0),-1,0))</f>
        <v>1</v>
      </c>
      <c r="O972" s="1">
        <f ca="1">IF(N972=1,O$3*L971/Prices!B971,O$3*M971*N972)</f>
        <v>4.8617621036936627E-2</v>
      </c>
      <c r="P972" s="14"/>
      <c r="Q972" s="9">
        <f ca="1">Q971-T972*Prices!B972</f>
        <v>0.45818352279333774</v>
      </c>
      <c r="R972" s="1">
        <f t="shared" ca="1" si="87"/>
        <v>0.41612676906675944</v>
      </c>
      <c r="S972" s="9">
        <f ca="1">IF(Prices!C971&lt;OFFSET(Prices!C971,-S$3,0),1,IF(Prices!C971&gt;OFFSET(Prices!C971,-S$3,0),-1,0))</f>
        <v>-1</v>
      </c>
      <c r="T972" s="1">
        <f ca="1">IF(S972=1,T$3*Q971/Prices!B971,T$3*R971*S972)</f>
        <v>-8.4923830421787649E-3</v>
      </c>
    </row>
    <row r="973" spans="1:20" x14ac:dyDescent="0.2">
      <c r="A973" s="4">
        <v>34869</v>
      </c>
      <c r="B973" s="9">
        <f ca="1">Prices!B972*(1+J973/(50*(ABS(O973)+ABS(T973)+0.0001)))</f>
        <v>1.3648414879172721</v>
      </c>
      <c r="C973" s="13">
        <f t="shared" ca="1" si="88"/>
        <v>1</v>
      </c>
      <c r="D973" s="9">
        <f ca="1">D972+C973*(Prices!B973-Prices!B972)/Prices!B972</f>
        <v>-0.49167726679924412</v>
      </c>
      <c r="E973" s="9">
        <f t="shared" ca="1" si="89"/>
        <v>0.52780121805799041</v>
      </c>
      <c r="F973" s="9">
        <f t="shared" ca="1" si="90"/>
        <v>3.6123951258746317E-2</v>
      </c>
      <c r="G973" s="13">
        <f ca="1">IF((Prices!B973-Prices!B972)*B973&gt;0,1,0)</f>
        <v>1</v>
      </c>
      <c r="H973" s="9">
        <f>ABS(Prices!B973-Prices!B972)/Prices!B972</f>
        <v>9.6539432645186311E-4</v>
      </c>
      <c r="I973" s="13"/>
      <c r="J973" s="1">
        <f t="shared" ca="1" si="91"/>
        <v>3.5148102100703418E-2</v>
      </c>
      <c r="K973" s="9"/>
      <c r="L973" s="9">
        <f ca="1">L972-O973*Prices!B973</f>
        <v>0.52678153207109191</v>
      </c>
      <c r="M973" s="1">
        <f t="shared" ca="1" si="86"/>
        <v>0.39990555958454627</v>
      </c>
      <c r="N973" s="9">
        <f ca="1">IF(Prices!D972&gt;OFFSET(Prices!D972,-$N$3,0),1,IF(Prices!D972&lt;OFFSET(Prices!D972,-$N$3,0),-1,0))</f>
        <v>1</v>
      </c>
      <c r="O973" s="1">
        <f ca="1">IF(N973=1,O$3*L972/Prices!B972,O$3*M972*N973)</f>
        <v>4.3470637482038603E-2</v>
      </c>
      <c r="P973" s="14"/>
      <c r="Q973" s="9">
        <f ca="1">Q972-T973*Prices!B973</f>
        <v>0.46940146823383944</v>
      </c>
      <c r="R973" s="1">
        <f t="shared" ca="1" si="87"/>
        <v>0.40780423368542423</v>
      </c>
      <c r="S973" s="9">
        <f ca="1">IF(Prices!C972&lt;OFFSET(Prices!C972,-S$3,0),1,IF(Prices!C972&gt;OFFSET(Prices!C972,-S$3,0),-1,0))</f>
        <v>-1</v>
      </c>
      <c r="T973" s="1">
        <f ca="1">IF(S973=1,T$3*Q972/Prices!B972,T$3*R972*S973)</f>
        <v>-8.3225353813351881E-3</v>
      </c>
    </row>
    <row r="974" spans="1:20" x14ac:dyDescent="0.2">
      <c r="A974" s="4">
        <v>34870</v>
      </c>
      <c r="B974" s="9">
        <f ca="1">Prices!B973*(1+J974/(50*(ABS(O974)+ABS(T974)+0.0001)))</f>
        <v>1.3289796807419005</v>
      </c>
      <c r="C974" s="13">
        <f t="shared" ca="1" si="88"/>
        <v>-1</v>
      </c>
      <c r="D974" s="9">
        <f ca="1">D973+C974*(Prices!B974-Prices!B973)/Prices!B973</f>
        <v>-0.4964253935148758</v>
      </c>
      <c r="E974" s="9">
        <f t="shared" ca="1" si="89"/>
        <v>0.53254934477362215</v>
      </c>
      <c r="F974" s="9">
        <f t="shared" ca="1" si="90"/>
        <v>3.6123951258746317E-2</v>
      </c>
      <c r="G974" s="13">
        <f ca="1">IF((Prices!B974-Prices!B973)*B974&gt;0,1,0)</f>
        <v>1</v>
      </c>
      <c r="H974" s="9">
        <f>ABS(Prices!B974-Prices!B973)/Prices!B973</f>
        <v>4.7481267156316946E-3</v>
      </c>
      <c r="I974" s="13"/>
      <c r="J974" s="1">
        <f t="shared" ca="1" si="91"/>
        <v>-3.3025625796961354E-2</v>
      </c>
      <c r="K974" s="9"/>
      <c r="L974" s="9">
        <f ca="1">L973-O974*Prices!B974</f>
        <v>0.58094074200562706</v>
      </c>
      <c r="M974" s="1">
        <f t="shared" ca="1" si="86"/>
        <v>0.35991500362609163</v>
      </c>
      <c r="N974" s="9">
        <f ca="1">IF(Prices!D973&gt;OFFSET(Prices!D973,-$N$3,0),1,IF(Prices!D973&lt;OFFSET(Prices!D973,-$N$3,0),-1,0))</f>
        <v>-1</v>
      </c>
      <c r="O974" s="1">
        <f ca="1">IF(N974=1,O$3*L973/Prices!B973,O$3*M973*N974)</f>
        <v>-3.9990555958454632E-2</v>
      </c>
      <c r="P974" s="14"/>
      <c r="Q974" s="9">
        <f ca="1">Q973-T974*Prices!B974</f>
        <v>0.45996886331612907</v>
      </c>
      <c r="R974" s="1">
        <f t="shared" ca="1" si="87"/>
        <v>0.41476916384691753</v>
      </c>
      <c r="S974" s="9">
        <f ca="1">IF(Prices!C973&lt;OFFSET(Prices!C973,-S$3,0),1,IF(Prices!C973&gt;OFFSET(Prices!C973,-S$3,0),-1,0))</f>
        <v>1</v>
      </c>
      <c r="T974" s="1">
        <f ca="1">IF(S974=1,T$3*Q973/Prices!B973,T$3*R973*S974)</f>
        <v>6.9649301614932773E-3</v>
      </c>
    </row>
    <row r="975" spans="1:20" x14ac:dyDescent="0.2">
      <c r="A975" s="4">
        <v>34871</v>
      </c>
      <c r="B975" s="9">
        <f ca="1">Prices!B974*(1+J975/(50*(ABS(O975)+ABS(T975)+0.0001)))</f>
        <v>1.3272750225313856</v>
      </c>
      <c r="C975" s="13">
        <f t="shared" ca="1" si="88"/>
        <v>-1</v>
      </c>
      <c r="D975" s="9">
        <f ca="1">D974+C975*(Prices!B975-Prices!B974)/Prices!B974</f>
        <v>-0.49672074904910007</v>
      </c>
      <c r="E975" s="9">
        <f t="shared" ca="1" si="89"/>
        <v>0.53284470030784636</v>
      </c>
      <c r="F975" s="9">
        <f t="shared" ca="1" si="90"/>
        <v>3.6123951258746317E-2</v>
      </c>
      <c r="G975" s="13">
        <f ca="1">IF((Prices!B975-Prices!B974)*B975&gt;0,1,0)</f>
        <v>1</v>
      </c>
      <c r="H975" s="9">
        <f>ABS(Prices!B975-Prices!B974)/Prices!B974</f>
        <v>2.9535553422428999E-4</v>
      </c>
      <c r="I975" s="13"/>
      <c r="J975" s="1">
        <f t="shared" ca="1" si="91"/>
        <v>-4.4286883639547518E-2</v>
      </c>
      <c r="K975" s="9"/>
      <c r="L975" s="9">
        <f ca="1">L974-O975*Prices!B975</f>
        <v>0.62969842754685368</v>
      </c>
      <c r="M975" s="1">
        <f t="shared" ca="1" si="86"/>
        <v>0.32392350326348246</v>
      </c>
      <c r="N975" s="9">
        <f ca="1">IF(Prices!D974&gt;OFFSET(Prices!D974,-$N$3,0),1,IF(Prices!D974&lt;OFFSET(Prices!D974,-$N$3,0),-1,0))</f>
        <v>-1</v>
      </c>
      <c r="O975" s="1">
        <f ca="1">IF(N975=1,O$3*L974/Prices!B974,O$3*M974*N975)</f>
        <v>-3.5991500362609168E-2</v>
      </c>
      <c r="P975" s="14"/>
      <c r="Q975" s="9">
        <f ca="1">Q974-T975*Prices!B975</f>
        <v>0.47120661904139743</v>
      </c>
      <c r="R975" s="1">
        <f t="shared" ca="1" si="87"/>
        <v>0.40647378056997918</v>
      </c>
      <c r="S975" s="9">
        <f ca="1">IF(Prices!C974&lt;OFFSET(Prices!C974,-S$3,0),1,IF(Prices!C974&gt;OFFSET(Prices!C974,-S$3,0),-1,0))</f>
        <v>-1</v>
      </c>
      <c r="T975" s="1">
        <f ca="1">IF(S975=1,T$3*Q974/Prices!B974,T$3*R974*S975)</f>
        <v>-8.2953832769383506E-3</v>
      </c>
    </row>
    <row r="976" spans="1:20" x14ac:dyDescent="0.2">
      <c r="A976" s="4">
        <v>34872</v>
      </c>
      <c r="B976" s="9">
        <f ca="1">Prices!B975*(1+J976/(50*(ABS(O976)+ABS(T976)+0.0001)))</f>
        <v>1.3817433940126918</v>
      </c>
      <c r="C976" s="13">
        <f t="shared" ca="1" si="88"/>
        <v>1</v>
      </c>
      <c r="D976" s="9">
        <f ca="1">D975+C976*(Prices!B976-Prices!B975)/Prices!B975</f>
        <v>-0.49074156546601894</v>
      </c>
      <c r="E976" s="9">
        <f t="shared" ca="1" si="89"/>
        <v>0.52686551672476523</v>
      </c>
      <c r="F976" s="9">
        <f t="shared" ca="1" si="90"/>
        <v>3.6123951258746317E-2</v>
      </c>
      <c r="G976" s="13">
        <f ca="1">IF((Prices!B976-Prices!B975)*B976&gt;0,1,0)</f>
        <v>1</v>
      </c>
      <c r="H976" s="9">
        <f>ABS(Prices!B976-Prices!B975)/Prices!B975</f>
        <v>5.9791835830811223E-3</v>
      </c>
      <c r="I976" s="13"/>
      <c r="J976" s="1">
        <f t="shared" ca="1" si="91"/>
        <v>5.3439119462252396E-2</v>
      </c>
      <c r="K976" s="9"/>
      <c r="L976" s="9">
        <f ca="1">L975-O976*Prices!B976</f>
        <v>0.56635207654214026</v>
      </c>
      <c r="M976" s="1">
        <f t="shared" ca="1" si="86"/>
        <v>0.37040600326694106</v>
      </c>
      <c r="N976" s="9">
        <f ca="1">IF(Prices!D975&gt;OFFSET(Prices!D975,-$N$3,0),1,IF(Prices!D975&lt;OFFSET(Prices!D975,-$N$3,0),-1,0))</f>
        <v>1</v>
      </c>
      <c r="O976" s="1">
        <f ca="1">IF(N976=1,O$3*L975/Prices!B975,O$3*M975*N976)</f>
        <v>4.6482500003458604E-2</v>
      </c>
      <c r="P976" s="14"/>
      <c r="Q976" s="9">
        <f ca="1">Q975-T976*Prices!B976</f>
        <v>0.46172613804295326</v>
      </c>
      <c r="R976" s="1">
        <f t="shared" ca="1" si="87"/>
        <v>0.41343040002877296</v>
      </c>
      <c r="S976" s="9">
        <f ca="1">IF(Prices!C975&lt;OFFSET(Prices!C975,-S$3,0),1,IF(Prices!C975&gt;OFFSET(Prices!C975,-S$3,0),-1,0))</f>
        <v>1</v>
      </c>
      <c r="T976" s="1">
        <f ca="1">IF(S976=1,T$3*Q975/Prices!B975,T$3*R975*S976)</f>
        <v>6.956619458793791E-3</v>
      </c>
    </row>
    <row r="977" spans="1:20" x14ac:dyDescent="0.2">
      <c r="A977" s="4">
        <v>34873</v>
      </c>
      <c r="B977" s="9">
        <f ca="1">Prices!B976*(1+J977/(50*(ABS(O977)+ABS(T977)+0.0001)))</f>
        <v>1.3440169994265005</v>
      </c>
      <c r="C977" s="13">
        <f t="shared" ca="1" si="88"/>
        <v>-1</v>
      </c>
      <c r="D977" s="9">
        <f ca="1">D976+C977*(Prices!B977-Prices!B976)/Prices!B976</f>
        <v>-0.48993440374016034</v>
      </c>
      <c r="E977" s="9">
        <f t="shared" ca="1" si="89"/>
        <v>0.52605835499890663</v>
      </c>
      <c r="F977" s="9">
        <f t="shared" ca="1" si="90"/>
        <v>3.6123951258746317E-2</v>
      </c>
      <c r="G977" s="13">
        <f ca="1">IF((Prices!B977-Prices!B976)*B977&gt;0,1,0)</f>
        <v>0</v>
      </c>
      <c r="H977" s="9">
        <f>ABS(Prices!B977-Prices!B976)/Prices!B976</f>
        <v>8.0716172585860058E-4</v>
      </c>
      <c r="I977" s="13"/>
      <c r="J977" s="1">
        <f t="shared" ca="1" si="91"/>
        <v>-3.0264460936571522E-2</v>
      </c>
      <c r="K977" s="9"/>
      <c r="L977" s="9">
        <f ca="1">L976-O977*Prices!B977</f>
        <v>0.6167902620069996</v>
      </c>
      <c r="M977" s="1">
        <f t="shared" ca="1" si="86"/>
        <v>0.33336540294024697</v>
      </c>
      <c r="N977" s="9">
        <f ca="1">IF(Prices!D976&gt;OFFSET(Prices!D976,-$N$3,0),1,IF(Prices!D976&lt;OFFSET(Prices!D976,-$N$3,0),-1,0))</f>
        <v>-1</v>
      </c>
      <c r="O977" s="1">
        <f ca="1">IF(N977=1,O$3*L976/Prices!B976,O$3*M976*N977)</f>
        <v>-3.7040600326694109E-2</v>
      </c>
      <c r="P977" s="14"/>
      <c r="Q977" s="9">
        <f ca="1">Q976-T977*Prices!B977</f>
        <v>0.45249906903542331</v>
      </c>
      <c r="R977" s="1">
        <f t="shared" ca="1" si="87"/>
        <v>0.42020653941889557</v>
      </c>
      <c r="S977" s="9">
        <f ca="1">IF(Prices!C976&lt;OFFSET(Prices!C976,-S$3,0),1,IF(Prices!C976&gt;OFFSET(Prices!C976,-S$3,0),-1,0))</f>
        <v>1</v>
      </c>
      <c r="T977" s="1">
        <f ca="1">IF(S977=1,T$3*Q976/Prices!B976,T$3*R976*S977)</f>
        <v>6.7761393901225892E-3</v>
      </c>
    </row>
    <row r="978" spans="1:20" x14ac:dyDescent="0.2">
      <c r="A978" s="4">
        <v>34876</v>
      </c>
      <c r="B978" s="9">
        <f ca="1">Prices!B977*(1+J978/(50*(ABS(O978)+ABS(T978)+0.0001)))</f>
        <v>1.343565269393211</v>
      </c>
      <c r="C978" s="13">
        <f t="shared" ca="1" si="88"/>
        <v>-1</v>
      </c>
      <c r="D978" s="9">
        <f ca="1">D977+C978*(Prices!B978-Prices!B977)/Prices!B977</f>
        <v>-0.48435314501944371</v>
      </c>
      <c r="E978" s="9">
        <f t="shared" ca="1" si="89"/>
        <v>0.52047709627819005</v>
      </c>
      <c r="F978" s="9">
        <f t="shared" ca="1" si="90"/>
        <v>3.6123951258746317E-2</v>
      </c>
      <c r="G978" s="13">
        <f ca="1">IF((Prices!B978-Prices!B977)*B978&gt;0,1,0)</f>
        <v>0</v>
      </c>
      <c r="H978" s="9">
        <f>ABS(Prices!B978-Prices!B977)/Prices!B977</f>
        <v>5.5812587207166257E-3</v>
      </c>
      <c r="I978" s="13"/>
      <c r="J978" s="1">
        <f t="shared" ca="1" si="91"/>
        <v>-2.6690449833050571E-2</v>
      </c>
      <c r="K978" s="9"/>
      <c r="L978" s="9">
        <f ca="1">L977-O978*Prices!B978</f>
        <v>0.66193127121913842</v>
      </c>
      <c r="M978" s="1">
        <f t="shared" ref="M978:M981" ca="1" si="92">M977+O978</f>
        <v>0.30002886264622225</v>
      </c>
      <c r="N978" s="9">
        <f ca="1">IF(Prices!D977&gt;OFFSET(Prices!D977,-$N$3,0),1,IF(Prices!D977&lt;OFFSET(Prices!D977,-$N$3,0),-1,0))</f>
        <v>-1</v>
      </c>
      <c r="O978" s="1">
        <f ca="1">IF(N978=1,O$3*L977/Prices!B977,O$3*M977*N978)</f>
        <v>-3.3336540294024698E-2</v>
      </c>
      <c r="P978" s="14"/>
      <c r="Q978" s="9">
        <f ca="1">Q977-T978*Prices!B978</f>
        <v>0.44349959794221822</v>
      </c>
      <c r="R978" s="1">
        <f t="shared" ref="R978:R981" ca="1" si="93">R977+T978</f>
        <v>0.42685262987986972</v>
      </c>
      <c r="S978" s="9">
        <f ca="1">IF(Prices!C977&lt;OFFSET(Prices!C977,-S$3,0),1,IF(Prices!C977&gt;OFFSET(Prices!C977,-S$3,0),-1,0))</f>
        <v>1</v>
      </c>
      <c r="T978" s="1">
        <f ca="1">IF(S978=1,T$3*Q977/Prices!B977,T$3*R977*S978)</f>
        <v>6.6460904609741264E-3</v>
      </c>
    </row>
    <row r="979" spans="1:20" x14ac:dyDescent="0.2">
      <c r="A979" s="4">
        <v>34877</v>
      </c>
      <c r="B979" s="9">
        <f ca="1">Prices!B978*(1+J979/(50*(ABS(O979)+ABS(T979)+0.0001)))</f>
        <v>1.3811332334394726</v>
      </c>
      <c r="C979" s="13">
        <f t="shared" ca="1" si="88"/>
        <v>1</v>
      </c>
      <c r="D979" s="9">
        <f ca="1">D978+C979*(Prices!B979-Prices!B978)/Prices!B978</f>
        <v>-0.47874056101530826</v>
      </c>
      <c r="E979" s="9">
        <f t="shared" ca="1" si="89"/>
        <v>0.51486451227405461</v>
      </c>
      <c r="F979" s="9">
        <f t="shared" ca="1" si="90"/>
        <v>3.6123951258746317E-2</v>
      </c>
      <c r="G979" s="13">
        <f ca="1">IF((Prices!B979-Prices!B978)*B979&gt;0,1,0)</f>
        <v>1</v>
      </c>
      <c r="H979" s="9">
        <f>ABS(Prices!B979-Prices!B978)/Prices!B978</f>
        <v>5.6125840041354614E-3</v>
      </c>
      <c r="I979" s="13"/>
      <c r="J979" s="1">
        <f t="shared" ca="1" si="91"/>
        <v>5.5433955454366884E-2</v>
      </c>
      <c r="K979" s="9"/>
      <c r="L979" s="9">
        <f ca="1">L978-O979*Prices!B979</f>
        <v>0.59536662961075637</v>
      </c>
      <c r="M979" s="1">
        <f t="shared" ca="1" si="92"/>
        <v>0.3489123477078232</v>
      </c>
      <c r="N979" s="9">
        <f ca="1">IF(Prices!D978&gt;OFFSET(Prices!D978,-$N$3,0),1,IF(Prices!D978&lt;OFFSET(Prices!D978,-$N$3,0),-1,0))</f>
        <v>1</v>
      </c>
      <c r="O979" s="1">
        <f ca="1">IF(N979=1,O$3*L978/Prices!B978,O$3*M978*N979)</f>
        <v>4.8883485061600944E-2</v>
      </c>
      <c r="P979" s="14"/>
      <c r="Q979" s="9">
        <f ca="1">Q978-T979*Prices!B979</f>
        <v>0.43457982240838883</v>
      </c>
      <c r="R979" s="1">
        <f t="shared" ca="1" si="93"/>
        <v>0.43340310027263568</v>
      </c>
      <c r="S979" s="9">
        <f ca="1">IF(Prices!C978&lt;OFFSET(Prices!C978,-S$3,0),1,IF(Prices!C978&gt;OFFSET(Prices!C978,-S$3,0),-1,0))</f>
        <v>1</v>
      </c>
      <c r="T979" s="1">
        <f ca="1">IF(S979=1,T$3*Q978/Prices!B978,T$3*R978*S979)</f>
        <v>6.5504703927659431E-3</v>
      </c>
    </row>
    <row r="980" spans="1:20" x14ac:dyDescent="0.2">
      <c r="A980" s="4">
        <v>34878</v>
      </c>
      <c r="B980" s="9">
        <f ca="1">Prices!B979*(1+J980/(50*(ABS(O980)+ABS(T980)+0.0001)))</f>
        <v>1.3798874753366821</v>
      </c>
      <c r="C980" s="13">
        <f t="shared" ca="1" si="88"/>
        <v>1</v>
      </c>
      <c r="D980" s="9">
        <f ca="1">D979+C980*(Prices!B980-Prices!B979)/Prices!B979</f>
        <v>-0.4822655665231293</v>
      </c>
      <c r="E980" s="9">
        <f t="shared" ca="1" si="89"/>
        <v>0.51838951778187559</v>
      </c>
      <c r="F980" s="9">
        <f t="shared" ca="1" si="90"/>
        <v>3.6123951258746317E-2</v>
      </c>
      <c r="G980" s="13">
        <f ca="1">IF((Prices!B980-Prices!B979)*B980&gt;0,1,0)</f>
        <v>0</v>
      </c>
      <c r="H980" s="9">
        <f>ABS(Prices!B980-Prices!B979)/Prices!B979</f>
        <v>3.5250055078210442E-3</v>
      </c>
      <c r="I980" s="13"/>
      <c r="J980" s="1">
        <f t="shared" ca="1" si="91"/>
        <v>3.5054243172689056E-2</v>
      </c>
      <c r="K980" s="9"/>
      <c r="L980" s="9">
        <f ca="1">L979-O980*Prices!B980</f>
        <v>0.53603983371453578</v>
      </c>
      <c r="M980" s="1">
        <f t="shared" ca="1" si="92"/>
        <v>0.392634652885965</v>
      </c>
      <c r="N980" s="9">
        <f ca="1">IF(Prices!D979&gt;OFFSET(Prices!D979,-$N$3,0),1,IF(Prices!D979&lt;OFFSET(Prices!D979,-$N$3,0),-1,0))</f>
        <v>1</v>
      </c>
      <c r="O980" s="1">
        <f ca="1">IF(N980=1,O$3*L979/Prices!B979,O$3*M979*N980)</f>
        <v>4.3722305178141768E-2</v>
      </c>
      <c r="P980" s="14"/>
      <c r="Q980" s="9">
        <f ca="1">Q979-T980*Prices!B980</f>
        <v>0.4463415157435876</v>
      </c>
      <c r="R980" s="1">
        <f t="shared" ca="1" si="93"/>
        <v>0.42473503826718295</v>
      </c>
      <c r="S980" s="9">
        <f ca="1">IF(Prices!C979&lt;OFFSET(Prices!C979,-S$3,0),1,IF(Prices!C979&gt;OFFSET(Prices!C979,-S$3,0),-1,0))</f>
        <v>-1</v>
      </c>
      <c r="T980" s="1">
        <f ca="1">IF(S980=1,T$3*Q979/Prices!B979,T$3*R979*S980)</f>
        <v>-8.6680620054527136E-3</v>
      </c>
    </row>
    <row r="981" spans="1:20" x14ac:dyDescent="0.2">
      <c r="A981" s="4">
        <v>34879</v>
      </c>
      <c r="B981" s="9">
        <f ca="1">Prices!B980*(1+J981/(50*(ABS(O981)+ABS(T981)+0.0001)))</f>
        <v>1.3743960549061298</v>
      </c>
      <c r="C981" s="13">
        <f t="shared" ca="1" si="88"/>
        <v>1</v>
      </c>
      <c r="D981" s="9">
        <f ca="1">D980+C981*(Prices!B981-Prices!B980)/Prices!B980</f>
        <v>-0.48204447432768383</v>
      </c>
      <c r="E981" s="9">
        <f t="shared" ca="1" si="89"/>
        <v>0.51816842558643017</v>
      </c>
      <c r="F981" s="9">
        <f t="shared" ca="1" si="90"/>
        <v>3.6123951258746317E-2</v>
      </c>
      <c r="G981" s="13">
        <f ca="1">IF((Prices!B981-Prices!B980)*B981&gt;0,1,0)</f>
        <v>1</v>
      </c>
      <c r="H981" s="9">
        <f>ABS(Prices!B981-Prices!B980)/Prices!B980</f>
        <v>2.2109219544547642E-4</v>
      </c>
      <c r="I981" s="13"/>
      <c r="J981" s="1">
        <f t="shared" ca="1" si="91"/>
        <v>3.1010040462052309E-2</v>
      </c>
      <c r="K981" s="9"/>
      <c r="L981" s="9">
        <f ca="1">L980-O981*Prices!B981</f>
        <v>0.48242399892071397</v>
      </c>
      <c r="M981" s="1">
        <f t="shared" ca="1" si="92"/>
        <v>0.43213939411336094</v>
      </c>
      <c r="N981" s="9">
        <f ca="1">IF(Prices!D980&gt;OFFSET(Prices!D980,-$N$3,0),1,IF(Prices!D980&lt;OFFSET(Prices!D980,-$N$3,0),-1,0))</f>
        <v>1</v>
      </c>
      <c r="O981" s="1">
        <f ca="1">IF(N981=1,O$3*L980/Prices!B980,O$3*M980*N981)</f>
        <v>3.9504741227395966E-2</v>
      </c>
      <c r="P981" s="14"/>
      <c r="Q981" s="9">
        <f ca="1">Q980-T981*Prices!B981</f>
        <v>0.45787052362231201</v>
      </c>
      <c r="R981" s="1">
        <f t="shared" ca="1" si="93"/>
        <v>0.41624033750183931</v>
      </c>
      <c r="S981" s="9">
        <f ca="1">IF(Prices!C980&lt;OFFSET(Prices!C980,-S$3,0),1,IF(Prices!C980&gt;OFFSET(Prices!C980,-S$3,0),-1,0))</f>
        <v>-1</v>
      </c>
      <c r="T981" s="1">
        <f ca="1">IF(S981=1,T$3*Q980/Prices!B980,T$3*R980*S981)</f>
        <v>-8.4947007653436591E-3</v>
      </c>
    </row>
    <row r="982" spans="1:20" x14ac:dyDescent="0.2">
      <c r="A982" s="4">
        <v>34880</v>
      </c>
      <c r="B982" s="9">
        <f ca="1">Prices!B981*(1+J982/(50*(ABS(O982)+ABS(T982)+0.0001)))</f>
        <v>1.3842678502098009</v>
      </c>
      <c r="C982" s="13">
        <f t="shared" ref="C982:C983" ca="1" si="94">IF(J982&gt;0,1,IF(J982&lt;0,-1,0))</f>
        <v>1</v>
      </c>
      <c r="D982" s="26">
        <f ca="1">D981+C982*(Prices!B982-Prices!B981)/Prices!B981</f>
        <v>-0.47961299775827615</v>
      </c>
      <c r="E982" s="9">
        <f t="shared" ref="E982" ca="1" si="95">F982-D982</f>
        <v>0.51573694901702249</v>
      </c>
      <c r="F982" s="9">
        <f t="shared" ref="F982" ca="1" si="96">MAX(F981,D982)</f>
        <v>3.6123951258746317E-2</v>
      </c>
      <c r="G982" s="13">
        <f ca="1">IF((Prices!B982-Prices!B981)*B982&gt;0,1,0)</f>
        <v>1</v>
      </c>
      <c r="H982" s="9">
        <f>ABS(Prices!B982-Prices!B981)/Prices!B981</f>
        <v>2.4314765694076635E-3</v>
      </c>
      <c r="I982" s="13"/>
      <c r="J982" s="1">
        <f t="shared" ref="J982:J983" ca="1" si="97">O982+T982</f>
        <v>3.5545534845322281E-2</v>
      </c>
      <c r="K982" s="9"/>
      <c r="L982" s="9">
        <f ca="1">L981-O982*Prices!B982</f>
        <v>0.43406429876365299</v>
      </c>
      <c r="M982" s="1">
        <f t="shared" ref="M982" ca="1" si="98">M981+O982</f>
        <v>0.46768492895868324</v>
      </c>
      <c r="N982" s="9">
        <f ca="1">IF(Prices!D981&gt;OFFSET(Prices!D981,-$N$3,0),1,IF(Prices!D981&lt;OFFSET(Prices!D981,-$N$3,0),-1,0))</f>
        <v>1</v>
      </c>
      <c r="O982" s="1">
        <f ca="1">IF(N982=1,O$3*L981/Prices!B981,O$3*M981*N982)</f>
        <v>3.5545534845322281E-2</v>
      </c>
      <c r="P982" s="14"/>
      <c r="Q982" s="9">
        <f ca="1">Q981-T982*Prices!B982</f>
        <v>0.45787052362231201</v>
      </c>
      <c r="R982" s="1">
        <f t="shared" ref="R982" ca="1" si="99">R981+T982</f>
        <v>0.41624033750183931</v>
      </c>
      <c r="S982" s="9">
        <f ca="1">IF(Prices!C981&lt;OFFSET(Prices!C981,-S$3,0),1,IF(Prices!C981&gt;OFFSET(Prices!C981,-S$3,0),-1,0))</f>
        <v>0</v>
      </c>
      <c r="T982" s="1">
        <f ca="1">IF(S982=1,T$3*Q981/Prices!B981,T$3*R981*S982)</f>
        <v>0</v>
      </c>
    </row>
    <row r="983" spans="1:20" x14ac:dyDescent="0.2">
      <c r="B983" s="9">
        <f ca="1">Prices!B982*(1+J983/(50*(ABS(O983)+ABS(T983)+0.0001)))</f>
        <v>1.3764091855430249</v>
      </c>
      <c r="C983" s="13">
        <f t="shared" ca="1" si="94"/>
        <v>1</v>
      </c>
      <c r="J983" s="1">
        <f t="shared" ca="1" si="97"/>
        <v>2.357995611388479E-2</v>
      </c>
      <c r="L983" s="9"/>
      <c r="M983" s="1"/>
      <c r="N983" s="9">
        <f ca="1">IF(Prices!D982&gt;OFFSET(Prices!D982,-$N$3,0),1,IF(Prices!D982&lt;OFFSET(Prices!D982,-$N$3,0),-1,0))</f>
        <v>1</v>
      </c>
      <c r="O983" s="1">
        <f ca="1">IF(N983=1,O$3*L982/Prices!B982,O$3*M982*N983)</f>
        <v>3.1904762863921576E-2</v>
      </c>
      <c r="Q983" s="9"/>
      <c r="R983" s="1"/>
      <c r="S983" s="9">
        <f ca="1">IF(Prices!C982&lt;OFFSET(Prices!C982,-S$3,0),1,IF(Prices!C982&gt;OFFSET(Prices!C982,-S$3,0),-1,0))</f>
        <v>-1</v>
      </c>
      <c r="T983" s="1">
        <f ca="1">IF(S983=1,T$3*Q982/Prices!B982,T$3*R982*S983)</f>
        <v>-8.3248067500367867E-3</v>
      </c>
    </row>
  </sheetData>
  <mergeCells count="3">
    <mergeCell ref="L1:O1"/>
    <mergeCell ref="Q1:T1"/>
    <mergeCell ref="W1:Z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K982"/>
  <sheetViews>
    <sheetView zoomScale="110" zoomScaleNormal="110" workbookViewId="0">
      <pane ySplit="825" topLeftCell="A2" activePane="bottomLeft"/>
      <selection activeCell="D1" sqref="D1:F1"/>
      <selection pane="bottomLeft" activeCell="B4" sqref="B4"/>
    </sheetView>
  </sheetViews>
  <sheetFormatPr defaultColWidth="11.42578125" defaultRowHeight="11.25" x14ac:dyDescent="0.2"/>
  <cols>
    <col min="1" max="1" width="9.7109375" style="4" customWidth="1"/>
    <col min="2" max="4" width="9.140625" style="9" customWidth="1"/>
    <col min="5" max="207" width="11.42578125" style="10"/>
    <col min="208" max="208" width="9.7109375" style="10" customWidth="1"/>
    <col min="209" max="222" width="9.140625" style="10" customWidth="1"/>
    <col min="223" max="223" width="11.42578125" style="10"/>
    <col min="224" max="227" width="6.28515625" style="10" customWidth="1"/>
    <col min="228" max="463" width="11.42578125" style="10"/>
    <col min="464" max="464" width="9.7109375" style="10" customWidth="1"/>
    <col min="465" max="478" width="9.140625" style="10" customWidth="1"/>
    <col min="479" max="479" width="11.42578125" style="10"/>
    <col min="480" max="483" width="6.28515625" style="10" customWidth="1"/>
    <col min="484" max="719" width="11.42578125" style="10"/>
    <col min="720" max="720" width="9.7109375" style="10" customWidth="1"/>
    <col min="721" max="734" width="9.140625" style="10" customWidth="1"/>
    <col min="735" max="735" width="11.42578125" style="10"/>
    <col min="736" max="739" width="6.28515625" style="10" customWidth="1"/>
    <col min="740" max="975" width="11.42578125" style="10"/>
    <col min="976" max="976" width="9.7109375" style="10" customWidth="1"/>
    <col min="977" max="990" width="9.140625" style="10" customWidth="1"/>
    <col min="991" max="991" width="11.42578125" style="10"/>
    <col min="992" max="995" width="6.28515625" style="10" customWidth="1"/>
    <col min="996" max="1231" width="11.42578125" style="10"/>
    <col min="1232" max="1232" width="9.7109375" style="10" customWidth="1"/>
    <col min="1233" max="1246" width="9.140625" style="10" customWidth="1"/>
    <col min="1247" max="1247" width="11.42578125" style="10"/>
    <col min="1248" max="1251" width="6.28515625" style="10" customWidth="1"/>
    <col min="1252" max="1487" width="11.42578125" style="10"/>
    <col min="1488" max="1488" width="9.7109375" style="10" customWidth="1"/>
    <col min="1489" max="1502" width="9.140625" style="10" customWidth="1"/>
    <col min="1503" max="1503" width="11.42578125" style="10"/>
    <col min="1504" max="1507" width="6.28515625" style="10" customWidth="1"/>
    <col min="1508" max="1743" width="11.42578125" style="10"/>
    <col min="1744" max="1744" width="9.7109375" style="10" customWidth="1"/>
    <col min="1745" max="1758" width="9.140625" style="10" customWidth="1"/>
    <col min="1759" max="1759" width="11.42578125" style="10"/>
    <col min="1760" max="1763" width="6.28515625" style="10" customWidth="1"/>
    <col min="1764" max="1999" width="11.42578125" style="10"/>
    <col min="2000" max="2000" width="9.7109375" style="10" customWidth="1"/>
    <col min="2001" max="2014" width="9.140625" style="10" customWidth="1"/>
    <col min="2015" max="2015" width="11.42578125" style="10"/>
    <col min="2016" max="2019" width="6.28515625" style="10" customWidth="1"/>
    <col min="2020" max="2255" width="11.42578125" style="10"/>
    <col min="2256" max="2256" width="9.7109375" style="10" customWidth="1"/>
    <col min="2257" max="2270" width="9.140625" style="10" customWidth="1"/>
    <col min="2271" max="2271" width="11.42578125" style="10"/>
    <col min="2272" max="2275" width="6.28515625" style="10" customWidth="1"/>
    <col min="2276" max="2511" width="11.42578125" style="10"/>
    <col min="2512" max="2512" width="9.7109375" style="10" customWidth="1"/>
    <col min="2513" max="2526" width="9.140625" style="10" customWidth="1"/>
    <col min="2527" max="2527" width="11.42578125" style="10"/>
    <col min="2528" max="2531" width="6.28515625" style="10" customWidth="1"/>
    <col min="2532" max="2767" width="11.42578125" style="10"/>
    <col min="2768" max="2768" width="9.7109375" style="10" customWidth="1"/>
    <col min="2769" max="2782" width="9.140625" style="10" customWidth="1"/>
    <col min="2783" max="2783" width="11.42578125" style="10"/>
    <col min="2784" max="2787" width="6.28515625" style="10" customWidth="1"/>
    <col min="2788" max="3023" width="11.42578125" style="10"/>
    <col min="3024" max="3024" width="9.7109375" style="10" customWidth="1"/>
    <col min="3025" max="3038" width="9.140625" style="10" customWidth="1"/>
    <col min="3039" max="3039" width="11.42578125" style="10"/>
    <col min="3040" max="3043" width="6.28515625" style="10" customWidth="1"/>
    <col min="3044" max="3279" width="11.42578125" style="10"/>
    <col min="3280" max="3280" width="9.7109375" style="10" customWidth="1"/>
    <col min="3281" max="3294" width="9.140625" style="10" customWidth="1"/>
    <col min="3295" max="3295" width="11.42578125" style="10"/>
    <col min="3296" max="3299" width="6.28515625" style="10" customWidth="1"/>
    <col min="3300" max="3535" width="11.42578125" style="10"/>
    <col min="3536" max="3536" width="9.7109375" style="10" customWidth="1"/>
    <col min="3537" max="3550" width="9.140625" style="10" customWidth="1"/>
    <col min="3551" max="3551" width="11.42578125" style="10"/>
    <col min="3552" max="3555" width="6.28515625" style="10" customWidth="1"/>
    <col min="3556" max="3791" width="11.42578125" style="10"/>
    <col min="3792" max="3792" width="9.7109375" style="10" customWidth="1"/>
    <col min="3793" max="3806" width="9.140625" style="10" customWidth="1"/>
    <col min="3807" max="3807" width="11.42578125" style="10"/>
    <col min="3808" max="3811" width="6.28515625" style="10" customWidth="1"/>
    <col min="3812" max="4047" width="11.42578125" style="10"/>
    <col min="4048" max="4048" width="9.7109375" style="10" customWidth="1"/>
    <col min="4049" max="4062" width="9.140625" style="10" customWidth="1"/>
    <col min="4063" max="4063" width="11.42578125" style="10"/>
    <col min="4064" max="4067" width="6.28515625" style="10" customWidth="1"/>
    <col min="4068" max="4303" width="11.42578125" style="10"/>
    <col min="4304" max="4304" width="9.7109375" style="10" customWidth="1"/>
    <col min="4305" max="4318" width="9.140625" style="10" customWidth="1"/>
    <col min="4319" max="4319" width="11.42578125" style="10"/>
    <col min="4320" max="4323" width="6.28515625" style="10" customWidth="1"/>
    <col min="4324" max="4559" width="11.42578125" style="10"/>
    <col min="4560" max="4560" width="9.7109375" style="10" customWidth="1"/>
    <col min="4561" max="4574" width="9.140625" style="10" customWidth="1"/>
    <col min="4575" max="4575" width="11.42578125" style="10"/>
    <col min="4576" max="4579" width="6.28515625" style="10" customWidth="1"/>
    <col min="4580" max="4815" width="11.42578125" style="10"/>
    <col min="4816" max="4816" width="9.7109375" style="10" customWidth="1"/>
    <col min="4817" max="4830" width="9.140625" style="10" customWidth="1"/>
    <col min="4831" max="4831" width="11.42578125" style="10"/>
    <col min="4832" max="4835" width="6.28515625" style="10" customWidth="1"/>
    <col min="4836" max="5071" width="11.42578125" style="10"/>
    <col min="5072" max="5072" width="9.7109375" style="10" customWidth="1"/>
    <col min="5073" max="5086" width="9.140625" style="10" customWidth="1"/>
    <col min="5087" max="5087" width="11.42578125" style="10"/>
    <col min="5088" max="5091" width="6.28515625" style="10" customWidth="1"/>
    <col min="5092" max="5327" width="11.42578125" style="10"/>
    <col min="5328" max="5328" width="9.7109375" style="10" customWidth="1"/>
    <col min="5329" max="5342" width="9.140625" style="10" customWidth="1"/>
    <col min="5343" max="5343" width="11.42578125" style="10"/>
    <col min="5344" max="5347" width="6.28515625" style="10" customWidth="1"/>
    <col min="5348" max="5583" width="11.42578125" style="10"/>
    <col min="5584" max="5584" width="9.7109375" style="10" customWidth="1"/>
    <col min="5585" max="5598" width="9.140625" style="10" customWidth="1"/>
    <col min="5599" max="5599" width="11.42578125" style="10"/>
    <col min="5600" max="5603" width="6.28515625" style="10" customWidth="1"/>
    <col min="5604" max="5839" width="11.42578125" style="10"/>
    <col min="5840" max="5840" width="9.7109375" style="10" customWidth="1"/>
    <col min="5841" max="5854" width="9.140625" style="10" customWidth="1"/>
    <col min="5855" max="5855" width="11.42578125" style="10"/>
    <col min="5856" max="5859" width="6.28515625" style="10" customWidth="1"/>
    <col min="5860" max="6095" width="11.42578125" style="10"/>
    <col min="6096" max="6096" width="9.7109375" style="10" customWidth="1"/>
    <col min="6097" max="6110" width="9.140625" style="10" customWidth="1"/>
    <col min="6111" max="6111" width="11.42578125" style="10"/>
    <col min="6112" max="6115" width="6.28515625" style="10" customWidth="1"/>
    <col min="6116" max="6351" width="11.42578125" style="10"/>
    <col min="6352" max="6352" width="9.7109375" style="10" customWidth="1"/>
    <col min="6353" max="6366" width="9.140625" style="10" customWidth="1"/>
    <col min="6367" max="6367" width="11.42578125" style="10"/>
    <col min="6368" max="6371" width="6.28515625" style="10" customWidth="1"/>
    <col min="6372" max="6607" width="11.42578125" style="10"/>
    <col min="6608" max="6608" width="9.7109375" style="10" customWidth="1"/>
    <col min="6609" max="6622" width="9.140625" style="10" customWidth="1"/>
    <col min="6623" max="6623" width="11.42578125" style="10"/>
    <col min="6624" max="6627" width="6.28515625" style="10" customWidth="1"/>
    <col min="6628" max="6863" width="11.42578125" style="10"/>
    <col min="6864" max="6864" width="9.7109375" style="10" customWidth="1"/>
    <col min="6865" max="6878" width="9.140625" style="10" customWidth="1"/>
    <col min="6879" max="6879" width="11.42578125" style="10"/>
    <col min="6880" max="6883" width="6.28515625" style="10" customWidth="1"/>
    <col min="6884" max="7119" width="11.42578125" style="10"/>
    <col min="7120" max="7120" width="9.7109375" style="10" customWidth="1"/>
    <col min="7121" max="7134" width="9.140625" style="10" customWidth="1"/>
    <col min="7135" max="7135" width="11.42578125" style="10"/>
    <col min="7136" max="7139" width="6.28515625" style="10" customWidth="1"/>
    <col min="7140" max="7375" width="11.42578125" style="10"/>
    <col min="7376" max="7376" width="9.7109375" style="10" customWidth="1"/>
    <col min="7377" max="7390" width="9.140625" style="10" customWidth="1"/>
    <col min="7391" max="7391" width="11.42578125" style="10"/>
    <col min="7392" max="7395" width="6.28515625" style="10" customWidth="1"/>
    <col min="7396" max="7631" width="11.42578125" style="10"/>
    <col min="7632" max="7632" width="9.7109375" style="10" customWidth="1"/>
    <col min="7633" max="7646" width="9.140625" style="10" customWidth="1"/>
    <col min="7647" max="7647" width="11.42578125" style="10"/>
    <col min="7648" max="7651" width="6.28515625" style="10" customWidth="1"/>
    <col min="7652" max="7887" width="11.42578125" style="10"/>
    <col min="7888" max="7888" width="9.7109375" style="10" customWidth="1"/>
    <col min="7889" max="7902" width="9.140625" style="10" customWidth="1"/>
    <col min="7903" max="7903" width="11.42578125" style="10"/>
    <col min="7904" max="7907" width="6.28515625" style="10" customWidth="1"/>
    <col min="7908" max="8143" width="11.42578125" style="10"/>
    <col min="8144" max="8144" width="9.7109375" style="10" customWidth="1"/>
    <col min="8145" max="8158" width="9.140625" style="10" customWidth="1"/>
    <col min="8159" max="8159" width="11.42578125" style="10"/>
    <col min="8160" max="8163" width="6.28515625" style="10" customWidth="1"/>
    <col min="8164" max="8399" width="11.42578125" style="10"/>
    <col min="8400" max="8400" width="9.7109375" style="10" customWidth="1"/>
    <col min="8401" max="8414" width="9.140625" style="10" customWidth="1"/>
    <col min="8415" max="8415" width="11.42578125" style="10"/>
    <col min="8416" max="8419" width="6.28515625" style="10" customWidth="1"/>
    <col min="8420" max="8655" width="11.42578125" style="10"/>
    <col min="8656" max="8656" width="9.7109375" style="10" customWidth="1"/>
    <col min="8657" max="8670" width="9.140625" style="10" customWidth="1"/>
    <col min="8671" max="8671" width="11.42578125" style="10"/>
    <col min="8672" max="8675" width="6.28515625" style="10" customWidth="1"/>
    <col min="8676" max="8911" width="11.42578125" style="10"/>
    <col min="8912" max="8912" width="9.7109375" style="10" customWidth="1"/>
    <col min="8913" max="8926" width="9.140625" style="10" customWidth="1"/>
    <col min="8927" max="8927" width="11.42578125" style="10"/>
    <col min="8928" max="8931" width="6.28515625" style="10" customWidth="1"/>
    <col min="8932" max="9167" width="11.42578125" style="10"/>
    <col min="9168" max="9168" width="9.7109375" style="10" customWidth="1"/>
    <col min="9169" max="9182" width="9.140625" style="10" customWidth="1"/>
    <col min="9183" max="9183" width="11.42578125" style="10"/>
    <col min="9184" max="9187" width="6.28515625" style="10" customWidth="1"/>
    <col min="9188" max="9423" width="11.42578125" style="10"/>
    <col min="9424" max="9424" width="9.7109375" style="10" customWidth="1"/>
    <col min="9425" max="9438" width="9.140625" style="10" customWidth="1"/>
    <col min="9439" max="9439" width="11.42578125" style="10"/>
    <col min="9440" max="9443" width="6.28515625" style="10" customWidth="1"/>
    <col min="9444" max="9679" width="11.42578125" style="10"/>
    <col min="9680" max="9680" width="9.7109375" style="10" customWidth="1"/>
    <col min="9681" max="9694" width="9.140625" style="10" customWidth="1"/>
    <col min="9695" max="9695" width="11.42578125" style="10"/>
    <col min="9696" max="9699" width="6.28515625" style="10" customWidth="1"/>
    <col min="9700" max="9935" width="11.42578125" style="10"/>
    <col min="9936" max="9936" width="9.7109375" style="10" customWidth="1"/>
    <col min="9937" max="9950" width="9.140625" style="10" customWidth="1"/>
    <col min="9951" max="9951" width="11.42578125" style="10"/>
    <col min="9952" max="9955" width="6.28515625" style="10" customWidth="1"/>
    <col min="9956" max="10191" width="11.42578125" style="10"/>
    <col min="10192" max="10192" width="9.7109375" style="10" customWidth="1"/>
    <col min="10193" max="10206" width="9.140625" style="10" customWidth="1"/>
    <col min="10207" max="10207" width="11.42578125" style="10"/>
    <col min="10208" max="10211" width="6.28515625" style="10" customWidth="1"/>
    <col min="10212" max="10447" width="11.42578125" style="10"/>
    <col min="10448" max="10448" width="9.7109375" style="10" customWidth="1"/>
    <col min="10449" max="10462" width="9.140625" style="10" customWidth="1"/>
    <col min="10463" max="10463" width="11.42578125" style="10"/>
    <col min="10464" max="10467" width="6.28515625" style="10" customWidth="1"/>
    <col min="10468" max="10703" width="11.42578125" style="10"/>
    <col min="10704" max="10704" width="9.7109375" style="10" customWidth="1"/>
    <col min="10705" max="10718" width="9.140625" style="10" customWidth="1"/>
    <col min="10719" max="10719" width="11.42578125" style="10"/>
    <col min="10720" max="10723" width="6.28515625" style="10" customWidth="1"/>
    <col min="10724" max="10959" width="11.42578125" style="10"/>
    <col min="10960" max="10960" width="9.7109375" style="10" customWidth="1"/>
    <col min="10961" max="10974" width="9.140625" style="10" customWidth="1"/>
    <col min="10975" max="10975" width="11.42578125" style="10"/>
    <col min="10976" max="10979" width="6.28515625" style="10" customWidth="1"/>
    <col min="10980" max="11215" width="11.42578125" style="10"/>
    <col min="11216" max="11216" width="9.7109375" style="10" customWidth="1"/>
    <col min="11217" max="11230" width="9.140625" style="10" customWidth="1"/>
    <col min="11231" max="11231" width="11.42578125" style="10"/>
    <col min="11232" max="11235" width="6.28515625" style="10" customWidth="1"/>
    <col min="11236" max="11471" width="11.42578125" style="10"/>
    <col min="11472" max="11472" width="9.7109375" style="10" customWidth="1"/>
    <col min="11473" max="11486" width="9.140625" style="10" customWidth="1"/>
    <col min="11487" max="11487" width="11.42578125" style="10"/>
    <col min="11488" max="11491" width="6.28515625" style="10" customWidth="1"/>
    <col min="11492" max="11727" width="11.42578125" style="10"/>
    <col min="11728" max="11728" width="9.7109375" style="10" customWidth="1"/>
    <col min="11729" max="11742" width="9.140625" style="10" customWidth="1"/>
    <col min="11743" max="11743" width="11.42578125" style="10"/>
    <col min="11744" max="11747" width="6.28515625" style="10" customWidth="1"/>
    <col min="11748" max="11983" width="11.42578125" style="10"/>
    <col min="11984" max="11984" width="9.7109375" style="10" customWidth="1"/>
    <col min="11985" max="11998" width="9.140625" style="10" customWidth="1"/>
    <col min="11999" max="11999" width="11.42578125" style="10"/>
    <col min="12000" max="12003" width="6.28515625" style="10" customWidth="1"/>
    <col min="12004" max="12239" width="11.42578125" style="10"/>
    <col min="12240" max="12240" width="9.7109375" style="10" customWidth="1"/>
    <col min="12241" max="12254" width="9.140625" style="10" customWidth="1"/>
    <col min="12255" max="12255" width="11.42578125" style="10"/>
    <col min="12256" max="12259" width="6.28515625" style="10" customWidth="1"/>
    <col min="12260" max="12495" width="11.42578125" style="10"/>
    <col min="12496" max="12496" width="9.7109375" style="10" customWidth="1"/>
    <col min="12497" max="12510" width="9.140625" style="10" customWidth="1"/>
    <col min="12511" max="12511" width="11.42578125" style="10"/>
    <col min="12512" max="12515" width="6.28515625" style="10" customWidth="1"/>
    <col min="12516" max="12751" width="11.42578125" style="10"/>
    <col min="12752" max="12752" width="9.7109375" style="10" customWidth="1"/>
    <col min="12753" max="12766" width="9.140625" style="10" customWidth="1"/>
    <col min="12767" max="12767" width="11.42578125" style="10"/>
    <col min="12768" max="12771" width="6.28515625" style="10" customWidth="1"/>
    <col min="12772" max="13007" width="11.42578125" style="10"/>
    <col min="13008" max="13008" width="9.7109375" style="10" customWidth="1"/>
    <col min="13009" max="13022" width="9.140625" style="10" customWidth="1"/>
    <col min="13023" max="13023" width="11.42578125" style="10"/>
    <col min="13024" max="13027" width="6.28515625" style="10" customWidth="1"/>
    <col min="13028" max="13263" width="11.42578125" style="10"/>
    <col min="13264" max="13264" width="9.7109375" style="10" customWidth="1"/>
    <col min="13265" max="13278" width="9.140625" style="10" customWidth="1"/>
    <col min="13279" max="13279" width="11.42578125" style="10"/>
    <col min="13280" max="13283" width="6.28515625" style="10" customWidth="1"/>
    <col min="13284" max="13519" width="11.42578125" style="10"/>
    <col min="13520" max="13520" width="9.7109375" style="10" customWidth="1"/>
    <col min="13521" max="13534" width="9.140625" style="10" customWidth="1"/>
    <col min="13535" max="13535" width="11.42578125" style="10"/>
    <col min="13536" max="13539" width="6.28515625" style="10" customWidth="1"/>
    <col min="13540" max="13775" width="11.42578125" style="10"/>
    <col min="13776" max="13776" width="9.7109375" style="10" customWidth="1"/>
    <col min="13777" max="13790" width="9.140625" style="10" customWidth="1"/>
    <col min="13791" max="13791" width="11.42578125" style="10"/>
    <col min="13792" max="13795" width="6.28515625" style="10" customWidth="1"/>
    <col min="13796" max="14031" width="11.42578125" style="10"/>
    <col min="14032" max="14032" width="9.7109375" style="10" customWidth="1"/>
    <col min="14033" max="14046" width="9.140625" style="10" customWidth="1"/>
    <col min="14047" max="14047" width="11.42578125" style="10"/>
    <col min="14048" max="14051" width="6.28515625" style="10" customWidth="1"/>
    <col min="14052" max="14287" width="11.42578125" style="10"/>
    <col min="14288" max="14288" width="9.7109375" style="10" customWidth="1"/>
    <col min="14289" max="14302" width="9.140625" style="10" customWidth="1"/>
    <col min="14303" max="14303" width="11.42578125" style="10"/>
    <col min="14304" max="14307" width="6.28515625" style="10" customWidth="1"/>
    <col min="14308" max="14543" width="11.42578125" style="10"/>
    <col min="14544" max="14544" width="9.7109375" style="10" customWidth="1"/>
    <col min="14545" max="14558" width="9.140625" style="10" customWidth="1"/>
    <col min="14559" max="14559" width="11.42578125" style="10"/>
    <col min="14560" max="14563" width="6.28515625" style="10" customWidth="1"/>
    <col min="14564" max="14799" width="11.42578125" style="10"/>
    <col min="14800" max="14800" width="9.7109375" style="10" customWidth="1"/>
    <col min="14801" max="14814" width="9.140625" style="10" customWidth="1"/>
    <col min="14815" max="14815" width="11.42578125" style="10"/>
    <col min="14816" max="14819" width="6.28515625" style="10" customWidth="1"/>
    <col min="14820" max="15055" width="11.42578125" style="10"/>
    <col min="15056" max="15056" width="9.7109375" style="10" customWidth="1"/>
    <col min="15057" max="15070" width="9.140625" style="10" customWidth="1"/>
    <col min="15071" max="15071" width="11.42578125" style="10"/>
    <col min="15072" max="15075" width="6.28515625" style="10" customWidth="1"/>
    <col min="15076" max="15311" width="11.42578125" style="10"/>
    <col min="15312" max="15312" width="9.7109375" style="10" customWidth="1"/>
    <col min="15313" max="15326" width="9.140625" style="10" customWidth="1"/>
    <col min="15327" max="15327" width="11.42578125" style="10"/>
    <col min="15328" max="15331" width="6.28515625" style="10" customWidth="1"/>
    <col min="15332" max="15567" width="11.42578125" style="10"/>
    <col min="15568" max="15568" width="9.7109375" style="10" customWidth="1"/>
    <col min="15569" max="15582" width="9.140625" style="10" customWidth="1"/>
    <col min="15583" max="15583" width="11.42578125" style="10"/>
    <col min="15584" max="15587" width="6.28515625" style="10" customWidth="1"/>
    <col min="15588" max="15823" width="11.42578125" style="10"/>
    <col min="15824" max="15824" width="9.7109375" style="10" customWidth="1"/>
    <col min="15825" max="15838" width="9.140625" style="10" customWidth="1"/>
    <col min="15839" max="15839" width="11.42578125" style="10"/>
    <col min="15840" max="15843" width="6.28515625" style="10" customWidth="1"/>
    <col min="15844" max="16079" width="11.42578125" style="10"/>
    <col min="16080" max="16080" width="9.7109375" style="10" customWidth="1"/>
    <col min="16081" max="16094" width="9.140625" style="10" customWidth="1"/>
    <col min="16095" max="16095" width="11.42578125" style="10"/>
    <col min="16096" max="16099" width="6.28515625" style="10" customWidth="1"/>
    <col min="16100" max="16384" width="11.42578125" style="10"/>
  </cols>
  <sheetData>
    <row r="1" spans="1:9" s="3" customFormat="1" x14ac:dyDescent="0.25">
      <c r="A1" s="2" t="s">
        <v>0</v>
      </c>
      <c r="B1" s="2" t="s">
        <v>14</v>
      </c>
      <c r="C1" s="2" t="s">
        <v>19</v>
      </c>
      <c r="D1" s="25" t="s">
        <v>20</v>
      </c>
      <c r="E1" s="25"/>
      <c r="F1" s="25"/>
      <c r="G1" s="2" t="s">
        <v>13</v>
      </c>
      <c r="H1" s="2" t="s">
        <v>15</v>
      </c>
      <c r="I1" s="2" t="s">
        <v>16</v>
      </c>
    </row>
    <row r="2" spans="1:9" s="3" customFormat="1" x14ac:dyDescent="0.25">
      <c r="A2" s="4"/>
      <c r="B2" s="5" t="s">
        <v>21</v>
      </c>
      <c r="C2" s="5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3" t="s">
        <v>28</v>
      </c>
    </row>
    <row r="3" spans="1:9" s="8" customFormat="1" ht="12" x14ac:dyDescent="0.25">
      <c r="A3" s="4"/>
      <c r="B3" s="6"/>
      <c r="C3" s="6"/>
      <c r="D3" s="6"/>
    </row>
    <row r="4" spans="1:9" x14ac:dyDescent="0.2">
      <c r="A4" s="4">
        <v>33512</v>
      </c>
      <c r="B4" s="21">
        <v>1.2514000000000001</v>
      </c>
      <c r="C4" s="22">
        <v>133.19999999999999</v>
      </c>
      <c r="D4" s="22">
        <v>7.45</v>
      </c>
      <c r="E4" s="10">
        <v>8.34</v>
      </c>
      <c r="F4" s="22">
        <v>5.92</v>
      </c>
      <c r="G4" s="22">
        <v>389.20001200000002</v>
      </c>
      <c r="H4" s="22">
        <v>1609.3199460000001</v>
      </c>
      <c r="I4" s="18">
        <v>24377.009770000001</v>
      </c>
    </row>
    <row r="5" spans="1:9" x14ac:dyDescent="0.2">
      <c r="A5" s="4">
        <v>33513</v>
      </c>
      <c r="B5" s="21">
        <v>1.2558</v>
      </c>
      <c r="C5" s="22">
        <v>132.68</v>
      </c>
      <c r="D5" s="22">
        <v>7.47</v>
      </c>
      <c r="E5" s="10">
        <v>8.31</v>
      </c>
      <c r="F5" s="22">
        <v>5.9</v>
      </c>
      <c r="G5" s="22">
        <v>388.26001000000002</v>
      </c>
      <c r="H5" s="22">
        <v>1607.4799800000001</v>
      </c>
      <c r="I5" s="18">
        <v>24375.109380000002</v>
      </c>
    </row>
    <row r="6" spans="1:9" x14ac:dyDescent="0.2">
      <c r="A6" s="4">
        <v>33514</v>
      </c>
      <c r="B6" s="21">
        <v>1.2531000000000001</v>
      </c>
      <c r="C6" s="22">
        <v>130.77000000000001</v>
      </c>
      <c r="D6" s="22">
        <v>7.47</v>
      </c>
      <c r="E6" s="10">
        <v>8.31</v>
      </c>
      <c r="F6" s="22">
        <v>5.85</v>
      </c>
      <c r="G6" s="22">
        <v>384.47000100000002</v>
      </c>
      <c r="H6" s="22">
        <v>1607.4799800000001</v>
      </c>
      <c r="I6" s="18">
        <v>24711.439450000002</v>
      </c>
    </row>
    <row r="7" spans="1:9" x14ac:dyDescent="0.2">
      <c r="A7" s="4">
        <v>33515</v>
      </c>
      <c r="B7" s="21">
        <v>1.2458</v>
      </c>
      <c r="C7" s="22">
        <v>130.03</v>
      </c>
      <c r="D7" s="22">
        <v>7.39</v>
      </c>
      <c r="E7" s="10">
        <v>8.31</v>
      </c>
      <c r="F7" s="22">
        <v>5.89</v>
      </c>
      <c r="G7" s="22">
        <v>381.25</v>
      </c>
      <c r="H7" s="22">
        <v>1604.8900149999999</v>
      </c>
      <c r="I7" s="18">
        <v>24596.900389999999</v>
      </c>
    </row>
    <row r="8" spans="1:9" x14ac:dyDescent="0.2">
      <c r="A8" s="4">
        <v>33518</v>
      </c>
      <c r="B8" s="21">
        <v>1.2428999999999999</v>
      </c>
      <c r="C8" s="22">
        <v>129.30000000000001</v>
      </c>
      <c r="D8" s="22">
        <v>7.4</v>
      </c>
      <c r="E8" s="10">
        <v>8.25</v>
      </c>
      <c r="F8" s="22">
        <v>5.89</v>
      </c>
      <c r="G8" s="22">
        <v>379.5</v>
      </c>
      <c r="H8" s="22">
        <v>1589.119995</v>
      </c>
      <c r="I8" s="18">
        <v>24330.83008</v>
      </c>
    </row>
    <row r="9" spans="1:9" x14ac:dyDescent="0.2">
      <c r="A9" s="4">
        <v>33519</v>
      </c>
      <c r="B9" s="21">
        <v>1.2359</v>
      </c>
      <c r="C9" s="22">
        <v>130.1</v>
      </c>
      <c r="D9" s="22">
        <v>7.43</v>
      </c>
      <c r="E9" s="10">
        <v>8.2799999999999994</v>
      </c>
      <c r="F9" s="22">
        <v>5.91</v>
      </c>
      <c r="G9" s="22">
        <v>380.67001299999998</v>
      </c>
      <c r="H9" s="22">
        <v>1582.2700199999999</v>
      </c>
      <c r="I9" s="18">
        <v>24155.619139999999</v>
      </c>
    </row>
    <row r="10" spans="1:9" x14ac:dyDescent="0.2">
      <c r="A10" s="4">
        <v>33520</v>
      </c>
      <c r="B10" s="21">
        <v>1.2286999999999999</v>
      </c>
      <c r="C10" s="22">
        <v>130.25</v>
      </c>
      <c r="D10" s="22">
        <v>7.51</v>
      </c>
      <c r="E10" s="10">
        <v>8.2899999999999991</v>
      </c>
      <c r="F10" s="22">
        <v>5.95</v>
      </c>
      <c r="G10" s="22">
        <v>376.79998799999998</v>
      </c>
      <c r="H10" s="22">
        <v>1567.98999</v>
      </c>
      <c r="I10" s="18">
        <v>24485.259770000001</v>
      </c>
    </row>
    <row r="11" spans="1:9" x14ac:dyDescent="0.2">
      <c r="A11" s="4">
        <v>33521</v>
      </c>
      <c r="B11" s="21">
        <v>1.2343</v>
      </c>
      <c r="C11" s="22">
        <v>130.35</v>
      </c>
      <c r="D11" s="22">
        <v>7.58</v>
      </c>
      <c r="E11" s="10">
        <v>8.27</v>
      </c>
      <c r="F11" s="22">
        <v>5.95</v>
      </c>
      <c r="G11" s="22">
        <v>380.54998799999998</v>
      </c>
      <c r="H11" s="22">
        <v>1568.160034</v>
      </c>
      <c r="I11" s="18">
        <v>24485.259770000001</v>
      </c>
    </row>
    <row r="12" spans="1:9" x14ac:dyDescent="0.2">
      <c r="A12" s="4">
        <v>33522</v>
      </c>
      <c r="B12" s="21">
        <v>1.2335</v>
      </c>
      <c r="C12" s="22">
        <v>129.72999999999999</v>
      </c>
      <c r="D12" s="22">
        <v>7.49</v>
      </c>
      <c r="E12" s="10">
        <v>8.24</v>
      </c>
      <c r="F12" s="22">
        <v>5.97</v>
      </c>
      <c r="G12" s="22">
        <v>381.45001200000002</v>
      </c>
      <c r="H12" s="22">
        <v>1569.709961</v>
      </c>
      <c r="I12" s="18">
        <v>24157.720700000002</v>
      </c>
    </row>
    <row r="13" spans="1:9" x14ac:dyDescent="0.2">
      <c r="A13" s="4">
        <v>33525</v>
      </c>
      <c r="B13" s="21">
        <v>1.2321</v>
      </c>
      <c r="C13" s="22">
        <v>129.4</v>
      </c>
      <c r="D13" s="22">
        <v>7.49</v>
      </c>
      <c r="E13" s="10">
        <v>8.26</v>
      </c>
      <c r="F13" s="22">
        <v>5.97</v>
      </c>
      <c r="G13" s="22">
        <v>386.47000100000002</v>
      </c>
      <c r="H13" s="22">
        <v>1571.73999</v>
      </c>
      <c r="I13" s="18">
        <v>23860.66992</v>
      </c>
    </row>
    <row r="14" spans="1:9" x14ac:dyDescent="0.2">
      <c r="A14" s="4">
        <v>33526</v>
      </c>
      <c r="B14" s="21">
        <v>1.2210000000000001</v>
      </c>
      <c r="C14" s="22">
        <v>130.22</v>
      </c>
      <c r="D14" s="22">
        <v>7.46</v>
      </c>
      <c r="E14" s="10">
        <v>8.24</v>
      </c>
      <c r="F14" s="22">
        <v>5.97</v>
      </c>
      <c r="G14" s="22">
        <v>391.01001000000002</v>
      </c>
      <c r="H14" s="22">
        <v>1585.410034</v>
      </c>
      <c r="I14" s="18">
        <v>24307.650389999999</v>
      </c>
    </row>
    <row r="15" spans="1:9" x14ac:dyDescent="0.2">
      <c r="A15" s="4">
        <v>33527</v>
      </c>
      <c r="B15" s="21">
        <v>1.2246999999999999</v>
      </c>
      <c r="C15" s="22">
        <v>130.02000000000001</v>
      </c>
      <c r="D15" s="22">
        <v>7.45</v>
      </c>
      <c r="E15" s="10">
        <v>8.26</v>
      </c>
      <c r="F15" s="22">
        <v>5.91</v>
      </c>
      <c r="G15" s="22">
        <v>392.79998799999998</v>
      </c>
      <c r="H15" s="22">
        <v>1570.01001</v>
      </c>
      <c r="I15" s="18">
        <v>24334.66992</v>
      </c>
    </row>
    <row r="16" spans="1:9" x14ac:dyDescent="0.2">
      <c r="A16" s="4">
        <v>33528</v>
      </c>
      <c r="B16" s="21">
        <v>1.2270000000000001</v>
      </c>
      <c r="C16" s="22">
        <v>129.83000000000001</v>
      </c>
      <c r="D16" s="22">
        <v>7.55</v>
      </c>
      <c r="E16" s="10">
        <v>8.26</v>
      </c>
      <c r="F16" s="22">
        <v>5.91</v>
      </c>
      <c r="G16" s="22">
        <v>391.92001299999998</v>
      </c>
      <c r="H16" s="22">
        <v>1561.8900149999999</v>
      </c>
      <c r="I16" s="18">
        <v>24439.849610000001</v>
      </c>
    </row>
    <row r="17" spans="1:9" x14ac:dyDescent="0.2">
      <c r="A17" s="4">
        <v>33529</v>
      </c>
      <c r="B17" s="21">
        <v>1.2325999999999999</v>
      </c>
      <c r="C17" s="22">
        <v>129.77000000000001</v>
      </c>
      <c r="D17" s="22">
        <v>7.53</v>
      </c>
      <c r="E17" s="10">
        <v>8.26</v>
      </c>
      <c r="F17" s="22">
        <v>5.81</v>
      </c>
      <c r="G17" s="22">
        <v>392.5</v>
      </c>
      <c r="H17" s="22">
        <v>1565.1800539999999</v>
      </c>
      <c r="I17" s="18">
        <v>24894.820309999999</v>
      </c>
    </row>
    <row r="18" spans="1:9" x14ac:dyDescent="0.2">
      <c r="A18" s="4">
        <v>33532</v>
      </c>
      <c r="B18" s="21">
        <v>1.2355</v>
      </c>
      <c r="C18" s="22">
        <v>130.72999999999999</v>
      </c>
      <c r="D18" s="22">
        <v>7.62</v>
      </c>
      <c r="E18" s="10">
        <v>8.26</v>
      </c>
      <c r="F18" s="22">
        <v>5.79</v>
      </c>
      <c r="G18" s="22">
        <v>390.01998900000001</v>
      </c>
      <c r="H18" s="22">
        <v>1570.339966</v>
      </c>
      <c r="I18" s="18">
        <v>25016.810549999998</v>
      </c>
    </row>
    <row r="19" spans="1:9" x14ac:dyDescent="0.2">
      <c r="A19" s="4">
        <v>33533</v>
      </c>
      <c r="B19" s="21">
        <v>1.2299</v>
      </c>
      <c r="C19" s="22">
        <v>131.19999999999999</v>
      </c>
      <c r="D19" s="22">
        <v>7.67</v>
      </c>
      <c r="E19" s="10">
        <v>8.33</v>
      </c>
      <c r="F19" s="22">
        <v>5.84</v>
      </c>
      <c r="G19" s="22">
        <v>387.82998700000002</v>
      </c>
      <c r="H19" s="22">
        <v>1577</v>
      </c>
      <c r="I19" s="18">
        <v>24954.660159999999</v>
      </c>
    </row>
    <row r="20" spans="1:9" x14ac:dyDescent="0.2">
      <c r="A20" s="4">
        <v>33534</v>
      </c>
      <c r="B20" s="21">
        <v>1.2245999999999999</v>
      </c>
      <c r="C20" s="22">
        <v>131.55000000000001</v>
      </c>
      <c r="D20" s="22">
        <v>7.69</v>
      </c>
      <c r="E20" s="10">
        <v>8.33</v>
      </c>
      <c r="F20" s="22">
        <v>5.87</v>
      </c>
      <c r="G20" s="22">
        <v>387.94000199999999</v>
      </c>
      <c r="H20" s="22">
        <v>1590.290039</v>
      </c>
      <c r="I20" s="18">
        <v>24799.939450000002</v>
      </c>
    </row>
    <row r="21" spans="1:9" x14ac:dyDescent="0.2">
      <c r="A21" s="4">
        <v>33535</v>
      </c>
      <c r="B21" s="21">
        <v>1.2279</v>
      </c>
      <c r="C21" s="22">
        <v>131.18</v>
      </c>
      <c r="D21" s="22">
        <v>7.65</v>
      </c>
      <c r="E21" s="10">
        <v>8.34</v>
      </c>
      <c r="F21" s="22">
        <v>5.85</v>
      </c>
      <c r="G21" s="22">
        <v>385.07000699999998</v>
      </c>
      <c r="H21" s="22">
        <v>1572.719971</v>
      </c>
      <c r="I21" s="18">
        <v>24949.259770000001</v>
      </c>
    </row>
    <row r="22" spans="1:9" x14ac:dyDescent="0.2">
      <c r="A22" s="4">
        <v>33536</v>
      </c>
      <c r="B22" s="21">
        <v>1.2278</v>
      </c>
      <c r="C22" s="22">
        <v>131.4</v>
      </c>
      <c r="D22" s="22">
        <v>7.68</v>
      </c>
      <c r="E22" s="10">
        <v>8.36</v>
      </c>
      <c r="F22" s="22">
        <v>5.89</v>
      </c>
      <c r="G22" s="22">
        <v>384.20001200000002</v>
      </c>
      <c r="H22" s="22">
        <v>1572.0699460000001</v>
      </c>
      <c r="I22" s="18">
        <v>24906.429690000001</v>
      </c>
    </row>
    <row r="23" spans="1:9" x14ac:dyDescent="0.2">
      <c r="A23" s="4">
        <v>33539</v>
      </c>
      <c r="B23" s="21">
        <v>1.2222999999999999</v>
      </c>
      <c r="C23" s="22">
        <v>132.25</v>
      </c>
      <c r="D23" s="22">
        <v>7.65</v>
      </c>
      <c r="E23" s="10">
        <v>8.41</v>
      </c>
      <c r="F23" s="22">
        <v>5.89</v>
      </c>
      <c r="G23" s="22">
        <v>389.51998900000001</v>
      </c>
      <c r="H23" s="22">
        <v>1579.1899410000001</v>
      </c>
      <c r="I23" s="18">
        <v>24901.720700000002</v>
      </c>
    </row>
    <row r="24" spans="1:9" x14ac:dyDescent="0.2">
      <c r="A24" s="4">
        <v>33540</v>
      </c>
      <c r="B24" s="21">
        <v>1.2317</v>
      </c>
      <c r="C24" s="22">
        <v>130.75</v>
      </c>
      <c r="D24" s="22">
        <v>7.51</v>
      </c>
      <c r="E24" s="10">
        <v>8.39</v>
      </c>
      <c r="F24" s="22">
        <v>5.86</v>
      </c>
      <c r="G24" s="22">
        <v>391.48001099999999</v>
      </c>
      <c r="H24" s="22">
        <v>1588.7299800000001</v>
      </c>
      <c r="I24" s="18">
        <v>25140.609380000002</v>
      </c>
    </row>
    <row r="25" spans="1:9" x14ac:dyDescent="0.2">
      <c r="A25" s="4">
        <v>33541</v>
      </c>
      <c r="B25" s="21">
        <v>1.2421</v>
      </c>
      <c r="C25" s="22">
        <v>131.08000000000001</v>
      </c>
      <c r="D25" s="22">
        <v>7.48</v>
      </c>
      <c r="E25" s="10">
        <v>8.35</v>
      </c>
      <c r="F25" s="22">
        <v>5.92</v>
      </c>
      <c r="G25" s="22">
        <v>392.959991</v>
      </c>
      <c r="H25" s="22">
        <v>1586.01001</v>
      </c>
      <c r="I25" s="18">
        <v>24981.179690000001</v>
      </c>
    </row>
    <row r="26" spans="1:9" x14ac:dyDescent="0.2">
      <c r="A26" s="4">
        <v>33542</v>
      </c>
      <c r="B26" s="21">
        <v>1.2461</v>
      </c>
      <c r="C26" s="22">
        <v>130.6</v>
      </c>
      <c r="D26" s="22">
        <v>7.47</v>
      </c>
      <c r="E26" s="10">
        <v>8.39</v>
      </c>
      <c r="F26" s="22">
        <v>5.9</v>
      </c>
      <c r="G26" s="22">
        <v>392.45001200000002</v>
      </c>
      <c r="H26" s="22">
        <v>1579.7700199999999</v>
      </c>
      <c r="I26" s="18">
        <v>25222.279299999998</v>
      </c>
    </row>
    <row r="27" spans="1:9" x14ac:dyDescent="0.2">
      <c r="A27" s="4">
        <v>33543</v>
      </c>
      <c r="B27" s="21">
        <v>1.2553000000000001</v>
      </c>
      <c r="C27" s="22">
        <v>130.30000000000001</v>
      </c>
      <c r="D27" s="22">
        <v>7.48</v>
      </c>
      <c r="E27" s="10">
        <v>8.36</v>
      </c>
      <c r="F27" s="22">
        <v>5.87</v>
      </c>
      <c r="G27" s="22">
        <v>391.32000699999998</v>
      </c>
      <c r="H27" s="22">
        <v>1572.579956</v>
      </c>
      <c r="I27" s="18">
        <v>25044.240229999999</v>
      </c>
    </row>
    <row r="28" spans="1:9" x14ac:dyDescent="0.2">
      <c r="A28" s="4">
        <v>33546</v>
      </c>
      <c r="B28" s="21">
        <v>1.2749999999999999</v>
      </c>
      <c r="C28" s="22">
        <v>128.9</v>
      </c>
      <c r="D28" s="22">
        <v>7.5</v>
      </c>
      <c r="E28" s="10">
        <v>8.36</v>
      </c>
      <c r="F28" s="22">
        <v>5.87</v>
      </c>
      <c r="G28" s="22">
        <v>390.27999899999998</v>
      </c>
      <c r="H28" s="22">
        <v>1568.089966</v>
      </c>
      <c r="I28" s="18">
        <v>25044.240229999999</v>
      </c>
    </row>
    <row r="29" spans="1:9" x14ac:dyDescent="0.2">
      <c r="A29" s="4">
        <v>33547</v>
      </c>
      <c r="B29" s="21">
        <v>1.2694000000000001</v>
      </c>
      <c r="C29" s="22">
        <v>129.80000000000001</v>
      </c>
      <c r="D29" s="22">
        <v>7.56</v>
      </c>
      <c r="E29" s="10">
        <v>8.3800000000000008</v>
      </c>
      <c r="F29" s="22">
        <v>5.91</v>
      </c>
      <c r="G29" s="22">
        <v>388.709991</v>
      </c>
      <c r="H29" s="22">
        <v>1578.209961</v>
      </c>
      <c r="I29" s="18">
        <v>24950.859380000002</v>
      </c>
    </row>
    <row r="30" spans="1:9" x14ac:dyDescent="0.2">
      <c r="A30" s="4">
        <v>33548</v>
      </c>
      <c r="B30" s="21">
        <v>1.2713000000000001</v>
      </c>
      <c r="C30" s="22">
        <v>129.9</v>
      </c>
      <c r="D30" s="22">
        <v>7.51</v>
      </c>
      <c r="E30" s="10">
        <v>8.3800000000000008</v>
      </c>
      <c r="F30" s="22">
        <v>5.95</v>
      </c>
      <c r="G30" s="22">
        <v>389.97000100000002</v>
      </c>
      <c r="H30" s="22">
        <v>1573.9399410000001</v>
      </c>
      <c r="I30" s="18">
        <v>24750.199219999999</v>
      </c>
    </row>
    <row r="31" spans="1:9" x14ac:dyDescent="0.2">
      <c r="A31" s="4">
        <v>33549</v>
      </c>
      <c r="B31" s="21">
        <v>1.2746999999999999</v>
      </c>
      <c r="C31" s="22">
        <v>129.69999999999999</v>
      </c>
      <c r="D31" s="22">
        <v>7.43</v>
      </c>
      <c r="E31" s="10">
        <v>8.31</v>
      </c>
      <c r="F31" s="22">
        <v>5.92</v>
      </c>
      <c r="G31" s="22">
        <v>393.72000100000002</v>
      </c>
      <c r="H31" s="22">
        <v>1582.0600589999999</v>
      </c>
      <c r="I31" s="18">
        <v>24446.759770000001</v>
      </c>
    </row>
    <row r="32" spans="1:9" x14ac:dyDescent="0.2">
      <c r="A32" s="4">
        <v>33550</v>
      </c>
      <c r="B32" s="21">
        <v>1.27</v>
      </c>
      <c r="C32" s="22">
        <v>130.32</v>
      </c>
      <c r="D32" s="22">
        <v>7.41</v>
      </c>
      <c r="E32" s="10">
        <v>8.25</v>
      </c>
      <c r="F32" s="22">
        <v>5.91</v>
      </c>
      <c r="G32" s="22">
        <v>392.89001500000001</v>
      </c>
      <c r="H32" s="22">
        <v>1610.1800539999999</v>
      </c>
      <c r="I32" s="18">
        <v>24486.490229999999</v>
      </c>
    </row>
    <row r="33" spans="1:9" x14ac:dyDescent="0.2">
      <c r="A33" s="4">
        <v>33553</v>
      </c>
      <c r="B33" s="21">
        <v>1.2695000000000001</v>
      </c>
      <c r="C33" s="22">
        <v>129.91</v>
      </c>
      <c r="D33" s="22">
        <v>7.41</v>
      </c>
      <c r="E33" s="10">
        <v>8.24</v>
      </c>
      <c r="F33" s="22">
        <v>5.89</v>
      </c>
      <c r="G33" s="22">
        <v>393.11999500000002</v>
      </c>
      <c r="H33" s="22">
        <v>1605.160034</v>
      </c>
      <c r="I33" s="18">
        <v>24232.990229999999</v>
      </c>
    </row>
    <row r="34" spans="1:9" x14ac:dyDescent="0.2">
      <c r="A34" s="4">
        <v>33554</v>
      </c>
      <c r="B34" s="21">
        <v>1.2751999999999999</v>
      </c>
      <c r="C34" s="22">
        <v>129.65</v>
      </c>
      <c r="D34" s="22">
        <v>7.37</v>
      </c>
      <c r="E34" s="10">
        <v>8.2100000000000009</v>
      </c>
      <c r="F34" s="22">
        <v>5.84</v>
      </c>
      <c r="G34" s="22">
        <v>396.73998999999998</v>
      </c>
      <c r="H34" s="22">
        <v>1623.839966</v>
      </c>
      <c r="I34" s="18">
        <v>24667.730469999999</v>
      </c>
    </row>
    <row r="35" spans="1:9" x14ac:dyDescent="0.2">
      <c r="A35" s="4">
        <v>33555</v>
      </c>
      <c r="B35" s="21">
        <v>1.2741</v>
      </c>
      <c r="C35" s="22">
        <v>130.12</v>
      </c>
      <c r="D35" s="22">
        <v>7.41</v>
      </c>
      <c r="E35" s="10">
        <v>8.23</v>
      </c>
      <c r="F35" s="22">
        <v>5.84</v>
      </c>
      <c r="G35" s="22">
        <v>397.41000400000001</v>
      </c>
      <c r="H35" s="22">
        <v>1615.26001</v>
      </c>
      <c r="I35" s="18">
        <v>24416.230469999999</v>
      </c>
    </row>
    <row r="36" spans="1:9" x14ac:dyDescent="0.2">
      <c r="A36" s="4">
        <v>33556</v>
      </c>
      <c r="B36" s="21">
        <v>1.2783</v>
      </c>
      <c r="C36" s="22">
        <v>129.87</v>
      </c>
      <c r="D36" s="22">
        <v>7.35</v>
      </c>
      <c r="E36" s="10">
        <v>8.24</v>
      </c>
      <c r="F36" s="22">
        <v>5.85</v>
      </c>
      <c r="G36" s="22">
        <v>397.14999399999999</v>
      </c>
      <c r="H36" s="22">
        <v>1627.079956</v>
      </c>
      <c r="I36" s="18">
        <v>24176.539059999999</v>
      </c>
    </row>
    <row r="37" spans="1:9" x14ac:dyDescent="0.2">
      <c r="A37" s="4">
        <v>33557</v>
      </c>
      <c r="B37" s="21">
        <v>1.2706999999999999</v>
      </c>
      <c r="C37" s="22">
        <v>130.05000000000001</v>
      </c>
      <c r="D37" s="22">
        <v>7.33</v>
      </c>
      <c r="E37" s="10">
        <v>8.2100000000000009</v>
      </c>
      <c r="F37" s="22">
        <v>5.86</v>
      </c>
      <c r="G37" s="22">
        <v>382.61999500000002</v>
      </c>
      <c r="H37" s="22">
        <v>1626.969971</v>
      </c>
      <c r="I37" s="18">
        <v>24099.179690000001</v>
      </c>
    </row>
    <row r="38" spans="1:9" x14ac:dyDescent="0.2">
      <c r="A38" s="4">
        <v>33560</v>
      </c>
      <c r="B38" s="21">
        <v>1.296</v>
      </c>
      <c r="C38" s="22">
        <v>129.30000000000001</v>
      </c>
      <c r="D38" s="22">
        <v>7.33</v>
      </c>
      <c r="E38" s="10">
        <v>8.2100000000000009</v>
      </c>
      <c r="F38" s="22">
        <v>5.84</v>
      </c>
      <c r="G38" s="22">
        <v>385.23998999999998</v>
      </c>
      <c r="H38" s="22">
        <v>1605.6999510000001</v>
      </c>
      <c r="I38" s="18">
        <v>23400.119139999999</v>
      </c>
    </row>
    <row r="39" spans="1:9" x14ac:dyDescent="0.2">
      <c r="A39" s="4">
        <v>33561</v>
      </c>
      <c r="B39" s="21">
        <v>1.3002</v>
      </c>
      <c r="C39" s="22">
        <v>129.94999999999999</v>
      </c>
      <c r="D39" s="22">
        <v>7.37</v>
      </c>
      <c r="E39" s="10">
        <v>8.24</v>
      </c>
      <c r="F39" s="22">
        <v>5.85</v>
      </c>
      <c r="G39" s="22">
        <v>379.42001299999998</v>
      </c>
      <c r="H39" s="22">
        <v>1589.6999510000001</v>
      </c>
      <c r="I39" s="18">
        <v>23326.859380000002</v>
      </c>
    </row>
    <row r="40" spans="1:9" x14ac:dyDescent="0.2">
      <c r="A40" s="4">
        <v>33562</v>
      </c>
      <c r="B40" s="21">
        <v>1.2968999999999999</v>
      </c>
      <c r="C40" s="22">
        <v>129.77000000000001</v>
      </c>
      <c r="D40" s="22">
        <v>7.38</v>
      </c>
      <c r="E40" s="10">
        <v>8.24</v>
      </c>
      <c r="F40" s="22">
        <v>5.91</v>
      </c>
      <c r="G40" s="22">
        <v>378.52999899999998</v>
      </c>
      <c r="H40" s="22">
        <v>1589.6999510000001</v>
      </c>
      <c r="I40" s="18">
        <v>23199.859380000002</v>
      </c>
    </row>
    <row r="41" spans="1:9" x14ac:dyDescent="0.2">
      <c r="A41" s="4">
        <v>33563</v>
      </c>
      <c r="B41" s="21">
        <v>1.3007</v>
      </c>
      <c r="C41" s="22">
        <v>129.62</v>
      </c>
      <c r="D41" s="22">
        <v>7.39</v>
      </c>
      <c r="E41" s="10">
        <v>8.23</v>
      </c>
      <c r="F41" s="22">
        <v>5.88</v>
      </c>
      <c r="G41" s="22">
        <v>380.05999800000001</v>
      </c>
      <c r="H41" s="22">
        <v>1603.26001</v>
      </c>
      <c r="I41" s="18">
        <v>23177.839840000001</v>
      </c>
    </row>
    <row r="42" spans="1:9" x14ac:dyDescent="0.2">
      <c r="A42" s="4">
        <v>33564</v>
      </c>
      <c r="B42" s="21">
        <v>1.3082</v>
      </c>
      <c r="C42" s="22">
        <v>129.53</v>
      </c>
      <c r="D42" s="22">
        <v>7.44</v>
      </c>
      <c r="E42" s="10">
        <v>8.26</v>
      </c>
      <c r="F42" s="22">
        <v>5.91</v>
      </c>
      <c r="G42" s="22">
        <v>376.14001500000001</v>
      </c>
      <c r="H42" s="22">
        <v>1599.75</v>
      </c>
      <c r="I42" s="18">
        <v>23117.390630000002</v>
      </c>
    </row>
    <row r="43" spans="1:9" x14ac:dyDescent="0.2">
      <c r="A43" s="4">
        <v>33567</v>
      </c>
      <c r="B43" s="21">
        <v>1.3103</v>
      </c>
      <c r="C43" s="22">
        <v>127.77</v>
      </c>
      <c r="D43" s="22">
        <v>7.45</v>
      </c>
      <c r="E43" s="10">
        <v>8.3000000000000007</v>
      </c>
      <c r="F43" s="22">
        <v>5.89</v>
      </c>
      <c r="G43" s="22">
        <v>375.33999599999999</v>
      </c>
      <c r="H43" s="22">
        <v>1590.8599850000001</v>
      </c>
      <c r="I43" s="18">
        <v>22868.689450000002</v>
      </c>
    </row>
    <row r="44" spans="1:9" x14ac:dyDescent="0.2">
      <c r="A44" s="4">
        <v>33568</v>
      </c>
      <c r="B44" s="21">
        <v>1.3120000000000001</v>
      </c>
      <c r="C44" s="22">
        <v>128.1</v>
      </c>
      <c r="D44" s="22">
        <v>7.42</v>
      </c>
      <c r="E44" s="10">
        <v>8.27</v>
      </c>
      <c r="F44" s="22">
        <v>5.89</v>
      </c>
      <c r="G44" s="22">
        <v>377.959991</v>
      </c>
      <c r="H44" s="22">
        <v>1603.5</v>
      </c>
      <c r="I44" s="18">
        <v>23112.089840000001</v>
      </c>
    </row>
    <row r="45" spans="1:9" x14ac:dyDescent="0.2">
      <c r="A45" s="4">
        <v>33569</v>
      </c>
      <c r="B45" s="21">
        <v>1.2867999999999999</v>
      </c>
      <c r="C45" s="22">
        <v>130.28</v>
      </c>
      <c r="D45" s="22">
        <v>7.42</v>
      </c>
      <c r="E45" s="10">
        <v>8.2799999999999994</v>
      </c>
      <c r="F45" s="22">
        <v>5.87</v>
      </c>
      <c r="G45" s="22">
        <v>376.54998799999998</v>
      </c>
      <c r="H45" s="22">
        <v>1589.8599850000001</v>
      </c>
      <c r="I45" s="18">
        <v>22973.279299999998</v>
      </c>
    </row>
    <row r="46" spans="1:9" x14ac:dyDescent="0.2">
      <c r="A46" s="4">
        <v>33570</v>
      </c>
      <c r="B46" s="21">
        <v>1.2855000000000001</v>
      </c>
      <c r="C46" s="22">
        <v>129.9</v>
      </c>
      <c r="D46" s="22">
        <v>7.42</v>
      </c>
      <c r="E46" s="10">
        <v>8.31</v>
      </c>
      <c r="F46" s="22">
        <v>5.85</v>
      </c>
      <c r="G46" s="22">
        <v>377.39</v>
      </c>
      <c r="H46" s="22">
        <v>1587.920044</v>
      </c>
      <c r="I46" s="18">
        <v>22780.41992</v>
      </c>
    </row>
    <row r="47" spans="1:9" x14ac:dyDescent="0.2">
      <c r="A47" s="4">
        <v>33571</v>
      </c>
      <c r="B47" s="21">
        <v>1.2766999999999999</v>
      </c>
      <c r="C47" s="22">
        <v>130.08000000000001</v>
      </c>
      <c r="D47" s="22">
        <v>7.38</v>
      </c>
      <c r="E47" s="10">
        <v>8.31</v>
      </c>
      <c r="F47" s="22">
        <v>5.84</v>
      </c>
      <c r="G47" s="22">
        <v>375.22000100000002</v>
      </c>
      <c r="H47" s="22">
        <v>1571.0600589999999</v>
      </c>
      <c r="I47" s="18">
        <v>22687.349610000001</v>
      </c>
    </row>
    <row r="48" spans="1:9" x14ac:dyDescent="0.2">
      <c r="A48" s="4">
        <v>33574</v>
      </c>
      <c r="B48" s="21">
        <v>1.2923</v>
      </c>
      <c r="C48" s="22">
        <v>129.94999999999999</v>
      </c>
      <c r="D48" s="22">
        <v>7.32</v>
      </c>
      <c r="E48" s="10">
        <v>8.34</v>
      </c>
      <c r="F48" s="22">
        <v>5.79</v>
      </c>
      <c r="G48" s="22">
        <v>381.39999399999999</v>
      </c>
      <c r="H48" s="22">
        <v>1549.8100589999999</v>
      </c>
      <c r="I48" s="18">
        <v>21992.289059999999</v>
      </c>
    </row>
    <row r="49" spans="1:9" x14ac:dyDescent="0.2">
      <c r="A49" s="4">
        <v>33575</v>
      </c>
      <c r="B49" s="21">
        <v>1.2897000000000001</v>
      </c>
      <c r="C49" s="22">
        <v>129.55000000000001</v>
      </c>
      <c r="D49" s="22">
        <v>7.28</v>
      </c>
      <c r="E49" s="10">
        <v>8.32</v>
      </c>
      <c r="F49" s="22">
        <v>5.81</v>
      </c>
      <c r="G49" s="22">
        <v>380.959991</v>
      </c>
      <c r="H49" s="22">
        <v>1549.3599850000001</v>
      </c>
      <c r="I49" s="18">
        <v>22166.83008</v>
      </c>
    </row>
    <row r="50" spans="1:9" x14ac:dyDescent="0.2">
      <c r="A50" s="4">
        <v>33576</v>
      </c>
      <c r="B50" s="21">
        <v>1.2867999999999999</v>
      </c>
      <c r="C50" s="22">
        <v>129.55000000000001</v>
      </c>
      <c r="D50" s="22">
        <v>7.17</v>
      </c>
      <c r="E50" s="10">
        <v>8.3000000000000007</v>
      </c>
      <c r="F50" s="22">
        <v>5.76</v>
      </c>
      <c r="G50" s="22">
        <v>380.07000699999998</v>
      </c>
      <c r="H50" s="22">
        <v>1554.650024</v>
      </c>
      <c r="I50" s="18">
        <v>22669.439450000002</v>
      </c>
    </row>
    <row r="51" spans="1:9" x14ac:dyDescent="0.2">
      <c r="A51" s="4">
        <v>33577</v>
      </c>
      <c r="B51" s="21">
        <v>1.3041</v>
      </c>
      <c r="C51" s="22">
        <v>128.77000000000001</v>
      </c>
      <c r="D51" s="22">
        <v>7.21</v>
      </c>
      <c r="E51" s="10">
        <v>8.3000000000000007</v>
      </c>
      <c r="F51" s="22">
        <v>5.72</v>
      </c>
      <c r="G51" s="22">
        <v>377.39001500000001</v>
      </c>
      <c r="H51" s="22">
        <v>1557.5200199999999</v>
      </c>
      <c r="I51" s="18">
        <v>22459.16992</v>
      </c>
    </row>
    <row r="52" spans="1:9" x14ac:dyDescent="0.2">
      <c r="A52" s="4">
        <v>33578</v>
      </c>
      <c r="B52" s="21">
        <v>1.3192999999999999</v>
      </c>
      <c r="C52" s="22">
        <v>128.19999999999999</v>
      </c>
      <c r="D52" s="22">
        <v>7.26</v>
      </c>
      <c r="E52" s="10">
        <v>8.24</v>
      </c>
      <c r="F52" s="22">
        <v>5.68</v>
      </c>
      <c r="G52" s="22">
        <v>379.10000600000001</v>
      </c>
      <c r="H52" s="22">
        <v>1555.3100589999999</v>
      </c>
      <c r="I52" s="18">
        <v>22445.060549999998</v>
      </c>
    </row>
    <row r="53" spans="1:9" x14ac:dyDescent="0.2">
      <c r="A53" s="4">
        <v>33581</v>
      </c>
      <c r="B53" s="21">
        <v>1.3221000000000001</v>
      </c>
      <c r="C53" s="22">
        <v>128.4</v>
      </c>
      <c r="D53" s="22">
        <v>7.22</v>
      </c>
      <c r="E53" s="10">
        <v>8.26</v>
      </c>
      <c r="F53" s="22">
        <v>5.7</v>
      </c>
      <c r="G53" s="22">
        <v>378.26001000000002</v>
      </c>
      <c r="H53" s="22">
        <v>1559.76001</v>
      </c>
      <c r="I53" s="18">
        <v>22352.880860000001</v>
      </c>
    </row>
    <row r="54" spans="1:9" x14ac:dyDescent="0.2">
      <c r="A54" s="4">
        <v>33582</v>
      </c>
      <c r="B54" s="21">
        <v>1.32</v>
      </c>
      <c r="C54" s="22">
        <v>128.69999999999999</v>
      </c>
      <c r="D54" s="22">
        <v>7.21</v>
      </c>
      <c r="E54" s="10">
        <v>8.24</v>
      </c>
      <c r="F54" s="22">
        <v>5.66</v>
      </c>
      <c r="G54" s="22">
        <v>377.89999399999999</v>
      </c>
      <c r="H54" s="22">
        <v>1548.4399410000001</v>
      </c>
      <c r="I54" s="18">
        <v>21953.060549999998</v>
      </c>
    </row>
    <row r="55" spans="1:9" x14ac:dyDescent="0.2">
      <c r="A55" s="4">
        <v>33583</v>
      </c>
      <c r="B55" s="21">
        <v>1.3139000000000001</v>
      </c>
      <c r="C55" s="22">
        <v>129.15</v>
      </c>
      <c r="D55" s="22">
        <v>7.22</v>
      </c>
      <c r="E55" s="10">
        <v>8.2799999999999994</v>
      </c>
      <c r="F55" s="22">
        <v>5.68</v>
      </c>
      <c r="G55" s="22">
        <v>377.70001200000002</v>
      </c>
      <c r="H55" s="22">
        <v>1543.98999</v>
      </c>
      <c r="I55" s="18">
        <v>21502.900389999999</v>
      </c>
    </row>
    <row r="56" spans="1:9" x14ac:dyDescent="0.2">
      <c r="A56" s="4">
        <v>33584</v>
      </c>
      <c r="B56" s="21">
        <v>1.3118000000000001</v>
      </c>
      <c r="C56" s="22">
        <v>129.24</v>
      </c>
      <c r="D56" s="22">
        <v>7.19</v>
      </c>
      <c r="E56" s="10">
        <v>8.24</v>
      </c>
      <c r="F56" s="22">
        <v>5.66</v>
      </c>
      <c r="G56" s="22">
        <v>381.54998799999998</v>
      </c>
      <c r="H56" s="22">
        <v>1550.209961</v>
      </c>
      <c r="I56" s="18">
        <v>21712.570309999999</v>
      </c>
    </row>
    <row r="57" spans="1:9" x14ac:dyDescent="0.2">
      <c r="A57" s="4">
        <v>33585</v>
      </c>
      <c r="B57" s="21">
        <v>1.3118000000000001</v>
      </c>
      <c r="C57" s="22">
        <v>128.80000000000001</v>
      </c>
      <c r="D57" s="22">
        <v>7.22</v>
      </c>
      <c r="E57" s="10">
        <v>8.2200000000000006</v>
      </c>
      <c r="F57" s="22">
        <v>5.67</v>
      </c>
      <c r="G57" s="22">
        <v>384.47000100000002</v>
      </c>
      <c r="H57" s="22">
        <v>1557.030029</v>
      </c>
      <c r="I57" s="18">
        <v>22754.900389999999</v>
      </c>
    </row>
    <row r="58" spans="1:9" x14ac:dyDescent="0.2">
      <c r="A58" s="4">
        <v>33588</v>
      </c>
      <c r="B58" s="21">
        <v>1.3190999999999999</v>
      </c>
      <c r="C58" s="22">
        <v>128.47</v>
      </c>
      <c r="D58" s="22">
        <v>7.21</v>
      </c>
      <c r="E58" s="10">
        <v>8.23</v>
      </c>
      <c r="F58" s="22">
        <v>5.65</v>
      </c>
      <c r="G58" s="22">
        <v>384.459991</v>
      </c>
      <c r="H58" s="22">
        <v>1551.780029</v>
      </c>
      <c r="I58" s="18">
        <v>22836.66992</v>
      </c>
    </row>
    <row r="59" spans="1:9" x14ac:dyDescent="0.2">
      <c r="A59" s="4">
        <v>33589</v>
      </c>
      <c r="B59" s="21">
        <v>1.3229</v>
      </c>
      <c r="C59" s="22">
        <v>128.6</v>
      </c>
      <c r="D59" s="22">
        <v>7.18</v>
      </c>
      <c r="E59" s="10">
        <v>8.17</v>
      </c>
      <c r="F59" s="22">
        <v>5.66</v>
      </c>
      <c r="G59" s="22">
        <v>382.73998999999998</v>
      </c>
      <c r="H59" s="22">
        <v>1562.8900149999999</v>
      </c>
      <c r="I59" s="18">
        <v>22736.289059999999</v>
      </c>
    </row>
    <row r="60" spans="1:9" x14ac:dyDescent="0.2">
      <c r="A60" s="4">
        <v>33590</v>
      </c>
      <c r="B60" s="21">
        <v>1.3221000000000001</v>
      </c>
      <c r="C60" s="22">
        <v>128.44999999999999</v>
      </c>
      <c r="D60" s="22">
        <v>7.19</v>
      </c>
      <c r="E60" s="10">
        <v>8.15</v>
      </c>
      <c r="F60" s="22">
        <v>5.67</v>
      </c>
      <c r="G60" s="22">
        <v>383.48001099999999</v>
      </c>
      <c r="H60" s="22">
        <v>1570.280029</v>
      </c>
      <c r="I60" s="18">
        <v>22629.900389999999</v>
      </c>
    </row>
    <row r="61" spans="1:9" x14ac:dyDescent="0.2">
      <c r="A61" s="4">
        <v>33591</v>
      </c>
      <c r="B61" s="21">
        <v>1.3321000000000001</v>
      </c>
      <c r="C61" s="22">
        <v>128.33000000000001</v>
      </c>
      <c r="D61" s="22">
        <v>7.11</v>
      </c>
      <c r="E61" s="10">
        <v>8.17</v>
      </c>
      <c r="F61" s="22">
        <v>5.69</v>
      </c>
      <c r="G61" s="22">
        <v>382.51998900000001</v>
      </c>
      <c r="H61" s="22">
        <v>1559.26001</v>
      </c>
      <c r="I61" s="18">
        <v>21991.189450000002</v>
      </c>
    </row>
    <row r="62" spans="1:9" x14ac:dyDescent="0.2">
      <c r="A62" s="4">
        <v>33592</v>
      </c>
      <c r="B62" s="21">
        <v>1.3513999999999999</v>
      </c>
      <c r="C62" s="22">
        <v>127.57</v>
      </c>
      <c r="D62" s="22">
        <v>6.97</v>
      </c>
      <c r="E62" s="10">
        <v>8.1199999999999992</v>
      </c>
      <c r="F62" s="22">
        <v>5.67</v>
      </c>
      <c r="G62" s="22">
        <v>387.040009</v>
      </c>
      <c r="H62" s="22">
        <v>1545.869995</v>
      </c>
      <c r="I62" s="18">
        <v>21777.119139999999</v>
      </c>
    </row>
    <row r="63" spans="1:9" x14ac:dyDescent="0.2">
      <c r="A63" s="4">
        <v>33595</v>
      </c>
      <c r="B63" s="21">
        <v>1.3672</v>
      </c>
      <c r="C63" s="22">
        <v>126.55</v>
      </c>
      <c r="D63" s="22">
        <v>6.88</v>
      </c>
      <c r="E63" s="10">
        <v>8.1300000000000008</v>
      </c>
      <c r="F63" s="22">
        <v>5.67</v>
      </c>
      <c r="G63" s="22">
        <v>396.82000699999998</v>
      </c>
      <c r="H63" s="22">
        <v>1542.7700199999999</v>
      </c>
      <c r="I63" s="18">
        <v>21777.119139999999</v>
      </c>
    </row>
    <row r="64" spans="1:9" x14ac:dyDescent="0.2">
      <c r="A64" s="4">
        <v>33596</v>
      </c>
      <c r="B64" s="21">
        <v>1.3671</v>
      </c>
      <c r="C64" s="22">
        <v>127.55</v>
      </c>
      <c r="D64" s="22">
        <v>6.88</v>
      </c>
      <c r="E64" s="10">
        <v>8.1300000000000008</v>
      </c>
      <c r="F64" s="22">
        <v>5.59</v>
      </c>
      <c r="G64" s="22">
        <v>399.32998700000002</v>
      </c>
      <c r="H64" s="22">
        <v>1542.7700199999999</v>
      </c>
      <c r="I64" s="18">
        <v>21664.529299999998</v>
      </c>
    </row>
    <row r="65" spans="1:9" x14ac:dyDescent="0.2">
      <c r="A65" s="4">
        <v>33597</v>
      </c>
      <c r="B65" s="21">
        <v>1.3671</v>
      </c>
      <c r="C65" s="22">
        <v>127.02</v>
      </c>
      <c r="D65" s="22">
        <v>6.88</v>
      </c>
      <c r="E65" s="10">
        <v>8.1300000000000008</v>
      </c>
      <c r="F65" s="22">
        <v>5.57</v>
      </c>
      <c r="G65" s="22">
        <v>399.32998700000002</v>
      </c>
      <c r="H65" s="22">
        <v>1542.7700199999999</v>
      </c>
      <c r="I65" s="18">
        <v>22461.16992</v>
      </c>
    </row>
    <row r="66" spans="1:9" x14ac:dyDescent="0.2">
      <c r="A66" s="4">
        <v>33598</v>
      </c>
      <c r="B66" s="21">
        <v>1.3671</v>
      </c>
      <c r="C66" s="22">
        <v>126.78</v>
      </c>
      <c r="D66" s="22">
        <v>6.85</v>
      </c>
      <c r="E66" s="10">
        <v>8.1300000000000008</v>
      </c>
      <c r="F66" s="22">
        <v>5.51</v>
      </c>
      <c r="G66" s="22">
        <v>404.83999599999999</v>
      </c>
      <c r="H66" s="22">
        <v>1542.7700199999999</v>
      </c>
      <c r="I66" s="18">
        <v>22555.070309999999</v>
      </c>
    </row>
    <row r="67" spans="1:9" x14ac:dyDescent="0.2">
      <c r="A67" s="4">
        <v>33599</v>
      </c>
      <c r="B67" s="21">
        <v>1.3682000000000001</v>
      </c>
      <c r="C67" s="22">
        <v>125.57</v>
      </c>
      <c r="D67" s="22">
        <v>6.82</v>
      </c>
      <c r="E67" s="10">
        <v>8.11</v>
      </c>
      <c r="F67" s="22">
        <v>5.47</v>
      </c>
      <c r="G67" s="22">
        <v>406.459991</v>
      </c>
      <c r="H67" s="22">
        <v>1564.2700199999999</v>
      </c>
      <c r="I67" s="18">
        <v>22437.320309999999</v>
      </c>
    </row>
    <row r="68" spans="1:9" x14ac:dyDescent="0.2">
      <c r="A68" s="4">
        <v>33602</v>
      </c>
      <c r="B68" s="21">
        <v>1.3669</v>
      </c>
      <c r="C68" s="22">
        <v>125.75</v>
      </c>
      <c r="D68" s="22">
        <v>6.76</v>
      </c>
      <c r="E68" s="10">
        <v>8.0500000000000007</v>
      </c>
      <c r="F68" s="22">
        <v>5.42</v>
      </c>
      <c r="G68" s="22">
        <v>415.14001500000001</v>
      </c>
      <c r="H68" s="22">
        <v>1577.26001</v>
      </c>
      <c r="I68" s="18">
        <v>22983.769530000001</v>
      </c>
    </row>
    <row r="69" spans="1:9" x14ac:dyDescent="0.2">
      <c r="A69" s="4">
        <v>33603</v>
      </c>
      <c r="B69" s="21">
        <v>1.3655999999999999</v>
      </c>
      <c r="C69" s="22">
        <v>124.9</v>
      </c>
      <c r="D69" s="22">
        <v>6.71</v>
      </c>
      <c r="E69" s="10">
        <v>8.0500000000000007</v>
      </c>
      <c r="F69" s="22">
        <v>5.42</v>
      </c>
      <c r="G69" s="22">
        <v>417.08999599999999</v>
      </c>
      <c r="H69" s="22">
        <v>1577.26001</v>
      </c>
      <c r="I69" s="18">
        <v>22983.769530000001</v>
      </c>
    </row>
    <row r="70" spans="1:9" x14ac:dyDescent="0.2">
      <c r="A70" s="4">
        <v>33604</v>
      </c>
      <c r="B70" s="21">
        <v>1.3655999999999999</v>
      </c>
      <c r="C70" s="22">
        <v>124.9</v>
      </c>
      <c r="D70" s="22">
        <v>6.71</v>
      </c>
      <c r="E70" s="10">
        <v>8.0500000000000007</v>
      </c>
      <c r="F70" s="22">
        <v>5.42</v>
      </c>
      <c r="G70" s="22">
        <v>418.1</v>
      </c>
      <c r="H70" s="22">
        <v>1577.26001</v>
      </c>
      <c r="I70" s="18">
        <v>22983.769530000001</v>
      </c>
    </row>
    <row r="71" spans="1:9" x14ac:dyDescent="0.2">
      <c r="A71" s="4">
        <v>33605</v>
      </c>
      <c r="B71" s="21">
        <v>1.3661000000000001</v>
      </c>
      <c r="C71" s="22">
        <v>124.5</v>
      </c>
      <c r="D71" s="22">
        <v>6.78</v>
      </c>
      <c r="E71" s="10">
        <v>8.02</v>
      </c>
      <c r="F71" s="22">
        <v>5.42</v>
      </c>
      <c r="G71" s="22">
        <v>417.26001000000002</v>
      </c>
      <c r="H71" s="22">
        <v>1598.1899410000001</v>
      </c>
      <c r="I71" s="18">
        <v>22983.769530000001</v>
      </c>
    </row>
    <row r="72" spans="1:9" x14ac:dyDescent="0.2">
      <c r="A72" s="4">
        <v>33606</v>
      </c>
      <c r="B72" s="21">
        <v>1.3481000000000001</v>
      </c>
      <c r="C72" s="22">
        <v>124.8</v>
      </c>
      <c r="D72" s="22">
        <v>6.85</v>
      </c>
      <c r="E72" s="10">
        <v>8.0500000000000007</v>
      </c>
      <c r="F72" s="22">
        <v>5.42</v>
      </c>
      <c r="G72" s="22">
        <v>419.33999599999999</v>
      </c>
      <c r="H72" s="22">
        <v>1604.0500489999999</v>
      </c>
      <c r="I72" s="18">
        <v>22983.769530000001</v>
      </c>
    </row>
    <row r="73" spans="1:9" x14ac:dyDescent="0.2">
      <c r="A73" s="4">
        <v>33609</v>
      </c>
      <c r="B73" s="21">
        <v>1.3657999999999999</v>
      </c>
      <c r="C73" s="22">
        <v>124.1</v>
      </c>
      <c r="D73" s="22">
        <v>6.82</v>
      </c>
      <c r="E73" s="10">
        <v>8.01</v>
      </c>
      <c r="F73" s="22">
        <v>5.37</v>
      </c>
      <c r="G73" s="22">
        <v>417.959991</v>
      </c>
      <c r="H73" s="22">
        <v>1604.6899410000001</v>
      </c>
      <c r="I73" s="18">
        <v>23801.179690000001</v>
      </c>
    </row>
    <row r="74" spans="1:9" x14ac:dyDescent="0.2">
      <c r="A74" s="4">
        <v>33610</v>
      </c>
      <c r="B74" s="21">
        <v>1.371</v>
      </c>
      <c r="C74" s="22">
        <v>124.4</v>
      </c>
      <c r="D74" s="22">
        <v>6.76</v>
      </c>
      <c r="E74" s="10">
        <v>7.99</v>
      </c>
      <c r="F74" s="22">
        <v>5.33</v>
      </c>
      <c r="G74" s="22">
        <v>417.39999399999999</v>
      </c>
      <c r="H74" s="22">
        <v>1593.650024</v>
      </c>
      <c r="I74" s="18">
        <v>23566.390630000002</v>
      </c>
    </row>
    <row r="75" spans="1:9" x14ac:dyDescent="0.2">
      <c r="A75" s="4">
        <v>33611</v>
      </c>
      <c r="B75" s="21">
        <v>1.3702000000000001</v>
      </c>
      <c r="C75" s="22">
        <v>124.9</v>
      </c>
      <c r="D75" s="22">
        <v>6.77</v>
      </c>
      <c r="E75" s="10">
        <v>8.01</v>
      </c>
      <c r="F75" s="22">
        <v>5.35</v>
      </c>
      <c r="G75" s="22">
        <v>418.10000600000001</v>
      </c>
      <c r="H75" s="22">
        <v>1581.6800539999999</v>
      </c>
      <c r="I75" s="18">
        <v>22715</v>
      </c>
    </row>
    <row r="76" spans="1:9" x14ac:dyDescent="0.2">
      <c r="A76" s="4">
        <v>33612</v>
      </c>
      <c r="B76" s="21">
        <v>1.3506</v>
      </c>
      <c r="C76" s="22">
        <v>125.4</v>
      </c>
      <c r="D76" s="22">
        <v>6.79</v>
      </c>
      <c r="E76" s="10">
        <v>7.99</v>
      </c>
      <c r="F76" s="22">
        <v>5.35</v>
      </c>
      <c r="G76" s="22">
        <v>417.60998499999999</v>
      </c>
      <c r="H76" s="22">
        <v>1599.1400149999999</v>
      </c>
      <c r="I76" s="18">
        <v>23113.640630000002</v>
      </c>
    </row>
    <row r="77" spans="1:9" x14ac:dyDescent="0.2">
      <c r="A77" s="4">
        <v>33613</v>
      </c>
      <c r="B77" s="21">
        <v>1.3228</v>
      </c>
      <c r="C77" s="22">
        <v>127.05</v>
      </c>
      <c r="D77" s="22">
        <v>6.85</v>
      </c>
      <c r="E77" s="10">
        <v>7.92</v>
      </c>
      <c r="F77" s="22">
        <v>5.37</v>
      </c>
      <c r="G77" s="22">
        <v>415.10000600000001</v>
      </c>
      <c r="H77" s="22">
        <v>1613.8199460000001</v>
      </c>
      <c r="I77" s="18">
        <v>22381.900389999999</v>
      </c>
    </row>
    <row r="78" spans="1:9" x14ac:dyDescent="0.2">
      <c r="A78" s="4">
        <v>33616</v>
      </c>
      <c r="B78" s="21">
        <v>1.3182</v>
      </c>
      <c r="C78" s="22">
        <v>126.85</v>
      </c>
      <c r="D78" s="22">
        <v>6.92</v>
      </c>
      <c r="E78" s="10">
        <v>7.94</v>
      </c>
      <c r="F78" s="22">
        <v>5.39</v>
      </c>
      <c r="G78" s="22">
        <v>414.33999599999999</v>
      </c>
      <c r="H78" s="22">
        <v>1620.4499510000001</v>
      </c>
      <c r="I78" s="18">
        <v>21696.859380000002</v>
      </c>
    </row>
    <row r="79" spans="1:9" x14ac:dyDescent="0.2">
      <c r="A79" s="4">
        <v>33617</v>
      </c>
      <c r="B79" s="21">
        <v>1.3229</v>
      </c>
      <c r="C79" s="22">
        <v>126.8</v>
      </c>
      <c r="D79" s="22">
        <v>7.03</v>
      </c>
      <c r="E79" s="10">
        <v>7.94</v>
      </c>
      <c r="F79" s="22">
        <v>5.38</v>
      </c>
      <c r="G79" s="22">
        <v>420.44000199999999</v>
      </c>
      <c r="H79" s="22">
        <v>1629.51001</v>
      </c>
      <c r="I79" s="18">
        <v>21775.130860000001</v>
      </c>
    </row>
    <row r="80" spans="1:9" x14ac:dyDescent="0.2">
      <c r="A80" s="4">
        <v>33618</v>
      </c>
      <c r="B80" s="21">
        <v>1.2803</v>
      </c>
      <c r="C80" s="22">
        <v>128.4</v>
      </c>
      <c r="D80" s="22">
        <v>7.05</v>
      </c>
      <c r="E80" s="10">
        <v>7.92</v>
      </c>
      <c r="F80" s="22">
        <v>5.38</v>
      </c>
      <c r="G80" s="22">
        <v>420.76998900000001</v>
      </c>
      <c r="H80" s="22">
        <v>1663.6999510000001</v>
      </c>
      <c r="I80" s="18">
        <v>21775.130860000001</v>
      </c>
    </row>
    <row r="81" spans="1:9" x14ac:dyDescent="0.2">
      <c r="A81" s="4">
        <v>33619</v>
      </c>
      <c r="B81" s="21">
        <v>1.2825</v>
      </c>
      <c r="C81" s="22">
        <v>128.28</v>
      </c>
      <c r="D81" s="22">
        <v>7.13</v>
      </c>
      <c r="E81" s="10">
        <v>7.9</v>
      </c>
      <c r="F81" s="22">
        <v>5.44</v>
      </c>
      <c r="G81" s="22">
        <v>418.209991</v>
      </c>
      <c r="H81" s="22">
        <v>1664.089966</v>
      </c>
      <c r="I81" s="18">
        <v>21612.189450000002</v>
      </c>
    </row>
    <row r="82" spans="1:9" x14ac:dyDescent="0.2">
      <c r="A82" s="4">
        <v>33620</v>
      </c>
      <c r="B82" s="21">
        <v>1.3007</v>
      </c>
      <c r="C82" s="22">
        <v>127.45</v>
      </c>
      <c r="D82" s="22">
        <v>7.09</v>
      </c>
      <c r="E82" s="10">
        <v>7.9</v>
      </c>
      <c r="F82" s="22">
        <v>5.39</v>
      </c>
      <c r="G82" s="22">
        <v>418.85998499999999</v>
      </c>
      <c r="H82" s="22">
        <v>1669.290039</v>
      </c>
      <c r="I82" s="18">
        <v>21321.369139999999</v>
      </c>
    </row>
    <row r="83" spans="1:9" x14ac:dyDescent="0.2">
      <c r="A83" s="4">
        <v>33623</v>
      </c>
      <c r="B83" s="21">
        <v>1.3049999999999999</v>
      </c>
      <c r="C83" s="22">
        <v>123.97</v>
      </c>
      <c r="D83" s="22">
        <v>7.09</v>
      </c>
      <c r="E83" s="10">
        <v>7.91</v>
      </c>
      <c r="F83" s="22">
        <v>5.36</v>
      </c>
      <c r="G83" s="22">
        <v>416.35998499999999</v>
      </c>
      <c r="H83" s="22">
        <v>1685.1400149999999</v>
      </c>
      <c r="I83" s="18">
        <v>20913.820309999999</v>
      </c>
    </row>
    <row r="84" spans="1:9" x14ac:dyDescent="0.2">
      <c r="A84" s="4">
        <v>33624</v>
      </c>
      <c r="B84" s="21">
        <v>1.3152999999999999</v>
      </c>
      <c r="C84" s="22">
        <v>123.2</v>
      </c>
      <c r="D84" s="22">
        <v>7.03</v>
      </c>
      <c r="E84" s="10">
        <v>7.86</v>
      </c>
      <c r="F84" s="22">
        <v>5.35</v>
      </c>
      <c r="G84" s="22">
        <v>412.64001500000001</v>
      </c>
      <c r="H84" s="22">
        <v>1687.0699460000001</v>
      </c>
      <c r="I84" s="18">
        <v>20858.300780000001</v>
      </c>
    </row>
    <row r="85" spans="1:9" x14ac:dyDescent="0.2">
      <c r="A85" s="4">
        <v>33625</v>
      </c>
      <c r="B85" s="21">
        <v>1.3150999999999999</v>
      </c>
      <c r="C85" s="22">
        <v>123.22</v>
      </c>
      <c r="D85" s="22">
        <v>7.09</v>
      </c>
      <c r="E85" s="10">
        <v>7.84</v>
      </c>
      <c r="F85" s="22">
        <v>5.28</v>
      </c>
      <c r="G85" s="22">
        <v>418.13000499999998</v>
      </c>
      <c r="H85" s="22">
        <v>1680.130005</v>
      </c>
      <c r="I85" s="18">
        <v>21534.119139999999</v>
      </c>
    </row>
    <row r="86" spans="1:9" x14ac:dyDescent="0.2">
      <c r="A86" s="4">
        <v>33626</v>
      </c>
      <c r="B86" s="21">
        <v>1.3062</v>
      </c>
      <c r="C86" s="22">
        <v>123.9</v>
      </c>
      <c r="D86" s="22">
        <v>7.2</v>
      </c>
      <c r="E86" s="10">
        <v>7.89</v>
      </c>
      <c r="F86" s="22">
        <v>5.31</v>
      </c>
      <c r="G86" s="22">
        <v>414.959991</v>
      </c>
      <c r="H86" s="22">
        <v>1671.839966</v>
      </c>
      <c r="I86" s="18">
        <v>21580.720700000002</v>
      </c>
    </row>
    <row r="87" spans="1:9" x14ac:dyDescent="0.2">
      <c r="A87" s="4">
        <v>33627</v>
      </c>
      <c r="B87" s="21">
        <v>1.3091999999999999</v>
      </c>
      <c r="C87" s="22">
        <v>123.42</v>
      </c>
      <c r="D87" s="22">
        <v>7.25</v>
      </c>
      <c r="E87" s="10">
        <v>7.89</v>
      </c>
      <c r="F87" s="22">
        <v>5.33</v>
      </c>
      <c r="G87" s="22">
        <v>415.48001099999999</v>
      </c>
      <c r="H87" s="22">
        <v>1669.5200199999999</v>
      </c>
      <c r="I87" s="18">
        <v>21072.150389999999</v>
      </c>
    </row>
    <row r="88" spans="1:9" x14ac:dyDescent="0.2">
      <c r="A88" s="4">
        <v>33630</v>
      </c>
      <c r="B88" s="21">
        <v>1.2911999999999999</v>
      </c>
      <c r="C88" s="22">
        <v>125.4</v>
      </c>
      <c r="D88" s="22">
        <v>7.24</v>
      </c>
      <c r="E88" s="10">
        <v>7.9</v>
      </c>
      <c r="F88" s="22">
        <v>5.33</v>
      </c>
      <c r="G88" s="22">
        <v>414.98998999999998</v>
      </c>
      <c r="H88" s="22">
        <v>1686.709961</v>
      </c>
      <c r="I88" s="18">
        <v>21007.109380000002</v>
      </c>
    </row>
    <row r="89" spans="1:9" x14ac:dyDescent="0.2">
      <c r="A89" s="4">
        <v>33631</v>
      </c>
      <c r="B89" s="21">
        <v>1.3041</v>
      </c>
      <c r="C89" s="22">
        <v>125.62</v>
      </c>
      <c r="D89" s="22">
        <v>7.16</v>
      </c>
      <c r="E89" s="10">
        <v>7.91</v>
      </c>
      <c r="F89" s="22">
        <v>5.35</v>
      </c>
      <c r="G89" s="22">
        <v>414.959991</v>
      </c>
      <c r="H89" s="22">
        <v>1685.51001</v>
      </c>
      <c r="I89" s="18">
        <v>21390.519530000001</v>
      </c>
    </row>
    <row r="90" spans="1:9" x14ac:dyDescent="0.2">
      <c r="A90" s="4">
        <v>33632</v>
      </c>
      <c r="B90" s="21">
        <v>1.3104</v>
      </c>
      <c r="C90" s="22">
        <v>125.45</v>
      </c>
      <c r="D90" s="22">
        <v>7.25</v>
      </c>
      <c r="E90" s="10">
        <v>7.88</v>
      </c>
      <c r="F90" s="22">
        <v>5.33</v>
      </c>
      <c r="G90" s="22">
        <v>410.33999599999999</v>
      </c>
      <c r="H90" s="22">
        <v>1671.01001</v>
      </c>
      <c r="I90" s="18">
        <v>21362.259770000001</v>
      </c>
    </row>
    <row r="91" spans="1:9" x14ac:dyDescent="0.2">
      <c r="A91" s="4">
        <v>33633</v>
      </c>
      <c r="B91" s="21">
        <v>1.2912999999999999</v>
      </c>
      <c r="C91" s="22">
        <v>126</v>
      </c>
      <c r="D91" s="22">
        <v>7.31</v>
      </c>
      <c r="E91" s="10">
        <v>7.89</v>
      </c>
      <c r="F91" s="22">
        <v>5.36</v>
      </c>
      <c r="G91" s="22">
        <v>411.61999500000002</v>
      </c>
      <c r="H91" s="22">
        <v>1683.0600589999999</v>
      </c>
      <c r="I91" s="18">
        <v>21557.66992</v>
      </c>
    </row>
    <row r="92" spans="1:9" x14ac:dyDescent="0.2">
      <c r="A92" s="4">
        <v>33634</v>
      </c>
      <c r="B92" s="21">
        <v>1.2974000000000001</v>
      </c>
      <c r="C92" s="22">
        <v>125.55</v>
      </c>
      <c r="D92" s="22">
        <v>7.31</v>
      </c>
      <c r="E92" s="10">
        <v>7.91</v>
      </c>
      <c r="F92" s="22">
        <v>5.43</v>
      </c>
      <c r="G92" s="22">
        <v>408.77999899999998</v>
      </c>
      <c r="H92" s="22">
        <v>1685.6999510000001</v>
      </c>
      <c r="I92" s="18">
        <v>22023.050780000001</v>
      </c>
    </row>
    <row r="93" spans="1:9" x14ac:dyDescent="0.2">
      <c r="A93" s="4">
        <v>33637</v>
      </c>
      <c r="B93" s="21">
        <v>1.3023</v>
      </c>
      <c r="C93" s="22">
        <v>125.95</v>
      </c>
      <c r="D93" s="22">
        <v>7.36</v>
      </c>
      <c r="E93" s="10">
        <v>7.86</v>
      </c>
      <c r="F93" s="22">
        <v>5.44</v>
      </c>
      <c r="G93" s="22">
        <v>409.52999899999998</v>
      </c>
      <c r="H93" s="22">
        <v>1685.660034</v>
      </c>
      <c r="I93" s="18">
        <v>22139.589840000001</v>
      </c>
    </row>
    <row r="94" spans="1:9" x14ac:dyDescent="0.2">
      <c r="A94" s="4">
        <v>33638</v>
      </c>
      <c r="B94" s="21">
        <v>1.3073999999999999</v>
      </c>
      <c r="C94" s="22">
        <v>126.15</v>
      </c>
      <c r="D94" s="22">
        <v>7.29</v>
      </c>
      <c r="E94" s="10">
        <v>7.91</v>
      </c>
      <c r="F94" s="22">
        <v>5.51</v>
      </c>
      <c r="G94" s="22">
        <v>413.85000600000001</v>
      </c>
      <c r="H94" s="22">
        <v>1678.7700199999999</v>
      </c>
      <c r="I94" s="18">
        <v>21999.599610000001</v>
      </c>
    </row>
    <row r="95" spans="1:9" x14ac:dyDescent="0.2">
      <c r="A95" s="4">
        <v>33639</v>
      </c>
      <c r="B95" s="21">
        <v>1.3129</v>
      </c>
      <c r="C95" s="22">
        <v>125.83</v>
      </c>
      <c r="D95" s="22">
        <v>7.21</v>
      </c>
      <c r="E95" s="10">
        <v>7.9</v>
      </c>
      <c r="F95" s="22">
        <v>5.55</v>
      </c>
      <c r="G95" s="22">
        <v>413.83999599999999</v>
      </c>
      <c r="H95" s="22">
        <v>1685.849976</v>
      </c>
      <c r="I95" s="18">
        <v>21936.369139999999</v>
      </c>
    </row>
    <row r="96" spans="1:9" x14ac:dyDescent="0.2">
      <c r="A96" s="4">
        <v>33640</v>
      </c>
      <c r="B96" s="21">
        <v>1.3186</v>
      </c>
      <c r="C96" s="22">
        <v>125.65</v>
      </c>
      <c r="D96" s="22">
        <v>7.2</v>
      </c>
      <c r="E96" s="10">
        <v>7.91</v>
      </c>
      <c r="F96" s="22">
        <v>5.49</v>
      </c>
      <c r="G96" s="22">
        <v>413.82000699999998</v>
      </c>
      <c r="H96" s="22">
        <v>1683.709961</v>
      </c>
      <c r="I96" s="18">
        <v>22104.91992</v>
      </c>
    </row>
    <row r="97" spans="1:9" x14ac:dyDescent="0.2">
      <c r="A97" s="4">
        <v>33641</v>
      </c>
      <c r="B97" s="21">
        <v>1.3315999999999999</v>
      </c>
      <c r="C97" s="22">
        <v>125.22</v>
      </c>
      <c r="D97" s="22">
        <v>7.2</v>
      </c>
      <c r="E97" s="10">
        <v>7.87</v>
      </c>
      <c r="F97" s="22">
        <v>5.49</v>
      </c>
      <c r="G97" s="22">
        <v>411.08999599999999</v>
      </c>
      <c r="H97" s="22">
        <v>1686.589966</v>
      </c>
      <c r="I97" s="18">
        <v>22107.119139999999</v>
      </c>
    </row>
    <row r="98" spans="1:9" x14ac:dyDescent="0.2">
      <c r="A98" s="4">
        <v>33644</v>
      </c>
      <c r="B98" s="21">
        <v>1.3263</v>
      </c>
      <c r="C98" s="22">
        <v>126.7</v>
      </c>
      <c r="D98" s="22">
        <v>7.21</v>
      </c>
      <c r="E98" s="10">
        <v>7.87</v>
      </c>
      <c r="F98" s="22">
        <v>5.53</v>
      </c>
      <c r="G98" s="22">
        <v>413.76998900000001</v>
      </c>
      <c r="H98" s="22">
        <v>1683.7299800000001</v>
      </c>
      <c r="I98" s="18">
        <v>21819.519530000001</v>
      </c>
    </row>
    <row r="99" spans="1:9" x14ac:dyDescent="0.2">
      <c r="A99" s="4">
        <v>33645</v>
      </c>
      <c r="B99" s="21">
        <v>1.3115000000000001</v>
      </c>
      <c r="C99" s="22">
        <v>126.93</v>
      </c>
      <c r="D99" s="22">
        <v>7.23</v>
      </c>
      <c r="E99" s="10">
        <v>7.85</v>
      </c>
      <c r="F99" s="22">
        <v>5.53</v>
      </c>
      <c r="G99" s="22">
        <v>413.76001000000002</v>
      </c>
      <c r="H99" s="22">
        <v>1679.1400149999999</v>
      </c>
      <c r="I99" s="18">
        <v>21819.519530000001</v>
      </c>
    </row>
    <row r="100" spans="1:9" x14ac:dyDescent="0.2">
      <c r="A100" s="4">
        <v>33646</v>
      </c>
      <c r="B100" s="21">
        <v>1.2958000000000001</v>
      </c>
      <c r="C100" s="22">
        <v>127.68</v>
      </c>
      <c r="D100" s="22">
        <v>7.3</v>
      </c>
      <c r="E100" s="10">
        <v>7.86</v>
      </c>
      <c r="F100" s="22">
        <v>5.59</v>
      </c>
      <c r="G100" s="22">
        <v>417.13000499999998</v>
      </c>
      <c r="H100" s="22">
        <v>1685.030029</v>
      </c>
      <c r="I100" s="18">
        <v>21541.640630000002</v>
      </c>
    </row>
    <row r="101" spans="1:9" x14ac:dyDescent="0.2">
      <c r="A101" s="4">
        <v>33647</v>
      </c>
      <c r="B101" s="21">
        <v>1.284</v>
      </c>
      <c r="C101" s="22">
        <v>127.68</v>
      </c>
      <c r="D101" s="22">
        <v>7.4</v>
      </c>
      <c r="E101" s="10">
        <v>7.85</v>
      </c>
      <c r="F101" s="22">
        <v>5.5</v>
      </c>
      <c r="G101" s="22">
        <v>413.69000199999999</v>
      </c>
      <c r="H101" s="22">
        <v>1680.8100589999999</v>
      </c>
      <c r="I101" s="18">
        <v>21391.019530000001</v>
      </c>
    </row>
    <row r="102" spans="1:9" x14ac:dyDescent="0.2">
      <c r="A102" s="4">
        <v>33648</v>
      </c>
      <c r="B102" s="21">
        <v>1.2799</v>
      </c>
      <c r="C102" s="22">
        <v>127.93</v>
      </c>
      <c r="D102" s="22">
        <v>7.41</v>
      </c>
      <c r="E102" s="10">
        <v>7.87</v>
      </c>
      <c r="F102" s="22">
        <v>5.56</v>
      </c>
      <c r="G102" s="22">
        <v>412.48001099999999</v>
      </c>
      <c r="H102" s="22">
        <v>1676.170044</v>
      </c>
      <c r="I102" s="18">
        <v>20883.859380000002</v>
      </c>
    </row>
    <row r="103" spans="1:9" x14ac:dyDescent="0.2">
      <c r="A103" s="4">
        <v>33651</v>
      </c>
      <c r="B103" s="21">
        <v>1.2842</v>
      </c>
      <c r="C103" s="22">
        <v>127</v>
      </c>
      <c r="D103" s="22">
        <v>7.41</v>
      </c>
      <c r="E103" s="10">
        <v>7.92</v>
      </c>
      <c r="F103" s="22">
        <v>5.47</v>
      </c>
      <c r="G103" s="22">
        <v>412.27</v>
      </c>
      <c r="H103" s="22">
        <v>1688.459961</v>
      </c>
      <c r="I103" s="18">
        <v>21324.980469999999</v>
      </c>
    </row>
    <row r="104" spans="1:9" x14ac:dyDescent="0.2">
      <c r="A104" s="4">
        <v>33652</v>
      </c>
      <c r="B104" s="21">
        <v>1.2645</v>
      </c>
      <c r="C104" s="22">
        <v>128</v>
      </c>
      <c r="D104" s="22">
        <v>7.47</v>
      </c>
      <c r="E104" s="10">
        <v>7.91</v>
      </c>
      <c r="F104" s="22">
        <v>5.47</v>
      </c>
      <c r="G104" s="22">
        <v>407.38000499999998</v>
      </c>
      <c r="H104" s="22">
        <v>1696.5500489999999</v>
      </c>
      <c r="I104" s="18">
        <v>20872.029299999998</v>
      </c>
    </row>
    <row r="105" spans="1:9" x14ac:dyDescent="0.2">
      <c r="A105" s="4">
        <v>33653</v>
      </c>
      <c r="B105" s="21">
        <v>1.2686999999999999</v>
      </c>
      <c r="C105" s="22">
        <v>128.4</v>
      </c>
      <c r="D105" s="22">
        <v>7.42</v>
      </c>
      <c r="E105" s="10">
        <v>7.93</v>
      </c>
      <c r="F105" s="22">
        <v>5.51</v>
      </c>
      <c r="G105" s="22">
        <v>408.26001000000002</v>
      </c>
      <c r="H105" s="22">
        <v>1690.23999</v>
      </c>
      <c r="I105" s="18">
        <v>20618.300780000001</v>
      </c>
    </row>
    <row r="106" spans="1:9" x14ac:dyDescent="0.2">
      <c r="A106" s="4">
        <v>33654</v>
      </c>
      <c r="B106" s="21">
        <v>1.2625</v>
      </c>
      <c r="C106" s="22">
        <v>128.65</v>
      </c>
      <c r="D106" s="22">
        <v>7.41</v>
      </c>
      <c r="E106" s="10">
        <v>7.92</v>
      </c>
      <c r="F106" s="22">
        <v>5.47</v>
      </c>
      <c r="G106" s="22">
        <v>413.89999399999999</v>
      </c>
      <c r="H106" s="22">
        <v>1711.349976</v>
      </c>
      <c r="I106" s="18">
        <v>20771.91992</v>
      </c>
    </row>
    <row r="107" spans="1:9" x14ac:dyDescent="0.2">
      <c r="A107" s="4">
        <v>33655</v>
      </c>
      <c r="B107" s="21">
        <v>1.2639</v>
      </c>
      <c r="C107" s="22">
        <v>128.72</v>
      </c>
      <c r="D107" s="22">
        <v>7.45</v>
      </c>
      <c r="E107" s="10">
        <v>7.92</v>
      </c>
      <c r="F107" s="22">
        <v>5.45</v>
      </c>
      <c r="G107" s="22">
        <v>411.42999300000002</v>
      </c>
      <c r="H107" s="22">
        <v>1711.290039</v>
      </c>
      <c r="I107" s="18">
        <v>21291.810549999998</v>
      </c>
    </row>
    <row r="108" spans="1:9" x14ac:dyDescent="0.2">
      <c r="A108" s="4">
        <v>33658</v>
      </c>
      <c r="B108" s="21">
        <v>1.2623</v>
      </c>
      <c r="C108" s="22">
        <v>129.1</v>
      </c>
      <c r="D108" s="22">
        <v>7.47</v>
      </c>
      <c r="E108" s="10">
        <v>7.93</v>
      </c>
      <c r="F108" s="22">
        <v>5.49</v>
      </c>
      <c r="G108" s="22">
        <v>412.26998900000001</v>
      </c>
      <c r="H108" s="22">
        <v>1729.8599850000001</v>
      </c>
      <c r="I108" s="18">
        <v>20973.240229999999</v>
      </c>
    </row>
    <row r="109" spans="1:9" x14ac:dyDescent="0.2">
      <c r="A109" s="4">
        <v>33659</v>
      </c>
      <c r="B109" s="21">
        <v>1.2751999999999999</v>
      </c>
      <c r="C109" s="22">
        <v>129.44999999999999</v>
      </c>
      <c r="D109" s="22">
        <v>7.44</v>
      </c>
      <c r="E109" s="10">
        <v>7.91</v>
      </c>
      <c r="F109" s="22">
        <v>5.49</v>
      </c>
      <c r="G109" s="22">
        <v>410.45001200000002</v>
      </c>
      <c r="H109" s="22">
        <v>1716.630005</v>
      </c>
      <c r="I109" s="18">
        <v>21025.550780000001</v>
      </c>
    </row>
    <row r="110" spans="1:9" x14ac:dyDescent="0.2">
      <c r="A110" s="4">
        <v>33660</v>
      </c>
      <c r="B110" s="21">
        <v>1.2614000000000001</v>
      </c>
      <c r="C110" s="22">
        <v>129.68</v>
      </c>
      <c r="D110" s="22">
        <v>7.33</v>
      </c>
      <c r="E110" s="10">
        <v>7.86</v>
      </c>
      <c r="F110" s="22">
        <v>5.47</v>
      </c>
      <c r="G110" s="22">
        <v>415.35000600000001</v>
      </c>
      <c r="H110" s="22">
        <v>1743.3599850000001</v>
      </c>
      <c r="I110" s="18">
        <v>21364.769530000001</v>
      </c>
    </row>
    <row r="111" spans="1:9" x14ac:dyDescent="0.2">
      <c r="A111" s="4">
        <v>33661</v>
      </c>
      <c r="B111" s="21">
        <v>1.2694000000000001</v>
      </c>
      <c r="C111" s="22">
        <v>129.41</v>
      </c>
      <c r="D111" s="22">
        <v>7.35</v>
      </c>
      <c r="E111" s="10">
        <v>7.83</v>
      </c>
      <c r="F111" s="22">
        <v>5.46</v>
      </c>
      <c r="G111" s="22">
        <v>413.85998499999999</v>
      </c>
      <c r="H111" s="22">
        <v>1745.170044</v>
      </c>
      <c r="I111" s="18">
        <v>21333.699219999999</v>
      </c>
    </row>
    <row r="112" spans="1:9" x14ac:dyDescent="0.2">
      <c r="A112" s="4">
        <v>33662</v>
      </c>
      <c r="B112" s="21">
        <v>1.2732000000000001</v>
      </c>
      <c r="C112" s="22">
        <v>129.15</v>
      </c>
      <c r="D112" s="22">
        <v>7.27</v>
      </c>
      <c r="E112" s="10">
        <v>7.83</v>
      </c>
      <c r="F112" s="22">
        <v>5.46</v>
      </c>
      <c r="G112" s="22">
        <v>412.70001200000002</v>
      </c>
      <c r="H112" s="22">
        <v>1746.76001</v>
      </c>
      <c r="I112" s="18">
        <v>21338.810549999998</v>
      </c>
    </row>
    <row r="113" spans="1:9" x14ac:dyDescent="0.2">
      <c r="A113" s="4">
        <v>33665</v>
      </c>
      <c r="B113" s="21">
        <v>1.2670999999999999</v>
      </c>
      <c r="C113" s="22">
        <v>129.63</v>
      </c>
      <c r="D113" s="22">
        <v>7.38</v>
      </c>
      <c r="E113" s="10">
        <v>7.84</v>
      </c>
      <c r="F113" s="22">
        <v>5.49</v>
      </c>
      <c r="G113" s="22">
        <v>412.45001200000002</v>
      </c>
      <c r="H113" s="22">
        <v>1749.290039</v>
      </c>
      <c r="I113" s="18">
        <v>21487.820309999999</v>
      </c>
    </row>
    <row r="114" spans="1:9" x14ac:dyDescent="0.2">
      <c r="A114" s="4">
        <v>33666</v>
      </c>
      <c r="B114" s="21">
        <v>1.2591000000000001</v>
      </c>
      <c r="C114" s="22">
        <v>130.84</v>
      </c>
      <c r="D114" s="22">
        <v>7.43</v>
      </c>
      <c r="E114" s="10">
        <v>7.85</v>
      </c>
      <c r="F114" s="22">
        <v>5.53</v>
      </c>
      <c r="G114" s="22">
        <v>412.85000600000001</v>
      </c>
      <c r="H114" s="22">
        <v>1763.8599850000001</v>
      </c>
      <c r="I114" s="18">
        <v>21051.710940000001</v>
      </c>
    </row>
    <row r="115" spans="1:9" x14ac:dyDescent="0.2">
      <c r="A115" s="4">
        <v>33667</v>
      </c>
      <c r="B115" s="21">
        <v>1.2503</v>
      </c>
      <c r="C115" s="22">
        <v>132.11000000000001</v>
      </c>
      <c r="D115" s="22">
        <v>7.43</v>
      </c>
      <c r="E115" s="10">
        <v>7.84</v>
      </c>
      <c r="F115" s="22">
        <v>5.55</v>
      </c>
      <c r="G115" s="22">
        <v>409.32998700000002</v>
      </c>
      <c r="H115" s="22">
        <v>1762.2700199999999</v>
      </c>
      <c r="I115" s="18">
        <v>21105.41992</v>
      </c>
    </row>
    <row r="116" spans="1:9" x14ac:dyDescent="0.2">
      <c r="A116" s="4">
        <v>33668</v>
      </c>
      <c r="B116" s="21">
        <v>1.2475000000000001</v>
      </c>
      <c r="C116" s="22">
        <v>131.85</v>
      </c>
      <c r="D116" s="22">
        <v>7.51</v>
      </c>
      <c r="E116" s="10">
        <v>7.88</v>
      </c>
      <c r="F116" s="22">
        <v>5.5</v>
      </c>
      <c r="G116" s="22">
        <v>406.51001000000002</v>
      </c>
      <c r="H116" s="22">
        <v>1762.290039</v>
      </c>
      <c r="I116" s="18">
        <v>20864.41992</v>
      </c>
    </row>
    <row r="117" spans="1:9" x14ac:dyDescent="0.2">
      <c r="A117" s="4">
        <v>33669</v>
      </c>
      <c r="B117" s="21">
        <v>1.2468999999999999</v>
      </c>
      <c r="C117" s="22">
        <v>131.76</v>
      </c>
      <c r="D117" s="22">
        <v>7.48</v>
      </c>
      <c r="E117" s="10">
        <v>7.91</v>
      </c>
      <c r="F117" s="22">
        <v>5.52</v>
      </c>
      <c r="G117" s="22">
        <v>404.44000199999999</v>
      </c>
      <c r="H117" s="22">
        <v>1746.7700199999999</v>
      </c>
      <c r="I117" s="18">
        <v>20992.990229999999</v>
      </c>
    </row>
    <row r="118" spans="1:9" x14ac:dyDescent="0.2">
      <c r="A118" s="4">
        <v>33672</v>
      </c>
      <c r="B118" s="21">
        <v>1.2533000000000001</v>
      </c>
      <c r="C118" s="22">
        <v>131.91999999999999</v>
      </c>
      <c r="D118" s="22">
        <v>7.42</v>
      </c>
      <c r="E118" s="10">
        <v>7.9</v>
      </c>
      <c r="F118" s="22">
        <v>5.5</v>
      </c>
      <c r="G118" s="22">
        <v>405.209991</v>
      </c>
      <c r="H118" s="22">
        <v>1753.5</v>
      </c>
      <c r="I118" s="18">
        <v>20797.679690000001</v>
      </c>
    </row>
    <row r="119" spans="1:9" x14ac:dyDescent="0.2">
      <c r="A119" s="4">
        <v>33673</v>
      </c>
      <c r="B119" s="21">
        <v>1.2491000000000001</v>
      </c>
      <c r="C119" s="22">
        <v>132.88</v>
      </c>
      <c r="D119" s="22">
        <v>7.43</v>
      </c>
      <c r="E119" s="10">
        <v>7.87</v>
      </c>
      <c r="F119" s="22">
        <v>5.45</v>
      </c>
      <c r="G119" s="22">
        <v>406.89001500000001</v>
      </c>
      <c r="H119" s="22">
        <v>1753.209961</v>
      </c>
      <c r="I119" s="18">
        <v>20854.589840000001</v>
      </c>
    </row>
    <row r="120" spans="1:9" x14ac:dyDescent="0.2">
      <c r="A120" s="4">
        <v>33674</v>
      </c>
      <c r="B120" s="21">
        <v>1.2527999999999999</v>
      </c>
      <c r="C120" s="22">
        <v>133.44999999999999</v>
      </c>
      <c r="D120" s="22">
        <v>7.51</v>
      </c>
      <c r="E120" s="10">
        <v>7.9</v>
      </c>
      <c r="F120" s="22">
        <v>5.46</v>
      </c>
      <c r="G120" s="22">
        <v>404.02999899999998</v>
      </c>
      <c r="H120" s="22">
        <v>1739.880005</v>
      </c>
      <c r="I120" s="18">
        <v>20592.140630000002</v>
      </c>
    </row>
    <row r="121" spans="1:9" x14ac:dyDescent="0.2">
      <c r="A121" s="4">
        <v>33675</v>
      </c>
      <c r="B121" s="21">
        <v>1.2439</v>
      </c>
      <c r="C121" s="22">
        <v>134.25</v>
      </c>
      <c r="D121" s="22">
        <v>7.62</v>
      </c>
      <c r="E121" s="10">
        <v>7.93</v>
      </c>
      <c r="F121" s="22">
        <v>5.48</v>
      </c>
      <c r="G121" s="22">
        <v>403.89001500000001</v>
      </c>
      <c r="H121" s="22">
        <v>1723.920044</v>
      </c>
      <c r="I121" s="18">
        <v>20561.880860000001</v>
      </c>
    </row>
    <row r="122" spans="1:9" x14ac:dyDescent="0.2">
      <c r="A122" s="4">
        <v>33676</v>
      </c>
      <c r="B122" s="21">
        <v>1.2495000000000001</v>
      </c>
      <c r="C122" s="22">
        <v>133.6</v>
      </c>
      <c r="D122" s="22">
        <v>7.71</v>
      </c>
      <c r="E122" s="10">
        <v>7.93</v>
      </c>
      <c r="F122" s="22">
        <v>5.46</v>
      </c>
      <c r="G122" s="22">
        <v>405.83999599999999</v>
      </c>
      <c r="H122" s="22">
        <v>1734.420044</v>
      </c>
      <c r="I122" s="18">
        <v>20456.060549999998</v>
      </c>
    </row>
    <row r="123" spans="1:9" x14ac:dyDescent="0.2">
      <c r="A123" s="4">
        <v>33679</v>
      </c>
      <c r="B123" s="21">
        <v>1.2516</v>
      </c>
      <c r="C123" s="22">
        <v>133.97999999999999</v>
      </c>
      <c r="D123" s="22">
        <v>7.69</v>
      </c>
      <c r="E123" s="10">
        <v>7.94</v>
      </c>
      <c r="F123" s="22">
        <v>5.46</v>
      </c>
      <c r="G123" s="22">
        <v>406.39001500000001</v>
      </c>
      <c r="H123" s="22">
        <v>1723.130005</v>
      </c>
      <c r="I123" s="18">
        <v>19837.160159999999</v>
      </c>
    </row>
    <row r="124" spans="1:9" x14ac:dyDescent="0.2">
      <c r="A124" s="4">
        <v>33680</v>
      </c>
      <c r="B124" s="21">
        <v>1.2622</v>
      </c>
      <c r="C124" s="22">
        <v>133.44999999999999</v>
      </c>
      <c r="D124" s="22">
        <v>7.62</v>
      </c>
      <c r="E124" s="10">
        <v>7.93</v>
      </c>
      <c r="F124" s="22">
        <v>5.42</v>
      </c>
      <c r="G124" s="22">
        <v>409.57998700000002</v>
      </c>
      <c r="H124" s="22">
        <v>1732.920044</v>
      </c>
      <c r="I124" s="18">
        <v>19917.630860000001</v>
      </c>
    </row>
    <row r="125" spans="1:9" x14ac:dyDescent="0.2">
      <c r="A125" s="4">
        <v>33681</v>
      </c>
      <c r="B125" s="21">
        <v>1.262</v>
      </c>
      <c r="C125" s="22">
        <v>132.05000000000001</v>
      </c>
      <c r="D125" s="22">
        <v>7.62</v>
      </c>
      <c r="E125" s="10">
        <v>7.91</v>
      </c>
      <c r="F125" s="22">
        <v>5.42</v>
      </c>
      <c r="G125" s="22">
        <v>409.14999399999999</v>
      </c>
      <c r="H125" s="22">
        <v>1729.8900149999999</v>
      </c>
      <c r="I125" s="18">
        <v>19764.310549999998</v>
      </c>
    </row>
    <row r="126" spans="1:9" x14ac:dyDescent="0.2">
      <c r="A126" s="4">
        <v>33682</v>
      </c>
      <c r="B126" s="21">
        <v>1.2483</v>
      </c>
      <c r="C126" s="22">
        <v>133.27000000000001</v>
      </c>
      <c r="D126" s="22">
        <v>7.57</v>
      </c>
      <c r="E126" s="10">
        <v>7.94</v>
      </c>
      <c r="F126" s="22">
        <v>5.38</v>
      </c>
      <c r="G126" s="22">
        <v>409.79998799999998</v>
      </c>
      <c r="H126" s="22">
        <v>1725.73999</v>
      </c>
      <c r="I126" s="18">
        <v>20185.089840000001</v>
      </c>
    </row>
    <row r="127" spans="1:9" x14ac:dyDescent="0.2">
      <c r="A127" s="4">
        <v>33683</v>
      </c>
      <c r="B127" s="21">
        <v>1.2383999999999999</v>
      </c>
      <c r="C127" s="22">
        <v>134.15</v>
      </c>
      <c r="D127" s="22">
        <v>7.64</v>
      </c>
      <c r="E127" s="10">
        <v>7.96</v>
      </c>
      <c r="F127" s="22">
        <v>5.38</v>
      </c>
      <c r="G127" s="22">
        <v>411.29998799999998</v>
      </c>
      <c r="H127" s="22">
        <v>1730.900024</v>
      </c>
      <c r="I127" s="18">
        <v>20185.089840000001</v>
      </c>
    </row>
    <row r="128" spans="1:9" x14ac:dyDescent="0.2">
      <c r="A128" s="4">
        <v>33686</v>
      </c>
      <c r="B128" s="21">
        <v>1.252</v>
      </c>
      <c r="C128" s="22">
        <v>133.69999999999999</v>
      </c>
      <c r="D128" s="22">
        <v>7.62</v>
      </c>
      <c r="E128" s="10">
        <v>8.0299999999999994</v>
      </c>
      <c r="F128" s="22">
        <v>5.38</v>
      </c>
      <c r="G128" s="22">
        <v>409.91000400000001</v>
      </c>
      <c r="H128" s="22">
        <v>1714.170044</v>
      </c>
      <c r="I128" s="18">
        <v>20239.599610000001</v>
      </c>
    </row>
    <row r="129" spans="1:9" x14ac:dyDescent="0.2">
      <c r="A129" s="4">
        <v>33687</v>
      </c>
      <c r="B129" s="21">
        <v>1.2516</v>
      </c>
      <c r="C129" s="22">
        <v>133.69</v>
      </c>
      <c r="D129" s="22">
        <v>7.53</v>
      </c>
      <c r="E129" s="10">
        <v>8.0399999999999991</v>
      </c>
      <c r="F129" s="22">
        <v>5.39</v>
      </c>
      <c r="G129" s="22">
        <v>408.88000499999998</v>
      </c>
      <c r="H129" s="22">
        <v>1716.1999510000001</v>
      </c>
      <c r="I129" s="18">
        <v>19891.570309999999</v>
      </c>
    </row>
    <row r="130" spans="1:9" x14ac:dyDescent="0.2">
      <c r="A130" s="4">
        <v>33688</v>
      </c>
      <c r="B130" s="21">
        <v>1.2595000000000001</v>
      </c>
      <c r="C130" s="22">
        <v>133.35</v>
      </c>
      <c r="D130" s="22">
        <v>7.53</v>
      </c>
      <c r="E130" s="10">
        <v>8.0299999999999994</v>
      </c>
      <c r="F130" s="22">
        <v>5.39</v>
      </c>
      <c r="G130" s="22">
        <v>407.51998900000001</v>
      </c>
      <c r="H130" s="22">
        <v>1719.0600589999999</v>
      </c>
      <c r="I130" s="18">
        <v>20226.779299999998</v>
      </c>
    </row>
    <row r="131" spans="1:9" x14ac:dyDescent="0.2">
      <c r="A131" s="4">
        <v>33689</v>
      </c>
      <c r="B131" s="21">
        <v>1.2575000000000001</v>
      </c>
      <c r="C131" s="22">
        <v>133.94999999999999</v>
      </c>
      <c r="D131" s="22">
        <v>7.57</v>
      </c>
      <c r="E131" s="10">
        <v>8.01</v>
      </c>
      <c r="F131" s="22">
        <v>5.38</v>
      </c>
      <c r="G131" s="22">
        <v>407.85998499999999</v>
      </c>
      <c r="H131" s="22">
        <v>1718.209961</v>
      </c>
      <c r="I131" s="18">
        <v>19885.490229999999</v>
      </c>
    </row>
    <row r="132" spans="1:9" x14ac:dyDescent="0.2">
      <c r="A132" s="4">
        <v>33690</v>
      </c>
      <c r="B132" s="21">
        <v>1.2670999999999999</v>
      </c>
      <c r="C132" s="22">
        <v>133.12</v>
      </c>
      <c r="D132" s="22">
        <v>7.54</v>
      </c>
      <c r="E132" s="10">
        <v>8.0399999999999991</v>
      </c>
      <c r="F132" s="22">
        <v>5.35</v>
      </c>
      <c r="G132" s="22">
        <v>403.5</v>
      </c>
      <c r="H132" s="22">
        <v>1698.839966</v>
      </c>
      <c r="I132" s="18">
        <v>19636.990229999999</v>
      </c>
    </row>
    <row r="133" spans="1:9" x14ac:dyDescent="0.2">
      <c r="A133" s="4">
        <v>33693</v>
      </c>
      <c r="B133" s="21">
        <v>1.2622</v>
      </c>
      <c r="C133" s="22">
        <v>133.06</v>
      </c>
      <c r="D133" s="22">
        <v>7.54</v>
      </c>
      <c r="E133" s="10">
        <v>8.0299999999999994</v>
      </c>
      <c r="F133" s="22">
        <v>5.35</v>
      </c>
      <c r="G133" s="22">
        <v>403</v>
      </c>
      <c r="H133" s="22">
        <v>1714.76001</v>
      </c>
      <c r="I133" s="18">
        <v>19669.310549999998</v>
      </c>
    </row>
    <row r="134" spans="1:9" x14ac:dyDescent="0.2">
      <c r="A134" s="4">
        <v>33694</v>
      </c>
      <c r="B134" s="21">
        <v>1.2646999999999999</v>
      </c>
      <c r="C134" s="22">
        <v>132.91999999999999</v>
      </c>
      <c r="D134" s="22">
        <v>7.54</v>
      </c>
      <c r="E134" s="10">
        <v>8</v>
      </c>
      <c r="F134" s="22">
        <v>5.38</v>
      </c>
      <c r="G134" s="22">
        <v>403.69000199999999</v>
      </c>
      <c r="H134" s="22">
        <v>1718.349976</v>
      </c>
      <c r="I134" s="18">
        <v>19345.949219999999</v>
      </c>
    </row>
    <row r="135" spans="1:9" x14ac:dyDescent="0.2">
      <c r="A135" s="4">
        <v>33695</v>
      </c>
      <c r="B135" s="21">
        <v>1.2595000000000001</v>
      </c>
      <c r="C135" s="22">
        <v>134.5</v>
      </c>
      <c r="D135" s="22">
        <v>7.46</v>
      </c>
      <c r="E135" s="10">
        <v>8.01</v>
      </c>
      <c r="F135" s="22">
        <v>5.57</v>
      </c>
      <c r="G135" s="22">
        <v>404.23001099999999</v>
      </c>
      <c r="H135" s="22">
        <v>1706.6899410000001</v>
      </c>
      <c r="I135" s="18">
        <v>18581.789059999999</v>
      </c>
    </row>
    <row r="136" spans="1:9" x14ac:dyDescent="0.2">
      <c r="A136" s="4">
        <v>33696</v>
      </c>
      <c r="B136" s="21">
        <v>1.2653000000000001</v>
      </c>
      <c r="C136" s="22">
        <v>133.83000000000001</v>
      </c>
      <c r="D136" s="22">
        <v>7.47</v>
      </c>
      <c r="E136" s="10">
        <v>8.0299999999999994</v>
      </c>
      <c r="F136" s="22">
        <v>5.68</v>
      </c>
      <c r="G136" s="22">
        <v>400.5</v>
      </c>
      <c r="H136" s="22">
        <v>1723.369995</v>
      </c>
      <c r="I136" s="18">
        <v>18286.029299999998</v>
      </c>
    </row>
    <row r="137" spans="1:9" x14ac:dyDescent="0.2">
      <c r="A137" s="4">
        <v>33697</v>
      </c>
      <c r="B137" s="21">
        <v>1.2767999999999999</v>
      </c>
      <c r="C137" s="22">
        <v>133.25</v>
      </c>
      <c r="D137" s="22">
        <v>7.42</v>
      </c>
      <c r="E137" s="10">
        <v>8.02</v>
      </c>
      <c r="F137" s="22">
        <v>5.79</v>
      </c>
      <c r="G137" s="22">
        <v>401.54998799999998</v>
      </c>
      <c r="H137" s="22">
        <v>1716.1800539999999</v>
      </c>
      <c r="I137" s="18">
        <v>18559.710940000001</v>
      </c>
    </row>
    <row r="138" spans="1:9" x14ac:dyDescent="0.2">
      <c r="A138" s="4">
        <v>33700</v>
      </c>
      <c r="B138" s="21">
        <v>1.2854000000000001</v>
      </c>
      <c r="C138" s="22">
        <v>132.72</v>
      </c>
      <c r="D138" s="22">
        <v>7.41</v>
      </c>
      <c r="E138" s="10">
        <v>7.96</v>
      </c>
      <c r="F138" s="22">
        <v>5.72</v>
      </c>
      <c r="G138" s="22">
        <v>405.58999599999999</v>
      </c>
      <c r="H138" s="22">
        <v>1738.780029</v>
      </c>
      <c r="I138" s="18">
        <v>18436.369139999999</v>
      </c>
    </row>
    <row r="139" spans="1:9" x14ac:dyDescent="0.2">
      <c r="A139" s="4">
        <v>33701</v>
      </c>
      <c r="B139" s="21">
        <v>1.2794000000000001</v>
      </c>
      <c r="C139" s="22">
        <v>133.28</v>
      </c>
      <c r="D139" s="22">
        <v>7.41</v>
      </c>
      <c r="E139" s="10">
        <v>7.94</v>
      </c>
      <c r="F139" s="22">
        <v>5.75</v>
      </c>
      <c r="G139" s="22">
        <v>398.05999800000001</v>
      </c>
      <c r="H139" s="22">
        <v>1737.410034</v>
      </c>
      <c r="I139" s="18">
        <v>17791.550780000001</v>
      </c>
    </row>
    <row r="140" spans="1:9" x14ac:dyDescent="0.2">
      <c r="A140" s="4">
        <v>33702</v>
      </c>
      <c r="B140" s="21">
        <v>1.2822</v>
      </c>
      <c r="C140" s="22">
        <v>132.6</v>
      </c>
      <c r="D140" s="22">
        <v>7.44</v>
      </c>
      <c r="E140" s="10">
        <v>7.91</v>
      </c>
      <c r="F140" s="22">
        <v>5.71</v>
      </c>
      <c r="G140" s="22">
        <v>394.5</v>
      </c>
      <c r="H140" s="22">
        <v>1714.7700199999999</v>
      </c>
      <c r="I140" s="18">
        <v>17175.529299999998</v>
      </c>
    </row>
    <row r="141" spans="1:9" x14ac:dyDescent="0.2">
      <c r="A141" s="4">
        <v>33703</v>
      </c>
      <c r="B141" s="21">
        <v>1.2745</v>
      </c>
      <c r="C141" s="22">
        <v>132.22999999999999</v>
      </c>
      <c r="D141" s="22">
        <v>7.35</v>
      </c>
      <c r="E141" s="10">
        <v>7.92</v>
      </c>
      <c r="F141" s="22">
        <v>5.74</v>
      </c>
      <c r="G141" s="22">
        <v>400.64001500000001</v>
      </c>
      <c r="H141" s="22">
        <v>1724.23999</v>
      </c>
      <c r="I141" s="18">
        <v>16598.150389999999</v>
      </c>
    </row>
    <row r="142" spans="1:9" x14ac:dyDescent="0.2">
      <c r="A142" s="4">
        <v>33704</v>
      </c>
      <c r="B142" s="21">
        <v>1.2834000000000001</v>
      </c>
      <c r="C142" s="22">
        <v>132.9</v>
      </c>
      <c r="D142" s="22">
        <v>7.37</v>
      </c>
      <c r="E142" s="10">
        <v>7.87</v>
      </c>
      <c r="F142" s="22">
        <v>5.64</v>
      </c>
      <c r="G142" s="22">
        <v>404.290009</v>
      </c>
      <c r="H142" s="22">
        <v>1733.7700199999999</v>
      </c>
      <c r="I142" s="18">
        <v>17850.660159999999</v>
      </c>
    </row>
    <row r="143" spans="1:9" x14ac:dyDescent="0.2">
      <c r="A143" s="4">
        <v>33707</v>
      </c>
      <c r="B143" s="21">
        <v>1.2636000000000001</v>
      </c>
      <c r="C143" s="22">
        <v>133.28</v>
      </c>
      <c r="D143" s="22">
        <v>7.33</v>
      </c>
      <c r="E143" s="10">
        <v>7.89</v>
      </c>
      <c r="F143" s="22">
        <v>5.68</v>
      </c>
      <c r="G143" s="22">
        <v>406.07998700000002</v>
      </c>
      <c r="H143" s="22">
        <v>1729.959961</v>
      </c>
      <c r="I143" s="18">
        <v>17236.650389999999</v>
      </c>
    </row>
    <row r="144" spans="1:9" x14ac:dyDescent="0.2">
      <c r="A144" s="4">
        <v>33708</v>
      </c>
      <c r="B144" s="21">
        <v>1.2678</v>
      </c>
      <c r="C144" s="22">
        <v>132.79</v>
      </c>
      <c r="D144" s="22">
        <v>7.35</v>
      </c>
      <c r="E144" s="10">
        <v>7.9</v>
      </c>
      <c r="F144" s="22">
        <v>5.68</v>
      </c>
      <c r="G144" s="22">
        <v>412.39001500000001</v>
      </c>
      <c r="H144" s="22">
        <v>1734.459961</v>
      </c>
      <c r="I144" s="18">
        <v>17439.58008</v>
      </c>
    </row>
    <row r="145" spans="1:9" x14ac:dyDescent="0.2">
      <c r="A145" s="4">
        <v>33709</v>
      </c>
      <c r="B145" s="21">
        <v>1.2596000000000001</v>
      </c>
      <c r="C145" s="22">
        <v>133.38999999999999</v>
      </c>
      <c r="D145" s="22">
        <v>7.37</v>
      </c>
      <c r="E145" s="10">
        <v>7.88</v>
      </c>
      <c r="F145" s="22">
        <v>5.65</v>
      </c>
      <c r="G145" s="22">
        <v>416.27999899999998</v>
      </c>
      <c r="H145" s="22">
        <v>1744.349976</v>
      </c>
      <c r="I145" s="18">
        <v>17948.009770000001</v>
      </c>
    </row>
    <row r="146" spans="1:9" x14ac:dyDescent="0.2">
      <c r="A146" s="4">
        <v>33710</v>
      </c>
      <c r="B146" s="21">
        <v>1.2514000000000001</v>
      </c>
      <c r="C146" s="22">
        <v>133.9</v>
      </c>
      <c r="D146" s="22">
        <v>7.45</v>
      </c>
      <c r="E146" s="10">
        <v>7.9</v>
      </c>
      <c r="F146" s="22">
        <v>5.66</v>
      </c>
      <c r="G146" s="22">
        <v>416.040009</v>
      </c>
      <c r="H146" s="22">
        <v>1746.880005</v>
      </c>
      <c r="I146" s="18">
        <v>17959.759770000001</v>
      </c>
    </row>
    <row r="147" spans="1:9" x14ac:dyDescent="0.2">
      <c r="A147" s="4">
        <v>33711</v>
      </c>
      <c r="B147" s="21">
        <v>1.2514000000000001</v>
      </c>
      <c r="C147" s="22">
        <v>134</v>
      </c>
      <c r="D147" s="22">
        <v>7.45</v>
      </c>
      <c r="E147" s="10">
        <v>7.9</v>
      </c>
      <c r="F147" s="22">
        <v>5.7</v>
      </c>
      <c r="G147" s="22">
        <v>409.02</v>
      </c>
      <c r="H147" s="22">
        <v>1746.880005</v>
      </c>
      <c r="I147" s="18">
        <v>17580.689450000002</v>
      </c>
    </row>
    <row r="148" spans="1:9" x14ac:dyDescent="0.2">
      <c r="A148" s="4">
        <v>33714</v>
      </c>
      <c r="B148" s="21">
        <v>1.2514000000000001</v>
      </c>
      <c r="C148" s="22">
        <v>134.5</v>
      </c>
      <c r="D148" s="22">
        <v>7.59</v>
      </c>
      <c r="E148" s="10">
        <v>7.9</v>
      </c>
      <c r="F148" s="22">
        <v>5.79</v>
      </c>
      <c r="G148" s="22">
        <v>410.17999300000002</v>
      </c>
      <c r="H148" s="22">
        <v>1746.880005</v>
      </c>
      <c r="I148" s="18">
        <v>17071.359380000002</v>
      </c>
    </row>
    <row r="149" spans="1:9" x14ac:dyDescent="0.2">
      <c r="A149" s="4">
        <v>33715</v>
      </c>
      <c r="B149" s="21">
        <v>1.2538</v>
      </c>
      <c r="C149" s="22">
        <v>134.22999999999999</v>
      </c>
      <c r="D149" s="22">
        <v>7.58</v>
      </c>
      <c r="E149" s="10">
        <v>7.93</v>
      </c>
      <c r="F149" s="22">
        <v>5.77</v>
      </c>
      <c r="G149" s="22">
        <v>410.26001000000002</v>
      </c>
      <c r="H149" s="22">
        <v>1747.469971</v>
      </c>
      <c r="I149" s="18">
        <v>16787.33008</v>
      </c>
    </row>
    <row r="150" spans="1:9" x14ac:dyDescent="0.2">
      <c r="A150" s="4">
        <v>33716</v>
      </c>
      <c r="B150" s="21">
        <v>1.2536</v>
      </c>
      <c r="C150" s="22">
        <v>134.15</v>
      </c>
      <c r="D150" s="22">
        <v>7.57</v>
      </c>
      <c r="E150" s="10">
        <v>7.93</v>
      </c>
      <c r="F150" s="22">
        <v>5.78</v>
      </c>
      <c r="G150" s="22">
        <v>409.80999800000001</v>
      </c>
      <c r="H150" s="22">
        <v>1753.099976</v>
      </c>
      <c r="I150" s="18">
        <v>16839.119139999999</v>
      </c>
    </row>
    <row r="151" spans="1:9" x14ac:dyDescent="0.2">
      <c r="A151" s="4">
        <v>33717</v>
      </c>
      <c r="B151" s="21">
        <v>1.2565999999999999</v>
      </c>
      <c r="C151" s="22">
        <v>134.53</v>
      </c>
      <c r="D151" s="22">
        <v>7.59</v>
      </c>
      <c r="E151" s="10">
        <v>7.92</v>
      </c>
      <c r="F151" s="22">
        <v>5.75</v>
      </c>
      <c r="G151" s="22">
        <v>411.60000600000001</v>
      </c>
      <c r="H151" s="22">
        <v>1745.170044</v>
      </c>
      <c r="I151" s="18">
        <v>17402.050780000001</v>
      </c>
    </row>
    <row r="152" spans="1:9" x14ac:dyDescent="0.2">
      <c r="A152" s="4">
        <v>33718</v>
      </c>
      <c r="B152" s="21">
        <v>1.2634000000000001</v>
      </c>
      <c r="C152" s="22">
        <v>134.53</v>
      </c>
      <c r="D152" s="22">
        <v>7.55</v>
      </c>
      <c r="E152" s="10">
        <v>7.98</v>
      </c>
      <c r="F152" s="22">
        <v>5.78</v>
      </c>
      <c r="G152" s="22">
        <v>409.01998900000001</v>
      </c>
      <c r="H152" s="22">
        <v>1745.719971</v>
      </c>
      <c r="I152" s="18">
        <v>17542.449219999999</v>
      </c>
    </row>
    <row r="153" spans="1:9" x14ac:dyDescent="0.2">
      <c r="A153" s="4">
        <v>33721</v>
      </c>
      <c r="B153" s="21">
        <v>1.2649999999999999</v>
      </c>
      <c r="C153" s="22">
        <v>133.13</v>
      </c>
      <c r="D153" s="22">
        <v>7.6</v>
      </c>
      <c r="E153" s="10">
        <v>8</v>
      </c>
      <c r="F153" s="22">
        <v>5.84</v>
      </c>
      <c r="G153" s="22">
        <v>408.45001200000002</v>
      </c>
      <c r="H153" s="22">
        <v>1742.920044</v>
      </c>
      <c r="I153" s="18">
        <v>17450.519530000001</v>
      </c>
    </row>
    <row r="154" spans="1:9" x14ac:dyDescent="0.2">
      <c r="A154" s="4">
        <v>33722</v>
      </c>
      <c r="B154" s="21">
        <v>1.2617</v>
      </c>
      <c r="C154" s="22">
        <v>133.33000000000001</v>
      </c>
      <c r="D154" s="22">
        <v>7.57</v>
      </c>
      <c r="E154" s="10">
        <v>7.98</v>
      </c>
      <c r="F154" s="22">
        <v>5.85</v>
      </c>
      <c r="G154" s="22">
        <v>409.10998499999999</v>
      </c>
      <c r="H154" s="22">
        <v>1731.6800539999999</v>
      </c>
      <c r="I154" s="18">
        <v>17527.400389999999</v>
      </c>
    </row>
    <row r="155" spans="1:9" x14ac:dyDescent="0.2">
      <c r="A155" s="4">
        <v>33723</v>
      </c>
      <c r="B155" s="21">
        <v>1.2612000000000001</v>
      </c>
      <c r="C155" s="22">
        <v>133.5</v>
      </c>
      <c r="D155" s="22">
        <v>7.6</v>
      </c>
      <c r="E155" s="10">
        <v>7.99</v>
      </c>
      <c r="F155" s="22">
        <v>5.85</v>
      </c>
      <c r="G155" s="22">
        <v>412.01998900000001</v>
      </c>
      <c r="H155" s="22">
        <v>1731.1800539999999</v>
      </c>
      <c r="I155" s="18">
        <v>17527.400389999999</v>
      </c>
    </row>
    <row r="156" spans="1:9" x14ac:dyDescent="0.2">
      <c r="A156" s="4">
        <v>33724</v>
      </c>
      <c r="B156" s="21">
        <v>1.2615000000000001</v>
      </c>
      <c r="C156" s="22">
        <v>133.30000000000001</v>
      </c>
      <c r="D156" s="22">
        <v>7.61</v>
      </c>
      <c r="E156" s="10">
        <v>8</v>
      </c>
      <c r="F156" s="22">
        <v>5.87</v>
      </c>
      <c r="G156" s="22">
        <v>414.95001200000002</v>
      </c>
      <c r="H156" s="22">
        <v>1728.089966</v>
      </c>
      <c r="I156" s="18">
        <v>17390.710940000001</v>
      </c>
    </row>
    <row r="157" spans="1:9" x14ac:dyDescent="0.2">
      <c r="A157" s="4">
        <v>33725</v>
      </c>
      <c r="B157" s="21">
        <v>1.2709999999999999</v>
      </c>
      <c r="C157" s="22">
        <v>132.75</v>
      </c>
      <c r="D157" s="22">
        <v>7.56</v>
      </c>
      <c r="E157" s="10">
        <v>8</v>
      </c>
      <c r="F157" s="22">
        <v>5.85</v>
      </c>
      <c r="G157" s="22">
        <v>412.52999899999998</v>
      </c>
      <c r="H157" s="22">
        <v>1728.089966</v>
      </c>
      <c r="I157" s="18">
        <v>17303.390630000002</v>
      </c>
    </row>
    <row r="158" spans="1:9" x14ac:dyDescent="0.2">
      <c r="A158" s="4">
        <v>33728</v>
      </c>
      <c r="B158" s="21">
        <v>1.2709999999999999</v>
      </c>
      <c r="C158" s="22">
        <v>132.69999999999999</v>
      </c>
      <c r="D158" s="22">
        <v>7.58</v>
      </c>
      <c r="E158" s="10">
        <v>8</v>
      </c>
      <c r="F158" s="22">
        <v>5.85</v>
      </c>
      <c r="G158" s="22">
        <v>416.91000400000001</v>
      </c>
      <c r="H158" s="22">
        <v>1731.290039</v>
      </c>
      <c r="I158" s="18">
        <v>17303.390630000002</v>
      </c>
    </row>
    <row r="159" spans="1:9" x14ac:dyDescent="0.2">
      <c r="A159" s="4">
        <v>33729</v>
      </c>
      <c r="B159" s="21">
        <v>1.2745</v>
      </c>
      <c r="C159" s="22">
        <v>133.07</v>
      </c>
      <c r="D159" s="22">
        <v>7.56</v>
      </c>
      <c r="E159" s="10">
        <v>8.0399999999999991</v>
      </c>
      <c r="F159" s="22">
        <v>5.85</v>
      </c>
      <c r="G159" s="22">
        <v>416.83999599999999</v>
      </c>
      <c r="H159" s="22">
        <v>1733.8199460000001</v>
      </c>
      <c r="I159" s="18">
        <v>17303.390630000002</v>
      </c>
    </row>
    <row r="160" spans="1:9" x14ac:dyDescent="0.2">
      <c r="A160" s="4">
        <v>33730</v>
      </c>
      <c r="B160" s="21">
        <v>1.2785</v>
      </c>
      <c r="C160" s="22">
        <v>132.5</v>
      </c>
      <c r="D160" s="22">
        <v>7.46</v>
      </c>
      <c r="E160" s="10">
        <v>8.01</v>
      </c>
      <c r="F160" s="22">
        <v>5.81</v>
      </c>
      <c r="G160" s="22">
        <v>416.790009</v>
      </c>
      <c r="H160" s="22">
        <v>1745.780029</v>
      </c>
      <c r="I160" s="18">
        <v>17878.660159999999</v>
      </c>
    </row>
    <row r="161" spans="1:9" x14ac:dyDescent="0.2">
      <c r="A161" s="4">
        <v>33731</v>
      </c>
      <c r="B161" s="21">
        <v>1.2767999999999999</v>
      </c>
      <c r="C161" s="22">
        <v>132.69999999999999</v>
      </c>
      <c r="D161" s="22">
        <v>7.49</v>
      </c>
      <c r="E161" s="10">
        <v>7.96</v>
      </c>
      <c r="F161" s="22">
        <v>5.79</v>
      </c>
      <c r="G161" s="22">
        <v>415.85000600000001</v>
      </c>
      <c r="H161" s="22">
        <v>1752.5699460000001</v>
      </c>
      <c r="I161" s="18">
        <v>18410.880860000001</v>
      </c>
    </row>
    <row r="162" spans="1:9" x14ac:dyDescent="0.2">
      <c r="A162" s="4">
        <v>33732</v>
      </c>
      <c r="B162" s="21">
        <v>1.2685999999999999</v>
      </c>
      <c r="C162" s="22">
        <v>133.4</v>
      </c>
      <c r="D162" s="22">
        <v>7.41</v>
      </c>
      <c r="E162" s="10">
        <v>7.96</v>
      </c>
      <c r="F162" s="22">
        <v>5.78</v>
      </c>
      <c r="G162" s="22">
        <v>416.04998799999998</v>
      </c>
      <c r="H162" s="22">
        <v>1748.130005</v>
      </c>
      <c r="I162" s="18">
        <v>18375.949219999999</v>
      </c>
    </row>
    <row r="163" spans="1:9" x14ac:dyDescent="0.2">
      <c r="A163" s="4">
        <v>33735</v>
      </c>
      <c r="B163" s="21">
        <v>1.2737000000000001</v>
      </c>
      <c r="C163" s="22">
        <v>133.16999999999999</v>
      </c>
      <c r="D163" s="22">
        <v>7.4</v>
      </c>
      <c r="E163" s="10">
        <v>7.97</v>
      </c>
      <c r="F163" s="22">
        <v>5.77</v>
      </c>
      <c r="G163" s="22">
        <v>418.48998999999998</v>
      </c>
      <c r="H163" s="22">
        <v>1750.6999510000001</v>
      </c>
      <c r="I163" s="18">
        <v>18608.089840000001</v>
      </c>
    </row>
    <row r="164" spans="1:9" x14ac:dyDescent="0.2">
      <c r="A164" s="4">
        <v>33736</v>
      </c>
      <c r="B164" s="21">
        <v>1.2848999999999999</v>
      </c>
      <c r="C164" s="22">
        <v>130.5</v>
      </c>
      <c r="D164" s="22">
        <v>7.36</v>
      </c>
      <c r="E164" s="10">
        <v>7.97</v>
      </c>
      <c r="F164" s="22">
        <v>5.77</v>
      </c>
      <c r="G164" s="22">
        <v>416.290009</v>
      </c>
      <c r="H164" s="22">
        <v>1747.910034</v>
      </c>
      <c r="I164" s="18">
        <v>18508.529299999998</v>
      </c>
    </row>
    <row r="165" spans="1:9" x14ac:dyDescent="0.2">
      <c r="A165" s="4">
        <v>33737</v>
      </c>
      <c r="B165" s="21">
        <v>1.2885</v>
      </c>
      <c r="C165" s="22">
        <v>130.4</v>
      </c>
      <c r="D165" s="22">
        <v>7.34</v>
      </c>
      <c r="E165" s="10">
        <v>7.95</v>
      </c>
      <c r="F165" s="22">
        <v>5.7</v>
      </c>
      <c r="G165" s="22">
        <v>416.45001200000002</v>
      </c>
      <c r="H165" s="22">
        <v>1745.790039</v>
      </c>
      <c r="I165" s="18">
        <v>18768.570309999999</v>
      </c>
    </row>
    <row r="166" spans="1:9" x14ac:dyDescent="0.2">
      <c r="A166" s="4">
        <v>33738</v>
      </c>
      <c r="B166" s="21">
        <v>1.2952999999999999</v>
      </c>
      <c r="C166" s="22">
        <v>130.19999999999999</v>
      </c>
      <c r="D166" s="22">
        <v>7.34</v>
      </c>
      <c r="E166" s="10">
        <v>7.96</v>
      </c>
      <c r="F166" s="22">
        <v>5.7</v>
      </c>
      <c r="G166" s="22">
        <v>413.14001500000001</v>
      </c>
      <c r="H166" s="22">
        <v>1735.339966</v>
      </c>
      <c r="I166" s="18">
        <v>18804.599610000001</v>
      </c>
    </row>
    <row r="167" spans="1:9" x14ac:dyDescent="0.2">
      <c r="A167" s="4">
        <v>33739</v>
      </c>
      <c r="B167" s="21">
        <v>1.3006</v>
      </c>
      <c r="C167" s="22">
        <v>130.25</v>
      </c>
      <c r="D167" s="22">
        <v>7.28</v>
      </c>
      <c r="E167" s="10">
        <v>7.99</v>
      </c>
      <c r="F167" s="22">
        <v>5.72</v>
      </c>
      <c r="G167" s="22">
        <v>410.08999599999999</v>
      </c>
      <c r="H167" s="22">
        <v>1719.920044</v>
      </c>
      <c r="I167" s="18">
        <v>18074.269530000001</v>
      </c>
    </row>
    <row r="168" spans="1:9" x14ac:dyDescent="0.2">
      <c r="A168" s="4">
        <v>33742</v>
      </c>
      <c r="B168" s="21">
        <v>1.3099000000000001</v>
      </c>
      <c r="C168" s="22">
        <v>128.80000000000001</v>
      </c>
      <c r="D168" s="22">
        <v>7.28</v>
      </c>
      <c r="E168" s="10">
        <v>7.95</v>
      </c>
      <c r="F168" s="22">
        <v>5.71</v>
      </c>
      <c r="G168" s="22">
        <v>412.80999800000001</v>
      </c>
      <c r="H168" s="22">
        <v>1763.589966</v>
      </c>
      <c r="I168" s="18">
        <v>18443.099610000001</v>
      </c>
    </row>
    <row r="169" spans="1:9" x14ac:dyDescent="0.2">
      <c r="A169" s="4">
        <v>33743</v>
      </c>
      <c r="B169" s="21">
        <v>1.3131999999999999</v>
      </c>
      <c r="C169" s="22">
        <v>129.1</v>
      </c>
      <c r="D169" s="22">
        <v>7.2</v>
      </c>
      <c r="E169" s="10">
        <v>7.95</v>
      </c>
      <c r="F169" s="22">
        <v>5.68</v>
      </c>
      <c r="G169" s="22">
        <v>416.36999500000002</v>
      </c>
      <c r="H169" s="22">
        <v>1766.76001</v>
      </c>
      <c r="I169" s="18">
        <v>18754.109380000002</v>
      </c>
    </row>
    <row r="170" spans="1:9" x14ac:dyDescent="0.2">
      <c r="A170" s="4">
        <v>33744</v>
      </c>
      <c r="B170" s="21">
        <v>1.3062</v>
      </c>
      <c r="C170" s="22">
        <v>129.58000000000001</v>
      </c>
      <c r="D170" s="22">
        <v>7.25</v>
      </c>
      <c r="E170" s="10">
        <v>7.94</v>
      </c>
      <c r="F170" s="22">
        <v>5.65</v>
      </c>
      <c r="G170" s="22">
        <v>415.39001500000001</v>
      </c>
      <c r="H170" s="22">
        <v>1785.400024</v>
      </c>
      <c r="I170" s="18">
        <v>18674.929690000001</v>
      </c>
    </row>
    <row r="171" spans="1:9" x14ac:dyDescent="0.2">
      <c r="A171" s="4">
        <v>33745</v>
      </c>
      <c r="B171" s="21">
        <v>1.2949999999999999</v>
      </c>
      <c r="C171" s="22">
        <v>130.25</v>
      </c>
      <c r="D171" s="22">
        <v>7.39</v>
      </c>
      <c r="E171" s="10">
        <v>7.94</v>
      </c>
      <c r="F171" s="22">
        <v>5.67</v>
      </c>
      <c r="G171" s="22">
        <v>412.60000600000001</v>
      </c>
      <c r="H171" s="22">
        <v>1783.5600589999999</v>
      </c>
      <c r="I171" s="18">
        <v>18691.289059999999</v>
      </c>
    </row>
    <row r="172" spans="1:9" x14ac:dyDescent="0.2">
      <c r="A172" s="4">
        <v>33746</v>
      </c>
      <c r="B172" s="21">
        <v>1.2922</v>
      </c>
      <c r="C172" s="22">
        <v>129.4</v>
      </c>
      <c r="D172" s="22">
        <v>7.35</v>
      </c>
      <c r="E172" s="10">
        <v>7.92</v>
      </c>
      <c r="F172" s="22">
        <v>5.7</v>
      </c>
      <c r="G172" s="22">
        <v>414.01998900000001</v>
      </c>
      <c r="H172" s="22">
        <v>1804.420044</v>
      </c>
      <c r="I172" s="18">
        <v>18221</v>
      </c>
    </row>
    <row r="173" spans="1:9" x14ac:dyDescent="0.2">
      <c r="A173" s="4">
        <v>33749</v>
      </c>
      <c r="B173" s="21">
        <v>1.2922</v>
      </c>
      <c r="C173" s="22">
        <v>129.15</v>
      </c>
      <c r="D173" s="22">
        <v>7.35</v>
      </c>
      <c r="E173" s="10">
        <v>7.93</v>
      </c>
      <c r="F173" s="22">
        <v>5.69</v>
      </c>
      <c r="G173" s="22">
        <v>417.3</v>
      </c>
      <c r="H173" s="22">
        <v>1812.329956</v>
      </c>
      <c r="I173" s="18">
        <v>18555</v>
      </c>
    </row>
    <row r="174" spans="1:9" x14ac:dyDescent="0.2">
      <c r="A174" s="4">
        <v>33750</v>
      </c>
      <c r="B174" s="21">
        <v>1.2974000000000001</v>
      </c>
      <c r="C174" s="22">
        <v>129.33000000000001</v>
      </c>
      <c r="D174" s="22">
        <v>7.46</v>
      </c>
      <c r="E174" s="10">
        <v>7.92</v>
      </c>
      <c r="F174" s="22">
        <v>5.71</v>
      </c>
      <c r="G174" s="22">
        <v>411.41000400000001</v>
      </c>
      <c r="H174" s="22">
        <v>1799.51001</v>
      </c>
      <c r="I174" s="18">
        <v>18204.640630000002</v>
      </c>
    </row>
    <row r="175" spans="1:9" x14ac:dyDescent="0.2">
      <c r="A175" s="4">
        <v>33751</v>
      </c>
      <c r="B175" s="21">
        <v>1.2801</v>
      </c>
      <c r="C175" s="22">
        <v>129.94999999999999</v>
      </c>
      <c r="D175" s="22">
        <v>7.44</v>
      </c>
      <c r="E175" s="10">
        <v>7.95</v>
      </c>
      <c r="F175" s="22">
        <v>5.77</v>
      </c>
      <c r="G175" s="22">
        <v>412.17001299999998</v>
      </c>
      <c r="H175" s="22">
        <v>1792.8000489999999</v>
      </c>
      <c r="I175" s="18">
        <v>17822.560549999998</v>
      </c>
    </row>
    <row r="176" spans="1:9" x14ac:dyDescent="0.2">
      <c r="A176" s="4">
        <v>33752</v>
      </c>
      <c r="B176" s="21">
        <v>1.2844</v>
      </c>
      <c r="C176" s="22">
        <v>129.62</v>
      </c>
      <c r="D176" s="22">
        <v>7.36</v>
      </c>
      <c r="E176" s="10">
        <v>7.95</v>
      </c>
      <c r="F176" s="22">
        <v>5.75</v>
      </c>
      <c r="G176" s="22">
        <v>416.73998999999998</v>
      </c>
      <c r="H176" s="22">
        <v>1792.8000489999999</v>
      </c>
      <c r="I176" s="18">
        <v>17931.25</v>
      </c>
    </row>
    <row r="177" spans="1:9" x14ac:dyDescent="0.2">
      <c r="A177" s="4">
        <v>33753</v>
      </c>
      <c r="B177" s="21">
        <v>1.3028999999999999</v>
      </c>
      <c r="C177" s="22">
        <v>127.75</v>
      </c>
      <c r="D177" s="22">
        <v>7.33</v>
      </c>
      <c r="E177" s="10">
        <v>7.93</v>
      </c>
      <c r="F177" s="22">
        <v>5.7</v>
      </c>
      <c r="G177" s="22">
        <v>415.35000600000001</v>
      </c>
      <c r="H177" s="22">
        <v>1806.3599850000001</v>
      </c>
      <c r="I177" s="18">
        <v>18347.75</v>
      </c>
    </row>
    <row r="178" spans="1:9" x14ac:dyDescent="0.2">
      <c r="A178" s="4">
        <v>33756</v>
      </c>
      <c r="B178" s="21">
        <v>1.2988999999999999</v>
      </c>
      <c r="C178" s="22">
        <v>127.45</v>
      </c>
      <c r="D178" s="22">
        <v>7.39</v>
      </c>
      <c r="E178" s="10">
        <v>8.06</v>
      </c>
      <c r="F178" s="22">
        <v>5.69</v>
      </c>
      <c r="G178" s="22">
        <v>417.29998799999998</v>
      </c>
      <c r="H178" s="22">
        <v>1798.2299800000001</v>
      </c>
      <c r="I178" s="18">
        <v>18004.109380000002</v>
      </c>
    </row>
    <row r="179" spans="1:9" x14ac:dyDescent="0.2">
      <c r="A179" s="4">
        <v>33757</v>
      </c>
      <c r="B179" s="21">
        <v>1.3010999999999999</v>
      </c>
      <c r="C179" s="22">
        <v>127.53</v>
      </c>
      <c r="D179" s="22">
        <v>7.35</v>
      </c>
      <c r="E179" s="10">
        <v>8.08</v>
      </c>
      <c r="F179" s="22">
        <v>5.72</v>
      </c>
      <c r="G179" s="22">
        <v>413.5</v>
      </c>
      <c r="H179" s="22">
        <v>1800.619995</v>
      </c>
      <c r="I179" s="18">
        <v>18125.550780000001</v>
      </c>
    </row>
    <row r="180" spans="1:9" x14ac:dyDescent="0.2">
      <c r="A180" s="4">
        <v>33758</v>
      </c>
      <c r="B180" s="21">
        <v>1.2989999999999999</v>
      </c>
      <c r="C180" s="22">
        <v>127.8</v>
      </c>
      <c r="D180" s="22">
        <v>7.34</v>
      </c>
      <c r="E180" s="10">
        <v>8.09</v>
      </c>
      <c r="F180" s="22">
        <v>5.69</v>
      </c>
      <c r="G180" s="22">
        <v>414.58999599999999</v>
      </c>
      <c r="H180" s="22">
        <v>1786.1899410000001</v>
      </c>
      <c r="I180" s="18">
        <v>18188.679690000001</v>
      </c>
    </row>
    <row r="181" spans="1:9" x14ac:dyDescent="0.2">
      <c r="A181" s="4">
        <v>33759</v>
      </c>
      <c r="B181" s="21">
        <v>1.304</v>
      </c>
      <c r="C181" s="22">
        <v>127.57</v>
      </c>
      <c r="D181" s="22">
        <v>7.34</v>
      </c>
      <c r="E181" s="10">
        <v>8.11</v>
      </c>
      <c r="F181" s="22">
        <v>5.7</v>
      </c>
      <c r="G181" s="22">
        <v>413.26001000000002</v>
      </c>
      <c r="H181" s="22">
        <v>1791.349976</v>
      </c>
      <c r="I181" s="18">
        <v>17964.070309999999</v>
      </c>
    </row>
    <row r="182" spans="1:9" x14ac:dyDescent="0.2">
      <c r="A182" s="4">
        <v>33760</v>
      </c>
      <c r="B182" s="21">
        <v>1.3127</v>
      </c>
      <c r="C182" s="22">
        <v>126.8</v>
      </c>
      <c r="D182" s="22">
        <v>7.31</v>
      </c>
      <c r="E182" s="10">
        <v>8.1</v>
      </c>
      <c r="F182" s="22">
        <v>5.7</v>
      </c>
      <c r="G182" s="22">
        <v>413.48001099999999</v>
      </c>
      <c r="H182" s="22">
        <v>1789.0500489999999</v>
      </c>
      <c r="I182" s="18">
        <v>17790.039059999999</v>
      </c>
    </row>
    <row r="183" spans="1:9" x14ac:dyDescent="0.2">
      <c r="A183" s="4">
        <v>33763</v>
      </c>
      <c r="B183" s="21">
        <v>1.3110999999999999</v>
      </c>
      <c r="C183" s="22">
        <v>127.2</v>
      </c>
      <c r="D183" s="22">
        <v>7.31</v>
      </c>
      <c r="E183" s="10">
        <v>8.1</v>
      </c>
      <c r="F183" s="22">
        <v>5.72</v>
      </c>
      <c r="G183" s="22">
        <v>413.35998499999999</v>
      </c>
      <c r="H183" s="22">
        <v>1789.0500489999999</v>
      </c>
      <c r="I183" s="18">
        <v>17655.060549999998</v>
      </c>
    </row>
    <row r="184" spans="1:9" x14ac:dyDescent="0.2">
      <c r="A184" s="4">
        <v>33764</v>
      </c>
      <c r="B184" s="21">
        <v>1.3117000000000001</v>
      </c>
      <c r="C184" s="22">
        <v>127.55</v>
      </c>
      <c r="D184" s="22">
        <v>7.33</v>
      </c>
      <c r="E184" s="10">
        <v>8.07</v>
      </c>
      <c r="F184" s="22">
        <v>5.72</v>
      </c>
      <c r="G184" s="22">
        <v>410.05999800000001</v>
      </c>
      <c r="H184" s="22">
        <v>1784.709961</v>
      </c>
      <c r="I184" s="18">
        <v>17845.039059999999</v>
      </c>
    </row>
    <row r="185" spans="1:9" x14ac:dyDescent="0.2">
      <c r="A185" s="4">
        <v>33765</v>
      </c>
      <c r="B185" s="21">
        <v>1.3103</v>
      </c>
      <c r="C185" s="22">
        <v>127.65</v>
      </c>
      <c r="D185" s="22">
        <v>7.35</v>
      </c>
      <c r="E185" s="10">
        <v>8.08</v>
      </c>
      <c r="F185" s="22">
        <v>5.73</v>
      </c>
      <c r="G185" s="22">
        <v>407.25</v>
      </c>
      <c r="H185" s="22">
        <v>1789.4499510000001</v>
      </c>
      <c r="I185" s="18">
        <v>17742.869139999999</v>
      </c>
    </row>
    <row r="186" spans="1:9" x14ac:dyDescent="0.2">
      <c r="A186" s="4">
        <v>33766</v>
      </c>
      <c r="B186" s="21">
        <v>1.3213999999999999</v>
      </c>
      <c r="C186" s="22">
        <v>126.75</v>
      </c>
      <c r="D186" s="22">
        <v>7.33</v>
      </c>
      <c r="E186" s="10">
        <v>8.1</v>
      </c>
      <c r="F186" s="22">
        <v>5.71</v>
      </c>
      <c r="G186" s="22">
        <v>409.04998799999998</v>
      </c>
      <c r="H186" s="22">
        <v>1779.73999</v>
      </c>
      <c r="I186" s="18">
        <v>17709.050780000001</v>
      </c>
    </row>
    <row r="187" spans="1:9" x14ac:dyDescent="0.2">
      <c r="A187" s="4">
        <v>33767</v>
      </c>
      <c r="B187" s="21">
        <v>1.3226</v>
      </c>
      <c r="C187" s="22">
        <v>126.65</v>
      </c>
      <c r="D187" s="22">
        <v>7.29</v>
      </c>
      <c r="E187" s="10">
        <v>8.09</v>
      </c>
      <c r="F187" s="22">
        <v>5.71</v>
      </c>
      <c r="G187" s="22">
        <v>409.76001000000002</v>
      </c>
      <c r="H187" s="22">
        <v>1786.969971</v>
      </c>
      <c r="I187" s="18">
        <v>17383.679690000001</v>
      </c>
    </row>
    <row r="188" spans="1:9" x14ac:dyDescent="0.2">
      <c r="A188" s="4">
        <v>33770</v>
      </c>
      <c r="B188" s="21">
        <v>1.3287</v>
      </c>
      <c r="C188" s="22">
        <v>126.8</v>
      </c>
      <c r="D188" s="22">
        <v>7.28</v>
      </c>
      <c r="E188" s="10">
        <v>8.11</v>
      </c>
      <c r="F188" s="22">
        <v>5.71</v>
      </c>
      <c r="G188" s="22">
        <v>410.290009</v>
      </c>
      <c r="H188" s="22">
        <v>1773.25</v>
      </c>
      <c r="I188" s="18">
        <v>16953.230469999999</v>
      </c>
    </row>
    <row r="189" spans="1:9" x14ac:dyDescent="0.2">
      <c r="A189" s="4">
        <v>33771</v>
      </c>
      <c r="B189" s="21">
        <v>1.3282</v>
      </c>
      <c r="C189" s="22">
        <v>126.7</v>
      </c>
      <c r="D189" s="22">
        <v>7.24</v>
      </c>
      <c r="E189" s="10">
        <v>8.1199999999999992</v>
      </c>
      <c r="F189" s="22">
        <v>5.71</v>
      </c>
      <c r="G189" s="22">
        <v>408.32000699999998</v>
      </c>
      <c r="H189" s="22">
        <v>1781.619995</v>
      </c>
      <c r="I189" s="18">
        <v>16953.529299999998</v>
      </c>
    </row>
    <row r="190" spans="1:9" x14ac:dyDescent="0.2">
      <c r="A190" s="4">
        <v>33772</v>
      </c>
      <c r="B190" s="21">
        <v>1.3255999999999999</v>
      </c>
      <c r="C190" s="22">
        <v>127.05</v>
      </c>
      <c r="D190" s="22">
        <v>7.23</v>
      </c>
      <c r="E190" s="10">
        <v>8.1199999999999992</v>
      </c>
      <c r="F190" s="22">
        <v>5.65</v>
      </c>
      <c r="G190" s="22">
        <v>402.26001000000002</v>
      </c>
      <c r="H190" s="22">
        <v>1773.75</v>
      </c>
      <c r="I190" s="18">
        <v>16445.800780000001</v>
      </c>
    </row>
    <row r="191" spans="1:9" x14ac:dyDescent="0.2">
      <c r="A191" s="4">
        <v>33773</v>
      </c>
      <c r="B191" s="21">
        <v>1.3326</v>
      </c>
      <c r="C191" s="22">
        <v>126.65</v>
      </c>
      <c r="D191" s="22">
        <v>7.19</v>
      </c>
      <c r="E191" s="10">
        <v>8.1199999999999992</v>
      </c>
      <c r="F191" s="22">
        <v>5.64</v>
      </c>
      <c r="G191" s="22">
        <v>400.959991</v>
      </c>
      <c r="H191" s="22">
        <v>1773.75</v>
      </c>
      <c r="I191" s="18">
        <v>16045.559569999999</v>
      </c>
    </row>
    <row r="192" spans="1:9" x14ac:dyDescent="0.2">
      <c r="A192" s="4">
        <v>33774</v>
      </c>
      <c r="B192" s="21">
        <v>1.3305</v>
      </c>
      <c r="C192" s="22">
        <v>126.93</v>
      </c>
      <c r="D192" s="22">
        <v>7.24</v>
      </c>
      <c r="E192" s="10">
        <v>8.1199999999999992</v>
      </c>
      <c r="F192" s="22">
        <v>5.62</v>
      </c>
      <c r="G192" s="22">
        <v>403.67001299999998</v>
      </c>
      <c r="H192" s="22">
        <v>1776.339966</v>
      </c>
      <c r="I192" s="18">
        <v>16519.869139999999</v>
      </c>
    </row>
    <row r="193" spans="1:9" x14ac:dyDescent="0.2">
      <c r="A193" s="4">
        <v>33777</v>
      </c>
      <c r="B193" s="21">
        <v>1.3313999999999999</v>
      </c>
      <c r="C193" s="22">
        <v>127.1</v>
      </c>
      <c r="D193" s="22">
        <v>7.24</v>
      </c>
      <c r="E193" s="10">
        <v>8.14</v>
      </c>
      <c r="F193" s="22">
        <v>5.61</v>
      </c>
      <c r="G193" s="22">
        <v>403.39999399999999</v>
      </c>
      <c r="H193" s="22">
        <v>1770.719971</v>
      </c>
      <c r="I193" s="18">
        <v>15921.219730000001</v>
      </c>
    </row>
    <row r="194" spans="1:9" x14ac:dyDescent="0.2">
      <c r="A194" s="4">
        <v>33778</v>
      </c>
      <c r="B194" s="21">
        <v>1.3323</v>
      </c>
      <c r="C194" s="22">
        <v>127.23</v>
      </c>
      <c r="D194" s="22">
        <v>7.25</v>
      </c>
      <c r="E194" s="10">
        <v>8.18</v>
      </c>
      <c r="F194" s="22">
        <v>5.62</v>
      </c>
      <c r="G194" s="22">
        <v>404.040009</v>
      </c>
      <c r="H194" s="22">
        <v>1772.3900149999999</v>
      </c>
      <c r="I194" s="18">
        <v>16106.990229999999</v>
      </c>
    </row>
    <row r="195" spans="1:9" x14ac:dyDescent="0.2">
      <c r="A195" s="4">
        <v>33779</v>
      </c>
      <c r="B195" s="21">
        <v>1.3446</v>
      </c>
      <c r="C195" s="22">
        <v>126.68</v>
      </c>
      <c r="D195" s="22">
        <v>7.2</v>
      </c>
      <c r="E195" s="10">
        <v>8.18</v>
      </c>
      <c r="F195" s="22">
        <v>5.59</v>
      </c>
      <c r="G195" s="22">
        <v>403.83999599999999</v>
      </c>
      <c r="H195" s="22">
        <v>1762.5500489999999</v>
      </c>
      <c r="I195" s="18">
        <v>15853.66992</v>
      </c>
    </row>
    <row r="196" spans="1:9" x14ac:dyDescent="0.2">
      <c r="A196" s="4">
        <v>33780</v>
      </c>
      <c r="B196" s="21">
        <v>1.355</v>
      </c>
      <c r="C196" s="22">
        <v>125.45</v>
      </c>
      <c r="D196" s="22">
        <v>7.14</v>
      </c>
      <c r="E196" s="10">
        <v>8.18</v>
      </c>
      <c r="F196" s="22">
        <v>5.58</v>
      </c>
      <c r="G196" s="22">
        <v>403.11999500000002</v>
      </c>
      <c r="H196" s="22">
        <v>1764.349976</v>
      </c>
      <c r="I196" s="18">
        <v>16143.719730000001</v>
      </c>
    </row>
    <row r="197" spans="1:9" x14ac:dyDescent="0.2">
      <c r="A197" s="4">
        <v>33781</v>
      </c>
      <c r="B197" s="21">
        <v>1.3585</v>
      </c>
      <c r="C197" s="22">
        <v>125.72</v>
      </c>
      <c r="D197" s="22">
        <v>7.15</v>
      </c>
      <c r="E197" s="10">
        <v>8.18</v>
      </c>
      <c r="F197" s="22">
        <v>5.53</v>
      </c>
      <c r="G197" s="22">
        <v>403.45001200000002</v>
      </c>
      <c r="H197" s="22">
        <v>1752.829956</v>
      </c>
      <c r="I197" s="18">
        <v>15812.73047</v>
      </c>
    </row>
    <row r="198" spans="1:9" x14ac:dyDescent="0.2">
      <c r="A198" s="4">
        <v>33784</v>
      </c>
      <c r="B198" s="21">
        <v>1.3737999999999999</v>
      </c>
      <c r="C198" s="22">
        <v>125.25</v>
      </c>
      <c r="D198" s="22">
        <v>7.12</v>
      </c>
      <c r="E198" s="10">
        <v>8.18</v>
      </c>
      <c r="F198" s="22">
        <v>5.54</v>
      </c>
      <c r="G198" s="22">
        <v>408.94000199999999</v>
      </c>
      <c r="H198" s="22">
        <v>1755.9799800000001</v>
      </c>
      <c r="I198" s="18">
        <v>15741.26953</v>
      </c>
    </row>
    <row r="199" spans="1:9" x14ac:dyDescent="0.2">
      <c r="A199" s="4">
        <v>33785</v>
      </c>
      <c r="B199" s="21">
        <v>1.3694999999999999</v>
      </c>
      <c r="C199" s="22">
        <v>125.87</v>
      </c>
      <c r="D199" s="22">
        <v>7.14</v>
      </c>
      <c r="E199" s="10">
        <v>8.17</v>
      </c>
      <c r="F199" s="22">
        <v>5.52</v>
      </c>
      <c r="G199" s="22">
        <v>408.14001500000001</v>
      </c>
      <c r="H199" s="22">
        <v>1754.9499510000001</v>
      </c>
      <c r="I199" s="18">
        <v>15951.73047</v>
      </c>
    </row>
    <row r="200" spans="1:9" x14ac:dyDescent="0.2">
      <c r="A200" s="4">
        <v>33786</v>
      </c>
      <c r="B200" s="21">
        <v>1.3774</v>
      </c>
      <c r="C200" s="22">
        <v>124.92</v>
      </c>
      <c r="D200" s="22">
        <v>7.1</v>
      </c>
      <c r="E200" s="10">
        <v>8.17</v>
      </c>
      <c r="F200" s="22">
        <v>5.51</v>
      </c>
      <c r="G200" s="22">
        <v>412.88000499999998</v>
      </c>
      <c r="H200" s="22">
        <v>1759.900024</v>
      </c>
      <c r="I200" s="18">
        <v>16325.070309999999</v>
      </c>
    </row>
    <row r="201" spans="1:9" x14ac:dyDescent="0.2">
      <c r="A201" s="4">
        <v>33787</v>
      </c>
      <c r="B201" s="21">
        <v>1.3779999999999999</v>
      </c>
      <c r="C201" s="22">
        <v>124.6</v>
      </c>
      <c r="D201" s="22">
        <v>6.93</v>
      </c>
      <c r="E201" s="10">
        <v>8.15</v>
      </c>
      <c r="F201" s="22">
        <v>5.49</v>
      </c>
      <c r="G201" s="22">
        <v>411.76998900000001</v>
      </c>
      <c r="H201" s="22">
        <v>1759.839966</v>
      </c>
      <c r="I201" s="18">
        <v>16757.630860000001</v>
      </c>
    </row>
    <row r="202" spans="1:9" x14ac:dyDescent="0.2">
      <c r="A202" s="4">
        <v>33788</v>
      </c>
      <c r="B202" s="21">
        <v>1.3733</v>
      </c>
      <c r="C202" s="22">
        <v>124.8</v>
      </c>
      <c r="D202" s="22">
        <v>6.93</v>
      </c>
      <c r="E202" s="10">
        <v>8.1</v>
      </c>
      <c r="F202" s="22">
        <v>5.5</v>
      </c>
      <c r="G202" s="22">
        <v>414.62</v>
      </c>
      <c r="H202" s="22">
        <v>1776.5</v>
      </c>
      <c r="I202" s="18">
        <v>16717.779299999998</v>
      </c>
    </row>
    <row r="203" spans="1:9" x14ac:dyDescent="0.2">
      <c r="A203" s="4">
        <v>33791</v>
      </c>
      <c r="B203" s="21">
        <v>1.3779999999999999</v>
      </c>
      <c r="C203" s="22">
        <v>124.55</v>
      </c>
      <c r="D203" s="22">
        <v>6.9</v>
      </c>
      <c r="E203" s="10">
        <v>8.11</v>
      </c>
      <c r="F203" s="22">
        <v>5.44</v>
      </c>
      <c r="G203" s="22">
        <v>413.83999599999999</v>
      </c>
      <c r="H203" s="22">
        <v>1769.9799800000001</v>
      </c>
      <c r="I203" s="18">
        <v>16657.070309999999</v>
      </c>
    </row>
    <row r="204" spans="1:9" x14ac:dyDescent="0.2">
      <c r="A204" s="4">
        <v>33792</v>
      </c>
      <c r="B204" s="21">
        <v>1.3900999999999999</v>
      </c>
      <c r="C204" s="22">
        <v>124.42</v>
      </c>
      <c r="D204" s="22">
        <v>6.87</v>
      </c>
      <c r="E204" s="10">
        <v>8.1</v>
      </c>
      <c r="F204" s="22">
        <v>5.47</v>
      </c>
      <c r="G204" s="22">
        <v>409.16000400000001</v>
      </c>
      <c r="H204" s="22">
        <v>1766.9799800000001</v>
      </c>
      <c r="I204" s="18">
        <v>16459.550780000001</v>
      </c>
    </row>
    <row r="205" spans="1:9" x14ac:dyDescent="0.2">
      <c r="A205" s="4">
        <v>33793</v>
      </c>
      <c r="B205" s="21">
        <v>1.3955</v>
      </c>
      <c r="C205" s="22">
        <v>124.85</v>
      </c>
      <c r="D205" s="22">
        <v>6.91</v>
      </c>
      <c r="E205" s="10">
        <v>8.11</v>
      </c>
      <c r="F205" s="22">
        <v>5.45</v>
      </c>
      <c r="G205" s="22">
        <v>410.27999899999998</v>
      </c>
      <c r="H205" s="22">
        <v>1752.290039</v>
      </c>
      <c r="I205" s="18">
        <v>16600.259770000001</v>
      </c>
    </row>
    <row r="206" spans="1:9" x14ac:dyDescent="0.2">
      <c r="A206" s="4">
        <v>33794</v>
      </c>
      <c r="B206" s="21">
        <v>1.3831</v>
      </c>
      <c r="C206" s="22">
        <v>125.8</v>
      </c>
      <c r="D206" s="22">
        <v>6.91</v>
      </c>
      <c r="E206" s="10">
        <v>8.11</v>
      </c>
      <c r="F206" s="22">
        <v>5.44</v>
      </c>
      <c r="G206" s="22">
        <v>414.23001099999999</v>
      </c>
      <c r="H206" s="22">
        <v>1760.170044</v>
      </c>
      <c r="I206" s="18">
        <v>16848.660159999999</v>
      </c>
    </row>
    <row r="207" spans="1:9" x14ac:dyDescent="0.2">
      <c r="A207" s="4">
        <v>33795</v>
      </c>
      <c r="B207" s="21">
        <v>1.3919999999999999</v>
      </c>
      <c r="C207" s="22">
        <v>125.4</v>
      </c>
      <c r="D207" s="22">
        <v>6.93</v>
      </c>
      <c r="E207" s="10">
        <v>8.11</v>
      </c>
      <c r="F207" s="22">
        <v>5.44</v>
      </c>
      <c r="G207" s="22">
        <v>414.61999500000002</v>
      </c>
      <c r="H207" s="22">
        <v>1750.3199460000001</v>
      </c>
      <c r="I207" s="18">
        <v>16783.720700000002</v>
      </c>
    </row>
    <row r="208" spans="1:9" x14ac:dyDescent="0.2">
      <c r="A208" s="4">
        <v>33798</v>
      </c>
      <c r="B208" s="21">
        <v>1.4060999999999999</v>
      </c>
      <c r="C208" s="22">
        <v>124.95</v>
      </c>
      <c r="D208" s="22">
        <v>6.97</v>
      </c>
      <c r="E208" s="10">
        <v>8.17</v>
      </c>
      <c r="F208" s="22">
        <v>5.45</v>
      </c>
      <c r="G208" s="22">
        <v>414.86999500000002</v>
      </c>
      <c r="H208" s="22">
        <v>1731.4399410000001</v>
      </c>
      <c r="I208" s="18">
        <v>17201.730469999999</v>
      </c>
    </row>
    <row r="209" spans="1:9" x14ac:dyDescent="0.2">
      <c r="A209" s="4">
        <v>33799</v>
      </c>
      <c r="B209" s="21">
        <v>1.4008</v>
      </c>
      <c r="C209" s="22">
        <v>125.3</v>
      </c>
      <c r="D209" s="22">
        <v>6.97</v>
      </c>
      <c r="E209" s="10">
        <v>8.15</v>
      </c>
      <c r="F209" s="22">
        <v>5.43</v>
      </c>
      <c r="G209" s="22">
        <v>417.67999300000002</v>
      </c>
      <c r="H209" s="22">
        <v>1735.51001</v>
      </c>
      <c r="I209" s="18">
        <v>17064.630860000001</v>
      </c>
    </row>
    <row r="210" spans="1:9" x14ac:dyDescent="0.2">
      <c r="A210" s="4">
        <v>33800</v>
      </c>
      <c r="B210" s="21">
        <v>1.4087000000000001</v>
      </c>
      <c r="C210" s="22">
        <v>125</v>
      </c>
      <c r="D210" s="22">
        <v>6.9</v>
      </c>
      <c r="E210" s="10">
        <v>8.15</v>
      </c>
      <c r="F210" s="22">
        <v>5.42</v>
      </c>
      <c r="G210" s="22">
        <v>417.10000600000001</v>
      </c>
      <c r="H210" s="22">
        <v>1733.839966</v>
      </c>
      <c r="I210" s="18">
        <v>17116.91992</v>
      </c>
    </row>
    <row r="211" spans="1:9" x14ac:dyDescent="0.2">
      <c r="A211" s="4">
        <v>33801</v>
      </c>
      <c r="B211" s="21">
        <v>1.4097999999999999</v>
      </c>
      <c r="C211" s="22">
        <v>125.45</v>
      </c>
      <c r="D211" s="22">
        <v>6.87</v>
      </c>
      <c r="E211" s="10">
        <v>8.14</v>
      </c>
      <c r="F211" s="22">
        <v>5.42</v>
      </c>
      <c r="G211" s="22">
        <v>417.540009</v>
      </c>
      <c r="H211" s="22">
        <v>1730.780029</v>
      </c>
      <c r="I211" s="18">
        <v>16987.660159999999</v>
      </c>
    </row>
    <row r="212" spans="1:9" x14ac:dyDescent="0.2">
      <c r="A212" s="4">
        <v>33802</v>
      </c>
      <c r="B212" s="21">
        <v>1.4218999999999999</v>
      </c>
      <c r="C212" s="22">
        <v>124.55</v>
      </c>
      <c r="D212" s="22">
        <v>6.9</v>
      </c>
      <c r="E212" s="10">
        <v>8.16</v>
      </c>
      <c r="F212" s="22">
        <v>5.4050000000000002</v>
      </c>
      <c r="G212" s="22">
        <v>415.61999500000002</v>
      </c>
      <c r="H212" s="22">
        <v>1699.459961</v>
      </c>
      <c r="I212" s="18">
        <v>16548.070309999999</v>
      </c>
    </row>
    <row r="213" spans="1:9" x14ac:dyDescent="0.2">
      <c r="A213" s="4">
        <v>33805</v>
      </c>
      <c r="B213" s="21">
        <v>1.4015</v>
      </c>
      <c r="C213" s="22">
        <v>125.25</v>
      </c>
      <c r="D213" s="22">
        <v>6.9</v>
      </c>
      <c r="E213" s="10">
        <v>8.2200000000000006</v>
      </c>
      <c r="F213" s="22">
        <v>5.4050000000000002</v>
      </c>
      <c r="G213" s="22">
        <v>413.75</v>
      </c>
      <c r="H213" s="22">
        <v>1652.709961</v>
      </c>
      <c r="I213" s="18">
        <v>15884.48047</v>
      </c>
    </row>
    <row r="214" spans="1:9" x14ac:dyDescent="0.2">
      <c r="A214" s="4">
        <v>33806</v>
      </c>
      <c r="B214" s="21">
        <v>1.397</v>
      </c>
      <c r="C214" s="22">
        <v>125.3</v>
      </c>
      <c r="D214" s="22">
        <v>6.89</v>
      </c>
      <c r="E214" s="10">
        <v>8.14</v>
      </c>
      <c r="F214" s="22">
        <v>5.4050000000000002</v>
      </c>
      <c r="G214" s="22">
        <v>413.76001000000002</v>
      </c>
      <c r="H214" s="22">
        <v>1654.089966</v>
      </c>
      <c r="I214" s="18">
        <v>16002.410159999999</v>
      </c>
    </row>
    <row r="215" spans="1:9" x14ac:dyDescent="0.2">
      <c r="A215" s="4">
        <v>33807</v>
      </c>
      <c r="B215" s="21">
        <v>1.3976</v>
      </c>
      <c r="C215" s="22">
        <v>126.9</v>
      </c>
      <c r="D215" s="22">
        <v>6.85</v>
      </c>
      <c r="E215" s="10">
        <v>8.15</v>
      </c>
      <c r="F215" s="22">
        <v>5.31</v>
      </c>
      <c r="G215" s="22">
        <v>410.92999300000002</v>
      </c>
      <c r="H215" s="22">
        <v>1636.8100589999999</v>
      </c>
      <c r="I215" s="18">
        <v>15541.950199999999</v>
      </c>
    </row>
    <row r="216" spans="1:9" x14ac:dyDescent="0.2">
      <c r="A216" s="4">
        <v>33808</v>
      </c>
      <c r="B216" s="21">
        <v>1.4004000000000001</v>
      </c>
      <c r="C216" s="22">
        <v>126.63</v>
      </c>
      <c r="D216" s="22">
        <v>6.72</v>
      </c>
      <c r="E216" s="10">
        <v>8.14</v>
      </c>
      <c r="F216" s="22">
        <v>5.2850000000000001</v>
      </c>
      <c r="G216" s="22">
        <v>412.07998700000002</v>
      </c>
      <c r="H216" s="22">
        <v>1622.8100589999999</v>
      </c>
      <c r="I216" s="18">
        <v>16039.940430000001</v>
      </c>
    </row>
    <row r="217" spans="1:9" x14ac:dyDescent="0.2">
      <c r="A217" s="4">
        <v>33809</v>
      </c>
      <c r="B217" s="21">
        <v>1.3872</v>
      </c>
      <c r="C217" s="22">
        <v>128.1</v>
      </c>
      <c r="D217" s="22">
        <v>6.73</v>
      </c>
      <c r="E217" s="10">
        <v>8.11</v>
      </c>
      <c r="F217" s="22">
        <v>5.29</v>
      </c>
      <c r="G217" s="22">
        <v>411.60000600000001</v>
      </c>
      <c r="H217" s="22">
        <v>1613.3599850000001</v>
      </c>
      <c r="I217" s="18">
        <v>15497.79004</v>
      </c>
    </row>
    <row r="218" spans="1:9" x14ac:dyDescent="0.2">
      <c r="A218" s="4">
        <v>33812</v>
      </c>
      <c r="B218" s="21">
        <v>1.4043000000000001</v>
      </c>
      <c r="C218" s="22">
        <v>127.55</v>
      </c>
      <c r="D218" s="22">
        <v>6.69</v>
      </c>
      <c r="E218" s="10">
        <v>8.1199999999999992</v>
      </c>
      <c r="F218" s="22">
        <v>5.26</v>
      </c>
      <c r="G218" s="22">
        <v>411.540009</v>
      </c>
      <c r="H218" s="22">
        <v>1617.780029</v>
      </c>
      <c r="I218" s="18">
        <v>15373.339840000001</v>
      </c>
    </row>
    <row r="219" spans="1:9" x14ac:dyDescent="0.2">
      <c r="A219" s="4">
        <v>33813</v>
      </c>
      <c r="B219" s="21">
        <v>1.4108000000000001</v>
      </c>
      <c r="C219" s="22">
        <v>127.39</v>
      </c>
      <c r="D219" s="22">
        <v>6.63</v>
      </c>
      <c r="E219" s="10">
        <v>8.11</v>
      </c>
      <c r="F219" s="22">
        <v>5.24</v>
      </c>
      <c r="G219" s="22">
        <v>417.51998900000001</v>
      </c>
      <c r="H219" s="22">
        <v>1617.1800539999999</v>
      </c>
      <c r="I219" s="18">
        <v>15426.639649999999</v>
      </c>
    </row>
    <row r="220" spans="1:9" x14ac:dyDescent="0.2">
      <c r="A220" s="4">
        <v>33814</v>
      </c>
      <c r="B220" s="21">
        <v>1.4073</v>
      </c>
      <c r="C220" s="22">
        <v>127.83</v>
      </c>
      <c r="D220" s="22">
        <v>6.6</v>
      </c>
      <c r="E220" s="10">
        <v>8.1300000000000008</v>
      </c>
      <c r="F220" s="22">
        <v>5.2149999999999999</v>
      </c>
      <c r="G220" s="22">
        <v>422.23001099999999</v>
      </c>
      <c r="H220" s="22">
        <v>1637.619995</v>
      </c>
      <c r="I220" s="18">
        <v>15095.950199999999</v>
      </c>
    </row>
    <row r="221" spans="1:9" x14ac:dyDescent="0.2">
      <c r="A221" s="4">
        <v>33815</v>
      </c>
      <c r="B221" s="21">
        <v>1.4040999999999999</v>
      </c>
      <c r="C221" s="22">
        <v>127.55</v>
      </c>
      <c r="D221" s="22">
        <v>6.69</v>
      </c>
      <c r="E221" s="10">
        <v>8.15</v>
      </c>
      <c r="F221" s="22">
        <v>5.2</v>
      </c>
      <c r="G221" s="22">
        <v>423.92001299999998</v>
      </c>
      <c r="H221" s="22">
        <v>1622.1999510000001</v>
      </c>
      <c r="I221" s="18">
        <v>15555.599609999999</v>
      </c>
    </row>
    <row r="222" spans="1:9" x14ac:dyDescent="0.2">
      <c r="A222" s="4">
        <v>33816</v>
      </c>
      <c r="B222" s="21">
        <v>1.4119999999999999</v>
      </c>
      <c r="C222" s="22">
        <v>127.2</v>
      </c>
      <c r="D222" s="22">
        <v>6.72</v>
      </c>
      <c r="E222" s="10">
        <v>8.19</v>
      </c>
      <c r="F222" s="22">
        <v>5.2240000000000002</v>
      </c>
      <c r="G222" s="22">
        <v>424.209991</v>
      </c>
      <c r="H222" s="22">
        <v>1608.48999</v>
      </c>
      <c r="I222" s="18">
        <v>15910.280269999999</v>
      </c>
    </row>
    <row r="223" spans="1:9" x14ac:dyDescent="0.2">
      <c r="A223" s="4">
        <v>33819</v>
      </c>
      <c r="B223" s="21">
        <v>1.4097999999999999</v>
      </c>
      <c r="C223" s="22">
        <v>127.18</v>
      </c>
      <c r="D223" s="22">
        <v>6.72</v>
      </c>
      <c r="E223" s="10">
        <v>8.14</v>
      </c>
      <c r="F223" s="22">
        <v>5.2549999999999999</v>
      </c>
      <c r="G223" s="22">
        <v>425.08999599999999</v>
      </c>
      <c r="H223" s="22">
        <v>1605.1099850000001</v>
      </c>
      <c r="I223" s="18">
        <v>15709.450199999999</v>
      </c>
    </row>
    <row r="224" spans="1:9" x14ac:dyDescent="0.2">
      <c r="A224" s="4">
        <v>33820</v>
      </c>
      <c r="B224" s="21">
        <v>1.4124000000000001</v>
      </c>
      <c r="C224" s="22">
        <v>127.25</v>
      </c>
      <c r="D224" s="22">
        <v>6.66</v>
      </c>
      <c r="E224" s="10">
        <v>8.09</v>
      </c>
      <c r="F224" s="22">
        <v>5.17</v>
      </c>
      <c r="G224" s="22">
        <v>424.35998499999999</v>
      </c>
      <c r="H224" s="22">
        <v>1609.6099850000001</v>
      </c>
      <c r="I224" s="18">
        <v>15692.589840000001</v>
      </c>
    </row>
    <row r="225" spans="1:9" x14ac:dyDescent="0.2">
      <c r="A225" s="4">
        <v>33821</v>
      </c>
      <c r="B225" s="21">
        <v>1.4101999999999999</v>
      </c>
      <c r="C225" s="22">
        <v>127.6</v>
      </c>
      <c r="D225" s="22">
        <v>6.64</v>
      </c>
      <c r="E225" s="10">
        <v>8.1</v>
      </c>
      <c r="F225" s="22">
        <v>5.1849999999999996</v>
      </c>
      <c r="G225" s="22">
        <v>422.19000199999999</v>
      </c>
      <c r="H225" s="22">
        <v>1624.9399410000001</v>
      </c>
      <c r="I225" s="18">
        <v>15983.639649999999</v>
      </c>
    </row>
    <row r="226" spans="1:9" x14ac:dyDescent="0.2">
      <c r="A226" s="4">
        <v>33822</v>
      </c>
      <c r="B226" s="21">
        <v>1.4049</v>
      </c>
      <c r="C226" s="22">
        <v>127.7</v>
      </c>
      <c r="D226" s="22">
        <v>6.65</v>
      </c>
      <c r="E226" s="10">
        <v>8.07</v>
      </c>
      <c r="F226" s="22">
        <v>5.2060000000000004</v>
      </c>
      <c r="G226" s="22">
        <v>420.58999599999999</v>
      </c>
      <c r="H226" s="22">
        <v>1618.0699460000001</v>
      </c>
      <c r="I226" s="18">
        <v>15926.440430000001</v>
      </c>
    </row>
    <row r="227" spans="1:9" x14ac:dyDescent="0.2">
      <c r="A227" s="4">
        <v>33823</v>
      </c>
      <c r="B227" s="21">
        <v>1.419</v>
      </c>
      <c r="C227" s="22">
        <v>127.48</v>
      </c>
      <c r="D227" s="22">
        <v>6.57</v>
      </c>
      <c r="E227" s="10">
        <v>8.0500000000000007</v>
      </c>
      <c r="F227" s="22">
        <v>5.2249999999999996</v>
      </c>
      <c r="G227" s="22">
        <v>418.88000499999998</v>
      </c>
      <c r="H227" s="22">
        <v>1611.959961</v>
      </c>
      <c r="I227" s="18">
        <v>15518.26953</v>
      </c>
    </row>
    <row r="228" spans="1:9" x14ac:dyDescent="0.2">
      <c r="A228" s="4">
        <v>33826</v>
      </c>
      <c r="B228" s="21">
        <v>1.4184000000000001</v>
      </c>
      <c r="C228" s="22">
        <v>127.92</v>
      </c>
      <c r="D228" s="22">
        <v>6.52</v>
      </c>
      <c r="E228" s="10">
        <v>8.0299999999999994</v>
      </c>
      <c r="F228" s="22">
        <v>5.2050000000000001</v>
      </c>
      <c r="G228" s="22">
        <v>419.42001299999998</v>
      </c>
      <c r="H228" s="22">
        <v>1578.9499510000001</v>
      </c>
      <c r="I228" s="18">
        <v>15066.339840000001</v>
      </c>
    </row>
    <row r="229" spans="1:9" x14ac:dyDescent="0.2">
      <c r="A229" s="4">
        <v>33827</v>
      </c>
      <c r="B229" s="21">
        <v>1.4134</v>
      </c>
      <c r="C229" s="22">
        <v>128</v>
      </c>
      <c r="D229" s="22">
        <v>6.5</v>
      </c>
      <c r="E229" s="10">
        <v>8.0500000000000007</v>
      </c>
      <c r="F229" s="22">
        <v>5.1859999999999999</v>
      </c>
      <c r="G229" s="22">
        <v>418.89999399999999</v>
      </c>
      <c r="H229" s="22">
        <v>1561.3900149999999</v>
      </c>
      <c r="I229" s="18">
        <v>14822.559569999999</v>
      </c>
    </row>
    <row r="230" spans="1:9" x14ac:dyDescent="0.2">
      <c r="A230" s="4">
        <v>33828</v>
      </c>
      <c r="B230" s="21">
        <v>1.4200999999999999</v>
      </c>
      <c r="C230" s="22">
        <v>127.27</v>
      </c>
      <c r="D230" s="22">
        <v>6.48</v>
      </c>
      <c r="E230" s="10">
        <v>8.0399999999999991</v>
      </c>
      <c r="F230" s="22">
        <v>5.1550000000000002</v>
      </c>
      <c r="G230" s="22">
        <v>417.77999899999998</v>
      </c>
      <c r="H230" s="22">
        <v>1547.869995</v>
      </c>
      <c r="I230" s="18">
        <v>14773.79004</v>
      </c>
    </row>
    <row r="231" spans="1:9" x14ac:dyDescent="0.2">
      <c r="A231" s="4">
        <v>33829</v>
      </c>
      <c r="B231" s="21">
        <v>1.4242999999999999</v>
      </c>
      <c r="C231" s="22">
        <v>126.37</v>
      </c>
      <c r="D231" s="22">
        <v>6.55</v>
      </c>
      <c r="E231" s="10">
        <v>8.06</v>
      </c>
      <c r="F231" s="22">
        <v>5.1289999999999996</v>
      </c>
      <c r="G231" s="22">
        <v>417.73001099999999</v>
      </c>
      <c r="H231" s="22">
        <v>1548.630005</v>
      </c>
      <c r="I231" s="18">
        <v>14768.16992</v>
      </c>
    </row>
    <row r="232" spans="1:9" x14ac:dyDescent="0.2">
      <c r="A232" s="4">
        <v>33830</v>
      </c>
      <c r="B232" s="21">
        <v>1.4157999999999999</v>
      </c>
      <c r="C232" s="22">
        <v>126.05</v>
      </c>
      <c r="D232" s="22">
        <v>6.53</v>
      </c>
      <c r="E232" s="10">
        <v>8.0399999999999991</v>
      </c>
      <c r="F232" s="22">
        <v>5.0650000000000004</v>
      </c>
      <c r="G232" s="22">
        <v>419.91000400000001</v>
      </c>
      <c r="H232" s="22">
        <v>1560.160034</v>
      </c>
      <c r="I232" s="18">
        <v>14820.25</v>
      </c>
    </row>
    <row r="233" spans="1:9" x14ac:dyDescent="0.2">
      <c r="A233" s="4">
        <v>33833</v>
      </c>
      <c r="B233" s="21">
        <v>1.4209000000000001</v>
      </c>
      <c r="C233" s="22">
        <v>125.69</v>
      </c>
      <c r="D233" s="22">
        <v>6.56</v>
      </c>
      <c r="E233" s="10">
        <v>7.94</v>
      </c>
      <c r="F233" s="22">
        <v>5.0289999999999999</v>
      </c>
      <c r="G233" s="22">
        <v>420.73998999999998</v>
      </c>
      <c r="H233" s="22">
        <v>1554.76001</v>
      </c>
      <c r="I233" s="18">
        <v>14929.54981</v>
      </c>
    </row>
    <row r="234" spans="1:9" x14ac:dyDescent="0.2">
      <c r="A234" s="4">
        <v>33834</v>
      </c>
      <c r="B234" s="21">
        <v>1.4257</v>
      </c>
      <c r="C234" s="22">
        <v>126.17</v>
      </c>
      <c r="D234" s="22">
        <v>6.48</v>
      </c>
      <c r="E234" s="10">
        <v>7.96</v>
      </c>
      <c r="F234" s="22">
        <v>4.9859999999999998</v>
      </c>
      <c r="G234" s="22">
        <v>421.33999599999999</v>
      </c>
      <c r="H234" s="22">
        <v>1531.869995</v>
      </c>
      <c r="I234" s="18">
        <v>14309.410159999999</v>
      </c>
    </row>
    <row r="235" spans="1:9" x14ac:dyDescent="0.2">
      <c r="A235" s="4">
        <v>33835</v>
      </c>
      <c r="B235" s="21">
        <v>1.4274</v>
      </c>
      <c r="C235" s="22">
        <v>126.53</v>
      </c>
      <c r="D235" s="22">
        <v>6.47</v>
      </c>
      <c r="E235" s="10">
        <v>7.97</v>
      </c>
      <c r="F235" s="22">
        <v>4.97</v>
      </c>
      <c r="G235" s="22">
        <v>418.19000199999999</v>
      </c>
      <c r="H235" s="22">
        <v>1526.1400149999999</v>
      </c>
      <c r="I235" s="18">
        <v>14650.740229999999</v>
      </c>
    </row>
    <row r="236" spans="1:9" x14ac:dyDescent="0.2">
      <c r="A236" s="4">
        <v>33836</v>
      </c>
      <c r="B236" s="21">
        <v>1.4331</v>
      </c>
      <c r="C236" s="22">
        <v>126.5</v>
      </c>
      <c r="D236" s="22">
        <v>6.46</v>
      </c>
      <c r="E236" s="10">
        <v>7.94</v>
      </c>
      <c r="F236" s="22">
        <v>4.9649999999999999</v>
      </c>
      <c r="G236" s="22">
        <v>418.26001000000002</v>
      </c>
      <c r="H236" s="22">
        <v>1509.030029</v>
      </c>
      <c r="I236" s="18">
        <v>15267.759770000001</v>
      </c>
    </row>
    <row r="237" spans="1:9" x14ac:dyDescent="0.2">
      <c r="A237" s="4">
        <v>33837</v>
      </c>
      <c r="B237" s="21">
        <v>1.4296</v>
      </c>
      <c r="C237" s="22">
        <v>125.73</v>
      </c>
      <c r="D237" s="22">
        <v>6.53</v>
      </c>
      <c r="E237" s="10">
        <v>7.9</v>
      </c>
      <c r="F237" s="22">
        <v>5.0060000000000002</v>
      </c>
      <c r="G237" s="22">
        <v>414.85000600000001</v>
      </c>
      <c r="H237" s="22">
        <v>1530.030029</v>
      </c>
      <c r="I237" s="18">
        <v>16216.87988</v>
      </c>
    </row>
    <row r="238" spans="1:9" x14ac:dyDescent="0.2">
      <c r="A238" s="4">
        <v>33840</v>
      </c>
      <c r="B238" s="21">
        <v>1.478</v>
      </c>
      <c r="C238" s="22">
        <v>124.53</v>
      </c>
      <c r="D238" s="22">
        <v>6.68</v>
      </c>
      <c r="E238" s="10">
        <v>7.91</v>
      </c>
      <c r="F238" s="22">
        <v>4.9550000000000001</v>
      </c>
      <c r="G238" s="22">
        <v>410.72000100000002</v>
      </c>
      <c r="H238" s="22">
        <v>1484.969971</v>
      </c>
      <c r="I238" s="18">
        <v>16627.960940000001</v>
      </c>
    </row>
    <row r="239" spans="1:9" x14ac:dyDescent="0.2">
      <c r="A239" s="4">
        <v>33841</v>
      </c>
      <c r="B239" s="21">
        <v>1.4791000000000001</v>
      </c>
      <c r="C239" s="22">
        <v>124.51</v>
      </c>
      <c r="D239" s="22">
        <v>6.73</v>
      </c>
      <c r="E239" s="10">
        <v>7.87</v>
      </c>
      <c r="F239" s="22">
        <v>4.87</v>
      </c>
      <c r="G239" s="22">
        <v>411.60998499999999</v>
      </c>
      <c r="H239" s="22">
        <v>1464.030029</v>
      </c>
      <c r="I239" s="18">
        <v>16380.76953</v>
      </c>
    </row>
    <row r="240" spans="1:9" x14ac:dyDescent="0.2">
      <c r="A240" s="4">
        <v>33842</v>
      </c>
      <c r="B240" s="21">
        <v>1.4705999999999999</v>
      </c>
      <c r="C240" s="22">
        <v>124.82</v>
      </c>
      <c r="D240" s="22">
        <v>6.68</v>
      </c>
      <c r="E240" s="10">
        <v>7.9</v>
      </c>
      <c r="F240" s="22">
        <v>4.8949999999999996</v>
      </c>
      <c r="G240" s="22">
        <v>413.51001000000002</v>
      </c>
      <c r="H240" s="22">
        <v>1475.1099850000001</v>
      </c>
      <c r="I240" s="18">
        <v>16541.650389999999</v>
      </c>
    </row>
    <row r="241" spans="1:9" x14ac:dyDescent="0.2">
      <c r="A241" s="4">
        <v>33843</v>
      </c>
      <c r="B241" s="21">
        <v>1.4676</v>
      </c>
      <c r="C241" s="22">
        <v>124.78</v>
      </c>
      <c r="D241" s="22">
        <v>6.64</v>
      </c>
      <c r="E241" s="10">
        <v>7.88</v>
      </c>
      <c r="F241" s="22">
        <v>4.8899999999999997</v>
      </c>
      <c r="G241" s="22">
        <v>413.52999899999998</v>
      </c>
      <c r="H241" s="22">
        <v>1516.119995</v>
      </c>
      <c r="I241" s="18">
        <v>17555</v>
      </c>
    </row>
    <row r="242" spans="1:9" x14ac:dyDescent="0.2">
      <c r="A242" s="4">
        <v>33844</v>
      </c>
      <c r="B242" s="21">
        <v>1.4746999999999999</v>
      </c>
      <c r="C242" s="22">
        <v>123.3</v>
      </c>
      <c r="D242" s="22">
        <v>6.63</v>
      </c>
      <c r="E242" s="10">
        <v>7.92</v>
      </c>
      <c r="F242" s="22">
        <v>4.976</v>
      </c>
      <c r="G242" s="22">
        <v>414.83999599999999</v>
      </c>
      <c r="H242" s="22">
        <v>1519.6899410000001</v>
      </c>
      <c r="I242" s="18">
        <v>17970.789059999999</v>
      </c>
    </row>
    <row r="243" spans="1:9" x14ac:dyDescent="0.2">
      <c r="A243" s="4">
        <v>33847</v>
      </c>
      <c r="B243" s="21">
        <v>1.4746999999999999</v>
      </c>
      <c r="C243" s="22">
        <v>123.08</v>
      </c>
      <c r="D243" s="22">
        <v>6.62</v>
      </c>
      <c r="E243" s="10">
        <v>7.89</v>
      </c>
      <c r="F243" s="22">
        <v>5.0599999999999996</v>
      </c>
      <c r="G243" s="22">
        <v>414.02999899999998</v>
      </c>
      <c r="H243" s="22">
        <v>1529.969971</v>
      </c>
      <c r="I243" s="18">
        <v>18061.119139999999</v>
      </c>
    </row>
    <row r="244" spans="1:9" x14ac:dyDescent="0.2">
      <c r="A244" s="4">
        <v>33848</v>
      </c>
      <c r="B244" s="21">
        <v>1.4870000000000001</v>
      </c>
      <c r="C244" s="22">
        <v>122.88</v>
      </c>
      <c r="D244" s="22">
        <v>6.56</v>
      </c>
      <c r="E244" s="10">
        <v>7.89</v>
      </c>
      <c r="F244" s="22">
        <v>5.08</v>
      </c>
      <c r="G244" s="22">
        <v>416.07000699999998</v>
      </c>
      <c r="H244" s="22">
        <v>1516.4399410000001</v>
      </c>
      <c r="I244" s="18">
        <v>17740.060549999998</v>
      </c>
    </row>
    <row r="245" spans="1:9" x14ac:dyDescent="0.2">
      <c r="A245" s="4">
        <v>33849</v>
      </c>
      <c r="B245" s="21">
        <v>1.4899</v>
      </c>
      <c r="C245" s="22">
        <v>123.12</v>
      </c>
      <c r="D245" s="22">
        <v>6.54</v>
      </c>
      <c r="E245" s="10">
        <v>7.9</v>
      </c>
      <c r="F245" s="22">
        <v>5.0449999999999999</v>
      </c>
      <c r="G245" s="22">
        <v>417.98001099999999</v>
      </c>
      <c r="H245" s="22">
        <v>1515.530029</v>
      </c>
      <c r="I245" s="18">
        <v>17587.720700000002</v>
      </c>
    </row>
    <row r="246" spans="1:9" x14ac:dyDescent="0.2">
      <c r="A246" s="4">
        <v>33850</v>
      </c>
      <c r="B246" s="21">
        <v>1.4678</v>
      </c>
      <c r="C246" s="22">
        <v>124.15</v>
      </c>
      <c r="D246" s="22">
        <v>6.54</v>
      </c>
      <c r="E246" s="10">
        <v>7.9</v>
      </c>
      <c r="F246" s="22">
        <v>5.0410000000000004</v>
      </c>
      <c r="G246" s="22">
        <v>417.98001099999999</v>
      </c>
      <c r="H246" s="22">
        <v>1543.8900149999999</v>
      </c>
      <c r="I246" s="18">
        <v>18386.490229999999</v>
      </c>
    </row>
    <row r="247" spans="1:9" x14ac:dyDescent="0.2">
      <c r="A247" s="4">
        <v>33851</v>
      </c>
      <c r="B247" s="21">
        <v>1.4734</v>
      </c>
      <c r="C247" s="22">
        <v>123.14</v>
      </c>
      <c r="D247" s="22">
        <v>6.4</v>
      </c>
      <c r="E247" s="10">
        <v>7.91</v>
      </c>
      <c r="F247" s="22">
        <v>4.9649999999999999</v>
      </c>
      <c r="G247" s="22">
        <v>417.07998700000002</v>
      </c>
      <c r="H247" s="22">
        <v>1534.719971</v>
      </c>
      <c r="I247" s="18">
        <v>18555.300780000001</v>
      </c>
    </row>
    <row r="248" spans="1:9" x14ac:dyDescent="0.2">
      <c r="A248" s="4">
        <v>33854</v>
      </c>
      <c r="B248" s="21">
        <v>1.4782</v>
      </c>
      <c r="C248" s="22">
        <v>123.5</v>
      </c>
      <c r="D248" s="22">
        <v>6.4</v>
      </c>
      <c r="E248" s="10">
        <v>7.79</v>
      </c>
      <c r="F248" s="22">
        <v>4.835</v>
      </c>
      <c r="G248" s="22">
        <v>425.27</v>
      </c>
      <c r="H248" s="22">
        <v>1538.660034</v>
      </c>
      <c r="I248" s="18">
        <v>18440.179690000001</v>
      </c>
    </row>
    <row r="249" spans="1:9" x14ac:dyDescent="0.2">
      <c r="A249" s="4">
        <v>33855</v>
      </c>
      <c r="B249" s="21">
        <v>1.4843</v>
      </c>
      <c r="C249" s="22">
        <v>122.87</v>
      </c>
      <c r="D249" s="22">
        <v>6.29</v>
      </c>
      <c r="E249" s="10">
        <v>7.76</v>
      </c>
      <c r="F249" s="22">
        <v>4.915</v>
      </c>
      <c r="G249" s="22">
        <v>414.44000199999999</v>
      </c>
      <c r="H249" s="22">
        <v>1536.709961</v>
      </c>
      <c r="I249" s="18">
        <v>18282.41992</v>
      </c>
    </row>
    <row r="250" spans="1:9" x14ac:dyDescent="0.2">
      <c r="A250" s="4">
        <v>33856</v>
      </c>
      <c r="B250" s="21">
        <v>1.4652000000000001</v>
      </c>
      <c r="C250" s="22">
        <v>123.37</v>
      </c>
      <c r="D250" s="22">
        <v>6.31</v>
      </c>
      <c r="E250" s="10">
        <v>7.78</v>
      </c>
      <c r="F250" s="22">
        <v>4.915</v>
      </c>
      <c r="G250" s="22">
        <v>416.35998499999999</v>
      </c>
      <c r="H250" s="22">
        <v>1523.829956</v>
      </c>
      <c r="I250" s="18">
        <v>18875.550780000001</v>
      </c>
    </row>
    <row r="251" spans="1:9" x14ac:dyDescent="0.2">
      <c r="A251" s="4">
        <v>33857</v>
      </c>
      <c r="B251" s="21">
        <v>1.4662999999999999</v>
      </c>
      <c r="C251" s="22">
        <v>123</v>
      </c>
      <c r="D251" s="22">
        <v>6.31</v>
      </c>
      <c r="E251" s="10">
        <v>7.77</v>
      </c>
      <c r="F251" s="22">
        <v>4.9000000000000004</v>
      </c>
      <c r="G251" s="22">
        <v>419.95001200000002</v>
      </c>
      <c r="H251" s="22">
        <v>1527.099976</v>
      </c>
      <c r="I251" s="18">
        <v>18908.470700000002</v>
      </c>
    </row>
    <row r="252" spans="1:9" x14ac:dyDescent="0.2">
      <c r="A252" s="4">
        <v>33858</v>
      </c>
      <c r="B252" s="21">
        <v>1.4345000000000001</v>
      </c>
      <c r="C252" s="22">
        <v>124.31</v>
      </c>
      <c r="D252" s="22">
        <v>6.37</v>
      </c>
      <c r="E252" s="10">
        <v>7.76</v>
      </c>
      <c r="F252" s="22">
        <v>4.9349999999999996</v>
      </c>
      <c r="G252" s="22">
        <v>419.57998700000002</v>
      </c>
      <c r="H252" s="22">
        <v>1530.1999510000001</v>
      </c>
      <c r="I252" s="18">
        <v>18107.689450000002</v>
      </c>
    </row>
    <row r="253" spans="1:9" x14ac:dyDescent="0.2">
      <c r="A253" s="4">
        <v>33861</v>
      </c>
      <c r="B253" s="21">
        <v>1.3868</v>
      </c>
      <c r="C253" s="22">
        <v>124.48</v>
      </c>
      <c r="D253" s="22">
        <v>6.32</v>
      </c>
      <c r="E253" s="10">
        <v>7.6</v>
      </c>
      <c r="F253" s="22">
        <v>4.9000000000000004</v>
      </c>
      <c r="G253" s="22">
        <v>425.26998900000001</v>
      </c>
      <c r="H253" s="22">
        <v>1601.5</v>
      </c>
      <c r="I253" s="18">
        <v>18471.400389999999</v>
      </c>
    </row>
    <row r="254" spans="1:9" x14ac:dyDescent="0.2">
      <c r="A254" s="4">
        <v>33862</v>
      </c>
      <c r="B254" s="21">
        <v>1.3940999999999999</v>
      </c>
      <c r="C254" s="22">
        <v>124.34</v>
      </c>
      <c r="D254" s="22">
        <v>6.4</v>
      </c>
      <c r="E254" s="10">
        <v>7.63</v>
      </c>
      <c r="F254" s="22">
        <v>4.9000000000000004</v>
      </c>
      <c r="G254" s="22">
        <v>419.76998900000001</v>
      </c>
      <c r="H254" s="22">
        <v>1580.290039</v>
      </c>
      <c r="I254" s="18">
        <v>18471.400389999999</v>
      </c>
    </row>
    <row r="255" spans="1:9" x14ac:dyDescent="0.2">
      <c r="A255" s="4">
        <v>33863</v>
      </c>
      <c r="B255" s="21">
        <v>1.3563000000000001</v>
      </c>
      <c r="C255" s="22">
        <v>125.5</v>
      </c>
      <c r="D255" s="22">
        <v>6.41</v>
      </c>
      <c r="E255" s="10">
        <v>7.53</v>
      </c>
      <c r="F255" s="22">
        <v>4.96</v>
      </c>
      <c r="G255" s="22">
        <v>419.92001299999998</v>
      </c>
      <c r="H255" s="22">
        <v>1595.089966</v>
      </c>
      <c r="I255" s="18">
        <v>17944.699219999999</v>
      </c>
    </row>
    <row r="256" spans="1:9" x14ac:dyDescent="0.2">
      <c r="A256" s="4">
        <v>33864</v>
      </c>
      <c r="B256" s="21">
        <v>1.3677999999999999</v>
      </c>
      <c r="C256" s="22">
        <v>124.4</v>
      </c>
      <c r="D256" s="22">
        <v>6.4</v>
      </c>
      <c r="E256" s="10">
        <v>7.51</v>
      </c>
      <c r="F256" s="22">
        <v>4.9850000000000003</v>
      </c>
      <c r="G256" s="22">
        <v>419.92999300000002</v>
      </c>
      <c r="H256" s="22">
        <v>1579.469971</v>
      </c>
      <c r="I256" s="18">
        <v>18116.519530000001</v>
      </c>
    </row>
    <row r="257" spans="1:9" x14ac:dyDescent="0.2">
      <c r="A257" s="4">
        <v>33865</v>
      </c>
      <c r="B257" s="21">
        <v>1.3526</v>
      </c>
      <c r="C257" s="22">
        <v>124.48</v>
      </c>
      <c r="D257" s="22">
        <v>6.41</v>
      </c>
      <c r="E257" s="10">
        <v>7.45</v>
      </c>
      <c r="F257" s="22">
        <v>4.9909999999999997</v>
      </c>
      <c r="G257" s="22">
        <v>422.92999300000002</v>
      </c>
      <c r="H257" s="22">
        <v>1600.589966</v>
      </c>
      <c r="I257" s="18">
        <v>18166.800780000001</v>
      </c>
    </row>
    <row r="258" spans="1:9" x14ac:dyDescent="0.2">
      <c r="A258" s="4">
        <v>33868</v>
      </c>
      <c r="B258" s="21">
        <v>1.3622000000000001</v>
      </c>
      <c r="C258" s="22">
        <v>123.73</v>
      </c>
      <c r="D258" s="22">
        <v>6.42</v>
      </c>
      <c r="E258" s="10">
        <v>7.51</v>
      </c>
      <c r="F258" s="22">
        <v>5</v>
      </c>
      <c r="G258" s="22">
        <v>422.14001500000001</v>
      </c>
      <c r="H258" s="22">
        <v>1566</v>
      </c>
      <c r="I258" s="18">
        <v>18066.240229999999</v>
      </c>
    </row>
    <row r="259" spans="1:9" x14ac:dyDescent="0.2">
      <c r="A259" s="4">
        <v>33869</v>
      </c>
      <c r="B259" s="21">
        <v>1.3595999999999999</v>
      </c>
      <c r="C259" s="22">
        <v>121.04</v>
      </c>
      <c r="D259" s="22">
        <v>6.5</v>
      </c>
      <c r="E259" s="10">
        <v>7.54</v>
      </c>
      <c r="F259" s="22">
        <v>4.97</v>
      </c>
      <c r="G259" s="22">
        <v>417.14001500000001</v>
      </c>
      <c r="H259" s="22">
        <v>1557.01001</v>
      </c>
      <c r="I259" s="18">
        <v>18282.720700000002</v>
      </c>
    </row>
    <row r="260" spans="1:9" x14ac:dyDescent="0.2">
      <c r="A260" s="4">
        <v>33870</v>
      </c>
      <c r="B260" s="21">
        <v>1.3541000000000001</v>
      </c>
      <c r="C260" s="22">
        <v>120.07</v>
      </c>
      <c r="D260" s="22">
        <v>6.54</v>
      </c>
      <c r="E260" s="10">
        <v>7.45</v>
      </c>
      <c r="F260" s="22">
        <v>4.97</v>
      </c>
      <c r="G260" s="22">
        <v>417.44000199999999</v>
      </c>
      <c r="H260" s="22">
        <v>1542.73999</v>
      </c>
      <c r="I260" s="18">
        <v>18282.720700000002</v>
      </c>
    </row>
    <row r="261" spans="1:9" x14ac:dyDescent="0.2">
      <c r="A261" s="4">
        <v>33871</v>
      </c>
      <c r="B261" s="21">
        <v>1.3628</v>
      </c>
      <c r="C261" s="22">
        <v>120.49</v>
      </c>
      <c r="D261" s="22">
        <v>6.48</v>
      </c>
      <c r="E261" s="10">
        <v>7.46</v>
      </c>
      <c r="F261" s="22">
        <v>4.9000000000000004</v>
      </c>
      <c r="G261" s="22">
        <v>418.47000100000002</v>
      </c>
      <c r="H261" s="22">
        <v>1536.3000489999999</v>
      </c>
      <c r="I261" s="18">
        <v>18609.949219999999</v>
      </c>
    </row>
    <row r="262" spans="1:9" x14ac:dyDescent="0.2">
      <c r="A262" s="4">
        <v>33872</v>
      </c>
      <c r="B262" s="21">
        <v>1.3712</v>
      </c>
      <c r="C262" s="22">
        <v>120.71</v>
      </c>
      <c r="D262" s="22">
        <v>6.41</v>
      </c>
      <c r="E262" s="10">
        <v>7.5</v>
      </c>
      <c r="F262" s="22">
        <v>4.9050000000000002</v>
      </c>
      <c r="G262" s="22">
        <v>414.35000600000001</v>
      </c>
      <c r="H262" s="22">
        <v>1510.660034</v>
      </c>
      <c r="I262" s="18">
        <v>18394.759770000001</v>
      </c>
    </row>
    <row r="263" spans="1:9" x14ac:dyDescent="0.2">
      <c r="A263" s="4">
        <v>33875</v>
      </c>
      <c r="B263" s="21">
        <v>1.3972</v>
      </c>
      <c r="C263" s="22">
        <v>119.71</v>
      </c>
      <c r="D263" s="22">
        <v>6.37</v>
      </c>
      <c r="E263" s="10">
        <v>7.54</v>
      </c>
      <c r="F263" s="22">
        <v>4.9009999999999998</v>
      </c>
      <c r="G263" s="22">
        <v>416.61999500000002</v>
      </c>
      <c r="H263" s="22">
        <v>1481.030029</v>
      </c>
      <c r="I263" s="18">
        <v>17972.609380000002</v>
      </c>
    </row>
    <row r="264" spans="1:9" x14ac:dyDescent="0.2">
      <c r="A264" s="4">
        <v>33876</v>
      </c>
      <c r="B264" s="21">
        <v>1.4198999999999999</v>
      </c>
      <c r="C264" s="22">
        <v>119.31</v>
      </c>
      <c r="D264" s="22">
        <v>6.37</v>
      </c>
      <c r="E264" s="10">
        <v>7.56</v>
      </c>
      <c r="F264" s="22">
        <v>4.9189999999999996</v>
      </c>
      <c r="G264" s="22">
        <v>416.79998799999998</v>
      </c>
      <c r="H264" s="22">
        <v>1483.829956</v>
      </c>
      <c r="I264" s="18">
        <v>17748.089840000001</v>
      </c>
    </row>
    <row r="265" spans="1:9" x14ac:dyDescent="0.2">
      <c r="A265" s="4">
        <v>33877</v>
      </c>
      <c r="B265" s="21">
        <v>1.4283999999999999</v>
      </c>
      <c r="C265" s="22">
        <v>120.07</v>
      </c>
      <c r="D265" s="22">
        <v>6.37</v>
      </c>
      <c r="E265" s="10">
        <v>7.51</v>
      </c>
      <c r="F265" s="22">
        <v>4.9210000000000003</v>
      </c>
      <c r="G265" s="22">
        <v>417.79998799999998</v>
      </c>
      <c r="H265" s="22">
        <v>1470.089966</v>
      </c>
      <c r="I265" s="18">
        <v>17399.08008</v>
      </c>
    </row>
    <row r="266" spans="1:9" x14ac:dyDescent="0.2">
      <c r="A266" s="4">
        <v>33878</v>
      </c>
      <c r="B266" s="21">
        <v>1.4211</v>
      </c>
      <c r="C266" s="22">
        <v>119.87</v>
      </c>
      <c r="D266" s="22">
        <v>6.23</v>
      </c>
      <c r="E266" s="10">
        <v>7.4</v>
      </c>
      <c r="F266" s="22">
        <v>4.91</v>
      </c>
      <c r="G266" s="22">
        <v>416.290009</v>
      </c>
      <c r="H266" s="22">
        <v>1484.780029</v>
      </c>
      <c r="I266" s="18">
        <v>17369.910159999999</v>
      </c>
    </row>
    <row r="267" spans="1:9" x14ac:dyDescent="0.2">
      <c r="A267" s="4">
        <v>33879</v>
      </c>
      <c r="B267" s="21">
        <v>1.4238999999999999</v>
      </c>
      <c r="C267" s="22">
        <v>119.35</v>
      </c>
      <c r="D267" s="22">
        <v>6.26</v>
      </c>
      <c r="E267" s="10">
        <v>7.43</v>
      </c>
      <c r="F267" s="22">
        <v>4.87</v>
      </c>
      <c r="G267" s="22">
        <v>410.47000100000002</v>
      </c>
      <c r="H267" s="22">
        <v>1475.410034</v>
      </c>
      <c r="I267" s="18">
        <v>17324.070309999999</v>
      </c>
    </row>
    <row r="268" spans="1:9" x14ac:dyDescent="0.2">
      <c r="A268" s="4">
        <v>33882</v>
      </c>
      <c r="B268" s="21">
        <v>1.4296</v>
      </c>
      <c r="C268" s="22">
        <v>119.78</v>
      </c>
      <c r="D268" s="22">
        <v>6.24</v>
      </c>
      <c r="E268" s="10">
        <v>7.35</v>
      </c>
      <c r="F268" s="22">
        <v>4.88</v>
      </c>
      <c r="G268" s="22">
        <v>407.57000699999998</v>
      </c>
      <c r="H268" s="22">
        <v>1402.339966</v>
      </c>
      <c r="I268" s="18">
        <v>17101.5</v>
      </c>
    </row>
    <row r="269" spans="1:9" x14ac:dyDescent="0.2">
      <c r="A269" s="4">
        <v>33883</v>
      </c>
      <c r="B269" s="21">
        <v>1.4006000000000001</v>
      </c>
      <c r="C269" s="22">
        <v>119.74</v>
      </c>
      <c r="D269" s="22">
        <v>6.3</v>
      </c>
      <c r="E269" s="10">
        <v>7.39</v>
      </c>
      <c r="F269" s="22">
        <v>4.875</v>
      </c>
      <c r="G269" s="22">
        <v>407.17999300000002</v>
      </c>
      <c r="H269" s="22">
        <v>1421.48999</v>
      </c>
      <c r="I269" s="18">
        <v>17268.099610000001</v>
      </c>
    </row>
    <row r="270" spans="1:9" x14ac:dyDescent="0.2">
      <c r="A270" s="4">
        <v>33884</v>
      </c>
      <c r="B270" s="21">
        <v>1.4</v>
      </c>
      <c r="C270" s="22">
        <v>120.45</v>
      </c>
      <c r="D270" s="22">
        <v>6.46</v>
      </c>
      <c r="E270" s="10">
        <v>7.38</v>
      </c>
      <c r="F270" s="22">
        <v>4.9050000000000002</v>
      </c>
      <c r="G270" s="22">
        <v>404.25</v>
      </c>
      <c r="H270" s="22">
        <v>1434.6099850000001</v>
      </c>
      <c r="I270" s="18">
        <v>17111.740229999999</v>
      </c>
    </row>
    <row r="271" spans="1:9" x14ac:dyDescent="0.2">
      <c r="A271" s="4">
        <v>33885</v>
      </c>
      <c r="B271" s="21">
        <v>1.3686</v>
      </c>
      <c r="C271" s="22">
        <v>122.05</v>
      </c>
      <c r="D271" s="22">
        <v>6.41</v>
      </c>
      <c r="E271" s="10">
        <v>7.41</v>
      </c>
      <c r="F271" s="22">
        <v>4.9539999999999997</v>
      </c>
      <c r="G271" s="22">
        <v>407.75</v>
      </c>
      <c r="H271" s="22">
        <v>1446.3199460000001</v>
      </c>
      <c r="I271" s="18">
        <v>17335.509770000001</v>
      </c>
    </row>
    <row r="272" spans="1:9" x14ac:dyDescent="0.2">
      <c r="A272" s="4">
        <v>33886</v>
      </c>
      <c r="B272" s="21">
        <v>1.3609</v>
      </c>
      <c r="C272" s="22">
        <v>121.84</v>
      </c>
      <c r="D272" s="22">
        <v>6.52</v>
      </c>
      <c r="E272" s="10">
        <v>7.41</v>
      </c>
      <c r="F272" s="22">
        <v>4.9349999999999996</v>
      </c>
      <c r="G272" s="22">
        <v>402.66000400000001</v>
      </c>
      <c r="H272" s="22">
        <v>1437.650024</v>
      </c>
      <c r="I272" s="18">
        <v>17059.779299999998</v>
      </c>
    </row>
    <row r="273" spans="1:9" x14ac:dyDescent="0.2">
      <c r="A273" s="4">
        <v>33889</v>
      </c>
      <c r="B273" s="21">
        <v>1.3638999999999999</v>
      </c>
      <c r="C273" s="22">
        <v>120.75</v>
      </c>
      <c r="D273" s="22">
        <v>6.52</v>
      </c>
      <c r="E273" s="10">
        <v>7.47</v>
      </c>
      <c r="F273" s="22">
        <v>4.97</v>
      </c>
      <c r="G273" s="22">
        <v>407.44000199999999</v>
      </c>
      <c r="H273" s="22">
        <v>1441.5699460000001</v>
      </c>
      <c r="I273" s="18">
        <v>17302.009770000001</v>
      </c>
    </row>
    <row r="274" spans="1:9" x14ac:dyDescent="0.2">
      <c r="A274" s="4">
        <v>33890</v>
      </c>
      <c r="B274" s="21">
        <v>1.3655999999999999</v>
      </c>
      <c r="C274" s="22">
        <v>121.38</v>
      </c>
      <c r="D274" s="22">
        <v>6.51</v>
      </c>
      <c r="E274" s="10">
        <v>7.45</v>
      </c>
      <c r="F274" s="22">
        <v>4.9409999999999998</v>
      </c>
      <c r="G274" s="22">
        <v>409.29998799999998</v>
      </c>
      <c r="H274" s="22">
        <v>1471.6400149999999</v>
      </c>
      <c r="I274" s="18">
        <v>17490.66992</v>
      </c>
    </row>
    <row r="275" spans="1:9" x14ac:dyDescent="0.2">
      <c r="A275" s="4">
        <v>33891</v>
      </c>
      <c r="B275" s="21">
        <v>1.3729</v>
      </c>
      <c r="C275" s="22">
        <v>121.14</v>
      </c>
      <c r="D275" s="22">
        <v>6.51</v>
      </c>
      <c r="E275" s="10">
        <v>7.43</v>
      </c>
      <c r="F275" s="22">
        <v>4.9240000000000004</v>
      </c>
      <c r="G275" s="22">
        <v>409.36999500000002</v>
      </c>
      <c r="H275" s="22">
        <v>1453.9499510000001</v>
      </c>
      <c r="I275" s="18">
        <v>17344.029299999998</v>
      </c>
    </row>
    <row r="276" spans="1:9" x14ac:dyDescent="0.2">
      <c r="A276" s="4">
        <v>33892</v>
      </c>
      <c r="B276" s="21">
        <v>1.3868</v>
      </c>
      <c r="C276" s="22">
        <v>120.23</v>
      </c>
      <c r="D276" s="22">
        <v>6.53</v>
      </c>
      <c r="E276" s="10">
        <v>7.43</v>
      </c>
      <c r="F276" s="22">
        <v>4.9400000000000004</v>
      </c>
      <c r="G276" s="22">
        <v>409.60000600000001</v>
      </c>
      <c r="H276" s="22">
        <v>1453.790039</v>
      </c>
      <c r="I276" s="18">
        <v>17628.490229999999</v>
      </c>
    </row>
    <row r="277" spans="1:9" x14ac:dyDescent="0.2">
      <c r="A277" s="4">
        <v>33893</v>
      </c>
      <c r="B277" s="21">
        <v>1.3677999999999999</v>
      </c>
      <c r="C277" s="22">
        <v>119.41</v>
      </c>
      <c r="D277" s="22">
        <v>6.6</v>
      </c>
      <c r="E277" s="10">
        <v>7.37</v>
      </c>
      <c r="F277" s="22">
        <v>4.8949999999999996</v>
      </c>
      <c r="G277" s="22">
        <v>411.73001099999999</v>
      </c>
      <c r="H277" s="22">
        <v>1458.0200199999999</v>
      </c>
      <c r="I277" s="18">
        <v>17369.810549999998</v>
      </c>
    </row>
    <row r="278" spans="1:9" x14ac:dyDescent="0.2">
      <c r="A278" s="4">
        <v>33896</v>
      </c>
      <c r="B278" s="21">
        <v>1.3577999999999999</v>
      </c>
      <c r="C278" s="22">
        <v>120.57</v>
      </c>
      <c r="D278" s="22">
        <v>6.69</v>
      </c>
      <c r="E278" s="10">
        <v>7.34</v>
      </c>
      <c r="F278" s="22">
        <v>4.8849999999999998</v>
      </c>
      <c r="G278" s="22">
        <v>414.98001099999999</v>
      </c>
      <c r="H278" s="22">
        <v>1479.589966</v>
      </c>
      <c r="I278" s="18">
        <v>16903.810549999998</v>
      </c>
    </row>
    <row r="279" spans="1:9" x14ac:dyDescent="0.2">
      <c r="A279" s="4">
        <v>33897</v>
      </c>
      <c r="B279" s="21">
        <v>1.3277000000000001</v>
      </c>
      <c r="C279" s="22">
        <v>122.5</v>
      </c>
      <c r="D279" s="22">
        <v>6.86</v>
      </c>
      <c r="E279" s="10">
        <v>7.32</v>
      </c>
      <c r="F279" s="22">
        <v>4.9109999999999996</v>
      </c>
      <c r="G279" s="22">
        <v>415.48001099999999</v>
      </c>
      <c r="H279" s="22">
        <v>1504.8900149999999</v>
      </c>
      <c r="I279" s="18">
        <v>16987.660159999999</v>
      </c>
    </row>
    <row r="280" spans="1:9" x14ac:dyDescent="0.2">
      <c r="A280" s="4">
        <v>33898</v>
      </c>
      <c r="B280" s="21">
        <v>1.3387</v>
      </c>
      <c r="C280" s="22">
        <v>122.65</v>
      </c>
      <c r="D280" s="22">
        <v>6.8</v>
      </c>
      <c r="E280" s="10">
        <v>7.35</v>
      </c>
      <c r="F280" s="22">
        <v>4.931</v>
      </c>
      <c r="G280" s="22">
        <v>415.67001299999998</v>
      </c>
      <c r="H280" s="22">
        <v>1496.540039</v>
      </c>
      <c r="I280" s="18">
        <v>17141.519530000001</v>
      </c>
    </row>
    <row r="281" spans="1:9" x14ac:dyDescent="0.2">
      <c r="A281" s="4">
        <v>33899</v>
      </c>
      <c r="B281" s="21">
        <v>1.3313999999999999</v>
      </c>
      <c r="C281" s="22">
        <v>120.75</v>
      </c>
      <c r="D281" s="22">
        <v>6.74</v>
      </c>
      <c r="E281" s="10">
        <v>7.36</v>
      </c>
      <c r="F281" s="22">
        <v>4.8959999999999999</v>
      </c>
      <c r="G281" s="22">
        <v>414.89999399999999</v>
      </c>
      <c r="H281" s="22">
        <v>1511</v>
      </c>
      <c r="I281" s="18">
        <v>17013.039059999999</v>
      </c>
    </row>
    <row r="282" spans="1:9" x14ac:dyDescent="0.2">
      <c r="A282" s="4">
        <v>33900</v>
      </c>
      <c r="B282" s="21">
        <v>1.3173999999999999</v>
      </c>
      <c r="C282" s="22">
        <v>121.63</v>
      </c>
      <c r="D282" s="22">
        <v>6.83</v>
      </c>
      <c r="E282" s="10">
        <v>7.34</v>
      </c>
      <c r="F282" s="22">
        <v>4.88</v>
      </c>
      <c r="G282" s="22">
        <v>414.10000600000001</v>
      </c>
      <c r="H282" s="22">
        <v>1528.8599850000001</v>
      </c>
      <c r="I282" s="18">
        <v>17117.650389999999</v>
      </c>
    </row>
    <row r="283" spans="1:9" x14ac:dyDescent="0.2">
      <c r="A283" s="4">
        <v>33903</v>
      </c>
      <c r="B283" s="21">
        <v>1.3161</v>
      </c>
      <c r="C283" s="22">
        <v>122.05</v>
      </c>
      <c r="D283" s="22">
        <v>6.83</v>
      </c>
      <c r="E283" s="10">
        <v>7.32</v>
      </c>
      <c r="F283" s="22">
        <v>4.8890000000000002</v>
      </c>
      <c r="G283" s="22">
        <v>418.16000400000001</v>
      </c>
      <c r="H283" s="22">
        <v>1534.0200199999999</v>
      </c>
      <c r="I283" s="18">
        <v>17011.33008</v>
      </c>
    </row>
    <row r="284" spans="1:9" x14ac:dyDescent="0.2">
      <c r="A284" s="4">
        <v>33904</v>
      </c>
      <c r="B284" s="21">
        <v>1.3173999999999999</v>
      </c>
      <c r="C284" s="22">
        <v>122.2</v>
      </c>
      <c r="D284" s="22">
        <v>6.78</v>
      </c>
      <c r="E284" s="10">
        <v>7.34</v>
      </c>
      <c r="F284" s="22">
        <v>4.875</v>
      </c>
      <c r="G284" s="22">
        <v>418.48998999999998</v>
      </c>
      <c r="H284" s="22">
        <v>1536.599976</v>
      </c>
      <c r="I284" s="18">
        <v>17185.259770000001</v>
      </c>
    </row>
    <row r="285" spans="1:9" x14ac:dyDescent="0.2">
      <c r="A285" s="4">
        <v>33905</v>
      </c>
      <c r="B285" s="21">
        <v>1.3127</v>
      </c>
      <c r="C285" s="22">
        <v>123.19</v>
      </c>
      <c r="D285" s="22">
        <v>6.76</v>
      </c>
      <c r="E285" s="10">
        <v>7.37</v>
      </c>
      <c r="F285" s="22">
        <v>4.8540000000000001</v>
      </c>
      <c r="G285" s="22">
        <v>420.13000499999998</v>
      </c>
      <c r="H285" s="22">
        <v>1508.1899410000001</v>
      </c>
      <c r="I285" s="18">
        <v>17068.410159999999</v>
      </c>
    </row>
    <row r="286" spans="1:9" x14ac:dyDescent="0.2">
      <c r="A286" s="4">
        <v>33906</v>
      </c>
      <c r="B286" s="21">
        <v>1.3161</v>
      </c>
      <c r="C286" s="22">
        <v>123.27</v>
      </c>
      <c r="D286" s="22">
        <v>6.71</v>
      </c>
      <c r="E286" s="10">
        <v>7.37</v>
      </c>
      <c r="F286" s="22">
        <v>4.83</v>
      </c>
      <c r="G286" s="22">
        <v>420.85998499999999</v>
      </c>
      <c r="H286" s="22">
        <v>1493.540039</v>
      </c>
      <c r="I286" s="18">
        <v>16937.710940000001</v>
      </c>
    </row>
    <row r="287" spans="1:9" x14ac:dyDescent="0.2">
      <c r="A287" s="4">
        <v>33907</v>
      </c>
      <c r="B287" s="21">
        <v>1.3112999999999999</v>
      </c>
      <c r="C287" s="22">
        <v>123.45</v>
      </c>
      <c r="D287" s="22">
        <v>6.8</v>
      </c>
      <c r="E287" s="10">
        <v>7.38</v>
      </c>
      <c r="F287" s="22">
        <v>4.83</v>
      </c>
      <c r="G287" s="22">
        <v>418.67999300000002</v>
      </c>
      <c r="H287" s="22">
        <v>1489.6800539999999</v>
      </c>
      <c r="I287" s="18">
        <v>16767.400389999999</v>
      </c>
    </row>
    <row r="288" spans="1:9" x14ac:dyDescent="0.2">
      <c r="A288" s="4">
        <v>33910</v>
      </c>
      <c r="B288" s="21">
        <v>1.2911999999999999</v>
      </c>
      <c r="C288" s="22">
        <v>123.75</v>
      </c>
      <c r="D288" s="22">
        <v>6.88</v>
      </c>
      <c r="E288" s="10">
        <v>7.34</v>
      </c>
      <c r="F288" s="22">
        <v>4.82</v>
      </c>
      <c r="G288" s="22">
        <v>422.75</v>
      </c>
      <c r="H288" s="22">
        <v>1482.4399410000001</v>
      </c>
      <c r="I288" s="18">
        <v>16853.359380000002</v>
      </c>
    </row>
    <row r="289" spans="1:9" x14ac:dyDescent="0.2">
      <c r="A289" s="4">
        <v>33911</v>
      </c>
      <c r="B289" s="21">
        <v>1.2905</v>
      </c>
      <c r="C289" s="22">
        <v>122.65</v>
      </c>
      <c r="D289" s="22">
        <v>6.87</v>
      </c>
      <c r="E289" s="10">
        <v>7.33</v>
      </c>
      <c r="F289" s="22">
        <v>4.82</v>
      </c>
      <c r="G289" s="22">
        <v>419.92001299999998</v>
      </c>
      <c r="H289" s="22">
        <v>1483.339966</v>
      </c>
      <c r="I289" s="18">
        <v>16853.359380000002</v>
      </c>
    </row>
    <row r="290" spans="1:9" x14ac:dyDescent="0.2">
      <c r="A290" s="4">
        <v>33912</v>
      </c>
      <c r="B290" s="21">
        <v>1.2907</v>
      </c>
      <c r="C290" s="22">
        <v>123.2</v>
      </c>
      <c r="D290" s="22">
        <v>6.89</v>
      </c>
      <c r="E290" s="10">
        <v>7.33</v>
      </c>
      <c r="F290" s="22">
        <v>4.8140000000000001</v>
      </c>
      <c r="G290" s="22">
        <v>417.10998499999999</v>
      </c>
      <c r="H290" s="22">
        <v>1470.5699460000001</v>
      </c>
      <c r="I290" s="18">
        <v>17065.199219999999</v>
      </c>
    </row>
    <row r="291" spans="1:9" x14ac:dyDescent="0.2">
      <c r="A291" s="4">
        <v>33913</v>
      </c>
      <c r="B291" s="21">
        <v>1.2811999999999999</v>
      </c>
      <c r="C291" s="22">
        <v>122.84</v>
      </c>
      <c r="D291" s="22">
        <v>6.87</v>
      </c>
      <c r="E291" s="10">
        <v>7.33</v>
      </c>
      <c r="F291" s="22">
        <v>4.83</v>
      </c>
      <c r="G291" s="22">
        <v>418.33999599999999</v>
      </c>
      <c r="H291" s="22">
        <v>1484.839966</v>
      </c>
      <c r="I291" s="18">
        <v>17031.589840000001</v>
      </c>
    </row>
    <row r="292" spans="1:9" x14ac:dyDescent="0.2">
      <c r="A292" s="4">
        <v>33914</v>
      </c>
      <c r="B292" s="21">
        <v>1.2739</v>
      </c>
      <c r="C292" s="22">
        <v>123.44</v>
      </c>
      <c r="D292" s="22">
        <v>6.97</v>
      </c>
      <c r="E292" s="10">
        <v>7.31</v>
      </c>
      <c r="F292" s="22">
        <v>4.8499999999999996</v>
      </c>
      <c r="G292" s="22">
        <v>417.57998700000002</v>
      </c>
      <c r="H292" s="22">
        <v>1487.709961</v>
      </c>
      <c r="I292" s="18">
        <v>16869.810549999998</v>
      </c>
    </row>
    <row r="293" spans="1:9" x14ac:dyDescent="0.2">
      <c r="A293" s="4">
        <v>33917</v>
      </c>
      <c r="B293" s="21">
        <v>1.2765</v>
      </c>
      <c r="C293" s="22">
        <v>124.25</v>
      </c>
      <c r="D293" s="22">
        <v>7</v>
      </c>
      <c r="E293" s="10">
        <v>7.28</v>
      </c>
      <c r="F293" s="22">
        <v>4.7910000000000004</v>
      </c>
      <c r="G293" s="22">
        <v>418.58999599999999</v>
      </c>
      <c r="H293" s="22">
        <v>1508.630005</v>
      </c>
      <c r="I293" s="18">
        <v>16417.050780000001</v>
      </c>
    </row>
    <row r="294" spans="1:9" x14ac:dyDescent="0.2">
      <c r="A294" s="4">
        <v>33918</v>
      </c>
      <c r="B294" s="21">
        <v>1.2679</v>
      </c>
      <c r="C294" s="22">
        <v>124.25</v>
      </c>
      <c r="D294" s="22">
        <v>6.91</v>
      </c>
      <c r="E294" s="10">
        <v>7.29</v>
      </c>
      <c r="F294" s="22">
        <v>4.78</v>
      </c>
      <c r="G294" s="22">
        <v>418.61999500000002</v>
      </c>
      <c r="H294" s="22">
        <v>1515.2700199999999</v>
      </c>
      <c r="I294" s="18">
        <v>16437.109380000002</v>
      </c>
    </row>
    <row r="295" spans="1:9" x14ac:dyDescent="0.2">
      <c r="A295" s="4">
        <v>33919</v>
      </c>
      <c r="B295" s="21">
        <v>1.2767999999999999</v>
      </c>
      <c r="C295" s="22">
        <v>124.1</v>
      </c>
      <c r="D295" s="22">
        <v>6.91</v>
      </c>
      <c r="E295" s="10">
        <v>7.29</v>
      </c>
      <c r="F295" s="22">
        <v>4.7640000000000002</v>
      </c>
      <c r="G295" s="22">
        <v>422.20001200000002</v>
      </c>
      <c r="H295" s="22">
        <v>1509.839966</v>
      </c>
      <c r="I295" s="18">
        <v>16318.150390000001</v>
      </c>
    </row>
    <row r="296" spans="1:9" x14ac:dyDescent="0.2">
      <c r="A296" s="4">
        <v>33920</v>
      </c>
      <c r="B296" s="21">
        <v>1.276</v>
      </c>
      <c r="C296" s="22">
        <v>123.92</v>
      </c>
      <c r="D296" s="22">
        <v>6.79</v>
      </c>
      <c r="E296" s="10">
        <v>7.29</v>
      </c>
      <c r="F296" s="22">
        <v>4.7640000000000002</v>
      </c>
      <c r="G296" s="22">
        <v>422.86999500000002</v>
      </c>
      <c r="H296" s="22">
        <v>1542.280029</v>
      </c>
      <c r="I296" s="18">
        <v>16376.929690000001</v>
      </c>
    </row>
    <row r="297" spans="1:9" x14ac:dyDescent="0.2">
      <c r="A297" s="4">
        <v>33921</v>
      </c>
      <c r="B297" s="21">
        <v>1.29</v>
      </c>
      <c r="C297" s="22">
        <v>124.03</v>
      </c>
      <c r="D297" s="22">
        <v>6.82</v>
      </c>
      <c r="E297" s="10">
        <v>7.33</v>
      </c>
      <c r="F297" s="22">
        <v>4.74</v>
      </c>
      <c r="G297" s="22">
        <v>422.42999300000002</v>
      </c>
      <c r="H297" s="22">
        <v>1541.790039</v>
      </c>
      <c r="I297" s="18">
        <v>16330.79004</v>
      </c>
    </row>
    <row r="298" spans="1:9" x14ac:dyDescent="0.2">
      <c r="A298" s="4">
        <v>33924</v>
      </c>
      <c r="B298" s="21">
        <v>1.2754000000000001</v>
      </c>
      <c r="C298" s="22">
        <v>124.78</v>
      </c>
      <c r="D298" s="22">
        <v>6.9</v>
      </c>
      <c r="E298" s="10">
        <v>7.34</v>
      </c>
      <c r="F298" s="22">
        <v>4.7389999999999999</v>
      </c>
      <c r="G298" s="22">
        <v>420.67999300000002</v>
      </c>
      <c r="H298" s="22">
        <v>1542.4799800000001</v>
      </c>
      <c r="I298" s="18">
        <v>16162.990229999999</v>
      </c>
    </row>
    <row r="299" spans="1:9" x14ac:dyDescent="0.2">
      <c r="A299" s="4">
        <v>33925</v>
      </c>
      <c r="B299" s="21">
        <v>1.2644</v>
      </c>
      <c r="C299" s="22">
        <v>124.35</v>
      </c>
      <c r="D299" s="22">
        <v>6.86</v>
      </c>
      <c r="E299" s="10">
        <v>7.36</v>
      </c>
      <c r="F299" s="22">
        <v>4.7050000000000001</v>
      </c>
      <c r="G299" s="22">
        <v>419.26998900000001</v>
      </c>
      <c r="H299" s="22">
        <v>1550.2700199999999</v>
      </c>
      <c r="I299" s="18">
        <v>15993.48047</v>
      </c>
    </row>
    <row r="300" spans="1:9" x14ac:dyDescent="0.2">
      <c r="A300" s="4">
        <v>33926</v>
      </c>
      <c r="B300" s="21">
        <v>1.2748999999999999</v>
      </c>
      <c r="C300" s="22">
        <v>123.75</v>
      </c>
      <c r="D300" s="22">
        <v>6.78</v>
      </c>
      <c r="E300" s="10">
        <v>7.36</v>
      </c>
      <c r="F300" s="22">
        <v>4.7249999999999996</v>
      </c>
      <c r="G300" s="22">
        <v>422.85000600000001</v>
      </c>
      <c r="H300" s="22">
        <v>1550.2700199999999</v>
      </c>
      <c r="I300" s="18">
        <v>16778.839840000001</v>
      </c>
    </row>
    <row r="301" spans="1:9" x14ac:dyDescent="0.2">
      <c r="A301" s="4">
        <v>33927</v>
      </c>
      <c r="B301" s="21">
        <v>1.2831999999999999</v>
      </c>
      <c r="C301" s="22">
        <v>123.48</v>
      </c>
      <c r="D301" s="22">
        <v>6.81</v>
      </c>
      <c r="E301" s="10">
        <v>7.33</v>
      </c>
      <c r="F301" s="22">
        <v>4.8099999999999996</v>
      </c>
      <c r="G301" s="22">
        <v>423.60998499999999</v>
      </c>
      <c r="H301" s="22">
        <v>1543.369995</v>
      </c>
      <c r="I301" s="18">
        <v>16871.310549999998</v>
      </c>
    </row>
    <row r="302" spans="1:9" x14ac:dyDescent="0.2">
      <c r="A302" s="4">
        <v>33928</v>
      </c>
      <c r="B302" s="21">
        <v>1.2669999999999999</v>
      </c>
      <c r="C302" s="22">
        <v>124.33</v>
      </c>
      <c r="D302" s="22">
        <v>6.84</v>
      </c>
      <c r="E302" s="10">
        <v>7.29</v>
      </c>
      <c r="F302" s="22">
        <v>4.8150000000000004</v>
      </c>
      <c r="G302" s="22">
        <v>426.64999399999999</v>
      </c>
      <c r="H302" s="22">
        <v>1547.839966</v>
      </c>
      <c r="I302" s="18">
        <v>17033.599610000001</v>
      </c>
    </row>
    <row r="303" spans="1:9" x14ac:dyDescent="0.2">
      <c r="A303" s="4">
        <v>33931</v>
      </c>
      <c r="B303" s="21">
        <v>1.2579</v>
      </c>
      <c r="C303" s="22">
        <v>124.13</v>
      </c>
      <c r="D303" s="22">
        <v>6.86</v>
      </c>
      <c r="E303" s="10">
        <v>7.29</v>
      </c>
      <c r="F303" s="22">
        <v>4.8150000000000004</v>
      </c>
      <c r="G303" s="22">
        <v>425.11999500000002</v>
      </c>
      <c r="H303" s="22">
        <v>1523.619995</v>
      </c>
      <c r="I303" s="18">
        <v>17033.599610000001</v>
      </c>
    </row>
    <row r="304" spans="1:9" x14ac:dyDescent="0.2">
      <c r="A304" s="4">
        <v>33932</v>
      </c>
      <c r="B304" s="21">
        <v>1.2572000000000001</v>
      </c>
      <c r="C304" s="22">
        <v>123.88</v>
      </c>
      <c r="D304" s="22">
        <v>6.82</v>
      </c>
      <c r="E304" s="10">
        <v>7.28</v>
      </c>
      <c r="F304" s="22">
        <v>4.8</v>
      </c>
      <c r="G304" s="22">
        <v>427.58999599999999</v>
      </c>
      <c r="H304" s="22">
        <v>1526.6800539999999</v>
      </c>
      <c r="I304" s="18">
        <v>17096.089840000001</v>
      </c>
    </row>
    <row r="305" spans="1:9" x14ac:dyDescent="0.2">
      <c r="A305" s="4">
        <v>33933</v>
      </c>
      <c r="B305" s="21">
        <v>1.2705</v>
      </c>
      <c r="C305" s="22">
        <v>123.77</v>
      </c>
      <c r="D305" s="22">
        <v>6.84</v>
      </c>
      <c r="E305" s="10">
        <v>7.27</v>
      </c>
      <c r="F305" s="22">
        <v>4.8049999999999997</v>
      </c>
      <c r="G305" s="22">
        <v>429.19000199999999</v>
      </c>
      <c r="H305" s="22">
        <v>1513.420044</v>
      </c>
      <c r="I305" s="18">
        <v>17302.009770000001</v>
      </c>
    </row>
    <row r="306" spans="1:9" x14ac:dyDescent="0.2">
      <c r="A306" s="4">
        <v>33934</v>
      </c>
      <c r="B306" s="21">
        <v>1.2648999999999999</v>
      </c>
      <c r="C306" s="22">
        <v>124.15</v>
      </c>
      <c r="D306" s="22">
        <v>6.84</v>
      </c>
      <c r="E306" s="10">
        <v>7.29</v>
      </c>
      <c r="F306" s="22">
        <v>4.84</v>
      </c>
      <c r="G306" s="22">
        <v>429.91</v>
      </c>
      <c r="H306" s="22">
        <v>1523.0200199999999</v>
      </c>
      <c r="I306" s="18">
        <v>17479.039059999999</v>
      </c>
    </row>
    <row r="307" spans="1:9" x14ac:dyDescent="0.2">
      <c r="A307" s="4">
        <v>33935</v>
      </c>
      <c r="B307" s="21">
        <v>1.2575000000000001</v>
      </c>
      <c r="C307" s="22">
        <v>124.45</v>
      </c>
      <c r="D307" s="22">
        <v>6.93</v>
      </c>
      <c r="E307" s="10">
        <v>7.32</v>
      </c>
      <c r="F307" s="22">
        <v>4.8449999999999998</v>
      </c>
      <c r="G307" s="22">
        <v>430.16000400000001</v>
      </c>
      <c r="H307" s="22">
        <v>1529.6899410000001</v>
      </c>
      <c r="I307" s="18">
        <v>17470.609380000002</v>
      </c>
    </row>
    <row r="308" spans="1:9" x14ac:dyDescent="0.2">
      <c r="A308" s="4">
        <v>33938</v>
      </c>
      <c r="B308" s="21">
        <v>1.2623</v>
      </c>
      <c r="C308" s="22">
        <v>124.75</v>
      </c>
      <c r="D308" s="22">
        <v>6.95</v>
      </c>
      <c r="E308" s="10">
        <v>7.34</v>
      </c>
      <c r="F308" s="22">
        <v>4.88</v>
      </c>
      <c r="G308" s="22">
        <v>431.35000600000001</v>
      </c>
      <c r="H308" s="22">
        <v>1545.119995</v>
      </c>
      <c r="I308" s="18">
        <v>17683.650389999999</v>
      </c>
    </row>
    <row r="309" spans="1:9" x14ac:dyDescent="0.2">
      <c r="A309" s="4">
        <v>33939</v>
      </c>
      <c r="B309" s="21">
        <v>1.2648999999999999</v>
      </c>
      <c r="C309" s="22">
        <v>124.15</v>
      </c>
      <c r="D309" s="22">
        <v>6.94</v>
      </c>
      <c r="E309" s="10">
        <v>7.36</v>
      </c>
      <c r="F309" s="22">
        <v>4.835</v>
      </c>
      <c r="G309" s="22">
        <v>430.77999899999998</v>
      </c>
      <c r="H309" s="22">
        <v>1546.8199460000001</v>
      </c>
      <c r="I309" s="18">
        <v>17313.039059999999</v>
      </c>
    </row>
    <row r="310" spans="1:9" x14ac:dyDescent="0.2">
      <c r="A310" s="4">
        <v>33940</v>
      </c>
      <c r="B310" s="21">
        <v>1.2783</v>
      </c>
      <c r="C310" s="22">
        <v>124.49</v>
      </c>
      <c r="D310" s="22">
        <v>6.93</v>
      </c>
      <c r="E310" s="10">
        <v>7.37</v>
      </c>
      <c r="F310" s="22">
        <v>4.8099999999999996</v>
      </c>
      <c r="G310" s="22">
        <v>429.89001500000001</v>
      </c>
      <c r="H310" s="22">
        <v>1528.119995</v>
      </c>
      <c r="I310" s="18">
        <v>17393.679690000001</v>
      </c>
    </row>
    <row r="311" spans="1:9" x14ac:dyDescent="0.2">
      <c r="A311" s="4">
        <v>33941</v>
      </c>
      <c r="B311" s="21">
        <v>1.2728999999999999</v>
      </c>
      <c r="C311" s="22">
        <v>124.7</v>
      </c>
      <c r="D311" s="22">
        <v>6.91</v>
      </c>
      <c r="E311" s="10">
        <v>7.35</v>
      </c>
      <c r="F311" s="22">
        <v>4.8150000000000004</v>
      </c>
      <c r="G311" s="22">
        <v>429.91000400000001</v>
      </c>
      <c r="H311" s="22">
        <v>1530.650024</v>
      </c>
      <c r="I311" s="18">
        <v>17260.08008</v>
      </c>
    </row>
    <row r="312" spans="1:9" x14ac:dyDescent="0.2">
      <c r="A312" s="4">
        <v>33942</v>
      </c>
      <c r="B312" s="21">
        <v>1.2637</v>
      </c>
      <c r="C312" s="22">
        <v>124.95</v>
      </c>
      <c r="D312" s="22">
        <v>6.84</v>
      </c>
      <c r="E312" s="10">
        <v>7.33</v>
      </c>
      <c r="F312" s="22">
        <v>4.82</v>
      </c>
      <c r="G312" s="22">
        <v>432.05999800000001</v>
      </c>
      <c r="H312" s="22">
        <v>1526.25</v>
      </c>
      <c r="I312" s="18">
        <v>17295.689450000002</v>
      </c>
    </row>
    <row r="313" spans="1:9" x14ac:dyDescent="0.2">
      <c r="A313" s="4">
        <v>33945</v>
      </c>
      <c r="B313" s="21">
        <v>1.2785</v>
      </c>
      <c r="C313" s="22">
        <v>123.83</v>
      </c>
      <c r="D313" s="22">
        <v>6.78</v>
      </c>
      <c r="E313" s="10">
        <v>7.34</v>
      </c>
      <c r="F313" s="22">
        <v>4.82</v>
      </c>
      <c r="G313" s="22">
        <v>435.30999800000001</v>
      </c>
      <c r="H313" s="22">
        <v>1519.4799800000001</v>
      </c>
      <c r="I313" s="18">
        <v>17207.119139999999</v>
      </c>
    </row>
    <row r="314" spans="1:9" x14ac:dyDescent="0.2">
      <c r="A314" s="4">
        <v>33946</v>
      </c>
      <c r="B314" s="21">
        <v>1.2873000000000001</v>
      </c>
      <c r="C314" s="22">
        <v>123.8</v>
      </c>
      <c r="D314" s="22">
        <v>6.73</v>
      </c>
      <c r="E314" s="10">
        <v>7.35</v>
      </c>
      <c r="F314" s="22">
        <v>4.835</v>
      </c>
      <c r="G314" s="22">
        <v>436.98998999999998</v>
      </c>
      <c r="H314" s="22">
        <v>1506.650024</v>
      </c>
      <c r="I314" s="18">
        <v>17281.849610000001</v>
      </c>
    </row>
    <row r="315" spans="1:9" x14ac:dyDescent="0.2">
      <c r="A315" s="4">
        <v>33947</v>
      </c>
      <c r="B315" s="21">
        <v>1.2781</v>
      </c>
      <c r="C315" s="22">
        <v>124.05</v>
      </c>
      <c r="D315" s="22">
        <v>6.76</v>
      </c>
      <c r="E315" s="10">
        <v>7.34</v>
      </c>
      <c r="F315" s="22">
        <v>4.835</v>
      </c>
      <c r="G315" s="22">
        <v>435.64999399999999</v>
      </c>
      <c r="H315" s="22">
        <v>1504.3000489999999</v>
      </c>
      <c r="I315" s="18">
        <v>17406.220700000002</v>
      </c>
    </row>
    <row r="316" spans="1:9" x14ac:dyDescent="0.2">
      <c r="A316" s="4">
        <v>33948</v>
      </c>
      <c r="B316" s="21">
        <v>1.2767999999999999</v>
      </c>
      <c r="C316" s="22">
        <v>123.71</v>
      </c>
      <c r="D316" s="22">
        <v>6.77</v>
      </c>
      <c r="E316" s="10">
        <v>7.34</v>
      </c>
      <c r="F316" s="22">
        <v>4.835</v>
      </c>
      <c r="G316" s="22">
        <v>434.64001500000001</v>
      </c>
      <c r="H316" s="22">
        <v>1480.650024</v>
      </c>
      <c r="I316" s="18">
        <v>17501.300780000001</v>
      </c>
    </row>
    <row r="317" spans="1:9" x14ac:dyDescent="0.2">
      <c r="A317" s="4">
        <v>33949</v>
      </c>
      <c r="B317" s="21">
        <v>1.2739</v>
      </c>
      <c r="C317" s="22">
        <v>123.92</v>
      </c>
      <c r="D317" s="22">
        <v>6.8</v>
      </c>
      <c r="E317" s="10">
        <v>7.35</v>
      </c>
      <c r="F317" s="22">
        <v>4.84</v>
      </c>
      <c r="G317" s="22">
        <v>433.73001099999999</v>
      </c>
      <c r="H317" s="22">
        <v>1476.6999510000001</v>
      </c>
      <c r="I317" s="18">
        <v>17441.019530000001</v>
      </c>
    </row>
    <row r="318" spans="1:9" x14ac:dyDescent="0.2">
      <c r="A318" s="4">
        <v>33952</v>
      </c>
      <c r="B318" s="21">
        <v>1.2785</v>
      </c>
      <c r="C318" s="22">
        <v>123.7</v>
      </c>
      <c r="D318" s="22">
        <v>6.83</v>
      </c>
      <c r="E318" s="10">
        <v>7.36</v>
      </c>
      <c r="F318" s="22">
        <v>4.8949999999999996</v>
      </c>
      <c r="G318" s="22">
        <v>432.83999599999999</v>
      </c>
      <c r="H318" s="22">
        <v>1478.0699460000001</v>
      </c>
      <c r="I318" s="18">
        <v>17289.970700000002</v>
      </c>
    </row>
    <row r="319" spans="1:9" x14ac:dyDescent="0.2">
      <c r="A319" s="4">
        <v>33953</v>
      </c>
      <c r="B319" s="21">
        <v>1.2796000000000001</v>
      </c>
      <c r="C319" s="22">
        <v>124.09</v>
      </c>
      <c r="D319" s="22">
        <v>6.83</v>
      </c>
      <c r="E319" s="10">
        <v>7.35</v>
      </c>
      <c r="F319" s="22">
        <v>4.8849999999999998</v>
      </c>
      <c r="G319" s="22">
        <v>432.57000699999998</v>
      </c>
      <c r="H319" s="22">
        <v>1479.619995</v>
      </c>
      <c r="I319" s="18">
        <v>17480.740229999999</v>
      </c>
    </row>
    <row r="320" spans="1:9" x14ac:dyDescent="0.2">
      <c r="A320" s="4">
        <v>33954</v>
      </c>
      <c r="B320" s="21">
        <v>1.2892999999999999</v>
      </c>
      <c r="C320" s="22">
        <v>123</v>
      </c>
      <c r="D320" s="22">
        <v>6.77</v>
      </c>
      <c r="E320" s="10">
        <v>7.35</v>
      </c>
      <c r="F320" s="22">
        <v>4.8600000000000003</v>
      </c>
      <c r="G320" s="22">
        <v>431.51998900000001</v>
      </c>
      <c r="H320" s="22">
        <v>1477.5500489999999</v>
      </c>
      <c r="I320" s="18">
        <v>17268.710940000001</v>
      </c>
    </row>
    <row r="321" spans="1:9" x14ac:dyDescent="0.2">
      <c r="A321" s="4">
        <v>33955</v>
      </c>
      <c r="B321" s="21">
        <v>1.288</v>
      </c>
      <c r="C321" s="22">
        <v>122.72</v>
      </c>
      <c r="D321" s="22">
        <v>6.77</v>
      </c>
      <c r="E321" s="10">
        <v>7.36</v>
      </c>
      <c r="F321" s="22">
        <v>4.8600000000000003</v>
      </c>
      <c r="G321" s="22">
        <v>435.42999300000002</v>
      </c>
      <c r="H321" s="22">
        <v>1472.589966</v>
      </c>
      <c r="I321" s="18">
        <v>17437.910159999999</v>
      </c>
    </row>
    <row r="322" spans="1:9" x14ac:dyDescent="0.2">
      <c r="A322" s="4">
        <v>33956</v>
      </c>
      <c r="B322" s="21">
        <v>1.2806999999999999</v>
      </c>
      <c r="C322" s="22">
        <v>123.2</v>
      </c>
      <c r="D322" s="22">
        <v>6.76</v>
      </c>
      <c r="E322" s="10">
        <v>7.31</v>
      </c>
      <c r="F322" s="22">
        <v>4.8449999999999998</v>
      </c>
      <c r="G322" s="22">
        <v>441.27999899999998</v>
      </c>
      <c r="H322" s="22">
        <v>1495.599976</v>
      </c>
      <c r="I322" s="18">
        <v>17680.740229999999</v>
      </c>
    </row>
    <row r="323" spans="1:9" x14ac:dyDescent="0.2">
      <c r="A323" s="4">
        <v>33959</v>
      </c>
      <c r="B323" s="21">
        <v>1.2785</v>
      </c>
      <c r="C323" s="22">
        <v>123.1</v>
      </c>
      <c r="D323" s="22">
        <v>6.71</v>
      </c>
      <c r="E323" s="10">
        <v>7.31</v>
      </c>
      <c r="F323" s="22">
        <v>4.84</v>
      </c>
      <c r="G323" s="22">
        <v>440.70001200000002</v>
      </c>
      <c r="H323" s="22">
        <v>1517.4499510000001</v>
      </c>
      <c r="I323" s="18">
        <v>17645.439450000002</v>
      </c>
    </row>
    <row r="324" spans="1:9" x14ac:dyDescent="0.2">
      <c r="A324" s="4">
        <v>33960</v>
      </c>
      <c r="B324" s="21">
        <v>1.2639</v>
      </c>
      <c r="C324" s="22">
        <v>123.85</v>
      </c>
      <c r="D324" s="22">
        <v>6.65</v>
      </c>
      <c r="E324" s="10">
        <v>7.22</v>
      </c>
      <c r="F324" s="22">
        <v>4.8150000000000004</v>
      </c>
      <c r="G324" s="22">
        <v>440.30999800000001</v>
      </c>
      <c r="H324" s="22">
        <v>1520.9300539999999</v>
      </c>
      <c r="I324" s="18">
        <v>17690.66992</v>
      </c>
    </row>
    <row r="325" spans="1:9" x14ac:dyDescent="0.2">
      <c r="A325" s="4">
        <v>33961</v>
      </c>
      <c r="B325" s="21">
        <v>1.2593000000000001</v>
      </c>
      <c r="C325" s="22">
        <v>123.86</v>
      </c>
      <c r="D325" s="22">
        <v>6.68</v>
      </c>
      <c r="E325" s="10">
        <v>7.21</v>
      </c>
      <c r="F325" s="22">
        <v>4.8150000000000004</v>
      </c>
      <c r="G325" s="22">
        <v>439.02999899999998</v>
      </c>
      <c r="H325" s="22">
        <v>1527.0600589999999</v>
      </c>
      <c r="I325" s="18">
        <v>17690.66992</v>
      </c>
    </row>
    <row r="326" spans="1:9" x14ac:dyDescent="0.2">
      <c r="A326" s="4">
        <v>33962</v>
      </c>
      <c r="B326" s="21">
        <v>1.2602</v>
      </c>
      <c r="C326" s="22">
        <v>123.95</v>
      </c>
      <c r="D326" s="22">
        <v>6.69</v>
      </c>
      <c r="E326" s="10">
        <v>7.21</v>
      </c>
      <c r="F326" s="22">
        <v>4.8</v>
      </c>
      <c r="G326" s="22">
        <v>439.76998900000001</v>
      </c>
      <c r="H326" s="22">
        <v>1527.0600589999999</v>
      </c>
      <c r="I326" s="18">
        <v>17648.849610000001</v>
      </c>
    </row>
    <row r="327" spans="1:9" x14ac:dyDescent="0.2">
      <c r="A327" s="4">
        <v>33963</v>
      </c>
      <c r="B327" s="21">
        <v>1.2602</v>
      </c>
      <c r="C327" s="22">
        <v>123.7</v>
      </c>
      <c r="D327" s="22">
        <v>6.69</v>
      </c>
      <c r="E327" s="10">
        <v>7.21</v>
      </c>
      <c r="F327" s="22">
        <v>4.79</v>
      </c>
      <c r="G327" s="22">
        <v>435.71</v>
      </c>
      <c r="H327" s="22">
        <v>1527.0600589999999</v>
      </c>
      <c r="I327" s="18">
        <v>17557.039059999999</v>
      </c>
    </row>
    <row r="328" spans="1:9" x14ac:dyDescent="0.2">
      <c r="A328" s="4">
        <v>33966</v>
      </c>
      <c r="B328" s="21">
        <v>1.2602</v>
      </c>
      <c r="C328" s="22">
        <v>124.95</v>
      </c>
      <c r="D328" s="22">
        <v>6.72</v>
      </c>
      <c r="E328" s="10">
        <v>7.17</v>
      </c>
      <c r="F328" s="22">
        <v>4.79</v>
      </c>
      <c r="G328" s="22">
        <v>439.14999399999999</v>
      </c>
      <c r="H328" s="22">
        <v>1547.51001</v>
      </c>
      <c r="I328" s="18">
        <v>17188.619139999999</v>
      </c>
    </row>
    <row r="329" spans="1:9" x14ac:dyDescent="0.2">
      <c r="A329" s="4">
        <v>33967</v>
      </c>
      <c r="B329" s="21">
        <v>1.2372000000000001</v>
      </c>
      <c r="C329" s="22">
        <v>124.73</v>
      </c>
      <c r="D329" s="22">
        <v>6.69</v>
      </c>
      <c r="E329" s="10">
        <v>7.2</v>
      </c>
      <c r="F329" s="22">
        <v>4.8049999999999997</v>
      </c>
      <c r="G329" s="22">
        <v>437.98001099999999</v>
      </c>
      <c r="H329" s="22">
        <v>1545.8199460000001</v>
      </c>
      <c r="I329" s="18">
        <v>17285.640630000002</v>
      </c>
    </row>
    <row r="330" spans="1:9" x14ac:dyDescent="0.2">
      <c r="A330" s="4">
        <v>33968</v>
      </c>
      <c r="B330" s="21">
        <v>1.2408999999999999</v>
      </c>
      <c r="C330" s="22">
        <v>124.65</v>
      </c>
      <c r="D330" s="22">
        <v>6.68</v>
      </c>
      <c r="E330" s="10">
        <v>7.19</v>
      </c>
      <c r="F330" s="22">
        <v>4.7750000000000004</v>
      </c>
      <c r="G330" s="22">
        <v>438.82000699999998</v>
      </c>
      <c r="H330" s="22">
        <v>1538.4300539999999</v>
      </c>
      <c r="I330" s="18">
        <v>16924.949219999999</v>
      </c>
    </row>
    <row r="331" spans="1:9" x14ac:dyDescent="0.2">
      <c r="A331" s="4">
        <v>33969</v>
      </c>
      <c r="B331" s="21">
        <v>1.2369000000000001</v>
      </c>
      <c r="C331" s="22">
        <v>124.86</v>
      </c>
      <c r="D331" s="22">
        <v>6.7</v>
      </c>
      <c r="E331" s="10">
        <v>7.19</v>
      </c>
      <c r="F331" s="22">
        <v>4.7750000000000004</v>
      </c>
      <c r="G331" s="22">
        <v>435.709991</v>
      </c>
      <c r="H331" s="22">
        <v>1538.4300539999999</v>
      </c>
      <c r="I331" s="18">
        <v>16924.949219999999</v>
      </c>
    </row>
    <row r="332" spans="1:9" x14ac:dyDescent="0.2">
      <c r="A332" s="4">
        <v>33970</v>
      </c>
      <c r="B332" s="21">
        <v>1.2369000000000001</v>
      </c>
      <c r="C332" s="22">
        <v>124.86</v>
      </c>
      <c r="D332" s="22">
        <v>6.7</v>
      </c>
      <c r="E332" s="10">
        <v>7.26</v>
      </c>
      <c r="F332" s="22">
        <v>4.7750000000000004</v>
      </c>
      <c r="G332" s="22">
        <v>429.05</v>
      </c>
      <c r="H332" s="22">
        <v>1538.4300539999999</v>
      </c>
      <c r="I332" s="18">
        <v>16924.949219999999</v>
      </c>
    </row>
    <row r="333" spans="1:9" x14ac:dyDescent="0.2">
      <c r="A333" s="4">
        <v>33973</v>
      </c>
      <c r="B333" s="21">
        <v>1.2179</v>
      </c>
      <c r="C333" s="22">
        <v>125.35</v>
      </c>
      <c r="D333" s="22">
        <v>6.6</v>
      </c>
      <c r="E333" s="10">
        <v>7.27</v>
      </c>
      <c r="F333" s="22">
        <v>4.7850000000000001</v>
      </c>
      <c r="G333" s="22">
        <v>435.38000499999998</v>
      </c>
      <c r="H333" s="22">
        <v>1538.040039</v>
      </c>
      <c r="I333" s="18">
        <v>16994.08008</v>
      </c>
    </row>
    <row r="334" spans="1:9" x14ac:dyDescent="0.2">
      <c r="A334" s="4">
        <v>33974</v>
      </c>
      <c r="B334" s="21">
        <v>1.2215</v>
      </c>
      <c r="C334" s="22">
        <v>124.85</v>
      </c>
      <c r="D334" s="22">
        <v>6.61</v>
      </c>
      <c r="E334" s="10">
        <v>7.18</v>
      </c>
      <c r="F334" s="22">
        <v>4.7549999999999999</v>
      </c>
      <c r="G334" s="22">
        <v>434.33999599999999</v>
      </c>
      <c r="H334" s="22">
        <v>1554.030029</v>
      </c>
      <c r="I334" s="18">
        <v>16842.58008</v>
      </c>
    </row>
    <row r="335" spans="1:9" x14ac:dyDescent="0.2">
      <c r="A335" s="4">
        <v>33975</v>
      </c>
      <c r="B335" s="21">
        <v>1.2194</v>
      </c>
      <c r="C335" s="22">
        <v>125.17</v>
      </c>
      <c r="D335" s="22">
        <v>6.63</v>
      </c>
      <c r="E335" s="10">
        <v>7.18</v>
      </c>
      <c r="F335" s="22">
        <v>4.7450000000000001</v>
      </c>
      <c r="G335" s="22">
        <v>434.51998900000001</v>
      </c>
      <c r="H335" s="22">
        <v>1551.170044</v>
      </c>
      <c r="I335" s="18">
        <v>16782.880860000001</v>
      </c>
    </row>
    <row r="336" spans="1:9" x14ac:dyDescent="0.2">
      <c r="A336" s="4">
        <v>33976</v>
      </c>
      <c r="B336" s="21">
        <v>1.2215</v>
      </c>
      <c r="C336" s="22">
        <v>125.29</v>
      </c>
      <c r="D336" s="22">
        <v>6.76</v>
      </c>
      <c r="E336" s="10">
        <v>7.18</v>
      </c>
      <c r="F336" s="22">
        <v>4.72</v>
      </c>
      <c r="G336" s="22">
        <v>430.73001099999999</v>
      </c>
      <c r="H336" s="22">
        <v>1538.369995</v>
      </c>
      <c r="I336" s="18">
        <v>16780.980469999999</v>
      </c>
    </row>
    <row r="337" spans="1:9" x14ac:dyDescent="0.2">
      <c r="A337" s="4">
        <v>33977</v>
      </c>
      <c r="B337" s="21">
        <v>1.2189000000000001</v>
      </c>
      <c r="C337" s="22">
        <v>125.45</v>
      </c>
      <c r="D337" s="22">
        <v>6.75</v>
      </c>
      <c r="E337" s="10">
        <v>7.17</v>
      </c>
      <c r="F337" s="22">
        <v>4.7300000000000004</v>
      </c>
      <c r="G337" s="22">
        <v>429.04998799999998</v>
      </c>
      <c r="H337" s="22">
        <v>1529.099976</v>
      </c>
      <c r="I337" s="18">
        <v>16634.689450000002</v>
      </c>
    </row>
    <row r="338" spans="1:9" x14ac:dyDescent="0.2">
      <c r="A338" s="4">
        <v>33980</v>
      </c>
      <c r="B338" s="21">
        <v>1.2304999999999999</v>
      </c>
      <c r="C338" s="22">
        <v>125.15</v>
      </c>
      <c r="D338" s="22">
        <v>6.71</v>
      </c>
      <c r="E338" s="10">
        <v>7.15</v>
      </c>
      <c r="F338" s="22">
        <v>4.7439999999999998</v>
      </c>
      <c r="G338" s="22">
        <v>430.95001200000002</v>
      </c>
      <c r="H338" s="22">
        <v>1522.26001</v>
      </c>
      <c r="I338" s="18">
        <v>16589.550780000001</v>
      </c>
    </row>
    <row r="339" spans="1:9" x14ac:dyDescent="0.2">
      <c r="A339" s="4">
        <v>33981</v>
      </c>
      <c r="B339" s="21">
        <v>1.2256</v>
      </c>
      <c r="C339" s="22">
        <v>125.35</v>
      </c>
      <c r="D339" s="22">
        <v>6.72</v>
      </c>
      <c r="E339" s="10">
        <v>7.14</v>
      </c>
      <c r="F339" s="22">
        <v>4.7050000000000001</v>
      </c>
      <c r="G339" s="22">
        <v>431.040009</v>
      </c>
      <c r="H339" s="22">
        <v>1533.790039</v>
      </c>
      <c r="I339" s="18">
        <v>16681.050780000001</v>
      </c>
    </row>
    <row r="340" spans="1:9" x14ac:dyDescent="0.2">
      <c r="A340" s="4">
        <v>33982</v>
      </c>
      <c r="B340" s="21">
        <v>1.2253000000000001</v>
      </c>
      <c r="C340" s="22">
        <v>125.67</v>
      </c>
      <c r="D340" s="22">
        <v>6.71</v>
      </c>
      <c r="E340" s="10">
        <v>7.16</v>
      </c>
      <c r="F340" s="22">
        <v>4.6749999999999998</v>
      </c>
      <c r="G340" s="22">
        <v>433.02999899999998</v>
      </c>
      <c r="H340" s="22">
        <v>1510.1800539999999</v>
      </c>
      <c r="I340" s="18">
        <v>16517.910159999999</v>
      </c>
    </row>
    <row r="341" spans="1:9" x14ac:dyDescent="0.2">
      <c r="A341" s="4">
        <v>33983</v>
      </c>
      <c r="B341" s="21">
        <v>1.232</v>
      </c>
      <c r="C341" s="22">
        <v>125.88</v>
      </c>
      <c r="D341" s="22">
        <v>6.65</v>
      </c>
      <c r="E341" s="10">
        <v>7.14</v>
      </c>
      <c r="F341" s="22">
        <v>4.6900000000000004</v>
      </c>
      <c r="G341" s="22">
        <v>435.94000199999999</v>
      </c>
      <c r="H341" s="22">
        <v>1526.910034</v>
      </c>
      <c r="I341" s="18">
        <v>16515.599610000001</v>
      </c>
    </row>
    <row r="342" spans="1:9" x14ac:dyDescent="0.2">
      <c r="A342" s="4">
        <v>33984</v>
      </c>
      <c r="B342" s="21">
        <v>1.2281</v>
      </c>
      <c r="C342" s="22">
        <v>126.1</v>
      </c>
      <c r="D342" s="22">
        <v>6.6</v>
      </c>
      <c r="E342" s="10">
        <v>7.13</v>
      </c>
      <c r="F342" s="22">
        <v>4.6900000000000004</v>
      </c>
      <c r="G342" s="22">
        <v>437.14999399999999</v>
      </c>
      <c r="H342" s="22">
        <v>1555.5200199999999</v>
      </c>
      <c r="I342" s="18">
        <v>16515.599610000001</v>
      </c>
    </row>
    <row r="343" spans="1:9" x14ac:dyDescent="0.2">
      <c r="A343" s="4">
        <v>33987</v>
      </c>
      <c r="B343" s="21">
        <v>1.2359</v>
      </c>
      <c r="C343" s="22">
        <v>125.65</v>
      </c>
      <c r="D343" s="22">
        <v>6.6</v>
      </c>
      <c r="E343" s="10">
        <v>7.11</v>
      </c>
      <c r="F343" s="22">
        <v>4.6100000000000003</v>
      </c>
      <c r="G343" s="22">
        <v>436.83999599999999</v>
      </c>
      <c r="H343" s="22">
        <v>1581.48999</v>
      </c>
      <c r="I343" s="18">
        <v>16617.240229999999</v>
      </c>
    </row>
    <row r="344" spans="1:9" x14ac:dyDescent="0.2">
      <c r="A344" s="4">
        <v>33988</v>
      </c>
      <c r="B344" s="21">
        <v>1.2425999999999999</v>
      </c>
      <c r="C344" s="22">
        <v>125.47</v>
      </c>
      <c r="D344" s="22">
        <v>6.59</v>
      </c>
      <c r="E344" s="10">
        <v>7.11</v>
      </c>
      <c r="F344" s="22">
        <v>4.5949999999999998</v>
      </c>
      <c r="G344" s="22">
        <v>435.13000499999998</v>
      </c>
      <c r="H344" s="22">
        <v>1572.6099850000001</v>
      </c>
      <c r="I344" s="18">
        <v>16798.640630000002</v>
      </c>
    </row>
    <row r="345" spans="1:9" x14ac:dyDescent="0.2">
      <c r="A345" s="4">
        <v>33989</v>
      </c>
      <c r="B345" s="21">
        <v>1.2468999999999999</v>
      </c>
      <c r="C345" s="22">
        <v>124.7</v>
      </c>
      <c r="D345" s="22">
        <v>6.61</v>
      </c>
      <c r="E345" s="10">
        <v>7.13</v>
      </c>
      <c r="F345" s="22">
        <v>4.5750000000000002</v>
      </c>
      <c r="G345" s="22">
        <v>433.36999500000002</v>
      </c>
      <c r="H345" s="22">
        <v>1572.6899410000001</v>
      </c>
      <c r="I345" s="18">
        <v>16510.179690000001</v>
      </c>
    </row>
    <row r="346" spans="1:9" x14ac:dyDescent="0.2">
      <c r="A346" s="4">
        <v>33990</v>
      </c>
      <c r="B346" s="21">
        <v>1.2393000000000001</v>
      </c>
      <c r="C346" s="22">
        <v>124.95</v>
      </c>
      <c r="D346" s="22">
        <v>6.6</v>
      </c>
      <c r="E346" s="10">
        <v>7.14</v>
      </c>
      <c r="F346" s="22">
        <v>4.5910000000000002</v>
      </c>
      <c r="G346" s="22">
        <v>435.48998999999998</v>
      </c>
      <c r="H346" s="22">
        <v>1580.6400149999999</v>
      </c>
      <c r="I346" s="18">
        <v>16538.679690000001</v>
      </c>
    </row>
    <row r="347" spans="1:9" x14ac:dyDescent="0.2">
      <c r="A347" s="4">
        <v>33991</v>
      </c>
      <c r="B347" s="21">
        <v>1.2491000000000001</v>
      </c>
      <c r="C347" s="22">
        <v>125.19</v>
      </c>
      <c r="D347" s="22">
        <v>6.57</v>
      </c>
      <c r="E347" s="10">
        <v>7.13</v>
      </c>
      <c r="F347" s="22">
        <v>4.5810000000000004</v>
      </c>
      <c r="G347" s="22">
        <v>436.10998499999999</v>
      </c>
      <c r="H347" s="22">
        <v>1593.349976</v>
      </c>
      <c r="I347" s="18">
        <v>16336.809569999999</v>
      </c>
    </row>
    <row r="348" spans="1:9" x14ac:dyDescent="0.2">
      <c r="A348" s="4">
        <v>33994</v>
      </c>
      <c r="B348" s="21">
        <v>1.2724</v>
      </c>
      <c r="C348" s="22">
        <v>123.35</v>
      </c>
      <c r="D348" s="22">
        <v>6.48</v>
      </c>
      <c r="E348" s="10">
        <v>7.16</v>
      </c>
      <c r="F348" s="22">
        <v>4.57</v>
      </c>
      <c r="G348" s="22">
        <v>440.01001000000002</v>
      </c>
      <c r="H348" s="22">
        <v>1571.280029</v>
      </c>
      <c r="I348" s="18">
        <v>16287.450199999999</v>
      </c>
    </row>
    <row r="349" spans="1:9" x14ac:dyDescent="0.2">
      <c r="A349" s="4">
        <v>33995</v>
      </c>
      <c r="B349" s="21">
        <v>1.2689999999999999</v>
      </c>
      <c r="C349" s="22">
        <v>123.58</v>
      </c>
      <c r="D349" s="22">
        <v>6.5</v>
      </c>
      <c r="E349" s="10">
        <v>7.16</v>
      </c>
      <c r="F349" s="22">
        <v>4.5759999999999996</v>
      </c>
      <c r="G349" s="22">
        <v>439.95001200000002</v>
      </c>
      <c r="H349" s="22">
        <v>1575.589966</v>
      </c>
      <c r="I349" s="18">
        <v>16492.630860000001</v>
      </c>
    </row>
    <row r="350" spans="1:9" x14ac:dyDescent="0.2">
      <c r="A350" s="4">
        <v>33996</v>
      </c>
      <c r="B350" s="21">
        <v>1.2623</v>
      </c>
      <c r="C350" s="22">
        <v>124.16</v>
      </c>
      <c r="D350" s="22">
        <v>6.48</v>
      </c>
      <c r="E350" s="10">
        <v>7.18</v>
      </c>
      <c r="F350" s="22">
        <v>4.5890000000000004</v>
      </c>
      <c r="G350" s="22">
        <v>438.10998499999999</v>
      </c>
      <c r="H350" s="22">
        <v>1561.780029</v>
      </c>
      <c r="I350" s="18">
        <v>16509.679690000001</v>
      </c>
    </row>
    <row r="351" spans="1:9" x14ac:dyDescent="0.2">
      <c r="A351" s="4">
        <v>33997</v>
      </c>
      <c r="B351" s="21">
        <v>1.2575000000000001</v>
      </c>
      <c r="C351" s="22">
        <v>124.17</v>
      </c>
      <c r="D351" s="22">
        <v>6.44</v>
      </c>
      <c r="E351" s="10">
        <v>7.17</v>
      </c>
      <c r="F351" s="22">
        <v>4.5709999999999997</v>
      </c>
      <c r="G351" s="22">
        <v>438.66000400000001</v>
      </c>
      <c r="H351" s="22">
        <v>1572.6800539999999</v>
      </c>
      <c r="I351" s="18">
        <v>17063.410159999999</v>
      </c>
    </row>
    <row r="352" spans="1:9" x14ac:dyDescent="0.2">
      <c r="A352" s="4">
        <v>33998</v>
      </c>
      <c r="B352" s="21">
        <v>1.2403999999999999</v>
      </c>
      <c r="C352" s="22">
        <v>124.73</v>
      </c>
      <c r="D352" s="22">
        <v>6.39</v>
      </c>
      <c r="E352" s="10">
        <v>7.14</v>
      </c>
      <c r="F352" s="22">
        <v>4.5880000000000001</v>
      </c>
      <c r="G352" s="22">
        <v>438.77999899999998</v>
      </c>
      <c r="H352" s="22">
        <v>1574.040039</v>
      </c>
      <c r="I352" s="18">
        <v>17023.779299999998</v>
      </c>
    </row>
    <row r="353" spans="1:9" x14ac:dyDescent="0.2">
      <c r="A353" s="4">
        <v>34001</v>
      </c>
      <c r="B353" s="21">
        <v>1.2216</v>
      </c>
      <c r="C353" s="22">
        <v>125.1</v>
      </c>
      <c r="D353" s="22">
        <v>6.38</v>
      </c>
      <c r="E353" s="10">
        <v>7.05</v>
      </c>
      <c r="F353" s="22">
        <v>4.5590000000000002</v>
      </c>
      <c r="G353" s="22">
        <v>442.51998900000001</v>
      </c>
      <c r="H353" s="22">
        <v>1590.329956</v>
      </c>
      <c r="I353" s="18">
        <v>17133.640630000002</v>
      </c>
    </row>
    <row r="354" spans="1:9" x14ac:dyDescent="0.2">
      <c r="A354" s="4">
        <v>34002</v>
      </c>
      <c r="B354" s="21">
        <v>1.2136</v>
      </c>
      <c r="C354" s="22">
        <v>124.65</v>
      </c>
      <c r="D354" s="22">
        <v>6.46</v>
      </c>
      <c r="E354" s="10">
        <v>7.04</v>
      </c>
      <c r="F354" s="22">
        <v>4.5179999999999998</v>
      </c>
      <c r="G354" s="22">
        <v>442.54998799999998</v>
      </c>
      <c r="H354" s="22">
        <v>1584.1400149999999</v>
      </c>
      <c r="I354" s="18">
        <v>17186.310549999998</v>
      </c>
    </row>
    <row r="355" spans="1:9" x14ac:dyDescent="0.2">
      <c r="A355" s="4">
        <v>34003</v>
      </c>
      <c r="B355" s="21">
        <v>1.2122999999999999</v>
      </c>
      <c r="C355" s="22">
        <v>124.45</v>
      </c>
      <c r="D355" s="22">
        <v>6.45</v>
      </c>
      <c r="E355" s="10">
        <v>7.02</v>
      </c>
      <c r="F355" s="22">
        <v>4.569</v>
      </c>
      <c r="G355" s="22">
        <v>447.20001200000002</v>
      </c>
      <c r="H355" s="22">
        <v>1605.910034</v>
      </c>
      <c r="I355" s="18">
        <v>17222.029299999998</v>
      </c>
    </row>
    <row r="356" spans="1:9" x14ac:dyDescent="0.2">
      <c r="A356" s="4">
        <v>34004</v>
      </c>
      <c r="B356" s="21">
        <v>1.2035</v>
      </c>
      <c r="C356" s="22">
        <v>124.75</v>
      </c>
      <c r="D356" s="22">
        <v>6.39</v>
      </c>
      <c r="E356" s="10">
        <v>7.01</v>
      </c>
      <c r="F356" s="22">
        <v>4.5739999999999998</v>
      </c>
      <c r="G356" s="22">
        <v>449.55999800000001</v>
      </c>
      <c r="H356" s="22">
        <v>1615.9799800000001</v>
      </c>
      <c r="I356" s="18">
        <v>17190.630860000001</v>
      </c>
    </row>
    <row r="357" spans="1:9" x14ac:dyDescent="0.2">
      <c r="A357" s="4">
        <v>34005</v>
      </c>
      <c r="B357" s="21">
        <v>1.2085999999999999</v>
      </c>
      <c r="C357" s="22">
        <v>124.45</v>
      </c>
      <c r="D357" s="22">
        <v>6.32</v>
      </c>
      <c r="E357" s="10">
        <v>7.01</v>
      </c>
      <c r="F357" s="22">
        <v>4.5030000000000001</v>
      </c>
      <c r="G357" s="22">
        <v>448.92999300000002</v>
      </c>
      <c r="H357" s="22">
        <v>1643.829956</v>
      </c>
      <c r="I357" s="18">
        <v>17332.900389999999</v>
      </c>
    </row>
    <row r="358" spans="1:9" x14ac:dyDescent="0.2">
      <c r="A358" s="4">
        <v>34008</v>
      </c>
      <c r="B358" s="21">
        <v>1.2054</v>
      </c>
      <c r="C358" s="22">
        <v>123.81</v>
      </c>
      <c r="D358" s="22">
        <v>6.37</v>
      </c>
      <c r="E358" s="10">
        <v>7.01</v>
      </c>
      <c r="F358" s="22">
        <v>4.54</v>
      </c>
      <c r="G358" s="22">
        <v>447.85000600000001</v>
      </c>
      <c r="H358" s="22">
        <v>1646.849976</v>
      </c>
      <c r="I358" s="18">
        <v>17281.730469999999</v>
      </c>
    </row>
    <row r="359" spans="1:9" x14ac:dyDescent="0.2">
      <c r="A359" s="4">
        <v>34009</v>
      </c>
      <c r="B359" s="21">
        <v>1.2076</v>
      </c>
      <c r="C359" s="22">
        <v>121.25</v>
      </c>
      <c r="D359" s="22">
        <v>6.41</v>
      </c>
      <c r="E359" s="10">
        <v>7.02</v>
      </c>
      <c r="F359" s="22">
        <v>4.47</v>
      </c>
      <c r="G359" s="22">
        <v>445.32998700000002</v>
      </c>
      <c r="H359" s="22">
        <v>1639.119995</v>
      </c>
      <c r="I359" s="18">
        <v>17022.269530000001</v>
      </c>
    </row>
    <row r="360" spans="1:9" x14ac:dyDescent="0.2">
      <c r="A360" s="4">
        <v>34010</v>
      </c>
      <c r="B360" s="21">
        <v>1.2069000000000001</v>
      </c>
      <c r="C360" s="22">
        <v>121.45</v>
      </c>
      <c r="D360" s="22">
        <v>6.4</v>
      </c>
      <c r="E360" s="10">
        <v>7</v>
      </c>
      <c r="F360" s="22">
        <v>4.4409999999999998</v>
      </c>
      <c r="G360" s="22">
        <v>446.23001099999999</v>
      </c>
      <c r="H360" s="22">
        <v>1642.8000489999999</v>
      </c>
      <c r="I360" s="18">
        <v>17089.900389999999</v>
      </c>
    </row>
    <row r="361" spans="1:9" x14ac:dyDescent="0.2">
      <c r="A361" s="4">
        <v>34011</v>
      </c>
      <c r="B361" s="21">
        <v>1.2015</v>
      </c>
      <c r="C361" s="22">
        <v>121.3</v>
      </c>
      <c r="D361" s="22">
        <v>6.37</v>
      </c>
      <c r="E361" s="10">
        <v>6.99</v>
      </c>
      <c r="F361" s="22">
        <v>4.4409999999999998</v>
      </c>
      <c r="G361" s="22">
        <v>447.66000400000001</v>
      </c>
      <c r="H361" s="22">
        <v>1659.0699460000001</v>
      </c>
      <c r="I361" s="18">
        <v>17089.900389999999</v>
      </c>
    </row>
    <row r="362" spans="1:9" x14ac:dyDescent="0.2">
      <c r="A362" s="4">
        <v>34012</v>
      </c>
      <c r="B362" s="21">
        <v>1.2011000000000001</v>
      </c>
      <c r="C362" s="22">
        <v>120.7</v>
      </c>
      <c r="D362" s="22">
        <v>6.35</v>
      </c>
      <c r="E362" s="10">
        <v>6.99</v>
      </c>
      <c r="F362" s="22">
        <v>4.415</v>
      </c>
      <c r="G362" s="22">
        <v>444.57998700000002</v>
      </c>
      <c r="H362" s="22">
        <v>1649.6400149999999</v>
      </c>
      <c r="I362" s="18">
        <v>16851.509770000001</v>
      </c>
    </row>
    <row r="363" spans="1:9" x14ac:dyDescent="0.2">
      <c r="A363" s="4">
        <v>34015</v>
      </c>
      <c r="B363" s="21">
        <v>1.2008000000000001</v>
      </c>
      <c r="C363" s="22">
        <v>120.94</v>
      </c>
      <c r="D363" s="22">
        <v>6.35</v>
      </c>
      <c r="E363" s="10">
        <v>6.98</v>
      </c>
      <c r="F363" s="22">
        <v>4.4349999999999996</v>
      </c>
      <c r="G363" s="22">
        <v>435.24</v>
      </c>
      <c r="H363" s="22">
        <v>1674.9300539999999</v>
      </c>
      <c r="I363" s="18">
        <v>17117.990229999999</v>
      </c>
    </row>
    <row r="364" spans="1:9" x14ac:dyDescent="0.2">
      <c r="A364" s="4">
        <v>34016</v>
      </c>
      <c r="B364" s="21">
        <v>1.2157</v>
      </c>
      <c r="C364" s="22">
        <v>119.99</v>
      </c>
      <c r="D364" s="22">
        <v>6.34</v>
      </c>
      <c r="E364" s="10">
        <v>6.97</v>
      </c>
      <c r="F364" s="22">
        <v>4.4000000000000004</v>
      </c>
      <c r="G364" s="22">
        <v>433.91000400000001</v>
      </c>
      <c r="H364" s="22">
        <v>1651.599976</v>
      </c>
      <c r="I364" s="18">
        <v>16916.320309999999</v>
      </c>
    </row>
    <row r="365" spans="1:9" x14ac:dyDescent="0.2">
      <c r="A365" s="4">
        <v>34017</v>
      </c>
      <c r="B365" s="21">
        <v>1.2197</v>
      </c>
      <c r="C365" s="22">
        <v>119.7</v>
      </c>
      <c r="D365" s="22">
        <v>6.28</v>
      </c>
      <c r="E365" s="10">
        <v>6.92</v>
      </c>
      <c r="F365" s="22">
        <v>4.335</v>
      </c>
      <c r="G365" s="22">
        <v>433.29998799999998</v>
      </c>
      <c r="H365" s="22">
        <v>1656.349976</v>
      </c>
      <c r="I365" s="18">
        <v>17009.630860000001</v>
      </c>
    </row>
    <row r="366" spans="1:9" x14ac:dyDescent="0.2">
      <c r="A366" s="4">
        <v>34018</v>
      </c>
      <c r="B366" s="21">
        <v>1.2130000000000001</v>
      </c>
      <c r="C366" s="22">
        <v>119.2</v>
      </c>
      <c r="D366" s="22">
        <v>6.17</v>
      </c>
      <c r="E366" s="10">
        <v>6.9</v>
      </c>
      <c r="F366" s="22">
        <v>4.3209999999999997</v>
      </c>
      <c r="G366" s="22">
        <v>431.89999399999999</v>
      </c>
      <c r="H366" s="22">
        <v>1670.900024</v>
      </c>
      <c r="I366" s="18">
        <v>16982.140630000002</v>
      </c>
    </row>
    <row r="367" spans="1:9" x14ac:dyDescent="0.2">
      <c r="A367" s="4">
        <v>34019</v>
      </c>
      <c r="B367" s="21">
        <v>1.2136</v>
      </c>
      <c r="C367" s="22">
        <v>118.35</v>
      </c>
      <c r="D367" s="22">
        <v>6.15</v>
      </c>
      <c r="E367" s="10">
        <v>6.87</v>
      </c>
      <c r="F367" s="22">
        <v>4.2910000000000004</v>
      </c>
      <c r="G367" s="22">
        <v>434.22000100000002</v>
      </c>
      <c r="H367" s="22">
        <v>1683.3000489999999</v>
      </c>
      <c r="I367" s="18">
        <v>17010.029299999998</v>
      </c>
    </row>
    <row r="368" spans="1:9" x14ac:dyDescent="0.2">
      <c r="A368" s="4">
        <v>34022</v>
      </c>
      <c r="B368" s="21">
        <v>1.2123999999999999</v>
      </c>
      <c r="C368" s="22">
        <v>116.35</v>
      </c>
      <c r="D368" s="22">
        <v>6.09</v>
      </c>
      <c r="E368" s="10">
        <v>6.8</v>
      </c>
      <c r="F368" s="22">
        <v>4.2409999999999997</v>
      </c>
      <c r="G368" s="22">
        <v>435.23998999999998</v>
      </c>
      <c r="H368" s="22">
        <v>1679.410034</v>
      </c>
      <c r="I368" s="18">
        <v>16820.609380000002</v>
      </c>
    </row>
    <row r="369" spans="1:9" x14ac:dyDescent="0.2">
      <c r="A369" s="4">
        <v>34023</v>
      </c>
      <c r="B369" s="21">
        <v>1.2201</v>
      </c>
      <c r="C369" s="22">
        <v>117.1</v>
      </c>
      <c r="D369" s="22">
        <v>5.92</v>
      </c>
      <c r="E369" s="10">
        <v>6.78</v>
      </c>
      <c r="F369" s="22">
        <v>4.1509999999999998</v>
      </c>
      <c r="G369" s="22">
        <v>434.79998799999998</v>
      </c>
      <c r="H369" s="22">
        <v>1658.089966</v>
      </c>
      <c r="I369" s="18">
        <v>16863.150389999999</v>
      </c>
    </row>
    <row r="370" spans="1:9" x14ac:dyDescent="0.2">
      <c r="A370" s="4">
        <v>34024</v>
      </c>
      <c r="B370" s="21">
        <v>1.2194</v>
      </c>
      <c r="C370" s="22">
        <v>117.7</v>
      </c>
      <c r="D370" s="22">
        <v>6.01</v>
      </c>
      <c r="E370" s="10">
        <v>6.81</v>
      </c>
      <c r="F370" s="22">
        <v>4.0970000000000004</v>
      </c>
      <c r="G370" s="22">
        <v>440.86999500000002</v>
      </c>
      <c r="H370" s="22">
        <v>1652.920044</v>
      </c>
      <c r="I370" s="18">
        <v>16798.939450000002</v>
      </c>
    </row>
    <row r="371" spans="1:9" x14ac:dyDescent="0.2">
      <c r="A371" s="4">
        <v>34025</v>
      </c>
      <c r="B371" s="21">
        <v>1.2111000000000001</v>
      </c>
      <c r="C371" s="22">
        <v>117.5</v>
      </c>
      <c r="D371" s="22">
        <v>6.03</v>
      </c>
      <c r="E371" s="10">
        <v>6.81</v>
      </c>
      <c r="F371" s="22">
        <v>4.0209999999999999</v>
      </c>
      <c r="G371" s="22">
        <v>442.33999599999999</v>
      </c>
      <c r="H371" s="22">
        <v>1661.959961</v>
      </c>
      <c r="I371" s="18">
        <v>16907.390630000002</v>
      </c>
    </row>
    <row r="372" spans="1:9" x14ac:dyDescent="0.2">
      <c r="A372" s="4">
        <v>34026</v>
      </c>
      <c r="B372" s="21">
        <v>1.2034</v>
      </c>
      <c r="C372" s="22">
        <v>118.25</v>
      </c>
      <c r="D372" s="22">
        <v>6.03</v>
      </c>
      <c r="E372" s="10">
        <v>6.69</v>
      </c>
      <c r="F372" s="22">
        <v>4.0309999999999997</v>
      </c>
      <c r="G372" s="22">
        <v>443.38000499999998</v>
      </c>
      <c r="H372" s="22">
        <v>1680.0200199999999</v>
      </c>
      <c r="I372" s="18">
        <v>16953.349610000001</v>
      </c>
    </row>
    <row r="373" spans="1:9" x14ac:dyDescent="0.2">
      <c r="A373" s="4">
        <v>34029</v>
      </c>
      <c r="B373" s="21">
        <v>1.2034</v>
      </c>
      <c r="C373" s="22">
        <v>118.76</v>
      </c>
      <c r="D373" s="22">
        <v>5.94</v>
      </c>
      <c r="E373" s="10">
        <v>6.64</v>
      </c>
      <c r="F373" s="22">
        <v>4.1479999999999997</v>
      </c>
      <c r="G373" s="22">
        <v>442.01001000000002</v>
      </c>
      <c r="H373" s="22">
        <v>1691.369995</v>
      </c>
      <c r="I373" s="18">
        <v>16879.599610000001</v>
      </c>
    </row>
    <row r="374" spans="1:9" x14ac:dyDescent="0.2">
      <c r="A374" s="4">
        <v>34030</v>
      </c>
      <c r="B374" s="21">
        <v>1.2085999999999999</v>
      </c>
      <c r="C374" s="22">
        <v>117.75</v>
      </c>
      <c r="D374" s="22">
        <v>5.95</v>
      </c>
      <c r="E374" s="10">
        <v>6.67</v>
      </c>
      <c r="F374" s="22">
        <v>4.1589999999999998</v>
      </c>
      <c r="G374" s="22">
        <v>447.89999399999999</v>
      </c>
      <c r="H374" s="22">
        <v>1701.459961</v>
      </c>
      <c r="I374" s="18">
        <v>16864.25</v>
      </c>
    </row>
    <row r="375" spans="1:9" x14ac:dyDescent="0.2">
      <c r="A375" s="4">
        <v>34031</v>
      </c>
      <c r="B375" s="21">
        <v>1.2062999999999999</v>
      </c>
      <c r="C375" s="22">
        <v>116.65</v>
      </c>
      <c r="D375" s="22">
        <v>5.88</v>
      </c>
      <c r="E375" s="10">
        <v>6.63</v>
      </c>
      <c r="F375" s="22">
        <v>4.1639999999999997</v>
      </c>
      <c r="G375" s="22">
        <v>449.26001000000002</v>
      </c>
      <c r="H375" s="22">
        <v>1690.4799800000001</v>
      </c>
      <c r="I375" s="18">
        <v>16853.91992</v>
      </c>
    </row>
    <row r="376" spans="1:9" x14ac:dyDescent="0.2">
      <c r="A376" s="4">
        <v>34032</v>
      </c>
      <c r="B376" s="21">
        <v>1.212</v>
      </c>
      <c r="C376" s="22">
        <v>116.8</v>
      </c>
      <c r="D376" s="22">
        <v>5.83</v>
      </c>
      <c r="E376" s="10">
        <v>6.65</v>
      </c>
      <c r="F376" s="22">
        <v>4.1680000000000001</v>
      </c>
      <c r="G376" s="22">
        <v>447.33999599999999</v>
      </c>
      <c r="H376" s="22">
        <v>1685.459961</v>
      </c>
      <c r="I376" s="18">
        <v>16759.609380000002</v>
      </c>
    </row>
    <row r="377" spans="1:9" x14ac:dyDescent="0.2">
      <c r="A377" s="4">
        <v>34033</v>
      </c>
      <c r="B377" s="21">
        <v>1.1946000000000001</v>
      </c>
      <c r="C377" s="22">
        <v>117.65</v>
      </c>
      <c r="D377" s="22">
        <v>5.9</v>
      </c>
      <c r="E377" s="10">
        <v>6.53</v>
      </c>
      <c r="F377" s="22">
        <v>4.1520000000000001</v>
      </c>
      <c r="G377" s="22">
        <v>446.10998499999999</v>
      </c>
      <c r="H377" s="22">
        <v>1686.150024</v>
      </c>
      <c r="I377" s="18">
        <v>16817.699219999999</v>
      </c>
    </row>
    <row r="378" spans="1:9" x14ac:dyDescent="0.2">
      <c r="A378" s="4">
        <v>34036</v>
      </c>
      <c r="B378" s="21">
        <v>1.1953</v>
      </c>
      <c r="C378" s="22">
        <v>116.87</v>
      </c>
      <c r="D378" s="22">
        <v>5.85</v>
      </c>
      <c r="E378" s="10">
        <v>6.53</v>
      </c>
      <c r="F378" s="22">
        <v>4.1840000000000002</v>
      </c>
      <c r="G378" s="22">
        <v>454.709991</v>
      </c>
      <c r="H378" s="22">
        <v>1702.2700199999999</v>
      </c>
      <c r="I378" s="18">
        <v>17686.470700000002</v>
      </c>
    </row>
    <row r="379" spans="1:9" x14ac:dyDescent="0.2">
      <c r="A379" s="4">
        <v>34037</v>
      </c>
      <c r="B379" s="21">
        <v>1.1884999999999999</v>
      </c>
      <c r="C379" s="22">
        <v>117.7</v>
      </c>
      <c r="D379" s="22">
        <v>5.91</v>
      </c>
      <c r="E379" s="10">
        <v>6.56</v>
      </c>
      <c r="F379" s="22">
        <v>4.2690000000000001</v>
      </c>
      <c r="G379" s="22">
        <v>454.39999399999999</v>
      </c>
      <c r="H379" s="22">
        <v>1711.910034</v>
      </c>
      <c r="I379" s="18">
        <v>17848.300780000001</v>
      </c>
    </row>
    <row r="380" spans="1:9" x14ac:dyDescent="0.2">
      <c r="A380" s="4">
        <v>34038</v>
      </c>
      <c r="B380" s="21">
        <v>1.1910000000000001</v>
      </c>
      <c r="C380" s="22">
        <v>118.05</v>
      </c>
      <c r="D380" s="22">
        <v>5.97</v>
      </c>
      <c r="E380" s="10">
        <v>6.53</v>
      </c>
      <c r="F380" s="22">
        <v>4.2380000000000004</v>
      </c>
      <c r="G380" s="22">
        <v>456.32998700000002</v>
      </c>
      <c r="H380" s="22">
        <v>1714.4799800000001</v>
      </c>
      <c r="I380" s="18">
        <v>17858.630860000001</v>
      </c>
    </row>
    <row r="381" spans="1:9" x14ac:dyDescent="0.2">
      <c r="A381" s="4">
        <v>34039</v>
      </c>
      <c r="B381" s="21">
        <v>1.1908000000000001</v>
      </c>
      <c r="C381" s="22">
        <v>117.63</v>
      </c>
      <c r="D381" s="22">
        <v>5.96</v>
      </c>
      <c r="E381" s="10">
        <v>6.51</v>
      </c>
      <c r="F381" s="22">
        <v>4.2590000000000003</v>
      </c>
      <c r="G381" s="22">
        <v>453.72000100000002</v>
      </c>
      <c r="H381" s="22">
        <v>1708.650024</v>
      </c>
      <c r="I381" s="18">
        <v>17904.789059999999</v>
      </c>
    </row>
    <row r="382" spans="1:9" x14ac:dyDescent="0.2">
      <c r="A382" s="4">
        <v>34040</v>
      </c>
      <c r="B382" s="21">
        <v>1.1883999999999999</v>
      </c>
      <c r="C382" s="22">
        <v>118.08</v>
      </c>
      <c r="D382" s="22">
        <v>6.11</v>
      </c>
      <c r="E382" s="10">
        <v>6.55</v>
      </c>
      <c r="F382" s="22">
        <v>4.2439999999999998</v>
      </c>
      <c r="G382" s="22">
        <v>449.82998700000002</v>
      </c>
      <c r="H382" s="22">
        <v>1688.73999</v>
      </c>
      <c r="I382" s="18">
        <v>18037.519530000001</v>
      </c>
    </row>
    <row r="383" spans="1:9" x14ac:dyDescent="0.2">
      <c r="A383" s="4">
        <v>34043</v>
      </c>
      <c r="B383" s="21">
        <v>1.1898</v>
      </c>
      <c r="C383" s="22">
        <v>118.58</v>
      </c>
      <c r="D383" s="22">
        <v>6.17</v>
      </c>
      <c r="E383" s="10">
        <v>6.59</v>
      </c>
      <c r="F383" s="22">
        <v>4.3099999999999996</v>
      </c>
      <c r="G383" s="22">
        <v>451.42999300000002</v>
      </c>
      <c r="H383" s="22">
        <v>1705.0500489999999</v>
      </c>
      <c r="I383" s="18">
        <v>18086.179690000001</v>
      </c>
    </row>
    <row r="384" spans="1:9" x14ac:dyDescent="0.2">
      <c r="A384" s="4">
        <v>34044</v>
      </c>
      <c r="B384" s="21">
        <v>1.1919999999999999</v>
      </c>
      <c r="C384" s="22">
        <v>117</v>
      </c>
      <c r="D384" s="22">
        <v>6.06</v>
      </c>
      <c r="E384" s="10">
        <v>6.62</v>
      </c>
      <c r="F384" s="22">
        <v>4.3099999999999996</v>
      </c>
      <c r="G384" s="22">
        <v>451.36999500000002</v>
      </c>
      <c r="H384" s="22">
        <v>1700.280029</v>
      </c>
      <c r="I384" s="18">
        <v>17968.300780000001</v>
      </c>
    </row>
    <row r="385" spans="1:9" x14ac:dyDescent="0.2">
      <c r="A385" s="4">
        <v>34045</v>
      </c>
      <c r="B385" s="21">
        <v>1.1881999999999999</v>
      </c>
      <c r="C385" s="22">
        <v>117.28</v>
      </c>
      <c r="D385" s="22">
        <v>6.02</v>
      </c>
      <c r="E385" s="10">
        <v>6.6</v>
      </c>
      <c r="F385" s="22">
        <v>4.335</v>
      </c>
      <c r="G385" s="22">
        <v>448.30999800000001</v>
      </c>
      <c r="H385" s="22">
        <v>1689.709961</v>
      </c>
      <c r="I385" s="18">
        <v>18173.369139999999</v>
      </c>
    </row>
    <row r="386" spans="1:9" x14ac:dyDescent="0.2">
      <c r="A386" s="4">
        <v>34046</v>
      </c>
      <c r="B386" s="21">
        <v>1.1928000000000001</v>
      </c>
      <c r="C386" s="22">
        <v>115.75</v>
      </c>
      <c r="D386" s="22">
        <v>5.93</v>
      </c>
      <c r="E386" s="10">
        <v>6.64</v>
      </c>
      <c r="F386" s="22">
        <v>4.3689999999999998</v>
      </c>
      <c r="G386" s="22">
        <v>451.89001500000001</v>
      </c>
      <c r="H386" s="22">
        <v>1696.380005</v>
      </c>
      <c r="I386" s="18">
        <v>18727.900389999999</v>
      </c>
    </row>
    <row r="387" spans="1:9" x14ac:dyDescent="0.2">
      <c r="A387" s="4">
        <v>34047</v>
      </c>
      <c r="B387" s="21">
        <v>1.2134</v>
      </c>
      <c r="C387" s="22">
        <v>116.15</v>
      </c>
      <c r="D387" s="22">
        <v>5.95</v>
      </c>
      <c r="E387" s="10">
        <v>6.65</v>
      </c>
      <c r="F387" s="22">
        <v>4.3289999999999997</v>
      </c>
      <c r="G387" s="22">
        <v>450.17999300000002</v>
      </c>
      <c r="H387" s="22">
        <v>1686.5699460000001</v>
      </c>
      <c r="I387" s="18">
        <v>18537.16992</v>
      </c>
    </row>
    <row r="388" spans="1:9" x14ac:dyDescent="0.2">
      <c r="A388" s="4">
        <v>34050</v>
      </c>
      <c r="B388" s="21">
        <v>1.2093</v>
      </c>
      <c r="C388" s="22">
        <v>115.77</v>
      </c>
      <c r="D388" s="22">
        <v>5.96</v>
      </c>
      <c r="E388" s="10">
        <v>6.71</v>
      </c>
      <c r="F388" s="22">
        <v>4.42</v>
      </c>
      <c r="G388" s="22">
        <v>448.88000499999998</v>
      </c>
      <c r="H388" s="22">
        <v>1656.589966</v>
      </c>
      <c r="I388" s="18">
        <v>18784.390630000002</v>
      </c>
    </row>
    <row r="389" spans="1:9" x14ac:dyDescent="0.2">
      <c r="A389" s="4">
        <v>34051</v>
      </c>
      <c r="B389" s="21">
        <v>1.2103999999999999</v>
      </c>
      <c r="C389" s="22">
        <v>116.15</v>
      </c>
      <c r="D389" s="22">
        <v>5.91</v>
      </c>
      <c r="E389" s="10">
        <v>6.71</v>
      </c>
      <c r="F389" s="22">
        <v>4.42</v>
      </c>
      <c r="G389" s="22">
        <v>448.76001000000002</v>
      </c>
      <c r="H389" s="22">
        <v>1653.1999510000001</v>
      </c>
      <c r="I389" s="18">
        <v>18491.619139999999</v>
      </c>
    </row>
    <row r="390" spans="1:9" x14ac:dyDescent="0.2">
      <c r="A390" s="4">
        <v>34052</v>
      </c>
      <c r="B390" s="21">
        <v>1.2129000000000001</v>
      </c>
      <c r="C390" s="22">
        <v>117.6</v>
      </c>
      <c r="D390" s="22">
        <v>5.95</v>
      </c>
      <c r="E390" s="10">
        <v>6.73</v>
      </c>
      <c r="F390" s="22">
        <v>4.4000000000000004</v>
      </c>
      <c r="G390" s="22">
        <v>448.07000699999998</v>
      </c>
      <c r="H390" s="22">
        <v>1666.719971</v>
      </c>
      <c r="I390" s="18">
        <v>18450.689450000002</v>
      </c>
    </row>
    <row r="391" spans="1:9" x14ac:dyDescent="0.2">
      <c r="A391" s="4">
        <v>34053</v>
      </c>
      <c r="B391" s="21">
        <v>1.2035</v>
      </c>
      <c r="C391" s="22">
        <v>117.3</v>
      </c>
      <c r="D391" s="22">
        <v>5.98</v>
      </c>
      <c r="E391" s="10">
        <v>6.73</v>
      </c>
      <c r="F391" s="22">
        <v>4.47</v>
      </c>
      <c r="G391" s="22">
        <v>450.88000499999998</v>
      </c>
      <c r="H391" s="22">
        <v>1663.2700199999999</v>
      </c>
      <c r="I391" s="18">
        <v>18764.91992</v>
      </c>
    </row>
    <row r="392" spans="1:9" x14ac:dyDescent="0.2">
      <c r="A392" s="4">
        <v>34054</v>
      </c>
      <c r="B392" s="21">
        <v>1.2110000000000001</v>
      </c>
      <c r="C392" s="22">
        <v>116.55</v>
      </c>
      <c r="D392" s="22">
        <v>6.09</v>
      </c>
      <c r="E392" s="10">
        <v>6.68</v>
      </c>
      <c r="F392" s="22">
        <v>4.55</v>
      </c>
      <c r="G392" s="22">
        <v>447.77999899999998</v>
      </c>
      <c r="H392" s="22">
        <v>1667.26001</v>
      </c>
      <c r="I392" s="18">
        <v>18788.699219999999</v>
      </c>
    </row>
    <row r="393" spans="1:9" x14ac:dyDescent="0.2">
      <c r="A393" s="4">
        <v>34057</v>
      </c>
      <c r="B393" s="21">
        <v>1.2085999999999999</v>
      </c>
      <c r="C393" s="22">
        <v>116.8</v>
      </c>
      <c r="D393" s="22">
        <v>6.06</v>
      </c>
      <c r="E393" s="10">
        <v>6.68</v>
      </c>
      <c r="F393" s="22">
        <v>4.6349999999999998</v>
      </c>
      <c r="G393" s="22">
        <v>450.76998900000001</v>
      </c>
      <c r="H393" s="22">
        <v>1675.1800539999999</v>
      </c>
      <c r="I393" s="18">
        <v>19048.380860000001</v>
      </c>
    </row>
    <row r="394" spans="1:9" x14ac:dyDescent="0.2">
      <c r="A394" s="4">
        <v>34058</v>
      </c>
      <c r="B394" s="21">
        <v>1.2162999999999999</v>
      </c>
      <c r="C394" s="22">
        <v>116.65</v>
      </c>
      <c r="D394" s="22">
        <v>6.02</v>
      </c>
      <c r="E394" s="10">
        <v>6.67</v>
      </c>
      <c r="F394" s="22">
        <v>4.5750000000000002</v>
      </c>
      <c r="G394" s="22">
        <v>451.97000100000002</v>
      </c>
      <c r="H394" s="22">
        <v>1686.6400149999999</v>
      </c>
      <c r="I394" s="18">
        <v>18963.160159999999</v>
      </c>
    </row>
    <row r="395" spans="1:9" x14ac:dyDescent="0.2">
      <c r="A395" s="4">
        <v>34059</v>
      </c>
      <c r="B395" s="21">
        <v>1.2242999999999999</v>
      </c>
      <c r="C395" s="22">
        <v>114.88</v>
      </c>
      <c r="D395" s="22">
        <v>6.03</v>
      </c>
      <c r="E395" s="10">
        <v>6.7</v>
      </c>
      <c r="F395" s="22">
        <v>4.5890000000000004</v>
      </c>
      <c r="G395" s="22">
        <v>451.67001299999998</v>
      </c>
      <c r="H395" s="22">
        <v>1676.839966</v>
      </c>
      <c r="I395" s="18">
        <v>18591.449219999999</v>
      </c>
    </row>
    <row r="396" spans="1:9" x14ac:dyDescent="0.2">
      <c r="A396" s="4">
        <v>34060</v>
      </c>
      <c r="B396" s="21">
        <v>1.2290000000000001</v>
      </c>
      <c r="C396" s="22">
        <v>114.05</v>
      </c>
      <c r="D396" s="22">
        <v>6.06</v>
      </c>
      <c r="E396" s="10">
        <v>6.73</v>
      </c>
      <c r="F396" s="22">
        <v>4.58</v>
      </c>
      <c r="G396" s="22">
        <v>450.29998799999998</v>
      </c>
      <c r="H396" s="22">
        <v>1670.040039</v>
      </c>
      <c r="I396" s="18">
        <v>19099.089840000001</v>
      </c>
    </row>
    <row r="397" spans="1:9" x14ac:dyDescent="0.2">
      <c r="A397" s="4">
        <v>34061</v>
      </c>
      <c r="B397" s="21">
        <v>1.2307999999999999</v>
      </c>
      <c r="C397" s="22">
        <v>113.8</v>
      </c>
      <c r="D397" s="22">
        <v>6.16</v>
      </c>
      <c r="E397" s="10">
        <v>6.78</v>
      </c>
      <c r="F397" s="22">
        <v>4.5990000000000002</v>
      </c>
      <c r="G397" s="22">
        <v>441.39001500000001</v>
      </c>
      <c r="H397" s="22">
        <v>1657.0600589999999</v>
      </c>
      <c r="I397" s="18">
        <v>19446.939450000002</v>
      </c>
    </row>
    <row r="398" spans="1:9" x14ac:dyDescent="0.2">
      <c r="A398" s="4">
        <v>34064</v>
      </c>
      <c r="B398" s="21">
        <v>1.2353000000000001</v>
      </c>
      <c r="C398" s="22">
        <v>113.69</v>
      </c>
      <c r="D398" s="22">
        <v>6.13</v>
      </c>
      <c r="E398" s="10">
        <v>6.73</v>
      </c>
      <c r="F398" s="22">
        <v>4.6449999999999996</v>
      </c>
      <c r="G398" s="22">
        <v>442.290009</v>
      </c>
      <c r="H398" s="22">
        <v>1658.3599850000001</v>
      </c>
      <c r="I398" s="18">
        <v>19759.460940000001</v>
      </c>
    </row>
    <row r="399" spans="1:9" x14ac:dyDescent="0.2">
      <c r="A399" s="4">
        <v>34065</v>
      </c>
      <c r="B399" s="21">
        <v>1.2238</v>
      </c>
      <c r="C399" s="22">
        <v>114</v>
      </c>
      <c r="D399" s="22">
        <v>6.08</v>
      </c>
      <c r="E399" s="10">
        <v>6.69</v>
      </c>
      <c r="F399" s="22">
        <v>4.6559999999999997</v>
      </c>
      <c r="G399" s="22">
        <v>441.16000400000001</v>
      </c>
      <c r="H399" s="22">
        <v>1667.6400149999999</v>
      </c>
      <c r="I399" s="18">
        <v>19486.800780000001</v>
      </c>
    </row>
    <row r="400" spans="1:9" x14ac:dyDescent="0.2">
      <c r="A400" s="4">
        <v>34066</v>
      </c>
      <c r="B400" s="21">
        <v>1.2206999999999999</v>
      </c>
      <c r="C400" s="22">
        <v>113.55</v>
      </c>
      <c r="D400" s="22">
        <v>6.07</v>
      </c>
      <c r="E400" s="10">
        <v>6.67</v>
      </c>
      <c r="F400" s="22">
        <v>4.694</v>
      </c>
      <c r="G400" s="22">
        <v>442.73001099999999</v>
      </c>
      <c r="H400" s="22">
        <v>1654.599976</v>
      </c>
      <c r="I400" s="18">
        <v>19829.230469999999</v>
      </c>
    </row>
    <row r="401" spans="1:9" x14ac:dyDescent="0.2">
      <c r="A401" s="4">
        <v>34067</v>
      </c>
      <c r="B401" s="21">
        <v>1.2296</v>
      </c>
      <c r="C401" s="22">
        <v>113.35</v>
      </c>
      <c r="D401" s="22">
        <v>5.97</v>
      </c>
      <c r="E401" s="10">
        <v>6.61</v>
      </c>
      <c r="F401" s="22">
        <v>4.72</v>
      </c>
      <c r="G401" s="22">
        <v>441.83999599999999</v>
      </c>
      <c r="H401" s="22">
        <v>1658.130005</v>
      </c>
      <c r="I401" s="18">
        <v>19967.269530000001</v>
      </c>
    </row>
    <row r="402" spans="1:9" x14ac:dyDescent="0.2">
      <c r="A402" s="4">
        <v>34068</v>
      </c>
      <c r="B402" s="21">
        <v>1.2296</v>
      </c>
      <c r="C402" s="22">
        <v>113.2</v>
      </c>
      <c r="D402" s="22">
        <v>5.97</v>
      </c>
      <c r="E402" s="10">
        <v>6.61</v>
      </c>
      <c r="F402" s="22">
        <v>4.6390000000000002</v>
      </c>
      <c r="G402" s="22">
        <v>448.94</v>
      </c>
      <c r="H402" s="22">
        <v>1658.130005</v>
      </c>
      <c r="I402" s="18">
        <v>19892.179690000001</v>
      </c>
    </row>
    <row r="403" spans="1:9" x14ac:dyDescent="0.2">
      <c r="A403" s="4">
        <v>34071</v>
      </c>
      <c r="B403" s="21">
        <v>1.2296</v>
      </c>
      <c r="C403" s="22">
        <v>112.9</v>
      </c>
      <c r="D403" s="22">
        <v>5.92</v>
      </c>
      <c r="E403" s="10">
        <v>6.61</v>
      </c>
      <c r="F403" s="22">
        <v>4.585</v>
      </c>
      <c r="G403" s="22">
        <v>448.36999500000002</v>
      </c>
      <c r="H403" s="22">
        <v>1658.130005</v>
      </c>
      <c r="I403" s="18">
        <v>19882.140630000002</v>
      </c>
    </row>
    <row r="404" spans="1:9" x14ac:dyDescent="0.2">
      <c r="A404" s="4">
        <v>34072</v>
      </c>
      <c r="B404" s="21">
        <v>1.2533000000000001</v>
      </c>
      <c r="C404" s="22">
        <v>113.5</v>
      </c>
      <c r="D404" s="22">
        <v>5.93</v>
      </c>
      <c r="E404" s="10">
        <v>6.56</v>
      </c>
      <c r="F404" s="22">
        <v>4.5999999999999996</v>
      </c>
      <c r="G404" s="22">
        <v>449.22000100000002</v>
      </c>
      <c r="H404" s="22">
        <v>1671.540039</v>
      </c>
      <c r="I404" s="18">
        <v>20740.289059999999</v>
      </c>
    </row>
    <row r="405" spans="1:9" x14ac:dyDescent="0.2">
      <c r="A405" s="4">
        <v>34073</v>
      </c>
      <c r="B405" s="21">
        <v>1.2455000000000001</v>
      </c>
      <c r="C405" s="22">
        <v>113.71</v>
      </c>
      <c r="D405" s="22">
        <v>5.9</v>
      </c>
      <c r="E405" s="10">
        <v>6.56</v>
      </c>
      <c r="F405" s="22">
        <v>4.55</v>
      </c>
      <c r="G405" s="22">
        <v>448.66000400000001</v>
      </c>
      <c r="H405" s="22">
        <v>1674.9499510000001</v>
      </c>
      <c r="I405" s="18">
        <v>20533.380860000001</v>
      </c>
    </row>
    <row r="406" spans="1:9" x14ac:dyDescent="0.2">
      <c r="A406" s="4">
        <v>34074</v>
      </c>
      <c r="B406" s="21">
        <v>1.2403999999999999</v>
      </c>
      <c r="C406" s="22">
        <v>113.18</v>
      </c>
      <c r="D406" s="22">
        <v>5.88</v>
      </c>
      <c r="E406" s="10">
        <v>6.56</v>
      </c>
      <c r="F406" s="22">
        <v>4.5650000000000004</v>
      </c>
      <c r="G406" s="22">
        <v>448.39999399999999</v>
      </c>
      <c r="H406" s="22">
        <v>1674.670044</v>
      </c>
      <c r="I406" s="18">
        <v>20675.839840000001</v>
      </c>
    </row>
    <row r="407" spans="1:9" x14ac:dyDescent="0.2">
      <c r="A407" s="4">
        <v>34075</v>
      </c>
      <c r="B407" s="21">
        <v>1.2279</v>
      </c>
      <c r="C407" s="22">
        <v>112.3</v>
      </c>
      <c r="D407" s="22">
        <v>5.89</v>
      </c>
      <c r="E407" s="10">
        <v>6.58</v>
      </c>
      <c r="F407" s="22">
        <v>4.59</v>
      </c>
      <c r="G407" s="22">
        <v>448.94000199999999</v>
      </c>
      <c r="H407" s="22">
        <v>1678.650024</v>
      </c>
      <c r="I407" s="18">
        <v>20297.859380000002</v>
      </c>
    </row>
    <row r="408" spans="1:9" x14ac:dyDescent="0.2">
      <c r="A408" s="4">
        <v>34078</v>
      </c>
      <c r="B408" s="21">
        <v>1.2404999999999999</v>
      </c>
      <c r="C408" s="22">
        <v>111.08</v>
      </c>
      <c r="D408" s="22">
        <v>5.87</v>
      </c>
      <c r="E408" s="10">
        <v>6.57</v>
      </c>
      <c r="F408" s="22">
        <v>4.6189999999999998</v>
      </c>
      <c r="G408" s="22">
        <v>447.459991</v>
      </c>
      <c r="H408" s="22">
        <v>1687.1400149999999</v>
      </c>
      <c r="I408" s="18">
        <v>20112.339840000001</v>
      </c>
    </row>
    <row r="409" spans="1:9" x14ac:dyDescent="0.2">
      <c r="A409" s="4">
        <v>34079</v>
      </c>
      <c r="B409" s="21">
        <v>1.2416</v>
      </c>
      <c r="C409" s="22">
        <v>110.55</v>
      </c>
      <c r="D409" s="22">
        <v>5.87</v>
      </c>
      <c r="E409" s="10">
        <v>6.59</v>
      </c>
      <c r="F409" s="22">
        <v>4.5949999999999998</v>
      </c>
      <c r="G409" s="22">
        <v>445.10000600000001</v>
      </c>
      <c r="H409" s="22">
        <v>1680.0600589999999</v>
      </c>
      <c r="I409" s="18">
        <v>19828.429690000001</v>
      </c>
    </row>
    <row r="410" spans="1:9" x14ac:dyDescent="0.2">
      <c r="A410" s="4">
        <v>34080</v>
      </c>
      <c r="B410" s="21">
        <v>1.2375</v>
      </c>
      <c r="C410" s="22">
        <v>110.65</v>
      </c>
      <c r="D410" s="22">
        <v>5.86</v>
      </c>
      <c r="E410" s="10">
        <v>6.63</v>
      </c>
      <c r="F410" s="22">
        <v>4.5949999999999998</v>
      </c>
      <c r="G410" s="22">
        <v>443.63000499999998</v>
      </c>
      <c r="H410" s="22">
        <v>1666.48999</v>
      </c>
      <c r="I410" s="18">
        <v>19773.009770000001</v>
      </c>
    </row>
    <row r="411" spans="1:9" x14ac:dyDescent="0.2">
      <c r="A411" s="4">
        <v>34081</v>
      </c>
      <c r="B411" s="21">
        <v>1.2349000000000001</v>
      </c>
      <c r="C411" s="22">
        <v>109.99</v>
      </c>
      <c r="D411" s="22">
        <v>5.85</v>
      </c>
      <c r="E411" s="10">
        <v>6.65</v>
      </c>
      <c r="F411" s="22">
        <v>4.53</v>
      </c>
      <c r="G411" s="22">
        <v>439.459991</v>
      </c>
      <c r="H411" s="22">
        <v>1680.01001</v>
      </c>
      <c r="I411" s="18">
        <v>19591.310549999998</v>
      </c>
    </row>
    <row r="412" spans="1:9" x14ac:dyDescent="0.2">
      <c r="A412" s="4">
        <v>34082</v>
      </c>
      <c r="B412" s="21">
        <v>1.2564</v>
      </c>
      <c r="C412" s="22">
        <v>110.7</v>
      </c>
      <c r="D412" s="22">
        <v>5.89</v>
      </c>
      <c r="E412" s="10">
        <v>6.63</v>
      </c>
      <c r="F412" s="22">
        <v>4.5199999999999996</v>
      </c>
      <c r="G412" s="22">
        <v>437.02999899999998</v>
      </c>
      <c r="H412" s="22">
        <v>1656.030029</v>
      </c>
      <c r="I412" s="18">
        <v>19704.150389999999</v>
      </c>
    </row>
    <row r="413" spans="1:9" x14ac:dyDescent="0.2">
      <c r="A413" s="4">
        <v>34085</v>
      </c>
      <c r="B413" s="21">
        <v>1.2679</v>
      </c>
      <c r="C413" s="22">
        <v>110.58</v>
      </c>
      <c r="D413" s="22">
        <v>5.94</v>
      </c>
      <c r="E413" s="10">
        <v>6.69</v>
      </c>
      <c r="F413" s="22">
        <v>4.5350000000000001</v>
      </c>
      <c r="G413" s="22">
        <v>433.540009</v>
      </c>
      <c r="H413" s="22">
        <v>1643.530029</v>
      </c>
      <c r="I413" s="18">
        <v>19623.630860000001</v>
      </c>
    </row>
    <row r="414" spans="1:9" x14ac:dyDescent="0.2">
      <c r="A414" s="4">
        <v>34086</v>
      </c>
      <c r="B414" s="21">
        <v>1.2601</v>
      </c>
      <c r="C414" s="22">
        <v>111.98</v>
      </c>
      <c r="D414" s="22">
        <v>6.02</v>
      </c>
      <c r="E414" s="10">
        <v>6.72</v>
      </c>
      <c r="F414" s="22">
        <v>4.6050000000000004</v>
      </c>
      <c r="G414" s="22">
        <v>438.01001000000002</v>
      </c>
      <c r="H414" s="22">
        <v>1636.589966</v>
      </c>
      <c r="I414" s="18">
        <v>20206.710940000001</v>
      </c>
    </row>
    <row r="415" spans="1:9" x14ac:dyDescent="0.2">
      <c r="A415" s="4">
        <v>34087</v>
      </c>
      <c r="B415" s="21">
        <v>1.2553000000000001</v>
      </c>
      <c r="C415" s="22">
        <v>112.07</v>
      </c>
      <c r="D415" s="22">
        <v>6.03</v>
      </c>
      <c r="E415" s="10">
        <v>6.75</v>
      </c>
      <c r="F415" s="22">
        <v>4.7590000000000003</v>
      </c>
      <c r="G415" s="22">
        <v>438.01998900000001</v>
      </c>
      <c r="H415" s="22">
        <v>1630.880005</v>
      </c>
      <c r="I415" s="18">
        <v>20454.570309999999</v>
      </c>
    </row>
    <row r="416" spans="1:9" x14ac:dyDescent="0.2">
      <c r="A416" s="4">
        <v>34088</v>
      </c>
      <c r="B416" s="21">
        <v>1.2625999999999999</v>
      </c>
      <c r="C416" s="22">
        <v>111.4</v>
      </c>
      <c r="D416" s="22">
        <v>5.99</v>
      </c>
      <c r="E416" s="10">
        <v>6.81</v>
      </c>
      <c r="F416" s="22">
        <v>4.7590000000000003</v>
      </c>
      <c r="G416" s="22">
        <v>438.89001500000001</v>
      </c>
      <c r="H416" s="22">
        <v>1618.599976</v>
      </c>
      <c r="I416" s="18">
        <v>20454.570309999999</v>
      </c>
    </row>
    <row r="417" spans="1:9" x14ac:dyDescent="0.2">
      <c r="A417" s="4">
        <v>34089</v>
      </c>
      <c r="B417" s="21">
        <v>1.2535000000000001</v>
      </c>
      <c r="C417" s="22">
        <v>111.05</v>
      </c>
      <c r="D417" s="22">
        <v>6.05</v>
      </c>
      <c r="E417" s="10">
        <v>6.8</v>
      </c>
      <c r="F417" s="22">
        <v>4.734</v>
      </c>
      <c r="G417" s="22">
        <v>440.19000199999999</v>
      </c>
      <c r="H417" s="22">
        <v>1626.829956</v>
      </c>
      <c r="I417" s="18">
        <v>20919.179690000001</v>
      </c>
    </row>
    <row r="418" spans="1:9" x14ac:dyDescent="0.2">
      <c r="A418" s="4">
        <v>34092</v>
      </c>
      <c r="B418" s="21">
        <v>1.2535000000000001</v>
      </c>
      <c r="C418" s="22">
        <v>110.88</v>
      </c>
      <c r="D418" s="22">
        <v>5.96</v>
      </c>
      <c r="E418" s="10">
        <v>6.79</v>
      </c>
      <c r="F418" s="22">
        <v>4.734</v>
      </c>
      <c r="G418" s="22">
        <v>442.459991</v>
      </c>
      <c r="H418" s="22">
        <v>1632</v>
      </c>
      <c r="I418" s="18">
        <v>20919.179690000001</v>
      </c>
    </row>
    <row r="419" spans="1:9" x14ac:dyDescent="0.2">
      <c r="A419" s="4">
        <v>34093</v>
      </c>
      <c r="B419" s="21">
        <v>1.2667999999999999</v>
      </c>
      <c r="C419" s="22">
        <v>110.15</v>
      </c>
      <c r="D419" s="22">
        <v>5.92</v>
      </c>
      <c r="E419" s="10">
        <v>6.79</v>
      </c>
      <c r="F419" s="22">
        <v>4.734</v>
      </c>
      <c r="G419" s="22">
        <v>444.04998799999998</v>
      </c>
      <c r="H419" s="22">
        <v>1619.920044</v>
      </c>
      <c r="I419" s="18">
        <v>20919.179690000001</v>
      </c>
    </row>
    <row r="420" spans="1:9" x14ac:dyDescent="0.2">
      <c r="A420" s="4">
        <v>34094</v>
      </c>
      <c r="B420" s="21">
        <v>1.2617</v>
      </c>
      <c r="C420" s="22">
        <v>110.2</v>
      </c>
      <c r="D420" s="22">
        <v>5.93</v>
      </c>
      <c r="E420" s="10">
        <v>6.76</v>
      </c>
      <c r="F420" s="22">
        <v>4.734</v>
      </c>
      <c r="G420" s="22">
        <v>444.51998900000001</v>
      </c>
      <c r="H420" s="22">
        <v>1628.880005</v>
      </c>
      <c r="I420" s="18">
        <v>20919.179690000001</v>
      </c>
    </row>
    <row r="421" spans="1:9" x14ac:dyDescent="0.2">
      <c r="A421" s="4">
        <v>34095</v>
      </c>
      <c r="B421" s="21">
        <v>1.262</v>
      </c>
      <c r="C421" s="22">
        <v>110.05</v>
      </c>
      <c r="D421" s="22">
        <v>5.89</v>
      </c>
      <c r="E421" s="10">
        <v>6.73</v>
      </c>
      <c r="F421" s="22">
        <v>4.6740000000000004</v>
      </c>
      <c r="G421" s="22">
        <v>443.26001000000002</v>
      </c>
      <c r="H421" s="22">
        <v>1617.73999</v>
      </c>
      <c r="I421" s="18">
        <v>20622.029299999998</v>
      </c>
    </row>
    <row r="422" spans="1:9" x14ac:dyDescent="0.2">
      <c r="A422" s="4">
        <v>34096</v>
      </c>
      <c r="B422" s="21">
        <v>1.2639</v>
      </c>
      <c r="C422" s="22">
        <v>110.4</v>
      </c>
      <c r="D422" s="22">
        <v>5.92</v>
      </c>
      <c r="E422" s="10">
        <v>6.78</v>
      </c>
      <c r="F422" s="22">
        <v>4.6790000000000003</v>
      </c>
      <c r="G422" s="22">
        <v>442.30999800000001</v>
      </c>
      <c r="H422" s="22">
        <v>1607.6999510000001</v>
      </c>
      <c r="I422" s="18">
        <v>20811.359380000002</v>
      </c>
    </row>
    <row r="423" spans="1:9" x14ac:dyDescent="0.2">
      <c r="A423" s="4">
        <v>34099</v>
      </c>
      <c r="B423" s="21">
        <v>1.2450000000000001</v>
      </c>
      <c r="C423" s="22">
        <v>111.83</v>
      </c>
      <c r="D423" s="22">
        <v>5.89</v>
      </c>
      <c r="E423" s="10">
        <v>6.8</v>
      </c>
      <c r="F423" s="22">
        <v>4.7610000000000001</v>
      </c>
      <c r="G423" s="22">
        <v>442.79998799999998</v>
      </c>
      <c r="H423" s="22">
        <v>1616.4499510000001</v>
      </c>
      <c r="I423" s="18">
        <v>21054.710940000001</v>
      </c>
    </row>
    <row r="424" spans="1:9" x14ac:dyDescent="0.2">
      <c r="A424" s="4">
        <v>34100</v>
      </c>
      <c r="B424" s="21">
        <v>1.2403999999999999</v>
      </c>
      <c r="C424" s="22">
        <v>111.38</v>
      </c>
      <c r="D424" s="22">
        <v>5.89</v>
      </c>
      <c r="E424" s="10">
        <v>6.79</v>
      </c>
      <c r="F424" s="22">
        <v>4.819</v>
      </c>
      <c r="G424" s="22">
        <v>444.35998499999999</v>
      </c>
      <c r="H424" s="22">
        <v>1613.459961</v>
      </c>
      <c r="I424" s="18">
        <v>20940.369139999999</v>
      </c>
    </row>
    <row r="425" spans="1:9" x14ac:dyDescent="0.2">
      <c r="A425" s="4">
        <v>34101</v>
      </c>
      <c r="B425" s="21">
        <v>1.2401</v>
      </c>
      <c r="C425" s="22">
        <v>111.55</v>
      </c>
      <c r="D425" s="22">
        <v>5.96</v>
      </c>
      <c r="E425" s="10">
        <v>6.73</v>
      </c>
      <c r="F425" s="22">
        <v>4.8890000000000002</v>
      </c>
      <c r="G425" s="22">
        <v>444.79998799999998</v>
      </c>
      <c r="H425" s="22">
        <v>1632.98999</v>
      </c>
      <c r="I425" s="18">
        <v>20615.199219999999</v>
      </c>
    </row>
    <row r="426" spans="1:9" x14ac:dyDescent="0.2">
      <c r="A426" s="4">
        <v>34102</v>
      </c>
      <c r="B426" s="21">
        <v>1.2315</v>
      </c>
      <c r="C426" s="22">
        <v>111.95</v>
      </c>
      <c r="D426" s="22">
        <v>6.02</v>
      </c>
      <c r="E426" s="10">
        <v>6.7</v>
      </c>
      <c r="F426" s="22">
        <v>4.8639999999999999</v>
      </c>
      <c r="G426" s="22">
        <v>439.23001099999999</v>
      </c>
      <c r="H426" s="22">
        <v>1636.0200199999999</v>
      </c>
      <c r="I426" s="18">
        <v>20532.779299999998</v>
      </c>
    </row>
    <row r="427" spans="1:9" x14ac:dyDescent="0.2">
      <c r="A427" s="4">
        <v>34103</v>
      </c>
      <c r="B427" s="21">
        <v>1.2376</v>
      </c>
      <c r="C427" s="22">
        <v>110.73</v>
      </c>
      <c r="D427" s="22">
        <v>6.03</v>
      </c>
      <c r="E427" s="10">
        <v>6.73</v>
      </c>
      <c r="F427" s="22">
        <v>4.9189999999999996</v>
      </c>
      <c r="G427" s="22">
        <v>439.55999800000001</v>
      </c>
      <c r="H427" s="22">
        <v>1632.349976</v>
      </c>
      <c r="I427" s="18">
        <v>20474.150389999999</v>
      </c>
    </row>
    <row r="428" spans="1:9" x14ac:dyDescent="0.2">
      <c r="A428" s="4">
        <v>34106</v>
      </c>
      <c r="B428" s="21">
        <v>1.2355</v>
      </c>
      <c r="C428" s="22">
        <v>111.34</v>
      </c>
      <c r="D428" s="22">
        <v>6.07</v>
      </c>
      <c r="E428" s="10">
        <v>6.79</v>
      </c>
      <c r="F428" s="22">
        <v>4.9189999999999996</v>
      </c>
      <c r="G428" s="22">
        <v>440.36999500000002</v>
      </c>
      <c r="H428" s="22">
        <v>1630.369995</v>
      </c>
      <c r="I428" s="18">
        <v>20565.509770000001</v>
      </c>
    </row>
    <row r="429" spans="1:9" x14ac:dyDescent="0.2">
      <c r="A429" s="4">
        <v>34107</v>
      </c>
      <c r="B429" s="21">
        <v>1.2275</v>
      </c>
      <c r="C429" s="22">
        <v>111.46</v>
      </c>
      <c r="D429" s="22">
        <v>6.15</v>
      </c>
      <c r="E429" s="10">
        <v>6.8</v>
      </c>
      <c r="F429" s="22">
        <v>5.0439999999999996</v>
      </c>
      <c r="G429" s="22">
        <v>440.32000699999998</v>
      </c>
      <c r="H429" s="22">
        <v>1619.26001</v>
      </c>
      <c r="I429" s="18">
        <v>20229.390630000002</v>
      </c>
    </row>
    <row r="430" spans="1:9" x14ac:dyDescent="0.2">
      <c r="A430" s="4">
        <v>34108</v>
      </c>
      <c r="B430" s="21">
        <v>1.2283999999999999</v>
      </c>
      <c r="C430" s="22">
        <v>110.8</v>
      </c>
      <c r="D430" s="22">
        <v>6.11</v>
      </c>
      <c r="E430" s="10">
        <v>6.86</v>
      </c>
      <c r="F430" s="22">
        <v>5.0490000000000004</v>
      </c>
      <c r="G430" s="22">
        <v>447.57000699999998</v>
      </c>
      <c r="H430" s="22">
        <v>1606.6400149999999</v>
      </c>
      <c r="I430" s="18">
        <v>20380.789059999999</v>
      </c>
    </row>
    <row r="431" spans="1:9" x14ac:dyDescent="0.2">
      <c r="A431" s="4">
        <v>34109</v>
      </c>
      <c r="B431" s="21">
        <v>1.2343</v>
      </c>
      <c r="C431" s="22">
        <v>110.75</v>
      </c>
      <c r="D431" s="22">
        <v>6.09</v>
      </c>
      <c r="E431" s="10">
        <v>6.86</v>
      </c>
      <c r="F431" s="22">
        <v>4.9989999999999997</v>
      </c>
      <c r="G431" s="22">
        <v>450.58999599999999</v>
      </c>
      <c r="H431" s="22">
        <v>1606.6400149999999</v>
      </c>
      <c r="I431" s="18">
        <v>20330.390630000002</v>
      </c>
    </row>
    <row r="432" spans="1:9" x14ac:dyDescent="0.2">
      <c r="A432" s="4">
        <v>34110</v>
      </c>
      <c r="B432" s="21">
        <v>1.2246999999999999</v>
      </c>
      <c r="C432" s="22">
        <v>110.5</v>
      </c>
      <c r="D432" s="22">
        <v>6.16</v>
      </c>
      <c r="E432" s="10">
        <v>6.87</v>
      </c>
      <c r="F432" s="22">
        <v>4.9630000000000001</v>
      </c>
      <c r="G432" s="22">
        <v>445.83999599999999</v>
      </c>
      <c r="H432" s="22">
        <v>1613.9799800000001</v>
      </c>
      <c r="I432" s="18">
        <v>20557.470700000002</v>
      </c>
    </row>
    <row r="433" spans="1:9" x14ac:dyDescent="0.2">
      <c r="A433" s="4">
        <v>34113</v>
      </c>
      <c r="B433" s="21">
        <v>1.22</v>
      </c>
      <c r="C433" s="22">
        <v>110.65</v>
      </c>
      <c r="D433" s="22">
        <v>6.16</v>
      </c>
      <c r="E433" s="10">
        <v>6.91</v>
      </c>
      <c r="F433" s="22">
        <v>4.9989999999999997</v>
      </c>
      <c r="G433" s="22">
        <v>448</v>
      </c>
      <c r="H433" s="22">
        <v>1608.579956</v>
      </c>
      <c r="I433" s="18">
        <v>20476.160159999999</v>
      </c>
    </row>
    <row r="434" spans="1:9" x14ac:dyDescent="0.2">
      <c r="A434" s="4">
        <v>34114</v>
      </c>
      <c r="B434" s="21">
        <v>1.2253000000000001</v>
      </c>
      <c r="C434" s="22">
        <v>109.35</v>
      </c>
      <c r="D434" s="22">
        <v>6.17</v>
      </c>
      <c r="E434" s="10">
        <v>6.85</v>
      </c>
      <c r="F434" s="22">
        <v>4.9989999999999997</v>
      </c>
      <c r="G434" s="22">
        <v>448.85000600000001</v>
      </c>
      <c r="H434" s="22">
        <v>1623.0500489999999</v>
      </c>
      <c r="I434" s="18">
        <v>20631.759770000001</v>
      </c>
    </row>
    <row r="435" spans="1:9" x14ac:dyDescent="0.2">
      <c r="A435" s="4">
        <v>34115</v>
      </c>
      <c r="B435" s="21">
        <v>1.2212000000000001</v>
      </c>
      <c r="C435" s="22">
        <v>108.5</v>
      </c>
      <c r="D435" s="22">
        <v>6.12</v>
      </c>
      <c r="E435" s="10">
        <v>6.84</v>
      </c>
      <c r="F435" s="22">
        <v>4.9039999999999999</v>
      </c>
      <c r="G435" s="22">
        <v>453.44000199999999</v>
      </c>
      <c r="H435" s="22">
        <v>1617.1800539999999</v>
      </c>
      <c r="I435" s="18">
        <v>20895.990229999999</v>
      </c>
    </row>
    <row r="436" spans="1:9" x14ac:dyDescent="0.2">
      <c r="A436" s="4">
        <v>34116</v>
      </c>
      <c r="B436" s="21">
        <v>1.2311000000000001</v>
      </c>
      <c r="C436" s="22">
        <v>107.37</v>
      </c>
      <c r="D436" s="22">
        <v>6.11</v>
      </c>
      <c r="E436" s="10">
        <v>6.82</v>
      </c>
      <c r="F436" s="22">
        <v>4.8789999999999996</v>
      </c>
      <c r="G436" s="22">
        <v>452.41000400000001</v>
      </c>
      <c r="H436" s="22">
        <v>1633.1800539999999</v>
      </c>
      <c r="I436" s="18">
        <v>20852.630860000001</v>
      </c>
    </row>
    <row r="437" spans="1:9" x14ac:dyDescent="0.2">
      <c r="A437" s="4">
        <v>34117</v>
      </c>
      <c r="B437" s="21">
        <v>1.2492000000000001</v>
      </c>
      <c r="C437" s="22">
        <v>106.95</v>
      </c>
      <c r="D437" s="22">
        <v>6.16</v>
      </c>
      <c r="E437" s="10">
        <v>6.82</v>
      </c>
      <c r="F437" s="22">
        <v>4.9240000000000004</v>
      </c>
      <c r="G437" s="22">
        <v>450.19000199999999</v>
      </c>
      <c r="H437" s="22">
        <v>1627.209961</v>
      </c>
      <c r="I437" s="18">
        <v>20843.689450000002</v>
      </c>
    </row>
    <row r="438" spans="1:9" x14ac:dyDescent="0.2">
      <c r="A438" s="4">
        <v>34120</v>
      </c>
      <c r="B438" s="21">
        <v>1.2492000000000001</v>
      </c>
      <c r="C438" s="22">
        <v>107.08</v>
      </c>
      <c r="D438" s="22">
        <v>6.16</v>
      </c>
      <c r="E438" s="10">
        <v>6.82</v>
      </c>
      <c r="F438" s="22">
        <v>4.8890000000000002</v>
      </c>
      <c r="G438" s="22">
        <v>447.69</v>
      </c>
      <c r="H438" s="22">
        <v>1627.209961</v>
      </c>
      <c r="I438" s="18">
        <v>20552.349610000001</v>
      </c>
    </row>
    <row r="439" spans="1:9" x14ac:dyDescent="0.2">
      <c r="A439" s="4">
        <v>34121</v>
      </c>
      <c r="B439" s="21">
        <v>1.2464</v>
      </c>
      <c r="C439" s="22">
        <v>107.1</v>
      </c>
      <c r="D439" s="22">
        <v>6.07</v>
      </c>
      <c r="E439" s="10">
        <v>6.9</v>
      </c>
      <c r="F439" s="22">
        <v>4.8760000000000003</v>
      </c>
      <c r="G439" s="22">
        <v>453.82998700000002</v>
      </c>
      <c r="H439" s="22">
        <v>1625.589966</v>
      </c>
      <c r="I439" s="18">
        <v>20591.410159999999</v>
      </c>
    </row>
    <row r="440" spans="1:9" x14ac:dyDescent="0.2">
      <c r="A440" s="4">
        <v>34122</v>
      </c>
      <c r="B440" s="21">
        <v>1.2452000000000001</v>
      </c>
      <c r="C440" s="22">
        <v>107.2</v>
      </c>
      <c r="D440" s="22">
        <v>6.06</v>
      </c>
      <c r="E440" s="10">
        <v>6.92</v>
      </c>
      <c r="F440" s="22">
        <v>4.9370000000000003</v>
      </c>
      <c r="G440" s="22">
        <v>453.85000600000001</v>
      </c>
      <c r="H440" s="22">
        <v>1628.530029</v>
      </c>
      <c r="I440" s="18">
        <v>20691.699219999999</v>
      </c>
    </row>
    <row r="441" spans="1:9" x14ac:dyDescent="0.2">
      <c r="A441" s="4">
        <v>34123</v>
      </c>
      <c r="B441" s="21">
        <v>1.2415</v>
      </c>
      <c r="C441" s="22">
        <v>107.2</v>
      </c>
      <c r="D441" s="22">
        <v>6.02</v>
      </c>
      <c r="E441" s="10">
        <v>6.87</v>
      </c>
      <c r="F441" s="22">
        <v>4.9409999999999998</v>
      </c>
      <c r="G441" s="22">
        <v>452.48998999999998</v>
      </c>
      <c r="H441" s="22">
        <v>1630.5600589999999</v>
      </c>
      <c r="I441" s="18">
        <v>21076</v>
      </c>
    </row>
    <row r="442" spans="1:9" x14ac:dyDescent="0.2">
      <c r="A442" s="4">
        <v>34124</v>
      </c>
      <c r="B442" s="21">
        <v>1.2273000000000001</v>
      </c>
      <c r="C442" s="22">
        <v>107.79</v>
      </c>
      <c r="D442" s="22">
        <v>6.11</v>
      </c>
      <c r="E442" s="10">
        <v>6.87</v>
      </c>
      <c r="F442" s="22">
        <v>4.8719999999999999</v>
      </c>
      <c r="G442" s="22">
        <v>450.05999800000001</v>
      </c>
      <c r="H442" s="22">
        <v>1638.469971</v>
      </c>
      <c r="I442" s="18">
        <v>20882.240229999999</v>
      </c>
    </row>
    <row r="443" spans="1:9" x14ac:dyDescent="0.2">
      <c r="A443" s="4">
        <v>34127</v>
      </c>
      <c r="B443" s="21">
        <v>1.2290000000000001</v>
      </c>
      <c r="C443" s="22">
        <v>107.24</v>
      </c>
      <c r="D443" s="22">
        <v>6.08</v>
      </c>
      <c r="E443" s="10">
        <v>6.92</v>
      </c>
      <c r="F443" s="22">
        <v>4.8899999999999997</v>
      </c>
      <c r="G443" s="22">
        <v>447.69000199999999</v>
      </c>
      <c r="H443" s="22">
        <v>1660.880005</v>
      </c>
      <c r="I443" s="18">
        <v>20844.189450000002</v>
      </c>
    </row>
    <row r="444" spans="1:9" x14ac:dyDescent="0.2">
      <c r="A444" s="4">
        <v>34128</v>
      </c>
      <c r="B444" s="21">
        <v>1.2290000000000001</v>
      </c>
      <c r="C444" s="22">
        <v>106.25</v>
      </c>
      <c r="D444" s="22">
        <v>6.09</v>
      </c>
      <c r="E444" s="10">
        <v>6.9</v>
      </c>
      <c r="F444" s="22">
        <v>4.8609999999999998</v>
      </c>
      <c r="G444" s="22">
        <v>444.709991</v>
      </c>
      <c r="H444" s="22">
        <v>1662.280029</v>
      </c>
      <c r="I444" s="18">
        <v>20575.240229999999</v>
      </c>
    </row>
    <row r="445" spans="1:9" x14ac:dyDescent="0.2">
      <c r="A445" s="4">
        <v>34129</v>
      </c>
      <c r="B445" s="21">
        <v>1.2173</v>
      </c>
      <c r="C445" s="22">
        <v>106.37</v>
      </c>
      <c r="D445" s="22">
        <v>6.07</v>
      </c>
      <c r="E445" s="10">
        <v>6.84</v>
      </c>
      <c r="F445" s="22">
        <v>4.8609999999999998</v>
      </c>
      <c r="G445" s="22">
        <v>445.77999899999998</v>
      </c>
      <c r="H445" s="22">
        <v>1679.6899410000001</v>
      </c>
      <c r="I445" s="18">
        <v>20575.240229999999</v>
      </c>
    </row>
    <row r="446" spans="1:9" x14ac:dyDescent="0.2">
      <c r="A446" s="4">
        <v>34130</v>
      </c>
      <c r="B446" s="21">
        <v>1.2192000000000001</v>
      </c>
      <c r="C446" s="22">
        <v>106.05</v>
      </c>
      <c r="D446" s="22">
        <v>6.07</v>
      </c>
      <c r="E446" s="10">
        <v>6.84</v>
      </c>
      <c r="F446" s="22">
        <v>4.8259999999999996</v>
      </c>
      <c r="G446" s="22">
        <v>445.38000499999998</v>
      </c>
      <c r="H446" s="22">
        <v>1679.6899410000001</v>
      </c>
      <c r="I446" s="18">
        <v>20493.320309999999</v>
      </c>
    </row>
    <row r="447" spans="1:9" x14ac:dyDescent="0.2">
      <c r="A447" s="4">
        <v>34131</v>
      </c>
      <c r="B447" s="21">
        <v>1.2270000000000001</v>
      </c>
      <c r="C447" s="22">
        <v>106.18</v>
      </c>
      <c r="D447" s="22">
        <v>5.97</v>
      </c>
      <c r="E447" s="10">
        <v>6.82</v>
      </c>
      <c r="F447" s="22">
        <v>4.8150000000000004</v>
      </c>
      <c r="G447" s="22">
        <v>447.26001000000002</v>
      </c>
      <c r="H447" s="22">
        <v>1685.849976</v>
      </c>
      <c r="I447" s="18">
        <v>20500.949219999999</v>
      </c>
    </row>
    <row r="448" spans="1:9" x14ac:dyDescent="0.2">
      <c r="A448" s="4">
        <v>34134</v>
      </c>
      <c r="B448" s="21">
        <v>1.2264999999999999</v>
      </c>
      <c r="C448" s="22">
        <v>105.09</v>
      </c>
      <c r="D448" s="22">
        <v>5.97</v>
      </c>
      <c r="E448" s="10">
        <v>6.77</v>
      </c>
      <c r="F448" s="22">
        <v>4.8239999999999998</v>
      </c>
      <c r="G448" s="22">
        <v>447.709991</v>
      </c>
      <c r="H448" s="22">
        <v>1686.4399410000001</v>
      </c>
      <c r="I448" s="18">
        <v>20397.349610000001</v>
      </c>
    </row>
    <row r="449" spans="1:9" x14ac:dyDescent="0.2">
      <c r="A449" s="4">
        <v>34135</v>
      </c>
      <c r="B449" s="21">
        <v>1.2188000000000001</v>
      </c>
      <c r="C449" s="22">
        <v>106.05</v>
      </c>
      <c r="D449" s="22">
        <v>5.96</v>
      </c>
      <c r="E449" s="10">
        <v>6.79</v>
      </c>
      <c r="F449" s="22">
        <v>4.7789999999999999</v>
      </c>
      <c r="G449" s="22">
        <v>446.26998900000001</v>
      </c>
      <c r="H449" s="22">
        <v>1684.5699460000001</v>
      </c>
      <c r="I449" s="18">
        <v>20045.880860000001</v>
      </c>
    </row>
    <row r="450" spans="1:9" x14ac:dyDescent="0.2">
      <c r="A450" s="4">
        <v>34136</v>
      </c>
      <c r="B450" s="21">
        <v>1.2027000000000001</v>
      </c>
      <c r="C450" s="22">
        <v>106.6</v>
      </c>
      <c r="D450" s="22">
        <v>5.96</v>
      </c>
      <c r="E450" s="10">
        <v>6.75</v>
      </c>
      <c r="F450" s="22">
        <v>4.7889999999999997</v>
      </c>
      <c r="G450" s="22">
        <v>447.42999300000002</v>
      </c>
      <c r="H450" s="22">
        <v>1689.9300539999999</v>
      </c>
      <c r="I450" s="18">
        <v>19902.41992</v>
      </c>
    </row>
    <row r="451" spans="1:9" x14ac:dyDescent="0.2">
      <c r="A451" s="4">
        <v>34137</v>
      </c>
      <c r="B451" s="21">
        <v>1.2040999999999999</v>
      </c>
      <c r="C451" s="22">
        <v>107.29</v>
      </c>
      <c r="D451" s="22">
        <v>5.93</v>
      </c>
      <c r="E451" s="10">
        <v>6.78</v>
      </c>
      <c r="F451" s="22">
        <v>4.7089999999999996</v>
      </c>
      <c r="G451" s="22">
        <v>448.540009</v>
      </c>
      <c r="H451" s="22">
        <v>1681.469971</v>
      </c>
      <c r="I451" s="18">
        <v>19925.509770000001</v>
      </c>
    </row>
    <row r="452" spans="1:9" x14ac:dyDescent="0.2">
      <c r="A452" s="4">
        <v>34138</v>
      </c>
      <c r="B452" s="21">
        <v>1.1879</v>
      </c>
      <c r="C452" s="22">
        <v>109.6</v>
      </c>
      <c r="D452" s="22">
        <v>5.97</v>
      </c>
      <c r="E452" s="10">
        <v>6.74</v>
      </c>
      <c r="F452" s="22">
        <v>4.6890000000000001</v>
      </c>
      <c r="G452" s="22">
        <v>443.67999300000002</v>
      </c>
      <c r="H452" s="22">
        <v>1687.1400149999999</v>
      </c>
      <c r="I452" s="18">
        <v>19804.539059999999</v>
      </c>
    </row>
    <row r="453" spans="1:9" x14ac:dyDescent="0.2">
      <c r="A453" s="4">
        <v>34141</v>
      </c>
      <c r="B453" s="21">
        <v>1.1830000000000001</v>
      </c>
      <c r="C453" s="22">
        <v>110.67</v>
      </c>
      <c r="D453" s="22">
        <v>5.92</v>
      </c>
      <c r="E453" s="10">
        <v>6.72</v>
      </c>
      <c r="F453" s="22">
        <v>4.7140000000000004</v>
      </c>
      <c r="G453" s="22">
        <v>446.22000100000002</v>
      </c>
      <c r="H453" s="22">
        <v>1697.26001</v>
      </c>
      <c r="I453" s="18">
        <v>19212.429690000001</v>
      </c>
    </row>
    <row r="454" spans="1:9" x14ac:dyDescent="0.2">
      <c r="A454" s="4">
        <v>34142</v>
      </c>
      <c r="B454" s="21">
        <v>1.179</v>
      </c>
      <c r="C454" s="22">
        <v>110.93</v>
      </c>
      <c r="D454" s="22">
        <v>5.91</v>
      </c>
      <c r="E454" s="10">
        <v>6.72</v>
      </c>
      <c r="F454" s="22">
        <v>4.8140000000000001</v>
      </c>
      <c r="G454" s="22">
        <v>445.92999300000002</v>
      </c>
      <c r="H454" s="22">
        <v>1698.329956</v>
      </c>
      <c r="I454" s="18">
        <v>19538.300780000001</v>
      </c>
    </row>
    <row r="455" spans="1:9" x14ac:dyDescent="0.2">
      <c r="A455" s="4">
        <v>34143</v>
      </c>
      <c r="B455" s="21">
        <v>1.1801999999999999</v>
      </c>
      <c r="C455" s="22">
        <v>108.85</v>
      </c>
      <c r="D455" s="22">
        <v>5.91</v>
      </c>
      <c r="E455" s="10">
        <v>6.75</v>
      </c>
      <c r="F455" s="22">
        <v>4.8639999999999999</v>
      </c>
      <c r="G455" s="22">
        <v>443.19000199999999</v>
      </c>
      <c r="H455" s="22">
        <v>1690.959961</v>
      </c>
      <c r="I455" s="18">
        <v>19492.519530000001</v>
      </c>
    </row>
    <row r="456" spans="1:9" x14ac:dyDescent="0.2">
      <c r="A456" s="4">
        <v>34144</v>
      </c>
      <c r="B456" s="21">
        <v>1.1671</v>
      </c>
      <c r="C456" s="22">
        <v>108.6</v>
      </c>
      <c r="D456" s="22">
        <v>5.88</v>
      </c>
      <c r="E456" s="10">
        <v>6.73</v>
      </c>
      <c r="F456" s="22">
        <v>4.7990000000000004</v>
      </c>
      <c r="G456" s="22">
        <v>446.61999500000002</v>
      </c>
      <c r="H456" s="22">
        <v>1692.160034</v>
      </c>
      <c r="I456" s="18">
        <v>19685.070309999999</v>
      </c>
    </row>
    <row r="457" spans="1:9" x14ac:dyDescent="0.2">
      <c r="A457" s="4">
        <v>34145</v>
      </c>
      <c r="B457" s="21">
        <v>1.1752</v>
      </c>
      <c r="C457" s="22">
        <v>106.25</v>
      </c>
      <c r="D457" s="22">
        <v>5.84</v>
      </c>
      <c r="E457" s="10">
        <v>6.72</v>
      </c>
      <c r="F457" s="22">
        <v>4.7990000000000004</v>
      </c>
      <c r="G457" s="22">
        <v>447.60000600000001</v>
      </c>
      <c r="H457" s="22">
        <v>1699.5200199999999</v>
      </c>
      <c r="I457" s="18">
        <v>19659.570309999999</v>
      </c>
    </row>
    <row r="458" spans="1:9" x14ac:dyDescent="0.2">
      <c r="A458" s="4">
        <v>34148</v>
      </c>
      <c r="B458" s="21">
        <v>1.1718</v>
      </c>
      <c r="C458" s="22">
        <v>106.27</v>
      </c>
      <c r="D458" s="22">
        <v>5.8</v>
      </c>
      <c r="E458" s="10">
        <v>6.69</v>
      </c>
      <c r="F458" s="22">
        <v>4.7590000000000003</v>
      </c>
      <c r="G458" s="22">
        <v>451.85000600000001</v>
      </c>
      <c r="H458" s="22">
        <v>1712.329956</v>
      </c>
      <c r="I458" s="18">
        <v>19886.759770000001</v>
      </c>
    </row>
    <row r="459" spans="1:9" x14ac:dyDescent="0.2">
      <c r="A459" s="4">
        <v>34149</v>
      </c>
      <c r="B459" s="21">
        <v>1.1811</v>
      </c>
      <c r="C459" s="22">
        <v>106.42</v>
      </c>
      <c r="D459" s="22">
        <v>5.79</v>
      </c>
      <c r="E459" s="10">
        <v>6.65</v>
      </c>
      <c r="F459" s="22">
        <v>4.7439999999999998</v>
      </c>
      <c r="G459" s="22">
        <v>450.69000199999999</v>
      </c>
      <c r="H459" s="22">
        <v>1703.0500489999999</v>
      </c>
      <c r="I459" s="18">
        <v>19543.41992</v>
      </c>
    </row>
    <row r="460" spans="1:9" x14ac:dyDescent="0.2">
      <c r="A460" s="4">
        <v>34150</v>
      </c>
      <c r="B460" s="21">
        <v>1.1729000000000001</v>
      </c>
      <c r="C460" s="22">
        <v>107.3</v>
      </c>
      <c r="D460" s="22">
        <v>5.8</v>
      </c>
      <c r="E460" s="10">
        <v>6.66</v>
      </c>
      <c r="F460" s="22">
        <v>4.6989999999999998</v>
      </c>
      <c r="G460" s="22">
        <v>450.52999899999998</v>
      </c>
      <c r="H460" s="22">
        <v>1700.9300539999999</v>
      </c>
      <c r="I460" s="18">
        <v>19590</v>
      </c>
    </row>
    <row r="461" spans="1:9" x14ac:dyDescent="0.2">
      <c r="A461" s="4">
        <v>34151</v>
      </c>
      <c r="B461" s="21">
        <v>1.1756</v>
      </c>
      <c r="C461" s="22">
        <v>107.37</v>
      </c>
      <c r="D461" s="22">
        <v>5.8</v>
      </c>
      <c r="E461" s="10">
        <v>6.65</v>
      </c>
      <c r="F461" s="22">
        <v>4.6340000000000003</v>
      </c>
      <c r="G461" s="22">
        <v>449.01998900000001</v>
      </c>
      <c r="H461" s="22">
        <v>1698.3599850000001</v>
      </c>
      <c r="I461" s="18">
        <v>19924.609380000002</v>
      </c>
    </row>
    <row r="462" spans="1:9" x14ac:dyDescent="0.2">
      <c r="A462" s="4">
        <v>34152</v>
      </c>
      <c r="B462" s="21">
        <v>1.1752</v>
      </c>
      <c r="C462" s="22">
        <v>108.6</v>
      </c>
      <c r="D462" s="22">
        <v>5.76</v>
      </c>
      <c r="E462" s="10">
        <v>6.71</v>
      </c>
      <c r="F462" s="22">
        <v>4.6189999999999998</v>
      </c>
      <c r="G462" s="22">
        <v>445.83999599999999</v>
      </c>
      <c r="H462" s="22">
        <v>1697.3900149999999</v>
      </c>
      <c r="I462" s="18">
        <v>19621.460940000001</v>
      </c>
    </row>
    <row r="463" spans="1:9" x14ac:dyDescent="0.2">
      <c r="A463" s="4">
        <v>34155</v>
      </c>
      <c r="B463" s="21">
        <v>1.1745000000000001</v>
      </c>
      <c r="C463" s="22">
        <v>109.05</v>
      </c>
      <c r="D463" s="22">
        <v>5.76</v>
      </c>
      <c r="E463" s="10">
        <v>6.74</v>
      </c>
      <c r="F463" s="22">
        <v>4.609</v>
      </c>
      <c r="G463" s="22">
        <v>448.98</v>
      </c>
      <c r="H463" s="22">
        <v>1694.829956</v>
      </c>
      <c r="I463" s="18">
        <v>19623.060549999998</v>
      </c>
    </row>
    <row r="464" spans="1:9" x14ac:dyDescent="0.2">
      <c r="A464" s="4">
        <v>34156</v>
      </c>
      <c r="B464" s="21">
        <v>1.1717</v>
      </c>
      <c r="C464" s="22">
        <v>108.99</v>
      </c>
      <c r="D464" s="22">
        <v>5.8</v>
      </c>
      <c r="E464" s="10">
        <v>6.72</v>
      </c>
      <c r="F464" s="22">
        <v>4.5490000000000004</v>
      </c>
      <c r="G464" s="22">
        <v>441.42999300000002</v>
      </c>
      <c r="H464" s="22">
        <v>1705.660034</v>
      </c>
      <c r="I464" s="18">
        <v>19829.779299999998</v>
      </c>
    </row>
    <row r="465" spans="1:9" x14ac:dyDescent="0.2">
      <c r="A465" s="4">
        <v>34157</v>
      </c>
      <c r="B465" s="21">
        <v>1.1702999999999999</v>
      </c>
      <c r="C465" s="22">
        <v>107.58</v>
      </c>
      <c r="D465" s="22">
        <v>5.8</v>
      </c>
      <c r="E465" s="10">
        <v>6.69</v>
      </c>
      <c r="F465" s="22">
        <v>4.5490000000000004</v>
      </c>
      <c r="G465" s="22">
        <v>442.82998700000002</v>
      </c>
      <c r="H465" s="22">
        <v>1739.4799800000001</v>
      </c>
      <c r="I465" s="18">
        <v>19720.66992</v>
      </c>
    </row>
    <row r="466" spans="1:9" x14ac:dyDescent="0.2">
      <c r="A466" s="4">
        <v>34158</v>
      </c>
      <c r="B466" s="21">
        <v>1.1633</v>
      </c>
      <c r="C466" s="22">
        <v>108.6</v>
      </c>
      <c r="D466" s="22">
        <v>5.78</v>
      </c>
      <c r="E466" s="10">
        <v>6.71</v>
      </c>
      <c r="F466" s="22">
        <v>4.5890000000000004</v>
      </c>
      <c r="G466" s="22">
        <v>448.64001500000001</v>
      </c>
      <c r="H466" s="22">
        <v>1798.630005</v>
      </c>
      <c r="I466" s="18">
        <v>19688.66992</v>
      </c>
    </row>
    <row r="467" spans="1:9" x14ac:dyDescent="0.2">
      <c r="A467" s="4">
        <v>34159</v>
      </c>
      <c r="B467" s="21">
        <v>1.1527000000000001</v>
      </c>
      <c r="C467" s="22">
        <v>110</v>
      </c>
      <c r="D467" s="22">
        <v>5.76</v>
      </c>
      <c r="E467" s="10">
        <v>6.58</v>
      </c>
      <c r="F467" s="22">
        <v>4.5149999999999997</v>
      </c>
      <c r="G467" s="22">
        <v>448.10998499999999</v>
      </c>
      <c r="H467" s="22">
        <v>1798.3599850000001</v>
      </c>
      <c r="I467" s="18">
        <v>19877.390630000002</v>
      </c>
    </row>
    <row r="468" spans="1:9" x14ac:dyDescent="0.2">
      <c r="A468" s="4">
        <v>34162</v>
      </c>
      <c r="B468" s="21">
        <v>1.1464000000000001</v>
      </c>
      <c r="C468" s="22">
        <v>109.35</v>
      </c>
      <c r="D468" s="22">
        <v>5.75</v>
      </c>
      <c r="E468" s="10">
        <v>6.58</v>
      </c>
      <c r="F468" s="22">
        <v>4.51</v>
      </c>
      <c r="G468" s="22">
        <v>448.98001099999999</v>
      </c>
      <c r="H468" s="22">
        <v>1808.73999</v>
      </c>
      <c r="I468" s="18">
        <v>19980</v>
      </c>
    </row>
    <row r="469" spans="1:9" x14ac:dyDescent="0.2">
      <c r="A469" s="4">
        <v>34163</v>
      </c>
      <c r="B469" s="21">
        <v>1.1517999999999999</v>
      </c>
      <c r="C469" s="22">
        <v>108.13</v>
      </c>
      <c r="D469" s="22">
        <v>5.78</v>
      </c>
      <c r="E469" s="10">
        <v>6.57</v>
      </c>
      <c r="F469" s="22">
        <v>4.49</v>
      </c>
      <c r="G469" s="22">
        <v>448.08999599999999</v>
      </c>
      <c r="H469" s="22">
        <v>1806.5200199999999</v>
      </c>
      <c r="I469" s="18">
        <v>20180.41992</v>
      </c>
    </row>
    <row r="470" spans="1:9" x14ac:dyDescent="0.2">
      <c r="A470" s="4">
        <v>34164</v>
      </c>
      <c r="B470" s="21">
        <v>1.151</v>
      </c>
      <c r="C470" s="22">
        <v>107.05</v>
      </c>
      <c r="D470" s="22">
        <v>5.72</v>
      </c>
      <c r="E470" s="10">
        <v>6.57</v>
      </c>
      <c r="F470" s="22">
        <v>4.51</v>
      </c>
      <c r="G470" s="22">
        <v>450.07998700000002</v>
      </c>
      <c r="H470" s="22">
        <v>1815.630005</v>
      </c>
      <c r="I470" s="18">
        <v>20139.109380000002</v>
      </c>
    </row>
    <row r="471" spans="1:9" x14ac:dyDescent="0.2">
      <c r="A471" s="4">
        <v>34165</v>
      </c>
      <c r="B471" s="21">
        <v>1.1467000000000001</v>
      </c>
      <c r="C471" s="22">
        <v>108.25</v>
      </c>
      <c r="D471" s="22">
        <v>5.72</v>
      </c>
      <c r="E471" s="10">
        <v>6.58</v>
      </c>
      <c r="F471" s="22">
        <v>4.51</v>
      </c>
      <c r="G471" s="22">
        <v>449.22000100000002</v>
      </c>
      <c r="H471" s="22">
        <v>1807.119995</v>
      </c>
      <c r="I471" s="18">
        <v>20158.019530000001</v>
      </c>
    </row>
    <row r="472" spans="1:9" x14ac:dyDescent="0.2">
      <c r="A472" s="4">
        <v>34166</v>
      </c>
      <c r="B472" s="21">
        <v>1.1433</v>
      </c>
      <c r="C472" s="22">
        <v>107.55</v>
      </c>
      <c r="D472" s="22">
        <v>5.71</v>
      </c>
      <c r="E472" s="10">
        <v>6.58</v>
      </c>
      <c r="F472" s="22">
        <v>4.49</v>
      </c>
      <c r="G472" s="22">
        <v>445.75</v>
      </c>
      <c r="H472" s="22">
        <v>1829.3599850000001</v>
      </c>
      <c r="I472" s="18">
        <v>20331.529299999998</v>
      </c>
    </row>
    <row r="473" spans="1:9" x14ac:dyDescent="0.2">
      <c r="A473" s="4">
        <v>34169</v>
      </c>
      <c r="B473" s="21">
        <v>1.1593</v>
      </c>
      <c r="C473" s="22">
        <v>108.55</v>
      </c>
      <c r="D473" s="22">
        <v>5.71</v>
      </c>
      <c r="E473" s="10">
        <v>6.55</v>
      </c>
      <c r="F473" s="22">
        <v>4.4800000000000004</v>
      </c>
      <c r="G473" s="22">
        <v>446.02999899999998</v>
      </c>
      <c r="H473" s="22">
        <v>1835.089966</v>
      </c>
      <c r="I473" s="18">
        <v>20150.91992</v>
      </c>
    </row>
    <row r="474" spans="1:9" x14ac:dyDescent="0.2">
      <c r="A474" s="4">
        <v>34170</v>
      </c>
      <c r="B474" s="21">
        <v>1.1537999999999999</v>
      </c>
      <c r="C474" s="22">
        <v>108.17</v>
      </c>
      <c r="D474" s="22">
        <v>5.75</v>
      </c>
      <c r="E474" s="10">
        <v>6.57</v>
      </c>
      <c r="F474" s="22">
        <v>4.5</v>
      </c>
      <c r="G474" s="22">
        <v>447.30999800000001</v>
      </c>
      <c r="H474" s="22">
        <v>1826.4499510000001</v>
      </c>
      <c r="I474" s="18">
        <v>20038</v>
      </c>
    </row>
    <row r="475" spans="1:9" x14ac:dyDescent="0.2">
      <c r="A475" s="4">
        <v>34171</v>
      </c>
      <c r="B475" s="21">
        <v>1.1609</v>
      </c>
      <c r="C475" s="22">
        <v>108.15</v>
      </c>
      <c r="D475" s="22">
        <v>5.83</v>
      </c>
      <c r="E475" s="10">
        <v>6.59</v>
      </c>
      <c r="F475" s="22">
        <v>4.45</v>
      </c>
      <c r="G475" s="22">
        <v>447.17999300000002</v>
      </c>
      <c r="H475" s="22">
        <v>1821.280029</v>
      </c>
      <c r="I475" s="18">
        <v>20080.910159999999</v>
      </c>
    </row>
    <row r="476" spans="1:9" x14ac:dyDescent="0.2">
      <c r="A476" s="4">
        <v>34172</v>
      </c>
      <c r="B476" s="21">
        <v>1.1509</v>
      </c>
      <c r="C476" s="22">
        <v>105.7</v>
      </c>
      <c r="D476" s="22">
        <v>5.9</v>
      </c>
      <c r="E476" s="10">
        <v>6.63</v>
      </c>
      <c r="F476" s="22">
        <v>4.42</v>
      </c>
      <c r="G476" s="22">
        <v>444.51001000000002</v>
      </c>
      <c r="H476" s="22">
        <v>1828.530029</v>
      </c>
      <c r="I476" s="18">
        <v>20115.810549999998</v>
      </c>
    </row>
    <row r="477" spans="1:9" x14ac:dyDescent="0.2">
      <c r="A477" s="4">
        <v>34173</v>
      </c>
      <c r="B477" s="21">
        <v>1.1456999999999999</v>
      </c>
      <c r="C477" s="22">
        <v>107.07</v>
      </c>
      <c r="D477" s="22">
        <v>5.95</v>
      </c>
      <c r="E477" s="10">
        <v>6.56</v>
      </c>
      <c r="F477" s="22">
        <v>4.3650000000000002</v>
      </c>
      <c r="G477" s="22">
        <v>447.10000600000001</v>
      </c>
      <c r="H477" s="22">
        <v>1830.6099850000001</v>
      </c>
      <c r="I477" s="18">
        <v>19734.570309999999</v>
      </c>
    </row>
    <row r="478" spans="1:9" x14ac:dyDescent="0.2">
      <c r="A478" s="4">
        <v>34176</v>
      </c>
      <c r="B478" s="21">
        <v>1.1427</v>
      </c>
      <c r="C478" s="22">
        <v>106.75</v>
      </c>
      <c r="D478" s="22">
        <v>5.93</v>
      </c>
      <c r="E478" s="10">
        <v>6.54</v>
      </c>
      <c r="F478" s="22">
        <v>4.3600000000000003</v>
      </c>
      <c r="G478" s="22">
        <v>449.08999599999999</v>
      </c>
      <c r="H478" s="22">
        <v>1859.48999</v>
      </c>
      <c r="I478" s="18">
        <v>19822.08008</v>
      </c>
    </row>
    <row r="479" spans="1:9" x14ac:dyDescent="0.2">
      <c r="A479" s="4">
        <v>34177</v>
      </c>
      <c r="B479" s="21">
        <v>1.1417999999999999</v>
      </c>
      <c r="C479" s="22">
        <v>106.21</v>
      </c>
      <c r="D479" s="22">
        <v>5.92</v>
      </c>
      <c r="E479" s="10">
        <v>6.56</v>
      </c>
      <c r="F479" s="22">
        <v>4.3849999999999998</v>
      </c>
      <c r="G479" s="22">
        <v>448.23998999999998</v>
      </c>
      <c r="H479" s="22">
        <v>1846.0200199999999</v>
      </c>
      <c r="I479" s="18">
        <v>19891.390630000002</v>
      </c>
    </row>
    <row r="480" spans="1:9" x14ac:dyDescent="0.2">
      <c r="A480" s="4">
        <v>34178</v>
      </c>
      <c r="B480" s="21">
        <v>1.1477999999999999</v>
      </c>
      <c r="C480" s="22">
        <v>106.02</v>
      </c>
      <c r="D480" s="22">
        <v>5.9</v>
      </c>
      <c r="E480" s="10">
        <v>6.58</v>
      </c>
      <c r="F480" s="22">
        <v>4.38</v>
      </c>
      <c r="G480" s="22">
        <v>447.19000199999999</v>
      </c>
      <c r="H480" s="22">
        <v>1832.1999510000001</v>
      </c>
      <c r="I480" s="18">
        <v>19829.58008</v>
      </c>
    </row>
    <row r="481" spans="1:9" x14ac:dyDescent="0.2">
      <c r="A481" s="4">
        <v>34179</v>
      </c>
      <c r="B481" s="21">
        <v>1.1338999999999999</v>
      </c>
      <c r="C481" s="22">
        <v>106.55</v>
      </c>
      <c r="D481" s="22">
        <v>5.81</v>
      </c>
      <c r="E481" s="10">
        <v>6.6</v>
      </c>
      <c r="F481" s="22">
        <v>4.41</v>
      </c>
      <c r="G481" s="22">
        <v>450.23998999999998</v>
      </c>
      <c r="H481" s="22">
        <v>1823.400024</v>
      </c>
      <c r="I481" s="18">
        <v>20456.849610000001</v>
      </c>
    </row>
    <row r="482" spans="1:9" x14ac:dyDescent="0.2">
      <c r="A482" s="4">
        <v>34180</v>
      </c>
      <c r="B482" s="21">
        <v>1.1258999999999999</v>
      </c>
      <c r="C482" s="22">
        <v>105.1</v>
      </c>
      <c r="D482" s="22">
        <v>5.83</v>
      </c>
      <c r="E482" s="10">
        <v>6.55</v>
      </c>
      <c r="F482" s="22">
        <v>4.3499999999999996</v>
      </c>
      <c r="G482" s="22">
        <v>448.13000499999998</v>
      </c>
      <c r="H482" s="22">
        <v>1823.0699460000001</v>
      </c>
      <c r="I482" s="18">
        <v>20380.140630000002</v>
      </c>
    </row>
    <row r="483" spans="1:9" x14ac:dyDescent="0.2">
      <c r="A483" s="4">
        <v>34183</v>
      </c>
      <c r="B483" s="21">
        <v>1.1288</v>
      </c>
      <c r="C483" s="22">
        <v>104.34</v>
      </c>
      <c r="D483" s="22">
        <v>5.85</v>
      </c>
      <c r="E483" s="10">
        <v>6.53</v>
      </c>
      <c r="F483" s="22">
        <v>4.3099999999999996</v>
      </c>
      <c r="G483" s="22">
        <v>450.14999399999999</v>
      </c>
      <c r="H483" s="22">
        <v>1818.099976</v>
      </c>
      <c r="I483" s="18">
        <v>20343.529299999998</v>
      </c>
    </row>
    <row r="484" spans="1:9" x14ac:dyDescent="0.2">
      <c r="A484" s="4">
        <v>34184</v>
      </c>
      <c r="B484" s="21">
        <v>1.1458999999999999</v>
      </c>
      <c r="C484" s="22">
        <v>104.45</v>
      </c>
      <c r="D484" s="22">
        <v>5.83</v>
      </c>
      <c r="E484" s="10">
        <v>6.49</v>
      </c>
      <c r="F484" s="22">
        <v>4.3099999999999996</v>
      </c>
      <c r="G484" s="22">
        <v>449.26998900000001</v>
      </c>
      <c r="H484" s="22">
        <v>1857.3599850000001</v>
      </c>
      <c r="I484" s="18">
        <v>20357.640630000002</v>
      </c>
    </row>
    <row r="485" spans="1:9" x14ac:dyDescent="0.2">
      <c r="A485" s="4">
        <v>34185</v>
      </c>
      <c r="B485" s="21">
        <v>1.1452</v>
      </c>
      <c r="C485" s="22">
        <v>104.9</v>
      </c>
      <c r="D485" s="22">
        <v>5.87</v>
      </c>
      <c r="E485" s="10">
        <v>6.46</v>
      </c>
      <c r="F485" s="22">
        <v>4.33</v>
      </c>
      <c r="G485" s="22">
        <v>448.540009</v>
      </c>
      <c r="H485" s="22">
        <v>1861.219971</v>
      </c>
      <c r="I485" s="18">
        <v>20497.550780000001</v>
      </c>
    </row>
    <row r="486" spans="1:9" x14ac:dyDescent="0.2">
      <c r="A486" s="4">
        <v>34186</v>
      </c>
      <c r="B486" s="21">
        <v>1.1406000000000001</v>
      </c>
      <c r="C486" s="22">
        <v>104.38</v>
      </c>
      <c r="D486" s="22">
        <v>5.86</v>
      </c>
      <c r="E486" s="10">
        <v>6.47</v>
      </c>
      <c r="F486" s="22">
        <v>4.2949999999999999</v>
      </c>
      <c r="G486" s="22">
        <v>448.13000499999998</v>
      </c>
      <c r="H486" s="22">
        <v>1870.8000489999999</v>
      </c>
      <c r="I486" s="18">
        <v>20425.640630000002</v>
      </c>
    </row>
    <row r="487" spans="1:9" x14ac:dyDescent="0.2">
      <c r="A487" s="4">
        <v>34187</v>
      </c>
      <c r="B487" s="21">
        <v>1.1446000000000001</v>
      </c>
      <c r="C487" s="22">
        <v>104.4</v>
      </c>
      <c r="D487" s="22">
        <v>5.86</v>
      </c>
      <c r="E487" s="10">
        <v>6.42</v>
      </c>
      <c r="F487" s="22">
        <v>4.2850000000000001</v>
      </c>
      <c r="G487" s="22">
        <v>448.67999300000002</v>
      </c>
      <c r="H487" s="22">
        <v>1878.9399410000001</v>
      </c>
      <c r="I487" s="18">
        <v>20357.939450000002</v>
      </c>
    </row>
    <row r="488" spans="1:9" x14ac:dyDescent="0.2">
      <c r="A488" s="4">
        <v>34190</v>
      </c>
      <c r="B488" s="21">
        <v>1.1484000000000001</v>
      </c>
      <c r="C488" s="22">
        <v>104.95</v>
      </c>
      <c r="D488" s="22">
        <v>5.82</v>
      </c>
      <c r="E488" s="10">
        <v>6.42</v>
      </c>
      <c r="F488" s="22">
        <v>4.2300000000000004</v>
      </c>
      <c r="G488" s="22">
        <v>450.72000100000002</v>
      </c>
      <c r="H488" s="22">
        <v>1870.23999</v>
      </c>
      <c r="I488" s="18">
        <v>20493.050780000001</v>
      </c>
    </row>
    <row r="489" spans="1:9" x14ac:dyDescent="0.2">
      <c r="A489" s="4">
        <v>34191</v>
      </c>
      <c r="B489" s="21">
        <v>1.1386000000000001</v>
      </c>
      <c r="C489" s="22">
        <v>104.64</v>
      </c>
      <c r="D489" s="22">
        <v>5.82</v>
      </c>
      <c r="E489" s="10">
        <v>6.41</v>
      </c>
      <c r="F489" s="22">
        <v>4.2050000000000001</v>
      </c>
      <c r="G489" s="22">
        <v>449.45001200000002</v>
      </c>
      <c r="H489" s="22">
        <v>1864.51001</v>
      </c>
      <c r="I489" s="18">
        <v>20493.75</v>
      </c>
    </row>
    <row r="490" spans="1:9" x14ac:dyDescent="0.2">
      <c r="A490" s="4">
        <v>34192</v>
      </c>
      <c r="B490" s="21">
        <v>1.1371</v>
      </c>
      <c r="C490" s="22">
        <v>103.69</v>
      </c>
      <c r="D490" s="22">
        <v>5.75</v>
      </c>
      <c r="E490" s="10">
        <v>6.36</v>
      </c>
      <c r="F490" s="22">
        <v>4.1950000000000003</v>
      </c>
      <c r="G490" s="22">
        <v>450.459991</v>
      </c>
      <c r="H490" s="22">
        <v>1894.5600589999999</v>
      </c>
      <c r="I490" s="18">
        <v>20732.570309999999</v>
      </c>
    </row>
    <row r="491" spans="1:9" x14ac:dyDescent="0.2">
      <c r="A491" s="4">
        <v>34193</v>
      </c>
      <c r="B491" s="21">
        <v>1.1273</v>
      </c>
      <c r="C491" s="22">
        <v>102.99</v>
      </c>
      <c r="D491" s="22">
        <v>5.77</v>
      </c>
      <c r="E491" s="10">
        <v>6.36</v>
      </c>
      <c r="F491" s="22">
        <v>4.1449999999999996</v>
      </c>
      <c r="G491" s="22">
        <v>448.959991</v>
      </c>
      <c r="H491" s="22">
        <v>1908.6899410000001</v>
      </c>
      <c r="I491" s="18">
        <v>20765.279299999998</v>
      </c>
    </row>
    <row r="492" spans="1:9" x14ac:dyDescent="0.2">
      <c r="A492" s="4">
        <v>34194</v>
      </c>
      <c r="B492" s="21">
        <v>1.1323000000000001</v>
      </c>
      <c r="C492" s="22">
        <v>101.85</v>
      </c>
      <c r="D492" s="22">
        <v>5.72</v>
      </c>
      <c r="E492" s="10">
        <v>6.39</v>
      </c>
      <c r="F492" s="22">
        <v>4.1849999999999996</v>
      </c>
      <c r="G492" s="22">
        <v>450.14001500000001</v>
      </c>
      <c r="H492" s="22">
        <v>1917.6899410000001</v>
      </c>
      <c r="I492" s="18">
        <v>20745.16992</v>
      </c>
    </row>
    <row r="493" spans="1:9" x14ac:dyDescent="0.2">
      <c r="A493" s="4">
        <v>34197</v>
      </c>
      <c r="B493" s="21">
        <v>1.1479999999999999</v>
      </c>
      <c r="C493" s="22">
        <v>101.62</v>
      </c>
      <c r="D493" s="22">
        <v>5.68</v>
      </c>
      <c r="E493" s="10">
        <v>6.35</v>
      </c>
      <c r="F493" s="22">
        <v>4.1749999999999998</v>
      </c>
      <c r="G493" s="22">
        <v>452.38000499999998</v>
      </c>
      <c r="H493" s="22">
        <v>1903.4399410000001</v>
      </c>
      <c r="I493" s="18">
        <v>20901.490229999999</v>
      </c>
    </row>
    <row r="494" spans="1:9" x14ac:dyDescent="0.2">
      <c r="A494" s="4">
        <v>34198</v>
      </c>
      <c r="B494" s="21">
        <v>1.1509</v>
      </c>
      <c r="C494" s="22">
        <v>101.02</v>
      </c>
      <c r="D494" s="22">
        <v>5.7</v>
      </c>
      <c r="E494" s="10">
        <v>6.41</v>
      </c>
      <c r="F494" s="22">
        <v>4.1749999999999998</v>
      </c>
      <c r="G494" s="22">
        <v>453.13000499999998</v>
      </c>
      <c r="H494" s="22">
        <v>1918.75</v>
      </c>
      <c r="I494" s="18">
        <v>20841.980469999999</v>
      </c>
    </row>
    <row r="495" spans="1:9" x14ac:dyDescent="0.2">
      <c r="A495" s="4">
        <v>34199</v>
      </c>
      <c r="B495" s="21">
        <v>1.1567000000000001</v>
      </c>
      <c r="C495" s="22">
        <v>101.63</v>
      </c>
      <c r="D495" s="22">
        <v>5.69</v>
      </c>
      <c r="E495" s="10">
        <v>6.39</v>
      </c>
      <c r="F495" s="22">
        <v>4.1950000000000003</v>
      </c>
      <c r="G495" s="22">
        <v>456.040009</v>
      </c>
      <c r="H495" s="22">
        <v>1930.290039</v>
      </c>
      <c r="I495" s="18">
        <v>20773.179690000001</v>
      </c>
    </row>
    <row r="496" spans="1:9" x14ac:dyDescent="0.2">
      <c r="A496" s="4">
        <v>34200</v>
      </c>
      <c r="B496" s="21">
        <v>1.1563000000000001</v>
      </c>
      <c r="C496" s="22">
        <v>105.84</v>
      </c>
      <c r="D496" s="22">
        <v>5.64</v>
      </c>
      <c r="E496" s="10">
        <v>6.38</v>
      </c>
      <c r="F496" s="22">
        <v>4.2249999999999996</v>
      </c>
      <c r="G496" s="22">
        <v>456.42999300000002</v>
      </c>
      <c r="H496" s="22">
        <v>1937.7700199999999</v>
      </c>
      <c r="I496" s="18">
        <v>20687.470700000002</v>
      </c>
    </row>
    <row r="497" spans="1:9" x14ac:dyDescent="0.2">
      <c r="A497" s="4">
        <v>34201</v>
      </c>
      <c r="B497" s="21">
        <v>1.1629</v>
      </c>
      <c r="C497" s="22">
        <v>104.43</v>
      </c>
      <c r="D497" s="22">
        <v>5.61</v>
      </c>
      <c r="E497" s="10">
        <v>6.4</v>
      </c>
      <c r="F497" s="22">
        <v>4.26</v>
      </c>
      <c r="G497" s="22">
        <v>456.16000400000001</v>
      </c>
      <c r="H497" s="22">
        <v>1909.530029</v>
      </c>
      <c r="I497" s="18">
        <v>20607.259770000001</v>
      </c>
    </row>
    <row r="498" spans="1:9" x14ac:dyDescent="0.2">
      <c r="A498" s="4">
        <v>34204</v>
      </c>
      <c r="B498" s="21">
        <v>1.1566000000000001</v>
      </c>
      <c r="C498" s="22">
        <v>103.05</v>
      </c>
      <c r="D498" s="22">
        <v>5.6</v>
      </c>
      <c r="E498" s="10">
        <v>6.4</v>
      </c>
      <c r="F498" s="22">
        <v>4.26</v>
      </c>
      <c r="G498" s="22">
        <v>455.23001099999999</v>
      </c>
      <c r="H498" s="22">
        <v>1893.4799800000001</v>
      </c>
      <c r="I498" s="18">
        <v>20414.140630000002</v>
      </c>
    </row>
    <row r="499" spans="1:9" x14ac:dyDescent="0.2">
      <c r="A499" s="4">
        <v>34205</v>
      </c>
      <c r="B499" s="21">
        <v>1.1633</v>
      </c>
      <c r="C499" s="22">
        <v>103.73</v>
      </c>
      <c r="D499" s="22">
        <v>5.54</v>
      </c>
      <c r="E499" s="10">
        <v>6.39</v>
      </c>
      <c r="F499" s="22">
        <v>4.29</v>
      </c>
      <c r="G499" s="22">
        <v>459.76998900000001</v>
      </c>
      <c r="H499" s="22">
        <v>1907.650024</v>
      </c>
      <c r="I499" s="18">
        <v>20431.839840000001</v>
      </c>
    </row>
    <row r="500" spans="1:9" x14ac:dyDescent="0.2">
      <c r="A500" s="4">
        <v>34206</v>
      </c>
      <c r="B500" s="21">
        <v>1.1571</v>
      </c>
      <c r="C500" s="22">
        <v>105.05</v>
      </c>
      <c r="D500" s="22">
        <v>5.51</v>
      </c>
      <c r="E500" s="10">
        <v>6.36</v>
      </c>
      <c r="F500" s="22">
        <v>4.2549999999999999</v>
      </c>
      <c r="G500" s="22">
        <v>460.13000499999998</v>
      </c>
      <c r="H500" s="22">
        <v>1915.589966</v>
      </c>
      <c r="I500" s="18">
        <v>20521.449219999999</v>
      </c>
    </row>
    <row r="501" spans="1:9" x14ac:dyDescent="0.2">
      <c r="A501" s="4">
        <v>34207</v>
      </c>
      <c r="B501" s="21">
        <v>1.1640999999999999</v>
      </c>
      <c r="C501" s="22">
        <v>104.41</v>
      </c>
      <c r="D501" s="22">
        <v>5.42</v>
      </c>
      <c r="E501" s="10">
        <v>6.36</v>
      </c>
      <c r="F501" s="22">
        <v>4.1609999999999996</v>
      </c>
      <c r="G501" s="22">
        <v>461.040009</v>
      </c>
      <c r="H501" s="22">
        <v>1890.579956</v>
      </c>
      <c r="I501" s="18">
        <v>20591.759770000001</v>
      </c>
    </row>
    <row r="502" spans="1:9" x14ac:dyDescent="0.2">
      <c r="A502" s="4">
        <v>34208</v>
      </c>
      <c r="B502" s="21">
        <v>1.1655</v>
      </c>
      <c r="C502" s="22">
        <v>103.8</v>
      </c>
      <c r="D502" s="22">
        <v>5.48</v>
      </c>
      <c r="E502" s="10">
        <v>6.33</v>
      </c>
      <c r="F502" s="22">
        <v>4.1550000000000002</v>
      </c>
      <c r="G502" s="22">
        <v>460.540009</v>
      </c>
      <c r="H502" s="22">
        <v>1909.540039</v>
      </c>
      <c r="I502" s="18">
        <v>20791.679690000001</v>
      </c>
    </row>
    <row r="503" spans="1:9" x14ac:dyDescent="0.2">
      <c r="A503" s="4">
        <v>34211</v>
      </c>
      <c r="B503" s="21">
        <v>1.1655</v>
      </c>
      <c r="C503" s="22">
        <v>103.8</v>
      </c>
      <c r="D503" s="22">
        <v>5.44</v>
      </c>
      <c r="E503" s="10">
        <v>6.31</v>
      </c>
      <c r="F503" s="22">
        <v>4.13</v>
      </c>
      <c r="G503" s="22">
        <v>461.89999399999999</v>
      </c>
      <c r="H503" s="22">
        <v>1929.5600589999999</v>
      </c>
      <c r="I503" s="18">
        <v>20912.689450000002</v>
      </c>
    </row>
    <row r="504" spans="1:9" x14ac:dyDescent="0.2">
      <c r="A504" s="4">
        <v>34212</v>
      </c>
      <c r="B504" s="21">
        <v>1.1601999999999999</v>
      </c>
      <c r="C504" s="22">
        <v>104.75</v>
      </c>
      <c r="D504" s="22">
        <v>5.45</v>
      </c>
      <c r="E504" s="10">
        <v>6.25</v>
      </c>
      <c r="F504" s="22">
        <v>4.1159999999999997</v>
      </c>
      <c r="G504" s="22">
        <v>463.55999800000001</v>
      </c>
      <c r="H504" s="22">
        <v>1931.880005</v>
      </c>
      <c r="I504" s="18">
        <v>21026.599610000001</v>
      </c>
    </row>
    <row r="505" spans="1:9" x14ac:dyDescent="0.2">
      <c r="A505" s="4">
        <v>34213</v>
      </c>
      <c r="B505" s="21">
        <v>1.1715</v>
      </c>
      <c r="C505" s="22">
        <v>105.35</v>
      </c>
      <c r="D505" s="22">
        <v>5.46</v>
      </c>
      <c r="E505" s="10">
        <v>6.14</v>
      </c>
      <c r="F505" s="22">
        <v>4.0609999999999999</v>
      </c>
      <c r="G505" s="22">
        <v>463.14999399999999</v>
      </c>
      <c r="H505" s="22">
        <v>1923.670044</v>
      </c>
      <c r="I505" s="18">
        <v>20953.300780000001</v>
      </c>
    </row>
    <row r="506" spans="1:9" x14ac:dyDescent="0.2">
      <c r="A506" s="4">
        <v>34214</v>
      </c>
      <c r="B506" s="21">
        <v>1.1739999999999999</v>
      </c>
      <c r="C506" s="22">
        <v>105.95</v>
      </c>
      <c r="D506" s="22">
        <v>5.41</v>
      </c>
      <c r="E506" s="10">
        <v>6.17</v>
      </c>
      <c r="F506" s="22">
        <v>4.1109999999999998</v>
      </c>
      <c r="G506" s="22">
        <v>461.29998799999998</v>
      </c>
      <c r="H506" s="22">
        <v>1928.630005</v>
      </c>
      <c r="I506" s="18">
        <v>20983.199219999999</v>
      </c>
    </row>
    <row r="507" spans="1:9" x14ac:dyDescent="0.2">
      <c r="A507" s="4">
        <v>34215</v>
      </c>
      <c r="B507" s="21">
        <v>1.1893</v>
      </c>
      <c r="C507" s="22">
        <v>104.69</v>
      </c>
      <c r="D507" s="22">
        <v>5.31</v>
      </c>
      <c r="E507" s="10">
        <v>6.14</v>
      </c>
      <c r="F507" s="22">
        <v>4.1159999999999997</v>
      </c>
      <c r="G507" s="22">
        <v>461.33999599999999</v>
      </c>
      <c r="H507" s="22">
        <v>1920.4300539999999</v>
      </c>
      <c r="I507" s="18">
        <v>21116.210940000001</v>
      </c>
    </row>
    <row r="508" spans="1:9" x14ac:dyDescent="0.2">
      <c r="A508" s="4">
        <v>34218</v>
      </c>
      <c r="B508" s="21">
        <v>1.2014</v>
      </c>
      <c r="C508" s="22">
        <v>104.41</v>
      </c>
      <c r="D508" s="22">
        <v>5.31</v>
      </c>
      <c r="E508" s="10">
        <v>6.15</v>
      </c>
      <c r="F508" s="22">
        <v>4.0510000000000002</v>
      </c>
      <c r="G508" s="22">
        <v>462.06</v>
      </c>
      <c r="H508" s="22">
        <v>1911.150024</v>
      </c>
      <c r="I508" s="18">
        <v>21060.810549999998</v>
      </c>
    </row>
    <row r="509" spans="1:9" x14ac:dyDescent="0.2">
      <c r="A509" s="4">
        <v>34219</v>
      </c>
      <c r="B509" s="21">
        <v>1.2002999999999999</v>
      </c>
      <c r="C509" s="22">
        <v>104.28</v>
      </c>
      <c r="D509" s="22">
        <v>5.23</v>
      </c>
      <c r="E509" s="10">
        <v>6.14</v>
      </c>
      <c r="F509" s="22">
        <v>4.056</v>
      </c>
      <c r="G509" s="22">
        <v>458.51998900000001</v>
      </c>
      <c r="H509" s="22">
        <v>1878.7700199999999</v>
      </c>
      <c r="I509" s="18">
        <v>20962.099610000001</v>
      </c>
    </row>
    <row r="510" spans="1:9" x14ac:dyDescent="0.2">
      <c r="A510" s="4">
        <v>34220</v>
      </c>
      <c r="B510" s="21">
        <v>1.1968000000000001</v>
      </c>
      <c r="C510" s="22">
        <v>105.49</v>
      </c>
      <c r="D510" s="22">
        <v>5.23</v>
      </c>
      <c r="E510" s="10">
        <v>6.13</v>
      </c>
      <c r="F510" s="22">
        <v>4.0209999999999999</v>
      </c>
      <c r="G510" s="22">
        <v>456.64999399999999</v>
      </c>
      <c r="H510" s="22">
        <v>1870.3199460000001</v>
      </c>
      <c r="I510" s="18">
        <v>20918.189450000002</v>
      </c>
    </row>
    <row r="511" spans="1:9" x14ac:dyDescent="0.2">
      <c r="A511" s="4">
        <v>34221</v>
      </c>
      <c r="B511" s="21">
        <v>1.2098</v>
      </c>
      <c r="C511" s="22">
        <v>105.35</v>
      </c>
      <c r="D511" s="22">
        <v>5.35</v>
      </c>
      <c r="E511" s="10">
        <v>6.14</v>
      </c>
      <c r="F511" s="22">
        <v>4.016</v>
      </c>
      <c r="G511" s="22">
        <v>457.5</v>
      </c>
      <c r="H511" s="22">
        <v>1870.459961</v>
      </c>
      <c r="I511" s="18">
        <v>20825.58008</v>
      </c>
    </row>
    <row r="512" spans="1:9" x14ac:dyDescent="0.2">
      <c r="A512" s="4">
        <v>34222</v>
      </c>
      <c r="B512" s="21">
        <v>1.2136</v>
      </c>
      <c r="C512" s="22">
        <v>106.15</v>
      </c>
      <c r="D512" s="22">
        <v>5.29</v>
      </c>
      <c r="E512" s="10">
        <v>6.14</v>
      </c>
      <c r="F512" s="22">
        <v>4.0609999999999999</v>
      </c>
      <c r="G512" s="22">
        <v>461.72000100000002</v>
      </c>
      <c r="H512" s="22">
        <v>1868.280029</v>
      </c>
      <c r="I512" s="18">
        <v>20817.980469999999</v>
      </c>
    </row>
    <row r="513" spans="1:9" x14ac:dyDescent="0.2">
      <c r="A513" s="4">
        <v>34225</v>
      </c>
      <c r="B513" s="21">
        <v>1.2111000000000001</v>
      </c>
      <c r="C513" s="22">
        <v>106.3</v>
      </c>
      <c r="D513" s="22">
        <v>5.26</v>
      </c>
      <c r="E513" s="10">
        <v>6.13</v>
      </c>
      <c r="F513" s="22">
        <v>4.1059999999999999</v>
      </c>
      <c r="G513" s="22">
        <v>462.05999800000001</v>
      </c>
      <c r="H513" s="22">
        <v>1874.380005</v>
      </c>
      <c r="I513" s="18">
        <v>21148.109380000002</v>
      </c>
    </row>
    <row r="514" spans="1:9" x14ac:dyDescent="0.2">
      <c r="A514" s="4">
        <v>34226</v>
      </c>
      <c r="B514" s="21">
        <v>1.2107000000000001</v>
      </c>
      <c r="C514" s="22">
        <v>105.95</v>
      </c>
      <c r="D514" s="22">
        <v>5.37</v>
      </c>
      <c r="E514" s="10">
        <v>6.13</v>
      </c>
      <c r="F514" s="22">
        <v>4.1310000000000002</v>
      </c>
      <c r="G514" s="22">
        <v>459.89999399999999</v>
      </c>
      <c r="H514" s="22">
        <v>1869.25</v>
      </c>
      <c r="I514" s="18">
        <v>20947.789059999999</v>
      </c>
    </row>
    <row r="515" spans="1:9" x14ac:dyDescent="0.2">
      <c r="A515" s="4">
        <v>34227</v>
      </c>
      <c r="B515" s="21">
        <v>1.2232000000000001</v>
      </c>
      <c r="C515" s="22">
        <v>105.93</v>
      </c>
      <c r="D515" s="22">
        <v>5.39</v>
      </c>
      <c r="E515" s="10">
        <v>6.15</v>
      </c>
      <c r="F515" s="22">
        <v>4.1310000000000002</v>
      </c>
      <c r="G515" s="22">
        <v>461.60000600000001</v>
      </c>
      <c r="H515" s="22">
        <v>1852.8100589999999</v>
      </c>
      <c r="I515" s="18">
        <v>20947.789059999999</v>
      </c>
    </row>
    <row r="516" spans="1:9" x14ac:dyDescent="0.2">
      <c r="A516" s="4">
        <v>34228</v>
      </c>
      <c r="B516" s="21">
        <v>1.2103999999999999</v>
      </c>
      <c r="C516" s="22">
        <v>104.25</v>
      </c>
      <c r="D516" s="22">
        <v>5.37</v>
      </c>
      <c r="E516" s="10">
        <v>6.15</v>
      </c>
      <c r="F516" s="22">
        <v>4.0659999999999998</v>
      </c>
      <c r="G516" s="22">
        <v>459.42999300000002</v>
      </c>
      <c r="H516" s="22">
        <v>1862.619995</v>
      </c>
      <c r="I516" s="18">
        <v>20502.150389999999</v>
      </c>
    </row>
    <row r="517" spans="1:9" x14ac:dyDescent="0.2">
      <c r="A517" s="4">
        <v>34229</v>
      </c>
      <c r="B517" s="21">
        <v>1.2081999999999999</v>
      </c>
      <c r="C517" s="22">
        <v>104.5</v>
      </c>
      <c r="D517" s="22">
        <v>5.38</v>
      </c>
      <c r="E517" s="10">
        <v>6.13</v>
      </c>
      <c r="F517" s="22">
        <v>4.0410000000000004</v>
      </c>
      <c r="G517" s="22">
        <v>458.82998700000002</v>
      </c>
      <c r="H517" s="22">
        <v>1884.670044</v>
      </c>
      <c r="I517" s="18">
        <v>20391.039059999999</v>
      </c>
    </row>
    <row r="518" spans="1:9" x14ac:dyDescent="0.2">
      <c r="A518" s="4">
        <v>34232</v>
      </c>
      <c r="B518" s="21">
        <v>1.2040999999999999</v>
      </c>
      <c r="C518" s="22">
        <v>104.61</v>
      </c>
      <c r="D518" s="22">
        <v>5.42</v>
      </c>
      <c r="E518" s="10">
        <v>6.07</v>
      </c>
      <c r="F518" s="22">
        <v>4.0389999999999997</v>
      </c>
      <c r="G518" s="22">
        <v>455.04998799999998</v>
      </c>
      <c r="H518" s="22">
        <v>1922.6899410000001</v>
      </c>
      <c r="I518" s="18">
        <v>20266.029299999998</v>
      </c>
    </row>
    <row r="519" spans="1:9" x14ac:dyDescent="0.2">
      <c r="A519" s="4">
        <v>34233</v>
      </c>
      <c r="B519" s="21">
        <v>1.2047000000000001</v>
      </c>
      <c r="C519" s="22">
        <v>106.5</v>
      </c>
      <c r="D519" s="22">
        <v>5.47</v>
      </c>
      <c r="E519" s="10">
        <v>6.08</v>
      </c>
      <c r="F519" s="22">
        <v>3.9510000000000001</v>
      </c>
      <c r="G519" s="22">
        <v>452.95001200000002</v>
      </c>
      <c r="H519" s="22">
        <v>1922.0500489999999</v>
      </c>
      <c r="I519" s="18">
        <v>20466.650389999999</v>
      </c>
    </row>
    <row r="520" spans="1:9" x14ac:dyDescent="0.2">
      <c r="A520" s="4">
        <v>34234</v>
      </c>
      <c r="B520" s="21">
        <v>1.1949000000000001</v>
      </c>
      <c r="C520" s="22">
        <v>106.32</v>
      </c>
      <c r="D520" s="22">
        <v>5.45</v>
      </c>
      <c r="E520" s="10">
        <v>6.12</v>
      </c>
      <c r="F520" s="22">
        <v>3.976</v>
      </c>
      <c r="G520" s="22">
        <v>456.20001200000002</v>
      </c>
      <c r="H520" s="22">
        <v>1899.540039</v>
      </c>
      <c r="I520" s="18">
        <v>20174.619139999999</v>
      </c>
    </row>
    <row r="521" spans="1:9" x14ac:dyDescent="0.2">
      <c r="A521" s="4">
        <v>34235</v>
      </c>
      <c r="B521" s="21">
        <v>1.1819999999999999</v>
      </c>
      <c r="C521" s="22">
        <v>105.87</v>
      </c>
      <c r="D521" s="22">
        <v>5.42</v>
      </c>
      <c r="E521" s="10">
        <v>6.11</v>
      </c>
      <c r="F521" s="22">
        <v>3.976</v>
      </c>
      <c r="G521" s="22">
        <v>457.73998999999998</v>
      </c>
      <c r="H521" s="22">
        <v>1902.1400149999999</v>
      </c>
      <c r="I521" s="18">
        <v>20174.619139999999</v>
      </c>
    </row>
    <row r="522" spans="1:9" x14ac:dyDescent="0.2">
      <c r="A522" s="20">
        <v>34236</v>
      </c>
      <c r="B522" s="21">
        <v>1.1827000000000001</v>
      </c>
      <c r="C522" s="22">
        <v>106</v>
      </c>
      <c r="D522" s="22">
        <v>5.42</v>
      </c>
      <c r="E522" s="10">
        <v>6.18</v>
      </c>
      <c r="F522" s="22">
        <v>3.931</v>
      </c>
      <c r="G522" s="22">
        <v>457.63000499999998</v>
      </c>
      <c r="H522" s="22">
        <v>1890.1800539999999</v>
      </c>
      <c r="I522" s="18">
        <v>20307.529299999998</v>
      </c>
    </row>
    <row r="523" spans="1:9" x14ac:dyDescent="0.2">
      <c r="A523" s="4">
        <v>34239</v>
      </c>
      <c r="B523" s="21">
        <v>1.1919999999999999</v>
      </c>
      <c r="C523" s="22">
        <v>106.2</v>
      </c>
      <c r="D523" s="22">
        <v>5.3</v>
      </c>
      <c r="E523" s="10">
        <v>6.1</v>
      </c>
      <c r="F523" s="22">
        <v>3.8610000000000002</v>
      </c>
      <c r="G523" s="22">
        <v>461.79998799999998</v>
      </c>
      <c r="H523" s="22">
        <v>1914.400024</v>
      </c>
      <c r="I523" s="18">
        <v>20094.109380000002</v>
      </c>
    </row>
    <row r="524" spans="1:9" x14ac:dyDescent="0.2">
      <c r="A524" s="4">
        <v>34240</v>
      </c>
      <c r="B524" s="21">
        <v>1.1906000000000001</v>
      </c>
      <c r="C524" s="22">
        <v>105.03</v>
      </c>
      <c r="D524" s="22">
        <v>5.28</v>
      </c>
      <c r="E524" s="10">
        <v>6.06</v>
      </c>
      <c r="F524" s="22">
        <v>3.831</v>
      </c>
      <c r="G524" s="22">
        <v>461.52999899999998</v>
      </c>
      <c r="H524" s="22">
        <v>1915.6099850000001</v>
      </c>
      <c r="I524" s="18">
        <v>20172.720700000002</v>
      </c>
    </row>
    <row r="525" spans="1:9" x14ac:dyDescent="0.2">
      <c r="A525" s="4">
        <v>34241</v>
      </c>
      <c r="B525" s="21">
        <v>1.2019</v>
      </c>
      <c r="C525" s="22">
        <v>105.05</v>
      </c>
      <c r="D525" s="22">
        <v>5.35</v>
      </c>
      <c r="E525" s="10">
        <v>6.07</v>
      </c>
      <c r="F525" s="22">
        <v>3.871</v>
      </c>
      <c r="G525" s="22">
        <v>460.10998499999999</v>
      </c>
      <c r="H525" s="22">
        <v>1908.969971</v>
      </c>
      <c r="I525" s="18">
        <v>20077.410159999999</v>
      </c>
    </row>
    <row r="526" spans="1:9" x14ac:dyDescent="0.2">
      <c r="A526" s="4">
        <v>34242</v>
      </c>
      <c r="B526" s="21">
        <v>1.1892</v>
      </c>
      <c r="C526" s="22">
        <v>106.3</v>
      </c>
      <c r="D526" s="22">
        <v>5.4</v>
      </c>
      <c r="E526" s="10">
        <v>6.07</v>
      </c>
      <c r="F526" s="22">
        <v>3.7970000000000002</v>
      </c>
      <c r="G526" s="22">
        <v>458.92999300000002</v>
      </c>
      <c r="H526" s="22">
        <v>1910.2299800000001</v>
      </c>
      <c r="I526" s="18">
        <v>20105.710940000001</v>
      </c>
    </row>
    <row r="527" spans="1:9" x14ac:dyDescent="0.2">
      <c r="A527" s="4">
        <v>34243</v>
      </c>
      <c r="B527" s="21">
        <v>1.1891</v>
      </c>
      <c r="C527" s="22">
        <v>105.9</v>
      </c>
      <c r="D527" s="22">
        <v>5.34</v>
      </c>
      <c r="E527" s="10">
        <v>6.09</v>
      </c>
      <c r="F527" s="22">
        <v>3.831</v>
      </c>
      <c r="G527" s="22">
        <v>461.27999899999998</v>
      </c>
      <c r="H527" s="22">
        <v>1920.459961</v>
      </c>
      <c r="I527" s="18">
        <v>20283.130860000001</v>
      </c>
    </row>
    <row r="528" spans="1:9" x14ac:dyDescent="0.2">
      <c r="A528" s="4">
        <v>34246</v>
      </c>
      <c r="B528" s="21">
        <v>1.1921999999999999</v>
      </c>
      <c r="C528" s="22">
        <v>105.65</v>
      </c>
      <c r="D528" s="22">
        <v>5.34</v>
      </c>
      <c r="E528" s="10">
        <v>6.11</v>
      </c>
      <c r="F528" s="22">
        <v>3.8260000000000001</v>
      </c>
      <c r="G528" s="22">
        <v>461.33999599999999</v>
      </c>
      <c r="H528" s="22">
        <v>1934.98999</v>
      </c>
      <c r="I528" s="18">
        <v>20264.429690000001</v>
      </c>
    </row>
    <row r="529" spans="1:9" x14ac:dyDescent="0.2">
      <c r="A529" s="4">
        <v>34247</v>
      </c>
      <c r="B529" s="21">
        <v>1.1904999999999999</v>
      </c>
      <c r="C529" s="22">
        <v>105.8</v>
      </c>
      <c r="D529" s="22">
        <v>5.35</v>
      </c>
      <c r="E529" s="10">
        <v>6.04</v>
      </c>
      <c r="F529" s="22">
        <v>3.7919999999999998</v>
      </c>
      <c r="G529" s="22">
        <v>461.20001200000002</v>
      </c>
      <c r="H529" s="22">
        <v>1973.4499510000001</v>
      </c>
      <c r="I529" s="18">
        <v>20321.929690000001</v>
      </c>
    </row>
    <row r="530" spans="1:9" x14ac:dyDescent="0.2">
      <c r="A530" s="4">
        <v>34248</v>
      </c>
      <c r="B530" s="21">
        <v>1.1898</v>
      </c>
      <c r="C530" s="22">
        <v>105.66</v>
      </c>
      <c r="D530" s="22">
        <v>5.35</v>
      </c>
      <c r="E530" s="10">
        <v>5.98</v>
      </c>
      <c r="F530" s="22">
        <v>3.871</v>
      </c>
      <c r="G530" s="22">
        <v>460.73998999999998</v>
      </c>
      <c r="H530" s="22">
        <v>1994.089966</v>
      </c>
      <c r="I530" s="18">
        <v>20500.25</v>
      </c>
    </row>
    <row r="531" spans="1:9" x14ac:dyDescent="0.2">
      <c r="A531" s="4">
        <v>34249</v>
      </c>
      <c r="B531" s="21">
        <v>1.1895</v>
      </c>
      <c r="C531" s="22">
        <v>105</v>
      </c>
      <c r="D531" s="22">
        <v>5.33</v>
      </c>
      <c r="E531" s="10">
        <v>6</v>
      </c>
      <c r="F531" s="22">
        <v>3.8410000000000002</v>
      </c>
      <c r="G531" s="22">
        <v>459.17999300000002</v>
      </c>
      <c r="H531" s="22">
        <v>1991.9499510000001</v>
      </c>
      <c r="I531" s="18">
        <v>20265.630860000001</v>
      </c>
    </row>
    <row r="532" spans="1:9" x14ac:dyDescent="0.2">
      <c r="A532" s="4">
        <v>34250</v>
      </c>
      <c r="B532" s="21">
        <v>1.2041999999999999</v>
      </c>
      <c r="C532" s="22">
        <v>106.15</v>
      </c>
      <c r="D532" s="22">
        <v>5.26</v>
      </c>
      <c r="E532" s="10">
        <v>5.99</v>
      </c>
      <c r="F532" s="22">
        <v>3.8319999999999999</v>
      </c>
      <c r="G532" s="22">
        <v>460.30999800000001</v>
      </c>
      <c r="H532" s="22">
        <v>2015.709961</v>
      </c>
      <c r="I532" s="18">
        <v>20378.640630000002</v>
      </c>
    </row>
    <row r="533" spans="1:9" x14ac:dyDescent="0.2">
      <c r="A533" s="4">
        <v>34253</v>
      </c>
      <c r="B533" s="21">
        <v>1.2037</v>
      </c>
      <c r="C533" s="22">
        <v>106.2</v>
      </c>
      <c r="D533" s="22">
        <v>5.26</v>
      </c>
      <c r="E533" s="10">
        <v>5.96</v>
      </c>
      <c r="F533" s="22">
        <v>3.8319999999999999</v>
      </c>
      <c r="G533" s="22">
        <v>460.88000499999998</v>
      </c>
      <c r="H533" s="22">
        <v>2009.280029</v>
      </c>
      <c r="I533" s="18">
        <v>20378.640630000002</v>
      </c>
    </row>
    <row r="534" spans="1:9" x14ac:dyDescent="0.2">
      <c r="A534" s="4">
        <v>34254</v>
      </c>
      <c r="B534" s="21">
        <v>1.2111000000000001</v>
      </c>
      <c r="C534" s="22">
        <v>106.05</v>
      </c>
      <c r="D534" s="22">
        <v>5.27</v>
      </c>
      <c r="E534" s="10">
        <v>5.96</v>
      </c>
      <c r="F534" s="22">
        <v>3.7759999999999998</v>
      </c>
      <c r="G534" s="22">
        <v>461.11999500000002</v>
      </c>
      <c r="H534" s="22">
        <v>2004.1099850000001</v>
      </c>
      <c r="I534" s="18">
        <v>20137.310549999998</v>
      </c>
    </row>
    <row r="535" spans="1:9" x14ac:dyDescent="0.2">
      <c r="A535" s="4">
        <v>34255</v>
      </c>
      <c r="B535" s="21">
        <v>1.2019</v>
      </c>
      <c r="C535" s="22">
        <v>105.95</v>
      </c>
      <c r="D535" s="22">
        <v>5.27</v>
      </c>
      <c r="E535" s="10">
        <v>5.94</v>
      </c>
      <c r="F535" s="22">
        <v>3.7610000000000001</v>
      </c>
      <c r="G535" s="22">
        <v>461.48998999999998</v>
      </c>
      <c r="H535" s="22">
        <v>1999.599976</v>
      </c>
      <c r="I535" s="18">
        <v>20038.400389999999</v>
      </c>
    </row>
    <row r="536" spans="1:9" x14ac:dyDescent="0.2">
      <c r="A536" s="4">
        <v>34256</v>
      </c>
      <c r="B536" s="21">
        <v>1.1973</v>
      </c>
      <c r="C536" s="22">
        <v>107.25</v>
      </c>
      <c r="D536" s="22">
        <v>5.23</v>
      </c>
      <c r="E536" s="10">
        <v>5.93</v>
      </c>
      <c r="F536" s="22">
        <v>3.7759999999999998</v>
      </c>
      <c r="G536" s="22">
        <v>466.82998700000002</v>
      </c>
      <c r="H536" s="22">
        <v>1995.349976</v>
      </c>
      <c r="I536" s="18">
        <v>20082.810549999998</v>
      </c>
    </row>
    <row r="537" spans="1:9" x14ac:dyDescent="0.2">
      <c r="A537" s="4">
        <v>34257</v>
      </c>
      <c r="B537" s="21">
        <v>1.1939</v>
      </c>
      <c r="C537" s="22">
        <v>107.2</v>
      </c>
      <c r="D537" s="22">
        <v>5.19</v>
      </c>
      <c r="E537" s="10">
        <v>5.92</v>
      </c>
      <c r="F537" s="22">
        <v>3.7909999999999999</v>
      </c>
      <c r="G537" s="22">
        <v>469.5</v>
      </c>
      <c r="H537" s="22">
        <v>2023.26001</v>
      </c>
      <c r="I537" s="18">
        <v>20174.41992</v>
      </c>
    </row>
    <row r="538" spans="1:9" x14ac:dyDescent="0.2">
      <c r="A538" s="4">
        <v>34260</v>
      </c>
      <c r="B538" s="21">
        <v>1.1871</v>
      </c>
      <c r="C538" s="22">
        <v>107.5</v>
      </c>
      <c r="D538" s="22">
        <v>5.27</v>
      </c>
      <c r="E538" s="10">
        <v>5.89</v>
      </c>
      <c r="F538" s="22">
        <v>3.8410000000000002</v>
      </c>
      <c r="G538" s="22">
        <v>468.45001200000002</v>
      </c>
      <c r="H538" s="22">
        <v>2032.25</v>
      </c>
      <c r="I538" s="18">
        <v>20072.210940000001</v>
      </c>
    </row>
    <row r="539" spans="1:9" x14ac:dyDescent="0.2">
      <c r="A539" s="4">
        <v>34261</v>
      </c>
      <c r="B539" s="21">
        <v>1.1774</v>
      </c>
      <c r="C539" s="22">
        <v>107.1</v>
      </c>
      <c r="D539" s="22">
        <v>5.27</v>
      </c>
      <c r="E539" s="10">
        <v>5.88</v>
      </c>
      <c r="F539" s="22">
        <v>3.8010000000000002</v>
      </c>
      <c r="G539" s="22">
        <v>466.209991</v>
      </c>
      <c r="H539" s="22">
        <v>2036.9300539999999</v>
      </c>
      <c r="I539" s="18">
        <v>20069.910159999999</v>
      </c>
    </row>
    <row r="540" spans="1:9" x14ac:dyDescent="0.2">
      <c r="A540" s="4">
        <v>34262</v>
      </c>
      <c r="B540" s="21">
        <v>1.1737</v>
      </c>
      <c r="C540" s="22">
        <v>107.39</v>
      </c>
      <c r="D540" s="22">
        <v>5.26</v>
      </c>
      <c r="E540" s="10">
        <v>5.86</v>
      </c>
      <c r="F540" s="22">
        <v>3.7509999999999999</v>
      </c>
      <c r="G540" s="22">
        <v>466.07000699999998</v>
      </c>
      <c r="H540" s="22">
        <v>2029.869995</v>
      </c>
      <c r="I540" s="18">
        <v>20173.41992</v>
      </c>
    </row>
    <row r="541" spans="1:9" x14ac:dyDescent="0.2">
      <c r="A541" s="4">
        <v>34263</v>
      </c>
      <c r="B541" s="21">
        <v>1.1684000000000001</v>
      </c>
      <c r="C541" s="22">
        <v>108.3</v>
      </c>
      <c r="D541" s="22">
        <v>5.35</v>
      </c>
      <c r="E541" s="10">
        <v>5.86</v>
      </c>
      <c r="F541" s="22">
        <v>3.742</v>
      </c>
      <c r="G541" s="22">
        <v>465.35998499999999</v>
      </c>
      <c r="H541" s="22">
        <v>2048.0500489999999</v>
      </c>
      <c r="I541" s="18">
        <v>20179.41992</v>
      </c>
    </row>
    <row r="542" spans="1:9" x14ac:dyDescent="0.2">
      <c r="A542" s="4">
        <v>34264</v>
      </c>
      <c r="B542" s="21">
        <v>1.1625000000000001</v>
      </c>
      <c r="C542" s="22">
        <v>108.1</v>
      </c>
      <c r="D542" s="22">
        <v>5.42</v>
      </c>
      <c r="E542" s="10">
        <v>5.87</v>
      </c>
      <c r="F542" s="22">
        <v>3.7120000000000002</v>
      </c>
      <c r="G542" s="22">
        <v>463.26998900000001</v>
      </c>
      <c r="H542" s="22">
        <v>2083.6201169999999</v>
      </c>
      <c r="I542" s="18">
        <v>20264.83008</v>
      </c>
    </row>
    <row r="543" spans="1:9" x14ac:dyDescent="0.2">
      <c r="A543" s="4">
        <v>34267</v>
      </c>
      <c r="B543" s="21">
        <v>1.1619999999999999</v>
      </c>
      <c r="C543" s="22">
        <v>108.58</v>
      </c>
      <c r="D543" s="22">
        <v>5.47</v>
      </c>
      <c r="E543" s="10">
        <v>5.88</v>
      </c>
      <c r="F543" s="22">
        <v>3.7109999999999999</v>
      </c>
      <c r="G543" s="22">
        <v>464.20001200000002</v>
      </c>
      <c r="H543" s="22">
        <v>2061.179932</v>
      </c>
      <c r="I543" s="18">
        <v>20309.33008</v>
      </c>
    </row>
    <row r="544" spans="1:9" x14ac:dyDescent="0.2">
      <c r="A544" s="4">
        <v>34268</v>
      </c>
      <c r="B544" s="21">
        <v>1.1558999999999999</v>
      </c>
      <c r="C544" s="22">
        <v>108.35</v>
      </c>
      <c r="D544" s="22">
        <v>5.43</v>
      </c>
      <c r="E544" s="10">
        <v>5.89</v>
      </c>
      <c r="F544" s="22">
        <v>3.6970000000000001</v>
      </c>
      <c r="G544" s="22">
        <v>464.29998799999998</v>
      </c>
      <c r="H544" s="22">
        <v>2048.75</v>
      </c>
      <c r="I544" s="18">
        <v>20023.599610000001</v>
      </c>
    </row>
    <row r="545" spans="1:9" x14ac:dyDescent="0.2">
      <c r="A545" s="4">
        <v>34269</v>
      </c>
      <c r="B545" s="21">
        <v>1.1551</v>
      </c>
      <c r="C545" s="22">
        <v>108.7</v>
      </c>
      <c r="D545" s="22">
        <v>5.44</v>
      </c>
      <c r="E545" s="10">
        <v>5.89</v>
      </c>
      <c r="F545" s="22">
        <v>3.6720000000000002</v>
      </c>
      <c r="G545" s="22">
        <v>464.60998499999999</v>
      </c>
      <c r="H545" s="22">
        <v>2040.969971</v>
      </c>
      <c r="I545" s="18">
        <v>19838.779299999998</v>
      </c>
    </row>
    <row r="546" spans="1:9" x14ac:dyDescent="0.2">
      <c r="A546" s="4">
        <v>34270</v>
      </c>
      <c r="B546" s="21">
        <v>1.1506000000000001</v>
      </c>
      <c r="C546" s="22">
        <v>108.17</v>
      </c>
      <c r="D546" s="22">
        <v>5.41</v>
      </c>
      <c r="E546" s="10">
        <v>5.92</v>
      </c>
      <c r="F546" s="22">
        <v>3.6619999999999999</v>
      </c>
      <c r="G546" s="22">
        <v>467.73001099999999</v>
      </c>
      <c r="H546" s="22">
        <v>2053.6599120000001</v>
      </c>
      <c r="I546" s="18">
        <v>19479.449219999999</v>
      </c>
    </row>
    <row r="547" spans="1:9" x14ac:dyDescent="0.2">
      <c r="A547" s="4">
        <v>34271</v>
      </c>
      <c r="B547" s="21">
        <v>1.157</v>
      </c>
      <c r="C547" s="22">
        <v>108.6</v>
      </c>
      <c r="D547" s="22">
        <v>5.3879999999999999</v>
      </c>
      <c r="E547" s="10">
        <v>5.88</v>
      </c>
      <c r="F547" s="22">
        <v>3.6269999999999998</v>
      </c>
      <c r="G547" s="22">
        <v>467.82998700000002</v>
      </c>
      <c r="H547" s="22">
        <v>2064.9799800000001</v>
      </c>
      <c r="I547" s="18">
        <v>19702.970700000002</v>
      </c>
    </row>
    <row r="548" spans="1:9" x14ac:dyDescent="0.2">
      <c r="A548" s="4">
        <v>34274</v>
      </c>
      <c r="B548" s="21">
        <v>1.1434</v>
      </c>
      <c r="C548" s="22">
        <v>108.25</v>
      </c>
      <c r="D548" s="22">
        <v>5.56</v>
      </c>
      <c r="E548" s="10">
        <v>5.86</v>
      </c>
      <c r="F548" s="22">
        <v>3.577</v>
      </c>
      <c r="G548" s="22">
        <v>469.10000600000001</v>
      </c>
      <c r="H548" s="22">
        <v>2068.51001</v>
      </c>
      <c r="I548" s="18">
        <v>19438.240229999999</v>
      </c>
    </row>
    <row r="549" spans="1:9" x14ac:dyDescent="0.2">
      <c r="A549" s="4">
        <v>34275</v>
      </c>
      <c r="B549" s="21">
        <v>1.1467000000000001</v>
      </c>
      <c r="C549" s="22">
        <v>107.85</v>
      </c>
      <c r="D549" s="22">
        <v>5.6059999999999999</v>
      </c>
      <c r="E549" s="10">
        <v>5.86</v>
      </c>
      <c r="F549" s="22">
        <v>3.5720000000000001</v>
      </c>
      <c r="G549" s="22">
        <v>468.44000199999999</v>
      </c>
      <c r="H549" s="22">
        <v>2086.3999020000001</v>
      </c>
      <c r="I549" s="18">
        <v>19381.240229999999</v>
      </c>
    </row>
    <row r="550" spans="1:9" x14ac:dyDescent="0.2">
      <c r="A550" s="4">
        <v>34276</v>
      </c>
      <c r="B550" s="21">
        <v>1.1480999999999999</v>
      </c>
      <c r="C550" s="22">
        <v>107.7</v>
      </c>
      <c r="D550" s="22">
        <v>5.6059999999999999</v>
      </c>
      <c r="E550" s="10">
        <v>5.85</v>
      </c>
      <c r="F550" s="22">
        <v>3.5720000000000001</v>
      </c>
      <c r="G550" s="22">
        <v>463.01998900000001</v>
      </c>
      <c r="H550" s="22">
        <v>2086.219971</v>
      </c>
      <c r="I550" s="18">
        <v>19381.240229999999</v>
      </c>
    </row>
    <row r="551" spans="1:9" x14ac:dyDescent="0.2">
      <c r="A551" s="4">
        <v>34277</v>
      </c>
      <c r="B551" s="21">
        <v>1.1475</v>
      </c>
      <c r="C551" s="22">
        <v>108.23</v>
      </c>
      <c r="D551" s="22">
        <v>5.665</v>
      </c>
      <c r="E551" s="10">
        <v>5.85</v>
      </c>
      <c r="F551" s="22">
        <v>3.512</v>
      </c>
      <c r="G551" s="22">
        <v>457.48998999999998</v>
      </c>
      <c r="H551" s="22">
        <v>2057.1000979999999</v>
      </c>
      <c r="I551" s="18">
        <v>18949.789059999999</v>
      </c>
    </row>
    <row r="552" spans="1:9" x14ac:dyDescent="0.2">
      <c r="A552" s="4">
        <v>34278</v>
      </c>
      <c r="B552" s="21">
        <v>1.145</v>
      </c>
      <c r="C552" s="22">
        <v>108.4</v>
      </c>
      <c r="D552" s="22">
        <v>5.7279999999999998</v>
      </c>
      <c r="E552" s="10">
        <v>5.89</v>
      </c>
      <c r="F552" s="22">
        <v>3.5579999999999998</v>
      </c>
      <c r="G552" s="22">
        <v>459.57000699999998</v>
      </c>
      <c r="H552" s="22">
        <v>2013.650024</v>
      </c>
      <c r="I552" s="18">
        <v>18590.460940000001</v>
      </c>
    </row>
    <row r="553" spans="1:9" x14ac:dyDescent="0.2">
      <c r="A553" s="4">
        <v>34281</v>
      </c>
      <c r="B553" s="21">
        <v>1.1551</v>
      </c>
      <c r="C553" s="22">
        <v>107.83</v>
      </c>
      <c r="D553" s="22">
        <v>5.6689999999999996</v>
      </c>
      <c r="E553" s="10">
        <v>5.9</v>
      </c>
      <c r="F553" s="22">
        <v>3.512</v>
      </c>
      <c r="G553" s="22">
        <v>460.209991</v>
      </c>
      <c r="H553" s="22">
        <v>2007.5</v>
      </c>
      <c r="I553" s="18">
        <v>18625.160159999999</v>
      </c>
    </row>
    <row r="554" spans="1:9" x14ac:dyDescent="0.2">
      <c r="A554" s="4">
        <v>34282</v>
      </c>
      <c r="B554" s="21">
        <v>1.1459999999999999</v>
      </c>
      <c r="C554" s="22">
        <v>107.95</v>
      </c>
      <c r="D554" s="22">
        <v>5.6230000000000002</v>
      </c>
      <c r="E554" s="10">
        <v>5.89</v>
      </c>
      <c r="F554" s="22">
        <v>3.4820000000000002</v>
      </c>
      <c r="G554" s="22">
        <v>460.32998700000002</v>
      </c>
      <c r="H554" s="22">
        <v>2040.73999</v>
      </c>
      <c r="I554" s="18">
        <v>18125.710940000001</v>
      </c>
    </row>
    <row r="555" spans="1:9" x14ac:dyDescent="0.2">
      <c r="A555" s="4">
        <v>34283</v>
      </c>
      <c r="B555" s="21">
        <v>1.1476999999999999</v>
      </c>
      <c r="C555" s="22">
        <v>107.2</v>
      </c>
      <c r="D555" s="22">
        <v>5.681</v>
      </c>
      <c r="E555" s="10">
        <v>5.86</v>
      </c>
      <c r="F555" s="22">
        <v>3.4820000000000002</v>
      </c>
      <c r="G555" s="22">
        <v>463.72000100000002</v>
      </c>
      <c r="H555" s="22">
        <v>2020.1099850000001</v>
      </c>
      <c r="I555" s="18">
        <v>18121.710940000001</v>
      </c>
    </row>
    <row r="556" spans="1:9" x14ac:dyDescent="0.2">
      <c r="A556" s="4">
        <v>34284</v>
      </c>
      <c r="B556" s="21">
        <v>1.1488</v>
      </c>
      <c r="C556" s="22">
        <v>106.4</v>
      </c>
      <c r="D556" s="22">
        <v>5.681</v>
      </c>
      <c r="E556" s="10">
        <v>5.88</v>
      </c>
      <c r="F556" s="22">
        <v>3.5219999999999998</v>
      </c>
      <c r="G556" s="22">
        <v>462.64001500000001</v>
      </c>
      <c r="H556" s="22">
        <v>2021.8100589999999</v>
      </c>
      <c r="I556" s="18">
        <v>18158.519530000001</v>
      </c>
    </row>
    <row r="557" spans="1:9" x14ac:dyDescent="0.2">
      <c r="A557" s="4">
        <v>34285</v>
      </c>
      <c r="B557" s="21">
        <v>1.1442000000000001</v>
      </c>
      <c r="C557" s="22">
        <v>105.75</v>
      </c>
      <c r="D557" s="22">
        <v>5.6429999999999998</v>
      </c>
      <c r="E557" s="10">
        <v>5.89</v>
      </c>
      <c r="F557" s="22">
        <v>3.5470000000000002</v>
      </c>
      <c r="G557" s="22">
        <v>465.39001500000001</v>
      </c>
      <c r="H557" s="22">
        <v>2023.0600589999999</v>
      </c>
      <c r="I557" s="18">
        <v>18493.550780000001</v>
      </c>
    </row>
    <row r="558" spans="1:9" x14ac:dyDescent="0.2">
      <c r="A558" s="4">
        <v>34288</v>
      </c>
      <c r="B558" s="21">
        <v>1.1509</v>
      </c>
      <c r="C558" s="22">
        <v>106.73</v>
      </c>
      <c r="D558" s="22">
        <v>5.6639999999999997</v>
      </c>
      <c r="E558" s="10">
        <v>5.86</v>
      </c>
      <c r="F558" s="22">
        <v>3.5720000000000001</v>
      </c>
      <c r="G558" s="22">
        <v>463.75</v>
      </c>
      <c r="H558" s="22">
        <v>2047.1999510000001</v>
      </c>
      <c r="I558" s="18">
        <v>18074.609380000002</v>
      </c>
    </row>
    <row r="559" spans="1:9" x14ac:dyDescent="0.2">
      <c r="A559" s="4">
        <v>34289</v>
      </c>
      <c r="B559" s="21">
        <v>1.1459999999999999</v>
      </c>
      <c r="C559" s="22">
        <v>106.81</v>
      </c>
      <c r="D559" s="22">
        <v>5.6269999999999998</v>
      </c>
      <c r="E559" s="10">
        <v>5.83</v>
      </c>
      <c r="F559" s="22">
        <v>3.5870000000000002</v>
      </c>
      <c r="G559" s="22">
        <v>466.73998999999998</v>
      </c>
      <c r="H559" s="22">
        <v>2070.169922</v>
      </c>
      <c r="I559" s="18">
        <v>18246.119139999999</v>
      </c>
    </row>
    <row r="560" spans="1:9" x14ac:dyDescent="0.2">
      <c r="A560" s="4">
        <v>34290</v>
      </c>
      <c r="B560" s="21">
        <v>1.1409</v>
      </c>
      <c r="C560" s="22">
        <v>106.9</v>
      </c>
      <c r="D560" s="22">
        <v>5.6219999999999999</v>
      </c>
      <c r="E560" s="10">
        <v>5.83</v>
      </c>
      <c r="F560" s="22">
        <v>3.552</v>
      </c>
      <c r="G560" s="22">
        <v>464.80999800000001</v>
      </c>
      <c r="H560" s="22">
        <v>2070.169922</v>
      </c>
      <c r="I560" s="18">
        <v>18108.710940000001</v>
      </c>
    </row>
    <row r="561" spans="1:9" x14ac:dyDescent="0.2">
      <c r="A561" s="4">
        <v>34291</v>
      </c>
      <c r="B561" s="21">
        <v>1.1399999999999999</v>
      </c>
      <c r="C561" s="22">
        <v>107.35</v>
      </c>
      <c r="D561" s="22">
        <v>5.694</v>
      </c>
      <c r="E561" s="10">
        <v>5.8</v>
      </c>
      <c r="F561" s="22">
        <v>3.5470000000000002</v>
      </c>
      <c r="G561" s="22">
        <v>463.61999500000002</v>
      </c>
      <c r="H561" s="22">
        <v>2075.98999</v>
      </c>
      <c r="I561" s="18">
        <v>18166.320309999999</v>
      </c>
    </row>
    <row r="562" spans="1:9" x14ac:dyDescent="0.2">
      <c r="A562" s="4">
        <v>34292</v>
      </c>
      <c r="B562" s="21">
        <v>1.1351</v>
      </c>
      <c r="C562" s="22">
        <v>108.55</v>
      </c>
      <c r="D562" s="22">
        <v>5.8289999999999997</v>
      </c>
      <c r="E562" s="10">
        <v>5.81</v>
      </c>
      <c r="F562" s="22">
        <v>3.508</v>
      </c>
      <c r="G562" s="22">
        <v>462.60000600000001</v>
      </c>
      <c r="H562" s="22">
        <v>2072.1298830000001</v>
      </c>
      <c r="I562" s="18">
        <v>17941.189450000002</v>
      </c>
    </row>
    <row r="563" spans="1:9" x14ac:dyDescent="0.2">
      <c r="A563" s="4">
        <v>34295</v>
      </c>
      <c r="B563" s="21">
        <v>1.1387</v>
      </c>
      <c r="C563" s="22">
        <v>108.5</v>
      </c>
      <c r="D563" s="22">
        <v>5.8639999999999999</v>
      </c>
      <c r="E563" s="10">
        <v>5.84</v>
      </c>
      <c r="F563" s="22">
        <v>3.552</v>
      </c>
      <c r="G563" s="22">
        <v>459.13000499999998</v>
      </c>
      <c r="H563" s="22">
        <v>2020.3599850000001</v>
      </c>
      <c r="I563" s="18">
        <v>17384.839840000001</v>
      </c>
    </row>
    <row r="564" spans="1:9" x14ac:dyDescent="0.2">
      <c r="A564" s="4">
        <v>34296</v>
      </c>
      <c r="B564" s="21">
        <v>1.1368</v>
      </c>
      <c r="C564" s="22">
        <v>108.37</v>
      </c>
      <c r="D564" s="22">
        <v>5.7869999999999999</v>
      </c>
      <c r="E564" s="10">
        <v>5.88</v>
      </c>
      <c r="F564" s="22">
        <v>3.552</v>
      </c>
      <c r="G564" s="22">
        <v>461.02999899999998</v>
      </c>
      <c r="H564" s="22">
        <v>2027.98999</v>
      </c>
      <c r="I564" s="18">
        <v>17384.839840000001</v>
      </c>
    </row>
    <row r="565" spans="1:9" x14ac:dyDescent="0.2">
      <c r="A565" s="4">
        <v>34297</v>
      </c>
      <c r="B565" s="21">
        <v>1.1415999999999999</v>
      </c>
      <c r="C565" s="22">
        <v>108.16</v>
      </c>
      <c r="D565" s="22">
        <v>5.8170000000000002</v>
      </c>
      <c r="E565" s="10">
        <v>5.88</v>
      </c>
      <c r="F565" s="22">
        <v>3.5720000000000001</v>
      </c>
      <c r="G565" s="22">
        <v>462.35998499999999</v>
      </c>
      <c r="H565" s="22">
        <v>2036.4499510000001</v>
      </c>
      <c r="I565" s="18">
        <v>17067.109380000002</v>
      </c>
    </row>
    <row r="566" spans="1:9" x14ac:dyDescent="0.2">
      <c r="A566" s="4">
        <v>34298</v>
      </c>
      <c r="B566" s="21">
        <v>1.1368</v>
      </c>
      <c r="C566" s="22">
        <v>108.38</v>
      </c>
      <c r="D566" s="22">
        <v>5.8170000000000002</v>
      </c>
      <c r="E566" s="10">
        <v>5.89</v>
      </c>
      <c r="F566" s="22">
        <v>3.472</v>
      </c>
      <c r="G566" s="22">
        <v>463.11</v>
      </c>
      <c r="H566" s="22">
        <v>2057.8000489999999</v>
      </c>
      <c r="I566" s="18">
        <v>17222.91992</v>
      </c>
    </row>
    <row r="567" spans="1:9" x14ac:dyDescent="0.2">
      <c r="A567" s="4">
        <v>34299</v>
      </c>
      <c r="B567" s="21">
        <v>1.1339999999999999</v>
      </c>
      <c r="C567" s="22">
        <v>108.98</v>
      </c>
      <c r="D567" s="22">
        <v>5.7489999999999997</v>
      </c>
      <c r="E567" s="10">
        <v>5.85</v>
      </c>
      <c r="F567" s="22">
        <v>3.4319999999999999</v>
      </c>
      <c r="G567" s="22">
        <v>463.05999800000001</v>
      </c>
      <c r="H567" s="22">
        <v>2045.25</v>
      </c>
      <c r="I567" s="18">
        <v>16726.369139999999</v>
      </c>
    </row>
    <row r="568" spans="1:9" x14ac:dyDescent="0.2">
      <c r="A568" s="4">
        <v>34302</v>
      </c>
      <c r="B568" s="21">
        <v>1.1355999999999999</v>
      </c>
      <c r="C568" s="22">
        <v>109.25</v>
      </c>
      <c r="D568" s="22">
        <v>5.7320000000000002</v>
      </c>
      <c r="E568" s="10">
        <v>5.84</v>
      </c>
      <c r="F568" s="22">
        <v>3.3980000000000001</v>
      </c>
      <c r="G568" s="22">
        <v>461.89999399999999</v>
      </c>
      <c r="H568" s="22">
        <v>2052.0900879999999</v>
      </c>
      <c r="I568" s="18">
        <v>16078.70996</v>
      </c>
    </row>
    <row r="569" spans="1:9" x14ac:dyDescent="0.2">
      <c r="A569" s="4">
        <v>34303</v>
      </c>
      <c r="B569" s="21">
        <v>1.1305000000000001</v>
      </c>
      <c r="C569" s="22">
        <v>109.08</v>
      </c>
      <c r="D569" s="22">
        <v>5.7949999999999999</v>
      </c>
      <c r="E569" s="10">
        <v>5.87</v>
      </c>
      <c r="F569" s="22">
        <v>3.5830000000000002</v>
      </c>
      <c r="G569" s="22">
        <v>461.790009</v>
      </c>
      <c r="H569" s="22">
        <v>2052.919922</v>
      </c>
      <c r="I569" s="18">
        <v>16406.539059999999</v>
      </c>
    </row>
    <row r="570" spans="1:9" x14ac:dyDescent="0.2">
      <c r="A570" s="4">
        <v>34304</v>
      </c>
      <c r="B570" s="21">
        <v>1.1301000000000001</v>
      </c>
      <c r="C570" s="22">
        <v>108.79</v>
      </c>
      <c r="D570" s="22">
        <v>5.7830000000000004</v>
      </c>
      <c r="E570" s="10">
        <v>5.95</v>
      </c>
      <c r="F570" s="22">
        <v>3.55</v>
      </c>
      <c r="G570" s="22">
        <v>461.89001500000001</v>
      </c>
      <c r="H570" s="22">
        <v>2089.7700199999999</v>
      </c>
      <c r="I570" s="18">
        <v>17125.310549999998</v>
      </c>
    </row>
    <row r="571" spans="1:9" x14ac:dyDescent="0.2">
      <c r="A571" s="4">
        <v>34305</v>
      </c>
      <c r="B571" s="21">
        <v>1.1257999999999999</v>
      </c>
      <c r="C571" s="22">
        <v>108.82</v>
      </c>
      <c r="D571" s="22">
        <v>5.7779999999999996</v>
      </c>
      <c r="E571" s="10">
        <v>5.94</v>
      </c>
      <c r="F571" s="22">
        <v>3.5089999999999999</v>
      </c>
      <c r="G571" s="22">
        <v>463.10998499999999</v>
      </c>
      <c r="H571" s="22">
        <v>2099.76001</v>
      </c>
      <c r="I571" s="18">
        <v>17458.75</v>
      </c>
    </row>
    <row r="572" spans="1:9" x14ac:dyDescent="0.2">
      <c r="A572" s="4">
        <v>34306</v>
      </c>
      <c r="B572" s="21">
        <v>1.1301000000000001</v>
      </c>
      <c r="C572" s="22">
        <v>108.6</v>
      </c>
      <c r="D572" s="22">
        <v>5.7830000000000004</v>
      </c>
      <c r="E572" s="10">
        <v>5.96</v>
      </c>
      <c r="F572" s="22">
        <v>3.4769999999999999</v>
      </c>
      <c r="G572" s="22">
        <v>464.89001500000001</v>
      </c>
      <c r="H572" s="22">
        <v>2128.3000489999999</v>
      </c>
      <c r="I572" s="18">
        <v>17459.349610000001</v>
      </c>
    </row>
    <row r="573" spans="1:9" x14ac:dyDescent="0.2">
      <c r="A573" s="4">
        <v>34309</v>
      </c>
      <c r="B573" s="21">
        <v>1.1412</v>
      </c>
      <c r="C573" s="22">
        <v>107.89</v>
      </c>
      <c r="D573" s="22">
        <v>5.681</v>
      </c>
      <c r="E573" s="10">
        <v>5.93</v>
      </c>
      <c r="F573" s="22">
        <v>3.4119999999999999</v>
      </c>
      <c r="G573" s="22">
        <v>466.42999300000002</v>
      </c>
      <c r="H573" s="22">
        <v>2118.01001</v>
      </c>
      <c r="I573" s="18">
        <v>16840.380860000001</v>
      </c>
    </row>
    <row r="574" spans="1:9" x14ac:dyDescent="0.2">
      <c r="A574" s="4">
        <v>34310</v>
      </c>
      <c r="B574" s="21">
        <v>1.1443000000000001</v>
      </c>
      <c r="C574" s="22">
        <v>107.52</v>
      </c>
      <c r="D574" s="22">
        <v>5.6769999999999996</v>
      </c>
      <c r="E574" s="10">
        <v>5.93</v>
      </c>
      <c r="F574" s="22">
        <v>3.3919999999999999</v>
      </c>
      <c r="G574" s="22">
        <v>466.76001000000002</v>
      </c>
      <c r="H574" s="22">
        <v>2127.389893</v>
      </c>
      <c r="I574" s="18">
        <v>16903.490229999999</v>
      </c>
    </row>
    <row r="575" spans="1:9" x14ac:dyDescent="0.2">
      <c r="A575" s="4">
        <v>34311</v>
      </c>
      <c r="B575" s="21">
        <v>1.1459999999999999</v>
      </c>
      <c r="C575" s="22">
        <v>109</v>
      </c>
      <c r="D575" s="22">
        <v>5.6719999999999997</v>
      </c>
      <c r="E575" s="10">
        <v>5.93</v>
      </c>
      <c r="F575" s="22">
        <v>3.4039999999999999</v>
      </c>
      <c r="G575" s="22">
        <v>466.290009</v>
      </c>
      <c r="H575" s="22">
        <v>2165.9499510000001</v>
      </c>
      <c r="I575" s="18">
        <v>16507.949219999999</v>
      </c>
    </row>
    <row r="576" spans="1:9" x14ac:dyDescent="0.2">
      <c r="A576" s="4">
        <v>34312</v>
      </c>
      <c r="B576" s="21">
        <v>1.1438999999999999</v>
      </c>
      <c r="C576" s="22">
        <v>108.62</v>
      </c>
      <c r="D576" s="22">
        <v>5.6429999999999998</v>
      </c>
      <c r="E576" s="10">
        <v>5.9</v>
      </c>
      <c r="F576" s="22">
        <v>3.395</v>
      </c>
      <c r="G576" s="22">
        <v>464.17999300000002</v>
      </c>
      <c r="H576" s="22">
        <v>2166.580078</v>
      </c>
      <c r="I576" s="18">
        <v>17061.910159999999</v>
      </c>
    </row>
    <row r="577" spans="1:9" x14ac:dyDescent="0.2">
      <c r="A577" s="4">
        <v>34313</v>
      </c>
      <c r="B577" s="21">
        <v>1.1479999999999999</v>
      </c>
      <c r="C577" s="22">
        <v>109.2</v>
      </c>
      <c r="D577" s="22">
        <v>5.694</v>
      </c>
      <c r="E577" s="10">
        <v>5.83</v>
      </c>
      <c r="F577" s="22">
        <v>3.36</v>
      </c>
      <c r="G577" s="22">
        <v>463.92999300000002</v>
      </c>
      <c r="H577" s="22">
        <v>2165.5</v>
      </c>
      <c r="I577" s="18">
        <v>17257.429690000001</v>
      </c>
    </row>
    <row r="578" spans="1:9" x14ac:dyDescent="0.2">
      <c r="A578" s="4">
        <v>34316</v>
      </c>
      <c r="B578" s="21">
        <v>1.1439999999999999</v>
      </c>
      <c r="C578" s="22">
        <v>109</v>
      </c>
      <c r="D578" s="22">
        <v>5.7489999999999997</v>
      </c>
      <c r="E578" s="10">
        <v>5.84</v>
      </c>
      <c r="F578" s="22">
        <v>3.3679999999999999</v>
      </c>
      <c r="G578" s="22">
        <v>465.70001200000002</v>
      </c>
      <c r="H578" s="22">
        <v>2163.830078</v>
      </c>
      <c r="I578" s="18">
        <v>17327.33008</v>
      </c>
    </row>
    <row r="579" spans="1:9" x14ac:dyDescent="0.2">
      <c r="A579" s="4">
        <v>34317</v>
      </c>
      <c r="B579" s="21">
        <v>1.1379999999999999</v>
      </c>
      <c r="C579" s="22">
        <v>109.4</v>
      </c>
      <c r="D579" s="22">
        <v>5.7789999999999999</v>
      </c>
      <c r="E579" s="10">
        <v>5.82</v>
      </c>
      <c r="F579" s="22">
        <v>3.363</v>
      </c>
      <c r="G579" s="22">
        <v>463.05999800000001</v>
      </c>
      <c r="H579" s="22">
        <v>2128.070068</v>
      </c>
      <c r="I579" s="18">
        <v>17308.730469999999</v>
      </c>
    </row>
    <row r="580" spans="1:9" x14ac:dyDescent="0.2">
      <c r="A580" s="4">
        <v>34318</v>
      </c>
      <c r="B580" s="21">
        <v>1.1373</v>
      </c>
      <c r="C580" s="22">
        <v>109.78</v>
      </c>
      <c r="D580" s="22">
        <v>5.7910000000000004</v>
      </c>
      <c r="E580" s="10">
        <v>5.85</v>
      </c>
      <c r="F580" s="22">
        <v>3.387</v>
      </c>
      <c r="G580" s="22">
        <v>461.83999599999999</v>
      </c>
      <c r="H580" s="22">
        <v>2128.330078</v>
      </c>
      <c r="I580" s="18">
        <v>17489.150389999999</v>
      </c>
    </row>
    <row r="581" spans="1:9" x14ac:dyDescent="0.2">
      <c r="A581" s="4">
        <v>34319</v>
      </c>
      <c r="B581" s="21">
        <v>1.1395</v>
      </c>
      <c r="C581" s="22">
        <v>109.56</v>
      </c>
      <c r="D581" s="22">
        <v>5.8040000000000003</v>
      </c>
      <c r="E581" s="10">
        <v>5.83</v>
      </c>
      <c r="F581" s="22">
        <v>3.403</v>
      </c>
      <c r="G581" s="22">
        <v>463.33999599999999</v>
      </c>
      <c r="H581" s="22">
        <v>2144.030029</v>
      </c>
      <c r="I581" s="18">
        <v>17789.279299999998</v>
      </c>
    </row>
    <row r="582" spans="1:9" x14ac:dyDescent="0.2">
      <c r="A582" s="4">
        <v>34320</v>
      </c>
      <c r="B582" s="21">
        <v>1.1435</v>
      </c>
      <c r="C582" s="22">
        <v>110.19</v>
      </c>
      <c r="D582" s="22">
        <v>5.774</v>
      </c>
      <c r="E582" s="10">
        <v>5.83</v>
      </c>
      <c r="F582" s="22">
        <v>3.4220000000000002</v>
      </c>
      <c r="G582" s="22">
        <v>466.38000499999998</v>
      </c>
      <c r="H582" s="22">
        <v>2154.76001</v>
      </c>
      <c r="I582" s="18">
        <v>18051.910159999999</v>
      </c>
    </row>
    <row r="583" spans="1:9" x14ac:dyDescent="0.2">
      <c r="A583" s="4">
        <v>34323</v>
      </c>
      <c r="B583" s="21">
        <v>1.1399999999999999</v>
      </c>
      <c r="C583" s="22">
        <v>110.62</v>
      </c>
      <c r="D583" s="22">
        <v>5.7960000000000003</v>
      </c>
      <c r="E583" s="10">
        <v>5.79</v>
      </c>
      <c r="F583" s="22">
        <v>3.3780000000000001</v>
      </c>
      <c r="G583" s="22">
        <v>465.85000600000001</v>
      </c>
      <c r="H583" s="22">
        <v>2188.179932</v>
      </c>
      <c r="I583" s="18">
        <v>17404.240229999999</v>
      </c>
    </row>
    <row r="584" spans="1:9" x14ac:dyDescent="0.2">
      <c r="A584" s="4">
        <v>34324</v>
      </c>
      <c r="B584" s="21">
        <v>1.1459999999999999</v>
      </c>
      <c r="C584" s="22">
        <v>111.16</v>
      </c>
      <c r="D584" s="22">
        <v>5.8220000000000001</v>
      </c>
      <c r="E584" s="10">
        <v>5.8</v>
      </c>
      <c r="F584" s="22">
        <v>3.3109999999999999</v>
      </c>
      <c r="G584" s="22">
        <v>465.29998799999998</v>
      </c>
      <c r="H584" s="22">
        <v>2183.780029</v>
      </c>
      <c r="I584" s="18">
        <v>17315.429690000001</v>
      </c>
    </row>
    <row r="585" spans="1:9" x14ac:dyDescent="0.2">
      <c r="A585" s="4">
        <v>34325</v>
      </c>
      <c r="B585" s="21">
        <v>1.149</v>
      </c>
      <c r="C585" s="22">
        <v>110.39</v>
      </c>
      <c r="D585" s="22">
        <v>5.7149999999999999</v>
      </c>
      <c r="E585" s="10">
        <v>5.8</v>
      </c>
      <c r="F585" s="22">
        <v>3.3260000000000001</v>
      </c>
      <c r="G585" s="22">
        <v>467.32000699999998</v>
      </c>
      <c r="H585" s="22">
        <v>2209.169922</v>
      </c>
      <c r="I585" s="18">
        <v>17445.740229999999</v>
      </c>
    </row>
    <row r="586" spans="1:9" x14ac:dyDescent="0.2">
      <c r="A586" s="4">
        <v>34326</v>
      </c>
      <c r="B586" s="21">
        <v>1.1523000000000001</v>
      </c>
      <c r="C586" s="22">
        <v>110.68</v>
      </c>
      <c r="D586" s="22">
        <v>5.681</v>
      </c>
      <c r="E586" s="10">
        <v>5.78</v>
      </c>
      <c r="F586" s="22">
        <v>3.3260000000000001</v>
      </c>
      <c r="G586" s="22">
        <v>467.38000499999998</v>
      </c>
      <c r="H586" s="22">
        <v>2227.6298830000001</v>
      </c>
      <c r="I586" s="18">
        <v>17445.740229999999</v>
      </c>
    </row>
    <row r="587" spans="1:9" x14ac:dyDescent="0.2">
      <c r="A587" s="4">
        <v>34327</v>
      </c>
      <c r="B587" s="21">
        <v>1.151</v>
      </c>
      <c r="C587" s="22">
        <v>110.88</v>
      </c>
      <c r="D587" s="22">
        <v>5.681</v>
      </c>
      <c r="E587" s="10">
        <v>5.78</v>
      </c>
      <c r="F587" s="22">
        <v>3.306</v>
      </c>
      <c r="G587" s="22">
        <v>466.45</v>
      </c>
      <c r="H587" s="22">
        <v>2227.6298830000001</v>
      </c>
      <c r="I587" s="18">
        <v>17141.109380000002</v>
      </c>
    </row>
    <row r="588" spans="1:9" x14ac:dyDescent="0.2">
      <c r="A588" s="4">
        <v>34330</v>
      </c>
      <c r="B588" s="21">
        <v>1.151</v>
      </c>
      <c r="C588" s="22">
        <v>111.46</v>
      </c>
      <c r="D588" s="22">
        <v>5.6769999999999996</v>
      </c>
      <c r="E588" s="10">
        <v>5.77</v>
      </c>
      <c r="F588" s="22">
        <v>3.2789999999999999</v>
      </c>
      <c r="G588" s="22">
        <v>470.540009</v>
      </c>
      <c r="H588" s="22">
        <v>2266.6999510000001</v>
      </c>
      <c r="I588" s="18">
        <v>16819.880860000001</v>
      </c>
    </row>
    <row r="589" spans="1:9" x14ac:dyDescent="0.2">
      <c r="A589" s="4">
        <v>34331</v>
      </c>
      <c r="B589" s="21">
        <v>1.151</v>
      </c>
      <c r="C589" s="22">
        <v>111.43</v>
      </c>
      <c r="D589" s="22">
        <v>5.6849999999999996</v>
      </c>
      <c r="E589" s="10">
        <v>5.77</v>
      </c>
      <c r="F589" s="22">
        <v>3.302</v>
      </c>
      <c r="G589" s="22">
        <v>470.94000199999999</v>
      </c>
      <c r="H589" s="22">
        <v>2236.9099120000001</v>
      </c>
      <c r="I589" s="18">
        <v>17131.210940000001</v>
      </c>
    </row>
    <row r="590" spans="1:9" x14ac:dyDescent="0.2">
      <c r="A590" s="4">
        <v>34332</v>
      </c>
      <c r="B590" s="21">
        <v>1.1362000000000001</v>
      </c>
      <c r="C590" s="22">
        <v>111.81</v>
      </c>
      <c r="D590" s="22">
        <v>5.694</v>
      </c>
      <c r="E590" s="10">
        <v>5.73</v>
      </c>
      <c r="F590" s="22">
        <v>3.2970000000000002</v>
      </c>
      <c r="G590" s="22">
        <v>470.57998700000002</v>
      </c>
      <c r="H590" s="22">
        <v>2229.6201169999999</v>
      </c>
      <c r="I590" s="18">
        <v>17272.029299999998</v>
      </c>
    </row>
    <row r="591" spans="1:9" x14ac:dyDescent="0.2">
      <c r="A591" s="4">
        <v>34333</v>
      </c>
      <c r="B591" s="21">
        <v>1.127</v>
      </c>
      <c r="C591" s="22">
        <v>111.81</v>
      </c>
      <c r="D591" s="22">
        <v>5.7869999999999999</v>
      </c>
      <c r="E591" s="10">
        <v>5.71</v>
      </c>
      <c r="F591" s="22">
        <v>3.3130000000000002</v>
      </c>
      <c r="G591" s="22">
        <v>468.64001500000001</v>
      </c>
      <c r="H591" s="22">
        <v>2255.290039</v>
      </c>
      <c r="I591" s="18">
        <v>17417.240229999999</v>
      </c>
    </row>
    <row r="592" spans="1:9" x14ac:dyDescent="0.2">
      <c r="A592" s="4">
        <v>34334</v>
      </c>
      <c r="B592" s="21">
        <v>1.1244000000000001</v>
      </c>
      <c r="C592" s="22">
        <v>111.85</v>
      </c>
      <c r="D592" s="22">
        <v>5.7830000000000004</v>
      </c>
      <c r="E592" s="10">
        <v>5.71</v>
      </c>
      <c r="F592" s="22">
        <v>3.3250000000000002</v>
      </c>
      <c r="G592" s="22">
        <v>466.45001200000002</v>
      </c>
      <c r="H592" s="22">
        <v>2255.290039</v>
      </c>
      <c r="I592" s="18">
        <v>17417.240229999999</v>
      </c>
    </row>
    <row r="593" spans="1:9" x14ac:dyDescent="0.2">
      <c r="A593" s="4">
        <v>34337</v>
      </c>
      <c r="B593" s="21">
        <v>1.1264000000000001</v>
      </c>
      <c r="C593" s="22">
        <v>112.7</v>
      </c>
      <c r="D593" s="22">
        <v>5.8869999999999996</v>
      </c>
      <c r="E593" s="10">
        <v>5.7</v>
      </c>
      <c r="F593" s="22">
        <v>3.3250000000000002</v>
      </c>
      <c r="G593" s="22">
        <v>465.44000199999999</v>
      </c>
      <c r="H593" s="22">
        <v>2274.6201169999999</v>
      </c>
      <c r="I593" s="18">
        <v>17417.240229999999</v>
      </c>
    </row>
    <row r="594" spans="1:9" x14ac:dyDescent="0.2">
      <c r="A594" s="4">
        <v>34338</v>
      </c>
      <c r="B594" s="21">
        <v>1.1246</v>
      </c>
      <c r="C594" s="22">
        <v>112.64</v>
      </c>
      <c r="D594" s="22">
        <v>5.8609999999999998</v>
      </c>
      <c r="E594" s="10">
        <v>5.71</v>
      </c>
      <c r="F594" s="22">
        <v>3.3359999999999999</v>
      </c>
      <c r="G594" s="22">
        <v>466.89001500000001</v>
      </c>
      <c r="H594" s="22">
        <v>2249.8500979999999</v>
      </c>
      <c r="I594" s="18">
        <v>17369.740229999999</v>
      </c>
    </row>
    <row r="595" spans="1:9" x14ac:dyDescent="0.2">
      <c r="A595" s="4">
        <v>34339</v>
      </c>
      <c r="B595" s="21">
        <v>1.1252</v>
      </c>
      <c r="C595" s="22">
        <v>113.06</v>
      </c>
      <c r="D595" s="22">
        <v>5.8650000000000002</v>
      </c>
      <c r="E595" s="10">
        <v>5.72</v>
      </c>
      <c r="F595" s="22">
        <v>3.3679999999999999</v>
      </c>
      <c r="G595" s="22">
        <v>467.54998799999998</v>
      </c>
      <c r="H595" s="22">
        <v>2223.610107</v>
      </c>
      <c r="I595" s="18">
        <v>17783.480469999999</v>
      </c>
    </row>
    <row r="596" spans="1:9" x14ac:dyDescent="0.2">
      <c r="A596" s="4">
        <v>34340</v>
      </c>
      <c r="B596" s="21">
        <v>1.1252</v>
      </c>
      <c r="C596" s="22">
        <v>112.62</v>
      </c>
      <c r="D596" s="22">
        <v>5.8049999999999997</v>
      </c>
      <c r="E596" s="10">
        <v>5.74</v>
      </c>
      <c r="F596" s="22">
        <v>3.3130000000000002</v>
      </c>
      <c r="G596" s="22">
        <v>467.11999500000002</v>
      </c>
      <c r="H596" s="22">
        <v>2220.6298830000001</v>
      </c>
      <c r="I596" s="18">
        <v>17881.990229999999</v>
      </c>
    </row>
    <row r="597" spans="1:9" x14ac:dyDescent="0.2">
      <c r="A597" s="4">
        <v>34341</v>
      </c>
      <c r="B597" s="21">
        <v>1.1293</v>
      </c>
      <c r="C597" s="22">
        <v>111.91</v>
      </c>
      <c r="D597" s="22">
        <v>5.6550000000000002</v>
      </c>
      <c r="E597" s="10">
        <v>5.75</v>
      </c>
      <c r="F597" s="22">
        <v>3.2970000000000002</v>
      </c>
      <c r="G597" s="22">
        <v>469.89999399999999</v>
      </c>
      <c r="H597" s="22">
        <v>2224.9499510000001</v>
      </c>
      <c r="I597" s="18">
        <v>18124.009770000001</v>
      </c>
    </row>
    <row r="598" spans="1:9" x14ac:dyDescent="0.2">
      <c r="A598" s="4">
        <v>34344</v>
      </c>
      <c r="B598" s="21">
        <v>1.1269</v>
      </c>
      <c r="C598" s="22">
        <v>112.25</v>
      </c>
      <c r="D598" s="22">
        <v>5.6210000000000004</v>
      </c>
      <c r="E598" s="10">
        <v>5.71</v>
      </c>
      <c r="F598" s="22">
        <v>3.2650000000000001</v>
      </c>
      <c r="G598" s="22">
        <v>475.26998900000001</v>
      </c>
      <c r="H598" s="22">
        <v>2225</v>
      </c>
      <c r="I598" s="18">
        <v>18443.439450000002</v>
      </c>
    </row>
    <row r="599" spans="1:9" x14ac:dyDescent="0.2">
      <c r="A599" s="4">
        <v>34345</v>
      </c>
      <c r="B599" s="21">
        <v>1.123</v>
      </c>
      <c r="C599" s="22">
        <v>112.38</v>
      </c>
      <c r="D599" s="22">
        <v>5.6210000000000004</v>
      </c>
      <c r="E599" s="10">
        <v>5.71</v>
      </c>
      <c r="F599" s="22">
        <v>3.3119999999999998</v>
      </c>
      <c r="G599" s="22">
        <v>474.13000499999998</v>
      </c>
      <c r="H599" s="22">
        <v>2228.1000979999999</v>
      </c>
      <c r="I599" s="18">
        <v>18485.25</v>
      </c>
    </row>
    <row r="600" spans="1:9" x14ac:dyDescent="0.2">
      <c r="A600" s="4">
        <v>34346</v>
      </c>
      <c r="B600" s="21">
        <v>1.1263000000000001</v>
      </c>
      <c r="C600" s="22">
        <v>112.2</v>
      </c>
      <c r="D600" s="22">
        <v>5.5540000000000003</v>
      </c>
      <c r="E600" s="10">
        <v>5.7</v>
      </c>
      <c r="F600" s="22">
        <v>3.34</v>
      </c>
      <c r="G600" s="22">
        <v>474.17001299999998</v>
      </c>
      <c r="H600" s="22">
        <v>2182.0600589999999</v>
      </c>
      <c r="I600" s="18">
        <v>18793.880860000001</v>
      </c>
    </row>
    <row r="601" spans="1:9" x14ac:dyDescent="0.2">
      <c r="A601" s="4">
        <v>34347</v>
      </c>
      <c r="B601" s="21">
        <v>1.1182000000000001</v>
      </c>
      <c r="C601" s="22">
        <v>111.77</v>
      </c>
      <c r="D601" s="22">
        <v>5.6639999999999997</v>
      </c>
      <c r="E601" s="10">
        <v>5.71</v>
      </c>
      <c r="F601" s="22">
        <v>3.3639999999999999</v>
      </c>
      <c r="G601" s="22">
        <v>472.47000100000002</v>
      </c>
      <c r="H601" s="22">
        <v>2142.3701169999999</v>
      </c>
      <c r="I601" s="18">
        <v>18577.259770000001</v>
      </c>
    </row>
    <row r="602" spans="1:9" x14ac:dyDescent="0.2">
      <c r="A602" s="4">
        <v>34348</v>
      </c>
      <c r="B602" s="21">
        <v>1.1176999999999999</v>
      </c>
      <c r="C602" s="22">
        <v>111</v>
      </c>
      <c r="D602" s="22">
        <v>5.7279999999999998</v>
      </c>
      <c r="E602" s="10">
        <v>5.76</v>
      </c>
      <c r="F602" s="22">
        <v>3.46</v>
      </c>
      <c r="G602" s="22">
        <v>474.91000400000001</v>
      </c>
      <c r="H602" s="22">
        <v>2151.0500489999999</v>
      </c>
      <c r="I602" s="18">
        <v>18973.699219999999</v>
      </c>
    </row>
    <row r="603" spans="1:9" x14ac:dyDescent="0.2">
      <c r="A603" s="4">
        <v>34351</v>
      </c>
      <c r="B603" s="21">
        <v>1.1167</v>
      </c>
      <c r="C603" s="22">
        <v>111.02</v>
      </c>
      <c r="D603" s="22">
        <v>5.7279999999999998</v>
      </c>
      <c r="E603" s="10">
        <v>5.77</v>
      </c>
      <c r="F603" s="22">
        <v>3.4830000000000001</v>
      </c>
      <c r="G603" s="22">
        <v>473.29998799999998</v>
      </c>
      <c r="H603" s="22">
        <v>2115.5600589999999</v>
      </c>
      <c r="I603" s="18">
        <v>18725.369139999999</v>
      </c>
    </row>
    <row r="604" spans="1:9" x14ac:dyDescent="0.2">
      <c r="A604" s="4">
        <v>34352</v>
      </c>
      <c r="B604" s="21">
        <v>1.1223000000000001</v>
      </c>
      <c r="C604" s="22">
        <v>110.8</v>
      </c>
      <c r="D604" s="22">
        <v>5.6980000000000004</v>
      </c>
      <c r="E604" s="10">
        <v>5.81</v>
      </c>
      <c r="F604" s="22">
        <v>3.6230000000000002</v>
      </c>
      <c r="G604" s="22">
        <v>474.25</v>
      </c>
      <c r="H604" s="22">
        <v>2130.3500979999999</v>
      </c>
      <c r="I604" s="18">
        <v>18514.550780000001</v>
      </c>
    </row>
    <row r="605" spans="1:9" x14ac:dyDescent="0.2">
      <c r="A605" s="4">
        <v>34353</v>
      </c>
      <c r="B605" s="21">
        <v>1.1231</v>
      </c>
      <c r="C605" s="22">
        <v>111.4</v>
      </c>
      <c r="D605" s="22">
        <v>5.7060000000000004</v>
      </c>
      <c r="E605" s="10">
        <v>5.75</v>
      </c>
      <c r="F605" s="22">
        <v>3.7530000000000001</v>
      </c>
      <c r="G605" s="22">
        <v>474.29998799999998</v>
      </c>
      <c r="H605" s="22">
        <v>2132.5200199999999</v>
      </c>
      <c r="I605" s="18">
        <v>19039.400389999999</v>
      </c>
    </row>
    <row r="606" spans="1:9" x14ac:dyDescent="0.2">
      <c r="A606" s="4">
        <v>34354</v>
      </c>
      <c r="B606" s="21">
        <v>1.1266</v>
      </c>
      <c r="C606" s="22">
        <v>111.31</v>
      </c>
      <c r="D606" s="22">
        <v>5.6639999999999997</v>
      </c>
      <c r="E606" s="10">
        <v>5.79</v>
      </c>
      <c r="F606" s="22">
        <v>3.766</v>
      </c>
      <c r="G606" s="22">
        <v>474.98001099999999</v>
      </c>
      <c r="H606" s="22">
        <v>2098.360107</v>
      </c>
      <c r="I606" s="18">
        <v>19183.91992</v>
      </c>
    </row>
    <row r="607" spans="1:9" x14ac:dyDescent="0.2">
      <c r="A607" s="4">
        <v>34355</v>
      </c>
      <c r="B607" s="21">
        <v>1.1211</v>
      </c>
      <c r="C607" s="22">
        <v>111.55</v>
      </c>
      <c r="D607" s="22">
        <v>5.6769999999999996</v>
      </c>
      <c r="E607" s="10">
        <v>5.81</v>
      </c>
      <c r="F607" s="22">
        <v>3.7229999999999999</v>
      </c>
      <c r="G607" s="22">
        <v>474.72000100000002</v>
      </c>
      <c r="H607" s="22">
        <v>2073.9399410000001</v>
      </c>
      <c r="I607" s="18">
        <v>19307.429690000001</v>
      </c>
    </row>
    <row r="608" spans="1:9" x14ac:dyDescent="0.2">
      <c r="A608" s="4">
        <v>34358</v>
      </c>
      <c r="B608" s="21">
        <v>1.1201000000000001</v>
      </c>
      <c r="C608" s="22">
        <v>111.77</v>
      </c>
      <c r="D608" s="22">
        <v>5.6890000000000001</v>
      </c>
      <c r="E608" s="10">
        <v>5.87</v>
      </c>
      <c r="F608" s="22">
        <v>3.6930000000000001</v>
      </c>
      <c r="G608" s="22">
        <v>471.97000100000002</v>
      </c>
      <c r="H608" s="22">
        <v>2107.290039</v>
      </c>
      <c r="I608" s="18">
        <v>18353.240229999999</v>
      </c>
    </row>
    <row r="609" spans="1:9" x14ac:dyDescent="0.2">
      <c r="A609" s="4">
        <v>34359</v>
      </c>
      <c r="B609" s="21">
        <v>1.1203000000000001</v>
      </c>
      <c r="C609" s="22">
        <v>111.03</v>
      </c>
      <c r="D609" s="22">
        <v>5.7240000000000002</v>
      </c>
      <c r="E609" s="10">
        <v>5.84</v>
      </c>
      <c r="F609" s="22">
        <v>3.698</v>
      </c>
      <c r="G609" s="22">
        <v>470.92001299999998</v>
      </c>
      <c r="H609" s="22">
        <v>2090.780029</v>
      </c>
      <c r="I609" s="18">
        <v>18648.359380000002</v>
      </c>
    </row>
    <row r="610" spans="1:9" x14ac:dyDescent="0.2">
      <c r="A610" s="4">
        <v>34360</v>
      </c>
      <c r="B610" s="21">
        <v>1.1227</v>
      </c>
      <c r="C610" s="22">
        <v>109.93</v>
      </c>
      <c r="D610" s="22">
        <v>5.7190000000000003</v>
      </c>
      <c r="E610" s="10">
        <v>5.85</v>
      </c>
      <c r="F610" s="22">
        <v>3.855</v>
      </c>
      <c r="G610" s="22">
        <v>473.20001200000002</v>
      </c>
      <c r="H610" s="22">
        <v>2128.6599120000001</v>
      </c>
      <c r="I610" s="18">
        <v>19138.210940000001</v>
      </c>
    </row>
    <row r="611" spans="1:9" x14ac:dyDescent="0.2">
      <c r="A611" s="4">
        <v>34361</v>
      </c>
      <c r="B611" s="21">
        <v>1.1252</v>
      </c>
      <c r="C611" s="22">
        <v>108.63</v>
      </c>
      <c r="D611" s="22">
        <v>5.6719999999999997</v>
      </c>
      <c r="E611" s="10">
        <v>5.83</v>
      </c>
      <c r="F611" s="22">
        <v>3.8759999999999999</v>
      </c>
      <c r="G611" s="22">
        <v>477.04998799999998</v>
      </c>
      <c r="H611" s="22">
        <v>2123.3100589999999</v>
      </c>
      <c r="I611" s="18">
        <v>18891.789059999999</v>
      </c>
    </row>
    <row r="612" spans="1:9" x14ac:dyDescent="0.2">
      <c r="A612" s="4">
        <v>34362</v>
      </c>
      <c r="B612" s="21">
        <v>1.1337999999999999</v>
      </c>
      <c r="C612" s="22">
        <v>109.97</v>
      </c>
      <c r="D612" s="22">
        <v>5.617</v>
      </c>
      <c r="E612" s="10">
        <v>5.84</v>
      </c>
      <c r="F612" s="22">
        <v>3.855</v>
      </c>
      <c r="G612" s="22">
        <v>478.70001200000002</v>
      </c>
      <c r="H612" s="22">
        <v>2156.610107</v>
      </c>
      <c r="I612" s="18">
        <v>18757.880860000001</v>
      </c>
    </row>
    <row r="613" spans="1:9" x14ac:dyDescent="0.2">
      <c r="A613" s="4">
        <v>34365</v>
      </c>
      <c r="B613" s="21">
        <v>1.1259999999999999</v>
      </c>
      <c r="C613" s="22">
        <v>108.49</v>
      </c>
      <c r="D613" s="22">
        <v>5.6379999999999999</v>
      </c>
      <c r="E613" s="10">
        <v>5.79</v>
      </c>
      <c r="F613" s="22">
        <v>3.98</v>
      </c>
      <c r="G613" s="22">
        <v>481.60998499999999</v>
      </c>
      <c r="H613" s="22">
        <v>2192.6000979999999</v>
      </c>
      <c r="I613" s="18">
        <v>20229.119139999999</v>
      </c>
    </row>
    <row r="614" spans="1:9" x14ac:dyDescent="0.2">
      <c r="A614" s="4">
        <v>34366</v>
      </c>
      <c r="B614" s="21">
        <v>1.1359999999999999</v>
      </c>
      <c r="C614" s="22">
        <v>107.66</v>
      </c>
      <c r="D614" s="22">
        <v>5.7149999999999999</v>
      </c>
      <c r="E614" s="10">
        <v>5.78</v>
      </c>
      <c r="F614" s="22">
        <v>3.9889999999999999</v>
      </c>
      <c r="G614" s="22">
        <v>479.61999500000002</v>
      </c>
      <c r="H614" s="22">
        <v>2181.8798830000001</v>
      </c>
      <c r="I614" s="18">
        <v>20416.339840000001</v>
      </c>
    </row>
    <row r="615" spans="1:9" x14ac:dyDescent="0.2">
      <c r="A615" s="4">
        <v>34367</v>
      </c>
      <c r="B615" s="21">
        <v>1.1311</v>
      </c>
      <c r="C615" s="22">
        <v>108.25</v>
      </c>
      <c r="D615" s="22">
        <v>5.7149999999999999</v>
      </c>
      <c r="E615" s="10">
        <v>5.8</v>
      </c>
      <c r="F615" s="22">
        <v>3.8759999999999999</v>
      </c>
      <c r="G615" s="22">
        <v>482</v>
      </c>
      <c r="H615" s="22">
        <v>2184.0500489999999</v>
      </c>
      <c r="I615" s="18">
        <v>20250.029299999998</v>
      </c>
    </row>
    <row r="616" spans="1:9" x14ac:dyDescent="0.2">
      <c r="A616" s="4">
        <v>34368</v>
      </c>
      <c r="B616" s="21">
        <v>1.1334</v>
      </c>
      <c r="C616" s="22">
        <v>108.32</v>
      </c>
      <c r="D616" s="22">
        <v>5.758</v>
      </c>
      <c r="E616" s="10">
        <v>5.82</v>
      </c>
      <c r="F616" s="22">
        <v>3.8980000000000001</v>
      </c>
      <c r="G616" s="22">
        <v>480.709991</v>
      </c>
      <c r="H616" s="22">
        <v>2137.080078</v>
      </c>
      <c r="I616" s="18">
        <v>20174.820309999999</v>
      </c>
    </row>
    <row r="617" spans="1:9" x14ac:dyDescent="0.2">
      <c r="A617" s="4">
        <v>34369</v>
      </c>
      <c r="B617" s="21">
        <v>1.1316999999999999</v>
      </c>
      <c r="C617" s="22">
        <v>109.43</v>
      </c>
      <c r="D617" s="22">
        <v>5.8879999999999999</v>
      </c>
      <c r="E617" s="10">
        <v>5.91</v>
      </c>
      <c r="F617" s="22">
        <v>3.9319999999999999</v>
      </c>
      <c r="G617" s="22">
        <v>469.80999800000001</v>
      </c>
      <c r="H617" s="22">
        <v>2143.8999020000001</v>
      </c>
      <c r="I617" s="18">
        <v>20301.429690000001</v>
      </c>
    </row>
    <row r="618" spans="1:9" x14ac:dyDescent="0.2">
      <c r="A618" s="4">
        <v>34372</v>
      </c>
      <c r="B618" s="21">
        <v>1.1156999999999999</v>
      </c>
      <c r="C618" s="22">
        <v>108.55</v>
      </c>
      <c r="D618" s="22">
        <v>5.91</v>
      </c>
      <c r="E618" s="10">
        <v>5.97</v>
      </c>
      <c r="F618" s="22">
        <v>3.93</v>
      </c>
      <c r="G618" s="22">
        <v>471.76001000000002</v>
      </c>
      <c r="H618" s="22">
        <v>2095.110107</v>
      </c>
      <c r="I618" s="18">
        <v>20014.400389999999</v>
      </c>
    </row>
    <row r="619" spans="1:9" x14ac:dyDescent="0.2">
      <c r="A619" s="4">
        <v>34373</v>
      </c>
      <c r="B619" s="21">
        <v>1.1141000000000001</v>
      </c>
      <c r="C619" s="22">
        <v>108.9</v>
      </c>
      <c r="D619" s="22">
        <v>5.9539999999999997</v>
      </c>
      <c r="E619" s="10">
        <v>5.94</v>
      </c>
      <c r="F619" s="22">
        <v>3.9079999999999999</v>
      </c>
      <c r="G619" s="22">
        <v>471.04998799999998</v>
      </c>
      <c r="H619" s="22">
        <v>2099.570068</v>
      </c>
      <c r="I619" s="18">
        <v>20251.230469999999</v>
      </c>
    </row>
    <row r="620" spans="1:9" x14ac:dyDescent="0.2">
      <c r="A620" s="4">
        <v>34374</v>
      </c>
      <c r="B620" s="21">
        <v>1.1178999999999999</v>
      </c>
      <c r="C620" s="22">
        <v>108.31</v>
      </c>
      <c r="D620" s="22">
        <v>5.9279999999999999</v>
      </c>
      <c r="E620" s="10">
        <v>5.99</v>
      </c>
      <c r="F620" s="22">
        <v>3.8380000000000001</v>
      </c>
      <c r="G620" s="22">
        <v>472.76998900000001</v>
      </c>
      <c r="H620" s="22">
        <v>2116.429932</v>
      </c>
      <c r="I620" s="18">
        <v>19841.380860000001</v>
      </c>
    </row>
    <row r="621" spans="1:9" x14ac:dyDescent="0.2">
      <c r="A621" s="4">
        <v>34375</v>
      </c>
      <c r="B621" s="21">
        <v>1.1194</v>
      </c>
      <c r="C621" s="22">
        <v>108.15</v>
      </c>
      <c r="D621" s="22">
        <v>5.9039999999999999</v>
      </c>
      <c r="E621" s="10">
        <v>5.91</v>
      </c>
      <c r="F621" s="22">
        <v>3.851</v>
      </c>
      <c r="G621" s="22">
        <v>468.92999300000002</v>
      </c>
      <c r="H621" s="22">
        <v>2119.6899410000001</v>
      </c>
      <c r="I621" s="18">
        <v>19990.699219999999</v>
      </c>
    </row>
    <row r="622" spans="1:9" x14ac:dyDescent="0.2">
      <c r="A622" s="4">
        <v>34376</v>
      </c>
      <c r="B622" s="21">
        <v>1.1207</v>
      </c>
      <c r="C622" s="22">
        <v>107.2</v>
      </c>
      <c r="D622" s="22">
        <v>5.8710000000000004</v>
      </c>
      <c r="E622" s="10">
        <v>5.91</v>
      </c>
      <c r="F622" s="22">
        <v>3.8639999999999999</v>
      </c>
      <c r="G622" s="22">
        <v>470.17999300000002</v>
      </c>
      <c r="H622" s="22">
        <v>2108.7700199999999</v>
      </c>
      <c r="I622" s="18">
        <v>19990.699219999999</v>
      </c>
    </row>
    <row r="623" spans="1:9" x14ac:dyDescent="0.2">
      <c r="A623" s="4">
        <v>34379</v>
      </c>
      <c r="B623" s="21">
        <v>1.1259999999999999</v>
      </c>
      <c r="C623" s="22">
        <v>102.1</v>
      </c>
      <c r="D623" s="22">
        <v>5.883</v>
      </c>
      <c r="E623" s="10">
        <v>5.86</v>
      </c>
      <c r="F623" s="22">
        <v>3.8079999999999998</v>
      </c>
      <c r="G623" s="22">
        <v>470.23001099999999</v>
      </c>
      <c r="H623" s="22">
        <v>2101.929932</v>
      </c>
      <c r="I623" s="18">
        <v>19459.25</v>
      </c>
    </row>
    <row r="624" spans="1:9" x14ac:dyDescent="0.2">
      <c r="A624" s="4">
        <v>34380</v>
      </c>
      <c r="B624" s="21">
        <v>1.1359999999999999</v>
      </c>
      <c r="C624" s="22">
        <v>103.85</v>
      </c>
      <c r="D624" s="22">
        <v>5.867</v>
      </c>
      <c r="E624" s="10">
        <v>5.9</v>
      </c>
      <c r="F624" s="22">
        <v>3.738</v>
      </c>
      <c r="G624" s="22">
        <v>472.51998900000001</v>
      </c>
      <c r="H624" s="22">
        <v>2130.709961</v>
      </c>
      <c r="I624" s="18">
        <v>18974.599610000001</v>
      </c>
    </row>
    <row r="625" spans="1:9" x14ac:dyDescent="0.2">
      <c r="A625" s="4">
        <v>34381</v>
      </c>
      <c r="B625" s="21">
        <v>1.1373</v>
      </c>
      <c r="C625" s="22">
        <v>103.81</v>
      </c>
      <c r="D625" s="22">
        <v>5.875</v>
      </c>
      <c r="E625" s="10">
        <v>5.95</v>
      </c>
      <c r="F625" s="22">
        <v>3.79</v>
      </c>
      <c r="G625" s="22">
        <v>472.790009</v>
      </c>
      <c r="H625" s="22">
        <v>2135.25</v>
      </c>
      <c r="I625" s="18">
        <v>19052.109380000002</v>
      </c>
    </row>
    <row r="626" spans="1:9" x14ac:dyDescent="0.2">
      <c r="A626" s="4">
        <v>34382</v>
      </c>
      <c r="B626" s="21">
        <v>1.1329</v>
      </c>
      <c r="C626" s="22">
        <v>104.25</v>
      </c>
      <c r="D626" s="22">
        <v>5.984</v>
      </c>
      <c r="E626" s="10">
        <v>5.97</v>
      </c>
      <c r="F626" s="22">
        <v>3.851</v>
      </c>
      <c r="G626" s="22">
        <v>470.33999599999999</v>
      </c>
      <c r="H626" s="22">
        <v>2162.290039</v>
      </c>
      <c r="I626" s="18">
        <v>18931.390630000002</v>
      </c>
    </row>
    <row r="627" spans="1:9" x14ac:dyDescent="0.2">
      <c r="A627" s="4">
        <v>34383</v>
      </c>
      <c r="B627" s="21">
        <v>1.1406000000000001</v>
      </c>
      <c r="C627" s="22">
        <v>104.61</v>
      </c>
      <c r="D627" s="22">
        <v>6.077</v>
      </c>
      <c r="E627" s="10">
        <v>5.99</v>
      </c>
      <c r="F627" s="22">
        <v>3.984</v>
      </c>
      <c r="G627" s="22">
        <v>467.69000199999999</v>
      </c>
      <c r="H627" s="22">
        <v>2133.8500979999999</v>
      </c>
      <c r="I627" s="18">
        <v>18959.599610000001</v>
      </c>
    </row>
    <row r="628" spans="1:9" x14ac:dyDescent="0.2">
      <c r="A628" s="4">
        <v>34386</v>
      </c>
      <c r="B628" s="21">
        <v>1.1353</v>
      </c>
      <c r="C628" s="22">
        <v>106.05</v>
      </c>
      <c r="D628" s="22">
        <v>6.077</v>
      </c>
      <c r="E628" s="10">
        <v>6.03</v>
      </c>
      <c r="F628" s="22">
        <v>3.9969999999999999</v>
      </c>
      <c r="G628" s="22">
        <v>467.14</v>
      </c>
      <c r="H628" s="22">
        <v>2108.0600589999999</v>
      </c>
      <c r="I628" s="18">
        <v>19393.939450000002</v>
      </c>
    </row>
    <row r="629" spans="1:9" x14ac:dyDescent="0.2">
      <c r="A629" s="4">
        <v>34387</v>
      </c>
      <c r="B629" s="21">
        <v>1.1358999999999999</v>
      </c>
      <c r="C629" s="22">
        <v>105.7</v>
      </c>
      <c r="D629" s="22">
        <v>6.0389999999999997</v>
      </c>
      <c r="E629" s="10">
        <v>6.09</v>
      </c>
      <c r="F629" s="22">
        <v>4.0380000000000003</v>
      </c>
      <c r="G629" s="22">
        <v>471.459991</v>
      </c>
      <c r="H629" s="22">
        <v>2113.639893</v>
      </c>
      <c r="I629" s="18">
        <v>19342.630860000001</v>
      </c>
    </row>
    <row r="630" spans="1:9" x14ac:dyDescent="0.2">
      <c r="A630" s="4">
        <v>34388</v>
      </c>
      <c r="B630" s="21">
        <v>1.135</v>
      </c>
      <c r="C630" s="22">
        <v>105.7</v>
      </c>
      <c r="D630" s="22">
        <v>6.1239999999999997</v>
      </c>
      <c r="E630" s="10">
        <v>6.07</v>
      </c>
      <c r="F630" s="22">
        <v>4.0199999999999996</v>
      </c>
      <c r="G630" s="22">
        <v>470.69000199999999</v>
      </c>
      <c r="H630" s="22">
        <v>2140.25</v>
      </c>
      <c r="I630" s="18">
        <v>19341.83008</v>
      </c>
    </row>
    <row r="631" spans="1:9" x14ac:dyDescent="0.2">
      <c r="A631" s="4">
        <v>34389</v>
      </c>
      <c r="B631" s="21">
        <v>1.1333</v>
      </c>
      <c r="C631" s="22">
        <v>105</v>
      </c>
      <c r="D631" s="22">
        <v>6.202</v>
      </c>
      <c r="E631" s="10">
        <v>6.12</v>
      </c>
      <c r="F631" s="22">
        <v>4.056</v>
      </c>
      <c r="G631" s="22">
        <v>464.26001000000002</v>
      </c>
      <c r="H631" s="22">
        <v>2082.8999020000001</v>
      </c>
      <c r="I631" s="18">
        <v>19765.480469999999</v>
      </c>
    </row>
    <row r="632" spans="1:9" x14ac:dyDescent="0.2">
      <c r="A632" s="4">
        <v>34390</v>
      </c>
      <c r="B632" s="21">
        <v>1.1468</v>
      </c>
      <c r="C632" s="22">
        <v>104.81</v>
      </c>
      <c r="D632" s="22">
        <v>6.1929999999999996</v>
      </c>
      <c r="E632" s="10">
        <v>6.25</v>
      </c>
      <c r="F632" s="22">
        <v>4.1100000000000003</v>
      </c>
      <c r="G632" s="22">
        <v>466.07000699999998</v>
      </c>
      <c r="H632" s="22">
        <v>2075.330078</v>
      </c>
      <c r="I632" s="18">
        <v>19803.380860000001</v>
      </c>
    </row>
    <row r="633" spans="1:9" x14ac:dyDescent="0.2">
      <c r="A633" s="4">
        <v>34393</v>
      </c>
      <c r="B633" s="21">
        <v>1.1456999999999999</v>
      </c>
      <c r="C633" s="22">
        <v>104.5</v>
      </c>
      <c r="D633" s="22">
        <v>6.15</v>
      </c>
      <c r="E633" s="10">
        <v>6.24</v>
      </c>
      <c r="F633" s="22">
        <v>4.1239999999999997</v>
      </c>
      <c r="G633" s="22">
        <v>467.14001500000001</v>
      </c>
      <c r="H633" s="22">
        <v>2103.23999</v>
      </c>
      <c r="I633" s="18">
        <v>19997.199219999999</v>
      </c>
    </row>
    <row r="634" spans="1:9" x14ac:dyDescent="0.2">
      <c r="A634" s="4">
        <v>34394</v>
      </c>
      <c r="B634" s="21">
        <v>1.1434</v>
      </c>
      <c r="C634" s="22">
        <v>104.6</v>
      </c>
      <c r="D634" s="22">
        <v>6.28</v>
      </c>
      <c r="E634" s="10">
        <v>6.25</v>
      </c>
      <c r="F634" s="22">
        <v>4.117</v>
      </c>
      <c r="G634" s="22">
        <v>464.44000199999999</v>
      </c>
      <c r="H634" s="22">
        <v>2056.610107</v>
      </c>
      <c r="I634" s="18">
        <v>20216.619139999999</v>
      </c>
    </row>
    <row r="635" spans="1:9" x14ac:dyDescent="0.2">
      <c r="A635" s="4">
        <v>34395</v>
      </c>
      <c r="B635" s="21">
        <v>1.1460999999999999</v>
      </c>
      <c r="C635" s="22">
        <v>104.3</v>
      </c>
      <c r="D635" s="22">
        <v>6.2889999999999997</v>
      </c>
      <c r="E635" s="10">
        <v>6.54</v>
      </c>
      <c r="F635" s="22">
        <v>4.2859999999999996</v>
      </c>
      <c r="G635" s="22">
        <v>464.80999800000001</v>
      </c>
      <c r="H635" s="22">
        <v>2018.6899410000001</v>
      </c>
      <c r="I635" s="18">
        <v>19744.769530000001</v>
      </c>
    </row>
    <row r="636" spans="1:9" x14ac:dyDescent="0.2">
      <c r="A636" s="4">
        <v>34396</v>
      </c>
      <c r="B636" s="21">
        <v>1.1448</v>
      </c>
      <c r="C636" s="22">
        <v>103.89</v>
      </c>
      <c r="D636" s="22">
        <v>6.3410000000000002</v>
      </c>
      <c r="E636" s="10">
        <v>6.42</v>
      </c>
      <c r="F636" s="22">
        <v>4.2859999999999996</v>
      </c>
      <c r="G636" s="22">
        <v>463.01001000000002</v>
      </c>
      <c r="H636" s="22">
        <v>2044.4499510000001</v>
      </c>
      <c r="I636" s="18">
        <v>19605.859380000002</v>
      </c>
    </row>
    <row r="637" spans="1:9" x14ac:dyDescent="0.2">
      <c r="A637" s="4">
        <v>34397</v>
      </c>
      <c r="B637" s="21">
        <v>1.1382000000000001</v>
      </c>
      <c r="C637" s="22">
        <v>105.51</v>
      </c>
      <c r="D637" s="22">
        <v>6.3630000000000004</v>
      </c>
      <c r="E637" s="10">
        <v>6.38</v>
      </c>
      <c r="F637" s="22">
        <v>4.2949999999999999</v>
      </c>
      <c r="G637" s="22">
        <v>464.73998999999998</v>
      </c>
      <c r="H637" s="22">
        <v>2076.76001</v>
      </c>
      <c r="I637" s="18">
        <v>19966</v>
      </c>
    </row>
    <row r="638" spans="1:9" x14ac:dyDescent="0.2">
      <c r="A638" s="4">
        <v>34400</v>
      </c>
      <c r="B638" s="21">
        <v>1.1391</v>
      </c>
      <c r="C638" s="22">
        <v>105.65</v>
      </c>
      <c r="D638" s="22">
        <v>6.3070000000000004</v>
      </c>
      <c r="E638" s="10">
        <v>6.24</v>
      </c>
      <c r="F638" s="22">
        <v>4.383</v>
      </c>
      <c r="G638" s="22">
        <v>466.91000400000001</v>
      </c>
      <c r="H638" s="22">
        <v>2132.1201169999999</v>
      </c>
      <c r="I638" s="18">
        <v>19811.880860000001</v>
      </c>
    </row>
    <row r="639" spans="1:9" x14ac:dyDescent="0.2">
      <c r="A639" s="4">
        <v>34401</v>
      </c>
      <c r="B639" s="21">
        <v>1.1399999999999999</v>
      </c>
      <c r="C639" s="22">
        <v>105.36</v>
      </c>
      <c r="D639" s="22">
        <v>6.359</v>
      </c>
      <c r="E639" s="10">
        <v>6.2</v>
      </c>
      <c r="F639" s="22">
        <v>4.2859999999999996</v>
      </c>
      <c r="G639" s="22">
        <v>465.88000499999998</v>
      </c>
      <c r="H639" s="22">
        <v>2125.469971</v>
      </c>
      <c r="I639" s="18">
        <v>19898.390630000002</v>
      </c>
    </row>
    <row r="640" spans="1:9" x14ac:dyDescent="0.2">
      <c r="A640" s="4">
        <v>34402</v>
      </c>
      <c r="B640" s="21">
        <v>1.1439999999999999</v>
      </c>
      <c r="C640" s="22">
        <v>105.8</v>
      </c>
      <c r="D640" s="22">
        <v>6.3680000000000003</v>
      </c>
      <c r="E640" s="10">
        <v>6.31</v>
      </c>
      <c r="F640" s="22">
        <v>4.2770000000000001</v>
      </c>
      <c r="G640" s="22">
        <v>467.05999800000001</v>
      </c>
      <c r="H640" s="22">
        <v>2118.01001</v>
      </c>
      <c r="I640" s="18">
        <v>19839.179690000001</v>
      </c>
    </row>
    <row r="641" spans="1:9" x14ac:dyDescent="0.2">
      <c r="A641" s="4">
        <v>34403</v>
      </c>
      <c r="B641" s="21">
        <v>1.1557999999999999</v>
      </c>
      <c r="C641" s="22">
        <v>105.3</v>
      </c>
      <c r="D641" s="22">
        <v>6.4740000000000002</v>
      </c>
      <c r="E641" s="10">
        <v>6.25</v>
      </c>
      <c r="F641" s="22">
        <v>4.2539999999999996</v>
      </c>
      <c r="G641" s="22">
        <v>463.89999399999999</v>
      </c>
      <c r="H641" s="22">
        <v>2124.51001</v>
      </c>
      <c r="I641" s="18">
        <v>20090.710940000001</v>
      </c>
    </row>
    <row r="642" spans="1:9" x14ac:dyDescent="0.2">
      <c r="A642" s="4">
        <v>34404</v>
      </c>
      <c r="B642" s="21">
        <v>1.1633</v>
      </c>
      <c r="C642" s="22">
        <v>105.06</v>
      </c>
      <c r="D642" s="22">
        <v>6.452</v>
      </c>
      <c r="E642" s="10">
        <v>6.31</v>
      </c>
      <c r="F642" s="22">
        <v>4.194</v>
      </c>
      <c r="G642" s="22">
        <v>466.44000199999999</v>
      </c>
      <c r="H642" s="22">
        <v>2101.889893</v>
      </c>
      <c r="I642" s="18">
        <v>20115.310549999998</v>
      </c>
    </row>
    <row r="643" spans="1:9" x14ac:dyDescent="0.2">
      <c r="A643" s="4">
        <v>34407</v>
      </c>
      <c r="B643" s="21">
        <v>1.1569</v>
      </c>
      <c r="C643" s="22">
        <v>106.2</v>
      </c>
      <c r="D643" s="22">
        <v>6.4790000000000001</v>
      </c>
      <c r="E643" s="10">
        <v>6.21</v>
      </c>
      <c r="F643" s="22">
        <v>4.1630000000000003</v>
      </c>
      <c r="G643" s="22">
        <v>467.39001500000001</v>
      </c>
      <c r="H643" s="22">
        <v>2169.3999020000001</v>
      </c>
      <c r="I643" s="18">
        <v>20526.150389999999</v>
      </c>
    </row>
    <row r="644" spans="1:9" x14ac:dyDescent="0.2">
      <c r="A644" s="4">
        <v>34408</v>
      </c>
      <c r="B644" s="21">
        <v>1.1526000000000001</v>
      </c>
      <c r="C644" s="22">
        <v>106.15</v>
      </c>
      <c r="D644" s="22">
        <v>6.4569999999999999</v>
      </c>
      <c r="E644" s="10">
        <v>6.16</v>
      </c>
      <c r="F644" s="22">
        <v>4.181</v>
      </c>
      <c r="G644" s="22">
        <v>467.01001000000002</v>
      </c>
      <c r="H644" s="22">
        <v>2178.9099120000001</v>
      </c>
      <c r="I644" s="18">
        <v>20508.849610000001</v>
      </c>
    </row>
    <row r="645" spans="1:9" x14ac:dyDescent="0.2">
      <c r="A645" s="4">
        <v>34409</v>
      </c>
      <c r="B645" s="21">
        <v>1.1558999999999999</v>
      </c>
      <c r="C645" s="22">
        <v>106.01</v>
      </c>
      <c r="D645" s="22">
        <v>6.3769999999999998</v>
      </c>
      <c r="E645" s="10">
        <v>6.13</v>
      </c>
      <c r="F645" s="22">
        <v>4.226</v>
      </c>
      <c r="G645" s="22">
        <v>469.42001299999998</v>
      </c>
      <c r="H645" s="22">
        <v>2168.110107</v>
      </c>
      <c r="I645" s="18">
        <v>20677.769530000001</v>
      </c>
    </row>
    <row r="646" spans="1:9" x14ac:dyDescent="0.2">
      <c r="A646" s="4">
        <v>34410</v>
      </c>
      <c r="B646" s="21">
        <v>1.1624000000000001</v>
      </c>
      <c r="C646" s="22">
        <v>105.81</v>
      </c>
      <c r="D646" s="22">
        <v>6.3819999999999997</v>
      </c>
      <c r="E646" s="10">
        <v>6.13</v>
      </c>
      <c r="F646" s="22">
        <v>4.1219999999999999</v>
      </c>
      <c r="G646" s="22">
        <v>470.89999399999999</v>
      </c>
      <c r="H646" s="22">
        <v>2160.4499510000001</v>
      </c>
      <c r="I646" s="18">
        <v>20592.160159999999</v>
      </c>
    </row>
    <row r="647" spans="1:9" x14ac:dyDescent="0.2">
      <c r="A647" s="4">
        <v>34411</v>
      </c>
      <c r="B647" s="21">
        <v>1.1511</v>
      </c>
      <c r="C647" s="22">
        <v>106.16</v>
      </c>
      <c r="D647" s="22">
        <v>6.4790000000000001</v>
      </c>
      <c r="E647" s="10">
        <v>6.26</v>
      </c>
      <c r="F647" s="22">
        <v>4.508</v>
      </c>
      <c r="G647" s="22">
        <v>471.05999800000001</v>
      </c>
      <c r="H647" s="22">
        <v>2140.389893</v>
      </c>
      <c r="I647" s="18">
        <v>20469.449219999999</v>
      </c>
    </row>
    <row r="648" spans="1:9" x14ac:dyDescent="0.2">
      <c r="A648" s="4">
        <v>34414</v>
      </c>
      <c r="B648" s="21">
        <v>1.1501999999999999</v>
      </c>
      <c r="C648" s="22">
        <v>106.11</v>
      </c>
      <c r="D648" s="22">
        <v>6.5369999999999999</v>
      </c>
      <c r="E648" s="10">
        <v>6.39</v>
      </c>
      <c r="F648" s="22">
        <v>4.5090000000000003</v>
      </c>
      <c r="G648" s="22">
        <v>468.540009</v>
      </c>
      <c r="H648" s="22">
        <v>2130.5500489999999</v>
      </c>
      <c r="I648" s="18">
        <v>20469.449219999999</v>
      </c>
    </row>
    <row r="649" spans="1:9" x14ac:dyDescent="0.2">
      <c r="A649" s="4">
        <v>34415</v>
      </c>
      <c r="B649" s="21">
        <v>1.155</v>
      </c>
      <c r="C649" s="22">
        <v>106</v>
      </c>
      <c r="D649" s="22">
        <v>6.4349999999999996</v>
      </c>
      <c r="E649" s="10">
        <v>6.34</v>
      </c>
      <c r="F649" s="22">
        <v>4.673</v>
      </c>
      <c r="G649" s="22">
        <v>468.79998799999998</v>
      </c>
      <c r="H649" s="22">
        <v>2141.6999510000001</v>
      </c>
      <c r="I649" s="18">
        <v>20253.529299999998</v>
      </c>
    </row>
    <row r="650" spans="1:9" x14ac:dyDescent="0.2">
      <c r="A650" s="4">
        <v>34416</v>
      </c>
      <c r="B650" s="21">
        <v>1.1577</v>
      </c>
      <c r="C650" s="22">
        <v>106.31</v>
      </c>
      <c r="D650" s="22">
        <v>6.4180000000000001</v>
      </c>
      <c r="E650" s="10">
        <v>6.29</v>
      </c>
      <c r="F650" s="22">
        <v>4.593</v>
      </c>
      <c r="G650" s="22">
        <v>468.540009</v>
      </c>
      <c r="H650" s="22">
        <v>2162.959961</v>
      </c>
      <c r="I650" s="18">
        <v>19962.099610000001</v>
      </c>
    </row>
    <row r="651" spans="1:9" x14ac:dyDescent="0.2">
      <c r="A651" s="4">
        <v>34417</v>
      </c>
      <c r="B651" s="21">
        <v>1.1647000000000001</v>
      </c>
      <c r="C651" s="22">
        <v>104.51</v>
      </c>
      <c r="D651" s="22">
        <v>6.569</v>
      </c>
      <c r="E651" s="10">
        <v>6.28</v>
      </c>
      <c r="F651" s="22">
        <v>4.5380000000000003</v>
      </c>
      <c r="G651" s="22">
        <v>464.35000600000001</v>
      </c>
      <c r="H651" s="22">
        <v>2144.360107</v>
      </c>
      <c r="I651" s="18">
        <v>20037.900389999999</v>
      </c>
    </row>
    <row r="652" spans="1:9" x14ac:dyDescent="0.2">
      <c r="A652" s="4">
        <v>34418</v>
      </c>
      <c r="B652" s="21">
        <v>1.1688000000000001</v>
      </c>
      <c r="C652" s="22">
        <v>104.81</v>
      </c>
      <c r="D652" s="22">
        <v>6.5919999999999996</v>
      </c>
      <c r="E652" s="10">
        <v>6.38</v>
      </c>
      <c r="F652" s="22">
        <v>4.5140000000000002</v>
      </c>
      <c r="G652" s="22">
        <v>460.57998700000002</v>
      </c>
      <c r="H652" s="22">
        <v>2144</v>
      </c>
      <c r="I652" s="18">
        <v>19836.480469999999</v>
      </c>
    </row>
    <row r="653" spans="1:9" x14ac:dyDescent="0.2">
      <c r="A653" s="4">
        <v>34421</v>
      </c>
      <c r="B653" s="21">
        <v>1.1677999999999999</v>
      </c>
      <c r="C653" s="22">
        <v>104.06</v>
      </c>
      <c r="D653" s="22">
        <v>6.6059999999999999</v>
      </c>
      <c r="E653" s="10">
        <v>6.33</v>
      </c>
      <c r="F653" s="22">
        <v>4.49</v>
      </c>
      <c r="G653" s="22">
        <v>460</v>
      </c>
      <c r="H653" s="22">
        <v>2167.719971</v>
      </c>
      <c r="I653" s="18">
        <v>19941.789059999999</v>
      </c>
    </row>
    <row r="654" spans="1:9" x14ac:dyDescent="0.2">
      <c r="A654" s="4">
        <v>34422</v>
      </c>
      <c r="B654" s="21">
        <v>1.1712</v>
      </c>
      <c r="C654" s="22">
        <v>103.09</v>
      </c>
      <c r="D654" s="22">
        <v>6.7009999999999996</v>
      </c>
      <c r="E654" s="10">
        <v>6.29</v>
      </c>
      <c r="F654" s="22">
        <v>4.04</v>
      </c>
      <c r="G654" s="22">
        <v>452.48001099999999</v>
      </c>
      <c r="H654" s="22">
        <v>2162.820068</v>
      </c>
      <c r="I654" s="18">
        <v>19709.740229999999</v>
      </c>
    </row>
    <row r="655" spans="1:9" x14ac:dyDescent="0.2">
      <c r="A655" s="4">
        <v>34423</v>
      </c>
      <c r="B655" s="21">
        <v>1.1646000000000001</v>
      </c>
      <c r="C655" s="22">
        <v>102.96</v>
      </c>
      <c r="D655" s="22">
        <v>6.7649999999999997</v>
      </c>
      <c r="E655" s="10">
        <v>6.35</v>
      </c>
      <c r="F655" s="22">
        <v>4.3730000000000002</v>
      </c>
      <c r="G655" s="22">
        <v>445.54998799999998</v>
      </c>
      <c r="H655" s="22">
        <v>2151.8400879999999</v>
      </c>
      <c r="I655" s="18">
        <v>19559.910159999999</v>
      </c>
    </row>
    <row r="656" spans="1:9" x14ac:dyDescent="0.2">
      <c r="A656" s="4">
        <v>34424</v>
      </c>
      <c r="B656" s="21">
        <v>1.1737</v>
      </c>
      <c r="C656" s="22">
        <v>102.75</v>
      </c>
      <c r="D656" s="22">
        <v>6.774</v>
      </c>
      <c r="E656" s="10">
        <v>6.3</v>
      </c>
      <c r="F656" s="22">
        <v>4.2489999999999997</v>
      </c>
      <c r="G656" s="22">
        <v>445.76998900000001</v>
      </c>
      <c r="H656" s="22">
        <v>2142.8798830000001</v>
      </c>
      <c r="I656" s="18">
        <v>19111.91992</v>
      </c>
    </row>
    <row r="657" spans="1:9" x14ac:dyDescent="0.2">
      <c r="A657" s="4">
        <v>34425</v>
      </c>
      <c r="B657" s="21">
        <v>1.1536999999999999</v>
      </c>
      <c r="C657" s="22">
        <v>103.6</v>
      </c>
      <c r="D657" s="22">
        <v>6.774</v>
      </c>
      <c r="E657" s="10">
        <v>6.36</v>
      </c>
      <c r="F657" s="22">
        <v>4.25</v>
      </c>
      <c r="G657" s="22">
        <v>447.1</v>
      </c>
      <c r="H657" s="22">
        <v>2142.8798830000001</v>
      </c>
      <c r="I657" s="18">
        <v>19277.160159999999</v>
      </c>
    </row>
    <row r="658" spans="1:9" x14ac:dyDescent="0.2">
      <c r="A658" s="4">
        <v>34428</v>
      </c>
      <c r="B658" s="21">
        <v>1.1514</v>
      </c>
      <c r="C658" s="22">
        <v>103.24</v>
      </c>
      <c r="D658" s="22">
        <v>7.1520000000000001</v>
      </c>
      <c r="E658" s="10">
        <v>6.36</v>
      </c>
      <c r="F658" s="22">
        <v>4.2309999999999999</v>
      </c>
      <c r="G658" s="22">
        <v>438.92001299999998</v>
      </c>
      <c r="H658" s="22">
        <v>2142.8798830000001</v>
      </c>
      <c r="I658" s="18">
        <v>19122.220700000002</v>
      </c>
    </row>
    <row r="659" spans="1:9" x14ac:dyDescent="0.2">
      <c r="A659" s="4">
        <v>34429</v>
      </c>
      <c r="B659" s="21">
        <v>1.1501999999999999</v>
      </c>
      <c r="C659" s="22">
        <v>104.36</v>
      </c>
      <c r="D659" s="22">
        <v>6.95</v>
      </c>
      <c r="E659" s="10">
        <v>6.38</v>
      </c>
      <c r="F659" s="22">
        <v>4.2119999999999997</v>
      </c>
      <c r="G659" s="22">
        <v>448.290009</v>
      </c>
      <c r="H659" s="22">
        <v>2177.0900879999999</v>
      </c>
      <c r="I659" s="18">
        <v>19563.210940000001</v>
      </c>
    </row>
    <row r="660" spans="1:9" x14ac:dyDescent="0.2">
      <c r="A660" s="4">
        <v>34430</v>
      </c>
      <c r="B660" s="21">
        <v>1.1435999999999999</v>
      </c>
      <c r="C660" s="22">
        <v>104.51</v>
      </c>
      <c r="D660" s="22">
        <v>6.9039999999999999</v>
      </c>
      <c r="E660" s="10">
        <v>6.28</v>
      </c>
      <c r="F660" s="22">
        <v>4.2649999999999997</v>
      </c>
      <c r="G660" s="22">
        <v>448.04998799999998</v>
      </c>
      <c r="H660" s="22">
        <v>2184.889893</v>
      </c>
      <c r="I660" s="18">
        <v>19696.740229999999</v>
      </c>
    </row>
    <row r="661" spans="1:9" x14ac:dyDescent="0.2">
      <c r="A661" s="4">
        <v>34431</v>
      </c>
      <c r="B661" s="21">
        <v>1.1437999999999999</v>
      </c>
      <c r="C661" s="22">
        <v>104.95</v>
      </c>
      <c r="D661" s="22">
        <v>6.8490000000000002</v>
      </c>
      <c r="E661" s="10">
        <v>6.28</v>
      </c>
      <c r="F661" s="22">
        <v>4.2880000000000003</v>
      </c>
      <c r="G661" s="22">
        <v>450.88000499999998</v>
      </c>
      <c r="H661" s="22">
        <v>2202.570068</v>
      </c>
      <c r="I661" s="18">
        <v>19890.980469999999</v>
      </c>
    </row>
    <row r="662" spans="1:9" x14ac:dyDescent="0.2">
      <c r="A662" s="4">
        <v>34432</v>
      </c>
      <c r="B662" s="21">
        <v>1.1468</v>
      </c>
      <c r="C662" s="22">
        <v>105.26</v>
      </c>
      <c r="D662" s="22">
        <v>6.9329999999999998</v>
      </c>
      <c r="E662" s="10">
        <v>6.27</v>
      </c>
      <c r="F662" s="22">
        <v>4.3390000000000004</v>
      </c>
      <c r="G662" s="22">
        <v>447.10000600000001</v>
      </c>
      <c r="H662" s="22">
        <v>2203.179932</v>
      </c>
      <c r="I662" s="18">
        <v>19934.990229999999</v>
      </c>
    </row>
    <row r="663" spans="1:9" x14ac:dyDescent="0.2">
      <c r="A663" s="4">
        <v>34435</v>
      </c>
      <c r="B663" s="21">
        <v>1.1508</v>
      </c>
      <c r="C663" s="22">
        <v>103.41</v>
      </c>
      <c r="D663" s="22">
        <v>6.91</v>
      </c>
      <c r="E663" s="10">
        <v>6.26</v>
      </c>
      <c r="F663" s="22">
        <v>4.3780000000000001</v>
      </c>
      <c r="G663" s="22">
        <v>449.86999500000002</v>
      </c>
      <c r="H663" s="22">
        <v>2224.8500979999999</v>
      </c>
      <c r="I663" s="18">
        <v>19898.08008</v>
      </c>
    </row>
    <row r="664" spans="1:9" x14ac:dyDescent="0.2">
      <c r="A664" s="4">
        <v>34436</v>
      </c>
      <c r="B664" s="21">
        <v>1.1437999999999999</v>
      </c>
      <c r="C664" s="22">
        <v>103.56</v>
      </c>
      <c r="D664" s="22">
        <v>6.85</v>
      </c>
      <c r="E664" s="10">
        <v>6.22</v>
      </c>
      <c r="F664" s="22">
        <v>4.3259999999999996</v>
      </c>
      <c r="G664" s="22">
        <v>447.57000699999998</v>
      </c>
      <c r="H664" s="22">
        <v>2211.1899410000001</v>
      </c>
      <c r="I664" s="18">
        <v>19648.33008</v>
      </c>
    </row>
    <row r="665" spans="1:9" x14ac:dyDescent="0.2">
      <c r="A665" s="4">
        <v>34437</v>
      </c>
      <c r="B665" s="21">
        <v>1.1471</v>
      </c>
      <c r="C665" s="22">
        <v>103.36</v>
      </c>
      <c r="D665" s="22">
        <v>6.915</v>
      </c>
      <c r="E665" s="10">
        <v>6.26</v>
      </c>
      <c r="F665" s="22">
        <v>4.3070000000000004</v>
      </c>
      <c r="G665" s="22">
        <v>446.26001000000002</v>
      </c>
      <c r="H665" s="22">
        <v>2215.1899410000001</v>
      </c>
      <c r="I665" s="18">
        <v>20060.410159999999</v>
      </c>
    </row>
    <row r="666" spans="1:9" x14ac:dyDescent="0.2">
      <c r="A666" s="4">
        <v>34438</v>
      </c>
      <c r="B666" s="21">
        <v>1.1493</v>
      </c>
      <c r="C666" s="22">
        <v>104.28</v>
      </c>
      <c r="D666" s="22">
        <v>6.9610000000000003</v>
      </c>
      <c r="E666" s="10">
        <v>6.32</v>
      </c>
      <c r="F666" s="22">
        <v>4.298</v>
      </c>
      <c r="G666" s="22">
        <v>446.38000499999998</v>
      </c>
      <c r="H666" s="22">
        <v>2198.23999</v>
      </c>
      <c r="I666" s="18">
        <v>19987.199219999999</v>
      </c>
    </row>
    <row r="667" spans="1:9" x14ac:dyDescent="0.2">
      <c r="A667" s="4">
        <v>34439</v>
      </c>
      <c r="B667" s="21">
        <v>1.1464000000000001</v>
      </c>
      <c r="C667" s="22">
        <v>103.45</v>
      </c>
      <c r="D667" s="22">
        <v>6.9480000000000004</v>
      </c>
      <c r="E667" s="10">
        <v>6.32</v>
      </c>
      <c r="F667" s="22">
        <v>4.2750000000000004</v>
      </c>
      <c r="G667" s="22">
        <v>446.17999300000002</v>
      </c>
      <c r="H667" s="22">
        <v>2211.919922</v>
      </c>
      <c r="I667" s="18">
        <v>20164.630860000001</v>
      </c>
    </row>
    <row r="668" spans="1:9" x14ac:dyDescent="0.2">
      <c r="A668" s="4">
        <v>34442</v>
      </c>
      <c r="B668" s="21">
        <v>1.1413</v>
      </c>
      <c r="C668" s="22">
        <v>103.2</v>
      </c>
      <c r="D668" s="22">
        <v>7.117</v>
      </c>
      <c r="E668" s="10">
        <v>6.37</v>
      </c>
      <c r="F668" s="22">
        <v>4.2469999999999999</v>
      </c>
      <c r="G668" s="22">
        <v>442.459991</v>
      </c>
      <c r="H668" s="22">
        <v>2218.3701169999999</v>
      </c>
      <c r="I668" s="18">
        <v>20277.359380000002</v>
      </c>
    </row>
    <row r="669" spans="1:9" x14ac:dyDescent="0.2">
      <c r="A669" s="4">
        <v>34443</v>
      </c>
      <c r="B669" s="21">
        <v>1.153</v>
      </c>
      <c r="C669" s="22">
        <v>103.06</v>
      </c>
      <c r="D669" s="22">
        <v>7.085</v>
      </c>
      <c r="E669" s="10">
        <v>6.54</v>
      </c>
      <c r="F669" s="22">
        <v>4.3310000000000004</v>
      </c>
      <c r="G669" s="22">
        <v>442.540009</v>
      </c>
      <c r="H669" s="22">
        <v>2193.889893</v>
      </c>
      <c r="I669" s="18">
        <v>20192.339840000001</v>
      </c>
    </row>
    <row r="670" spans="1:9" x14ac:dyDescent="0.2">
      <c r="A670" s="4">
        <v>34444</v>
      </c>
      <c r="B670" s="21">
        <v>1.1565000000000001</v>
      </c>
      <c r="C670" s="22">
        <v>103.11</v>
      </c>
      <c r="D670" s="22">
        <v>7.0419999999999998</v>
      </c>
      <c r="E670" s="10">
        <v>6.59</v>
      </c>
      <c r="F670" s="22">
        <v>4.3140000000000001</v>
      </c>
      <c r="G670" s="22">
        <v>441.959991</v>
      </c>
      <c r="H670" s="22">
        <v>2194.0900879999999</v>
      </c>
      <c r="I670" s="18">
        <v>19882.179690000001</v>
      </c>
    </row>
    <row r="671" spans="1:9" x14ac:dyDescent="0.2">
      <c r="A671" s="4">
        <v>34445</v>
      </c>
      <c r="B671" s="21">
        <v>1.1617999999999999</v>
      </c>
      <c r="C671" s="22">
        <v>103.61</v>
      </c>
      <c r="D671" s="22">
        <v>6.8840000000000003</v>
      </c>
      <c r="E671" s="10">
        <v>6.64</v>
      </c>
      <c r="F671" s="22">
        <v>4.2619999999999996</v>
      </c>
      <c r="G671" s="22">
        <v>448.73001099999999</v>
      </c>
      <c r="H671" s="22">
        <v>2194.4099120000001</v>
      </c>
      <c r="I671" s="18">
        <v>19799.359380000002</v>
      </c>
    </row>
    <row r="672" spans="1:9" x14ac:dyDescent="0.2">
      <c r="A672" s="4">
        <v>34446</v>
      </c>
      <c r="B672" s="21">
        <v>1.1584000000000001</v>
      </c>
      <c r="C672" s="22">
        <v>103.26</v>
      </c>
      <c r="D672" s="22">
        <v>6.9119999999999999</v>
      </c>
      <c r="E672" s="10">
        <v>6.55</v>
      </c>
      <c r="F672" s="22">
        <v>4.2569999999999997</v>
      </c>
      <c r="G672" s="22">
        <v>447.63000499999998</v>
      </c>
      <c r="H672" s="22">
        <v>2218.1298830000001</v>
      </c>
      <c r="I672" s="18">
        <v>19964.390630000002</v>
      </c>
    </row>
    <row r="673" spans="1:9" x14ac:dyDescent="0.2">
      <c r="A673" s="4">
        <v>34449</v>
      </c>
      <c r="B673" s="21">
        <v>1.1673</v>
      </c>
      <c r="C673" s="22">
        <v>103.16</v>
      </c>
      <c r="D673" s="22">
        <v>6.8570000000000002</v>
      </c>
      <c r="E673" s="10">
        <v>6.65</v>
      </c>
      <c r="F673" s="22">
        <v>4.2389999999999999</v>
      </c>
      <c r="G673" s="22">
        <v>452.709991</v>
      </c>
      <c r="H673" s="22">
        <v>2208.679932</v>
      </c>
      <c r="I673" s="18">
        <v>19709.140630000002</v>
      </c>
    </row>
    <row r="674" spans="1:9" x14ac:dyDescent="0.2">
      <c r="A674" s="4">
        <v>34450</v>
      </c>
      <c r="B674" s="21">
        <v>1.1667000000000001</v>
      </c>
      <c r="C674" s="22">
        <v>102.81</v>
      </c>
      <c r="D674" s="22">
        <v>6.8289999999999997</v>
      </c>
      <c r="E674" s="10">
        <v>6.64</v>
      </c>
      <c r="F674" s="22">
        <v>4.3049999999999997</v>
      </c>
      <c r="G674" s="22">
        <v>451.86999500000002</v>
      </c>
      <c r="H674" s="22">
        <v>2241.360107</v>
      </c>
      <c r="I674" s="18">
        <v>19628.929690000001</v>
      </c>
    </row>
    <row r="675" spans="1:9" x14ac:dyDescent="0.2">
      <c r="A675" s="4">
        <v>34451</v>
      </c>
      <c r="B675" s="21">
        <v>1.1711</v>
      </c>
      <c r="C675" s="22">
        <v>102.35</v>
      </c>
      <c r="D675" s="22">
        <v>6.8289999999999997</v>
      </c>
      <c r="E675" s="10">
        <v>6.58</v>
      </c>
      <c r="F675" s="22">
        <v>4.2300000000000004</v>
      </c>
      <c r="G675" s="22">
        <v>451.72</v>
      </c>
      <c r="H675" s="22">
        <v>2256.9799800000001</v>
      </c>
      <c r="I675" s="18">
        <v>19729.150389999999</v>
      </c>
    </row>
    <row r="676" spans="1:9" x14ac:dyDescent="0.2">
      <c r="A676" s="4">
        <v>34452</v>
      </c>
      <c r="B676" s="21">
        <v>1.1745000000000001</v>
      </c>
      <c r="C676" s="22">
        <v>101.36</v>
      </c>
      <c r="D676" s="22">
        <v>7.016</v>
      </c>
      <c r="E676" s="10">
        <v>6.51</v>
      </c>
      <c r="F676" s="22">
        <v>4.202</v>
      </c>
      <c r="G676" s="22">
        <v>449.10000600000001</v>
      </c>
      <c r="H676" s="22">
        <v>2237.820068</v>
      </c>
      <c r="I676" s="18">
        <v>19725.25</v>
      </c>
    </row>
    <row r="677" spans="1:9" x14ac:dyDescent="0.2">
      <c r="A677" s="4">
        <v>34453</v>
      </c>
      <c r="B677" s="21">
        <v>1.1839999999999999</v>
      </c>
      <c r="C677" s="22">
        <v>101.7</v>
      </c>
      <c r="D677" s="22">
        <v>7.0350000000000001</v>
      </c>
      <c r="E677" s="10">
        <v>6.63</v>
      </c>
      <c r="F677" s="22">
        <v>4.202</v>
      </c>
      <c r="G677" s="22">
        <v>450.91000400000001</v>
      </c>
      <c r="H677" s="22">
        <v>2252.51001</v>
      </c>
      <c r="I677" s="18">
        <v>19725.25</v>
      </c>
    </row>
    <row r="678" spans="1:9" x14ac:dyDescent="0.2">
      <c r="A678" s="4">
        <v>34456</v>
      </c>
      <c r="B678" s="21">
        <v>1.1852</v>
      </c>
      <c r="C678" s="22">
        <v>101.67</v>
      </c>
      <c r="D678" s="22">
        <v>7.0780000000000003</v>
      </c>
      <c r="E678" s="10">
        <v>6.54</v>
      </c>
      <c r="F678" s="22">
        <v>4.1790000000000003</v>
      </c>
      <c r="G678" s="22">
        <v>453.01998900000001</v>
      </c>
      <c r="H678" s="22">
        <v>2266.719971</v>
      </c>
      <c r="I678" s="18">
        <v>19570.210940000001</v>
      </c>
    </row>
    <row r="679" spans="1:9" x14ac:dyDescent="0.2">
      <c r="A679" s="4">
        <v>34457</v>
      </c>
      <c r="B679" s="21">
        <v>1.1900999999999999</v>
      </c>
      <c r="C679" s="22">
        <v>101</v>
      </c>
      <c r="D679" s="22">
        <v>7.1120000000000001</v>
      </c>
      <c r="E679" s="10">
        <v>6.58</v>
      </c>
      <c r="F679" s="22">
        <v>4.1559999999999997</v>
      </c>
      <c r="G679" s="22">
        <v>453.02999899999998</v>
      </c>
      <c r="H679" s="22">
        <v>2261.709961</v>
      </c>
      <c r="I679" s="18">
        <v>19570.210940000001</v>
      </c>
    </row>
    <row r="680" spans="1:9" x14ac:dyDescent="0.2">
      <c r="A680" s="4">
        <v>34458</v>
      </c>
      <c r="B680" s="21">
        <v>1.1780999999999999</v>
      </c>
      <c r="C680" s="22">
        <v>101.86</v>
      </c>
      <c r="D680" s="22">
        <v>7.1360000000000001</v>
      </c>
      <c r="E680" s="10">
        <v>6.61</v>
      </c>
      <c r="F680" s="22">
        <v>4.1559999999999997</v>
      </c>
      <c r="G680" s="22">
        <v>451.72000100000002</v>
      </c>
      <c r="H680" s="22">
        <v>2241.8500979999999</v>
      </c>
      <c r="I680" s="18">
        <v>19570.210940000001</v>
      </c>
    </row>
    <row r="681" spans="1:9" x14ac:dyDescent="0.2">
      <c r="A681" s="4">
        <v>34459</v>
      </c>
      <c r="B681" s="21">
        <v>1.1737</v>
      </c>
      <c r="C681" s="22">
        <v>102.9</v>
      </c>
      <c r="D681" s="22">
        <v>7.093</v>
      </c>
      <c r="E681" s="10">
        <v>6.72</v>
      </c>
      <c r="F681" s="22">
        <v>4.1559999999999997</v>
      </c>
      <c r="G681" s="22">
        <v>451.38000499999998</v>
      </c>
      <c r="H681" s="22">
        <v>2249.780029</v>
      </c>
      <c r="I681" s="18">
        <v>19570.210940000001</v>
      </c>
    </row>
    <row r="682" spans="1:9" x14ac:dyDescent="0.2">
      <c r="A682" s="4">
        <v>34460</v>
      </c>
      <c r="B682" s="21">
        <v>1.1758</v>
      </c>
      <c r="C682" s="22">
        <v>102.41</v>
      </c>
      <c r="D682" s="22">
        <v>7.3339999999999996</v>
      </c>
      <c r="E682" s="10">
        <v>6.72</v>
      </c>
      <c r="F682" s="22">
        <v>4.2069999999999999</v>
      </c>
      <c r="G682" s="22">
        <v>447.82000699999998</v>
      </c>
      <c r="H682" s="22">
        <v>2233.5500489999999</v>
      </c>
      <c r="I682" s="18">
        <v>19862.470700000002</v>
      </c>
    </row>
    <row r="683" spans="1:9" x14ac:dyDescent="0.2">
      <c r="A683" s="4">
        <v>34463</v>
      </c>
      <c r="B683" s="21">
        <v>1.1825000000000001</v>
      </c>
      <c r="C683" s="22">
        <v>102.71</v>
      </c>
      <c r="D683" s="22">
        <v>7.4749999999999996</v>
      </c>
      <c r="E683" s="10">
        <v>6.75</v>
      </c>
      <c r="F683" s="22">
        <v>4.1980000000000004</v>
      </c>
      <c r="G683" s="22">
        <v>442.32000699999998</v>
      </c>
      <c r="H683" s="22">
        <v>2218.7700199999999</v>
      </c>
      <c r="I683" s="18">
        <v>19786.960940000001</v>
      </c>
    </row>
    <row r="684" spans="1:9" x14ac:dyDescent="0.2">
      <c r="A684" s="4">
        <v>34464</v>
      </c>
      <c r="B684" s="21">
        <v>1.1742999999999999</v>
      </c>
      <c r="C684" s="22">
        <v>104.46</v>
      </c>
      <c r="D684" s="22">
        <v>7.2809999999999997</v>
      </c>
      <c r="E684" s="10">
        <v>6.63</v>
      </c>
      <c r="F684" s="22">
        <v>4.1980000000000004</v>
      </c>
      <c r="G684" s="22">
        <v>446.01001000000002</v>
      </c>
      <c r="H684" s="22">
        <v>2241.3400879999999</v>
      </c>
      <c r="I684" s="18">
        <v>19917.779299999998</v>
      </c>
    </row>
    <row r="685" spans="1:9" x14ac:dyDescent="0.2">
      <c r="A685" s="4">
        <v>34465</v>
      </c>
      <c r="B685" s="21">
        <v>1.1707000000000001</v>
      </c>
      <c r="C685" s="22">
        <v>104.31</v>
      </c>
      <c r="D685" s="22">
        <v>7.4119999999999999</v>
      </c>
      <c r="E685" s="10">
        <v>6.59</v>
      </c>
      <c r="F685" s="22">
        <v>4.1980000000000004</v>
      </c>
      <c r="G685" s="22">
        <v>441.48998999999998</v>
      </c>
      <c r="H685" s="22">
        <v>2248.0200199999999</v>
      </c>
      <c r="I685" s="18">
        <v>20150.130860000001</v>
      </c>
    </row>
    <row r="686" spans="1:9" x14ac:dyDescent="0.2">
      <c r="A686" s="4">
        <v>34466</v>
      </c>
      <c r="B686" s="21">
        <v>1.173</v>
      </c>
      <c r="C686" s="22">
        <v>104.31</v>
      </c>
      <c r="D686" s="22">
        <v>7.3479999999999999</v>
      </c>
      <c r="E686" s="10">
        <v>6.59</v>
      </c>
      <c r="F686" s="22">
        <v>4.133</v>
      </c>
      <c r="G686" s="22">
        <v>443.75</v>
      </c>
      <c r="H686" s="22">
        <v>2248.0200199999999</v>
      </c>
      <c r="I686" s="18">
        <v>20224.240229999999</v>
      </c>
    </row>
    <row r="687" spans="1:9" x14ac:dyDescent="0.2">
      <c r="A687" s="4">
        <v>34467</v>
      </c>
      <c r="B687" s="21">
        <v>1.1754</v>
      </c>
      <c r="C687" s="22">
        <v>104.95</v>
      </c>
      <c r="D687" s="22">
        <v>7.2770000000000001</v>
      </c>
      <c r="E687" s="10">
        <v>6.58</v>
      </c>
      <c r="F687" s="22">
        <v>4.0780000000000003</v>
      </c>
      <c r="G687" s="22">
        <v>444.14001500000001</v>
      </c>
      <c r="H687" s="22">
        <v>2257.330078</v>
      </c>
      <c r="I687" s="18">
        <v>20270.75</v>
      </c>
    </row>
    <row r="688" spans="1:9" x14ac:dyDescent="0.2">
      <c r="A688" s="4">
        <v>34470</v>
      </c>
      <c r="B688" s="21">
        <v>1.1697</v>
      </c>
      <c r="C688" s="22">
        <v>104.8</v>
      </c>
      <c r="D688" s="22">
        <v>7.2320000000000002</v>
      </c>
      <c r="E688" s="10">
        <v>6.54</v>
      </c>
      <c r="F688" s="22">
        <v>4.0419999999999998</v>
      </c>
      <c r="G688" s="22">
        <v>444.48998999999998</v>
      </c>
      <c r="H688" s="22">
        <v>2272.959961</v>
      </c>
      <c r="I688" s="18">
        <v>20188.439450000002</v>
      </c>
    </row>
    <row r="689" spans="1:9" x14ac:dyDescent="0.2">
      <c r="A689" s="4">
        <v>34471</v>
      </c>
      <c r="B689" s="21">
        <v>1.1748000000000001</v>
      </c>
      <c r="C689" s="22">
        <v>104.6</v>
      </c>
      <c r="D689" s="22">
        <v>7.0860000000000003</v>
      </c>
      <c r="E689" s="10">
        <v>6.54</v>
      </c>
      <c r="F689" s="22">
        <v>4.0469999999999997</v>
      </c>
      <c r="G689" s="22">
        <v>449.36999500000002</v>
      </c>
      <c r="H689" s="22">
        <v>2268.110107</v>
      </c>
      <c r="I689" s="18">
        <v>20133.529299999998</v>
      </c>
    </row>
    <row r="690" spans="1:9" x14ac:dyDescent="0.2">
      <c r="A690" s="4">
        <v>34472</v>
      </c>
      <c r="B690" s="21">
        <v>1.1815</v>
      </c>
      <c r="C690" s="22">
        <v>103.56</v>
      </c>
      <c r="D690" s="22">
        <v>7.016</v>
      </c>
      <c r="E690" s="10">
        <v>6.47</v>
      </c>
      <c r="F690" s="22">
        <v>3.9790000000000001</v>
      </c>
      <c r="G690" s="22">
        <v>453.69000199999999</v>
      </c>
      <c r="H690" s="22">
        <v>2254.209961</v>
      </c>
      <c r="I690" s="18">
        <v>20152.730469999999</v>
      </c>
    </row>
    <row r="691" spans="1:9" x14ac:dyDescent="0.2">
      <c r="A691" s="4">
        <v>34473</v>
      </c>
      <c r="B691" s="21">
        <v>1.1842999999999999</v>
      </c>
      <c r="C691" s="22">
        <v>104.33</v>
      </c>
      <c r="D691" s="22">
        <v>6.9470000000000001</v>
      </c>
      <c r="E691" s="10">
        <v>6.47</v>
      </c>
      <c r="F691" s="22">
        <v>3.9289999999999998</v>
      </c>
      <c r="G691" s="22">
        <v>456.48001099999999</v>
      </c>
      <c r="H691" s="22">
        <v>2245.790039</v>
      </c>
      <c r="I691" s="18">
        <v>20221.339840000001</v>
      </c>
    </row>
    <row r="692" spans="1:9" x14ac:dyDescent="0.2">
      <c r="A692" s="4">
        <v>34474</v>
      </c>
      <c r="B692" s="21">
        <v>1.1902999999999999</v>
      </c>
      <c r="C692" s="22">
        <v>104.3</v>
      </c>
      <c r="D692" s="22">
        <v>7.0119999999999996</v>
      </c>
      <c r="E692" s="10">
        <v>6.48</v>
      </c>
      <c r="F692" s="22">
        <v>3.9470000000000001</v>
      </c>
      <c r="G692" s="22">
        <v>454.92001299999998</v>
      </c>
      <c r="H692" s="22">
        <v>2238.969971</v>
      </c>
      <c r="I692" s="18">
        <v>20342.16992</v>
      </c>
    </row>
    <row r="693" spans="1:9" x14ac:dyDescent="0.2">
      <c r="A693" s="4">
        <v>34477</v>
      </c>
      <c r="B693" s="21">
        <v>1.1895</v>
      </c>
      <c r="C693" s="22">
        <v>104.4</v>
      </c>
      <c r="D693" s="22">
        <v>7.1790000000000003</v>
      </c>
      <c r="E693" s="10">
        <v>6.48</v>
      </c>
      <c r="F693" s="22">
        <v>4.0110000000000001</v>
      </c>
      <c r="G693" s="22">
        <v>453.20001200000002</v>
      </c>
      <c r="H693" s="22">
        <v>2238.969971</v>
      </c>
      <c r="I693" s="18">
        <v>20568.710940000001</v>
      </c>
    </row>
    <row r="694" spans="1:9" x14ac:dyDescent="0.2">
      <c r="A694" s="4">
        <v>34478</v>
      </c>
      <c r="B694" s="21">
        <v>1.1883999999999999</v>
      </c>
      <c r="C694" s="22">
        <v>104.72</v>
      </c>
      <c r="D694" s="22">
        <v>7.1479999999999997</v>
      </c>
      <c r="E694" s="10">
        <v>6.65</v>
      </c>
      <c r="F694" s="22">
        <v>4.0060000000000002</v>
      </c>
      <c r="G694" s="22">
        <v>454.80999800000001</v>
      </c>
      <c r="H694" s="22">
        <v>2188.01001</v>
      </c>
      <c r="I694" s="18">
        <v>20622.119139999999</v>
      </c>
    </row>
    <row r="695" spans="1:9" x14ac:dyDescent="0.2">
      <c r="A695" s="4">
        <v>34479</v>
      </c>
      <c r="B695" s="21">
        <v>1.1900999999999999</v>
      </c>
      <c r="C695" s="22">
        <v>104.4</v>
      </c>
      <c r="D695" s="22">
        <v>7.117</v>
      </c>
      <c r="E695" s="10">
        <v>6.67</v>
      </c>
      <c r="F695" s="22">
        <v>3.952</v>
      </c>
      <c r="G695" s="22">
        <v>456.33999599999999</v>
      </c>
      <c r="H695" s="22">
        <v>2137.5600589999999</v>
      </c>
      <c r="I695" s="18">
        <v>20663.630860000001</v>
      </c>
    </row>
    <row r="696" spans="1:9" x14ac:dyDescent="0.2">
      <c r="A696" s="4">
        <v>34480</v>
      </c>
      <c r="B696" s="21">
        <v>1.1901999999999999</v>
      </c>
      <c r="C696" s="22">
        <v>104.68</v>
      </c>
      <c r="D696" s="22">
        <v>7.0860000000000003</v>
      </c>
      <c r="E696" s="10">
        <v>6.79</v>
      </c>
      <c r="F696" s="22">
        <v>3.8929999999999998</v>
      </c>
      <c r="G696" s="22">
        <v>457.05999800000001</v>
      </c>
      <c r="H696" s="22">
        <v>2146</v>
      </c>
      <c r="I696" s="18">
        <v>20495.800780000001</v>
      </c>
    </row>
    <row r="697" spans="1:9" x14ac:dyDescent="0.2">
      <c r="A697" s="4">
        <v>34481</v>
      </c>
      <c r="B697" s="21">
        <v>1.1904999999999999</v>
      </c>
      <c r="C697" s="22">
        <v>104.3</v>
      </c>
      <c r="D697" s="22">
        <v>7.1070000000000002</v>
      </c>
      <c r="E697" s="10">
        <v>6.77</v>
      </c>
      <c r="F697" s="22">
        <v>3.8980000000000001</v>
      </c>
      <c r="G697" s="22">
        <v>457.32998700000002</v>
      </c>
      <c r="H697" s="22">
        <v>2112.8000489999999</v>
      </c>
      <c r="I697" s="18">
        <v>20777.160159999999</v>
      </c>
    </row>
    <row r="698" spans="1:9" x14ac:dyDescent="0.2">
      <c r="A698" s="4">
        <v>34484</v>
      </c>
      <c r="B698" s="21">
        <v>1.1904999999999999</v>
      </c>
      <c r="C698" s="22">
        <v>104.57</v>
      </c>
      <c r="D698" s="22">
        <v>7.1070000000000002</v>
      </c>
      <c r="E698" s="10">
        <v>6.82</v>
      </c>
      <c r="F698" s="22">
        <v>3.8980000000000001</v>
      </c>
      <c r="G698" s="22">
        <v>458.88</v>
      </c>
      <c r="H698" s="22">
        <v>2129.76001</v>
      </c>
      <c r="I698" s="18">
        <v>20838.970700000002</v>
      </c>
    </row>
    <row r="699" spans="1:9" x14ac:dyDescent="0.2">
      <c r="A699" s="4">
        <v>34485</v>
      </c>
      <c r="B699" s="21">
        <v>1.1909000000000001</v>
      </c>
      <c r="C699" s="22">
        <v>104.78</v>
      </c>
      <c r="D699" s="22">
        <v>7.1520000000000001</v>
      </c>
      <c r="E699" s="10">
        <v>6.94</v>
      </c>
      <c r="F699" s="22">
        <v>3.948</v>
      </c>
      <c r="G699" s="22">
        <v>456.5</v>
      </c>
      <c r="H699" s="22">
        <v>2137.3400879999999</v>
      </c>
      <c r="I699" s="18">
        <v>20973.589840000001</v>
      </c>
    </row>
    <row r="700" spans="1:9" x14ac:dyDescent="0.2">
      <c r="A700" s="4">
        <v>34486</v>
      </c>
      <c r="B700" s="21">
        <v>1.1909000000000001</v>
      </c>
      <c r="C700" s="22">
        <v>104.53</v>
      </c>
      <c r="D700" s="22">
        <v>7.1070000000000002</v>
      </c>
      <c r="E700" s="10">
        <v>7.04</v>
      </c>
      <c r="F700" s="22">
        <v>4.0570000000000004</v>
      </c>
      <c r="G700" s="22">
        <v>457.63000499999998</v>
      </c>
      <c r="H700" s="22">
        <v>2113.6201169999999</v>
      </c>
      <c r="I700" s="18">
        <v>21053.109380000002</v>
      </c>
    </row>
    <row r="701" spans="1:9" x14ac:dyDescent="0.2">
      <c r="A701" s="4">
        <v>34487</v>
      </c>
      <c r="B701" s="21">
        <v>1.1857</v>
      </c>
      <c r="C701" s="22">
        <v>104.85</v>
      </c>
      <c r="D701" s="22">
        <v>7.0590000000000002</v>
      </c>
      <c r="E701" s="10">
        <v>7.04</v>
      </c>
      <c r="F701" s="22">
        <v>4.1399999999999997</v>
      </c>
      <c r="G701" s="22">
        <v>457.64999399999999</v>
      </c>
      <c r="H701" s="22">
        <v>2113.6201169999999</v>
      </c>
      <c r="I701" s="18">
        <v>21009</v>
      </c>
    </row>
    <row r="702" spans="1:9" x14ac:dyDescent="0.2">
      <c r="A702" s="4">
        <v>34488</v>
      </c>
      <c r="B702" s="21">
        <v>1.1744000000000001</v>
      </c>
      <c r="C702" s="22">
        <v>105.45</v>
      </c>
      <c r="D702" s="22">
        <v>6.9630000000000001</v>
      </c>
      <c r="E702" s="10">
        <v>7.07</v>
      </c>
      <c r="F702" s="22">
        <v>4.2709999999999999</v>
      </c>
      <c r="G702" s="22">
        <v>460.13000499999998</v>
      </c>
      <c r="H702" s="22">
        <v>2158.8798830000001</v>
      </c>
      <c r="I702" s="18">
        <v>20954.189450000002</v>
      </c>
    </row>
    <row r="703" spans="1:9" x14ac:dyDescent="0.2">
      <c r="A703" s="4">
        <v>34491</v>
      </c>
      <c r="B703" s="21">
        <v>1.1733</v>
      </c>
      <c r="C703" s="22">
        <v>105.29</v>
      </c>
      <c r="D703" s="22">
        <v>6.8890000000000002</v>
      </c>
      <c r="E703" s="10">
        <v>6.93</v>
      </c>
      <c r="F703" s="22">
        <v>4.319</v>
      </c>
      <c r="G703" s="22">
        <v>458.88000499999998</v>
      </c>
      <c r="H703" s="22">
        <v>2163.5900879999999</v>
      </c>
      <c r="I703" s="18">
        <v>20726.650389999999</v>
      </c>
    </row>
    <row r="704" spans="1:9" x14ac:dyDescent="0.2">
      <c r="A704" s="4">
        <v>34492</v>
      </c>
      <c r="B704" s="21">
        <v>1.1736</v>
      </c>
      <c r="C704" s="22">
        <v>104.17</v>
      </c>
      <c r="D704" s="22">
        <v>6.9359999999999999</v>
      </c>
      <c r="E704" s="10">
        <v>7</v>
      </c>
      <c r="F704" s="22">
        <v>4.4340000000000002</v>
      </c>
      <c r="G704" s="22">
        <v>458.209991</v>
      </c>
      <c r="H704" s="22">
        <v>2131.8000489999999</v>
      </c>
      <c r="I704" s="18">
        <v>21042.710940000001</v>
      </c>
    </row>
    <row r="705" spans="1:9" x14ac:dyDescent="0.2">
      <c r="A705" s="4">
        <v>34493</v>
      </c>
      <c r="B705" s="21">
        <v>1.1733</v>
      </c>
      <c r="C705" s="22">
        <v>104</v>
      </c>
      <c r="D705" s="22">
        <v>6.9450000000000003</v>
      </c>
      <c r="E705" s="10">
        <v>6.96</v>
      </c>
      <c r="F705" s="22">
        <v>4.3810000000000002</v>
      </c>
      <c r="G705" s="22">
        <v>457.05999800000001</v>
      </c>
      <c r="H705" s="22">
        <v>2143.929932</v>
      </c>
      <c r="I705" s="18">
        <v>21261.949219999999</v>
      </c>
    </row>
    <row r="706" spans="1:9" x14ac:dyDescent="0.2">
      <c r="A706" s="4">
        <v>34494</v>
      </c>
      <c r="B706" s="21">
        <v>1.1726000000000001</v>
      </c>
      <c r="C706" s="22">
        <v>103.95</v>
      </c>
      <c r="D706" s="22">
        <v>6.9580000000000002</v>
      </c>
      <c r="E706" s="10">
        <v>6.92</v>
      </c>
      <c r="F706" s="22">
        <v>4.367</v>
      </c>
      <c r="G706" s="22">
        <v>457.85998499999999</v>
      </c>
      <c r="H706" s="22">
        <v>2131.139893</v>
      </c>
      <c r="I706" s="18">
        <v>21402.779299999998</v>
      </c>
    </row>
    <row r="707" spans="1:9" x14ac:dyDescent="0.2">
      <c r="A707" s="4">
        <v>34495</v>
      </c>
      <c r="B707" s="21">
        <v>1.1762999999999999</v>
      </c>
      <c r="C707" s="22">
        <v>103.6</v>
      </c>
      <c r="D707" s="22">
        <v>7.0140000000000002</v>
      </c>
      <c r="E707" s="10">
        <v>6.9</v>
      </c>
      <c r="F707" s="22">
        <v>4.32</v>
      </c>
      <c r="G707" s="22">
        <v>458.67001299999998</v>
      </c>
      <c r="H707" s="22">
        <v>2143.580078</v>
      </c>
      <c r="I707" s="18">
        <v>21395.179690000001</v>
      </c>
    </row>
    <row r="708" spans="1:9" x14ac:dyDescent="0.2">
      <c r="A708" s="4">
        <v>34498</v>
      </c>
      <c r="B708" s="21">
        <v>1.1871</v>
      </c>
      <c r="C708" s="22">
        <v>102.9</v>
      </c>
      <c r="D708" s="22">
        <v>7.0540000000000003</v>
      </c>
      <c r="E708" s="10">
        <v>6.95</v>
      </c>
      <c r="F708" s="22">
        <v>4.3959999999999999</v>
      </c>
      <c r="G708" s="22">
        <v>459.10000600000001</v>
      </c>
      <c r="H708" s="22">
        <v>2084.419922</v>
      </c>
      <c r="I708" s="18">
        <v>21552.810549999998</v>
      </c>
    </row>
    <row r="709" spans="1:9" x14ac:dyDescent="0.2">
      <c r="A709" s="4">
        <v>34499</v>
      </c>
      <c r="B709" s="21">
        <v>1.1900999999999999</v>
      </c>
      <c r="C709" s="22">
        <v>102.78</v>
      </c>
      <c r="D709" s="22">
        <v>6.9880000000000004</v>
      </c>
      <c r="E709" s="10">
        <v>7.09</v>
      </c>
      <c r="F709" s="22">
        <v>4.4109999999999996</v>
      </c>
      <c r="G709" s="22">
        <v>462.36999500000002</v>
      </c>
      <c r="H709" s="22">
        <v>2088.4399410000001</v>
      </c>
      <c r="I709" s="18">
        <v>21353.970700000002</v>
      </c>
    </row>
    <row r="710" spans="1:9" x14ac:dyDescent="0.2">
      <c r="A710" s="4">
        <v>34500</v>
      </c>
      <c r="B710" s="21">
        <v>1.1961999999999999</v>
      </c>
      <c r="C710" s="22">
        <v>102.8</v>
      </c>
      <c r="D710" s="22">
        <v>7.0759999999999996</v>
      </c>
      <c r="E710" s="10">
        <v>7.12</v>
      </c>
      <c r="F710" s="22">
        <v>4.3579999999999997</v>
      </c>
      <c r="G710" s="22">
        <v>460.60998499999999</v>
      </c>
      <c r="H710" s="22">
        <v>2073.209961</v>
      </c>
      <c r="I710" s="18">
        <v>21282.960940000001</v>
      </c>
    </row>
    <row r="711" spans="1:9" x14ac:dyDescent="0.2">
      <c r="A711" s="4">
        <v>34501</v>
      </c>
      <c r="B711" s="21">
        <v>1.1970000000000001</v>
      </c>
      <c r="C711" s="22">
        <v>103.5</v>
      </c>
      <c r="D711" s="22">
        <v>7.0579999999999998</v>
      </c>
      <c r="E711" s="10">
        <v>7.18</v>
      </c>
      <c r="F711" s="22">
        <v>4.3339999999999996</v>
      </c>
      <c r="G711" s="22">
        <v>461.92999300000002</v>
      </c>
      <c r="H711" s="22">
        <v>2047.290039</v>
      </c>
      <c r="I711" s="18">
        <v>21367.470700000002</v>
      </c>
    </row>
    <row r="712" spans="1:9" x14ac:dyDescent="0.2">
      <c r="A712" s="4">
        <v>34502</v>
      </c>
      <c r="B712" s="21">
        <v>1.1973</v>
      </c>
      <c r="C712" s="22">
        <v>102.75</v>
      </c>
      <c r="D712" s="22">
        <v>7.1189999999999998</v>
      </c>
      <c r="E712" s="10">
        <v>7.13</v>
      </c>
      <c r="F712" s="22">
        <v>4.5229999999999997</v>
      </c>
      <c r="G712" s="22">
        <v>458.45001200000002</v>
      </c>
      <c r="H712" s="22">
        <v>2031.8000489999999</v>
      </c>
      <c r="I712" s="18">
        <v>21503.300780000001</v>
      </c>
    </row>
    <row r="713" spans="1:9" x14ac:dyDescent="0.2">
      <c r="A713" s="4">
        <v>34505</v>
      </c>
      <c r="B713" s="21">
        <v>1.2189000000000001</v>
      </c>
      <c r="C713" s="22">
        <v>102.02</v>
      </c>
      <c r="D713" s="22">
        <v>7.1459999999999999</v>
      </c>
      <c r="E713" s="10">
        <v>7.31</v>
      </c>
      <c r="F713" s="22">
        <v>4.6470000000000002</v>
      </c>
      <c r="G713" s="22">
        <v>455.48001099999999</v>
      </c>
      <c r="H713" s="22">
        <v>1986.420044</v>
      </c>
      <c r="I713" s="18">
        <v>21152.029299999998</v>
      </c>
    </row>
    <row r="714" spans="1:9" x14ac:dyDescent="0.2">
      <c r="A714" s="4">
        <v>34506</v>
      </c>
      <c r="B714" s="21">
        <v>1.218</v>
      </c>
      <c r="C714" s="22">
        <v>100.3</v>
      </c>
      <c r="D714" s="22">
        <v>7.2039999999999997</v>
      </c>
      <c r="E714" s="10">
        <v>7.3</v>
      </c>
      <c r="F714" s="22">
        <v>4.5389999999999997</v>
      </c>
      <c r="G714" s="22">
        <v>451.33999599999999</v>
      </c>
      <c r="H714" s="22">
        <v>1957.079956</v>
      </c>
      <c r="I714" s="18">
        <v>20813.160159999999</v>
      </c>
    </row>
    <row r="715" spans="1:9" x14ac:dyDescent="0.2">
      <c r="A715" s="4">
        <v>34507</v>
      </c>
      <c r="B715" s="21">
        <v>1.2185999999999999</v>
      </c>
      <c r="C715" s="22">
        <v>101.2</v>
      </c>
      <c r="D715" s="22">
        <v>7.1059999999999999</v>
      </c>
      <c r="E715" s="10">
        <v>7.23</v>
      </c>
      <c r="F715" s="22">
        <v>4.4489999999999998</v>
      </c>
      <c r="G715" s="22">
        <v>453.08999599999999</v>
      </c>
      <c r="H715" s="22">
        <v>2004.9300539999999</v>
      </c>
      <c r="I715" s="18">
        <v>20581.320309999999</v>
      </c>
    </row>
    <row r="716" spans="1:9" x14ac:dyDescent="0.2">
      <c r="A716" s="4">
        <v>34508</v>
      </c>
      <c r="B716" s="21">
        <v>1.2168000000000001</v>
      </c>
      <c r="C716" s="22">
        <v>101.4</v>
      </c>
      <c r="D716" s="22">
        <v>7.0839999999999996</v>
      </c>
      <c r="E716" s="10">
        <v>6.98</v>
      </c>
      <c r="F716" s="22">
        <v>4.4240000000000004</v>
      </c>
      <c r="G716" s="22">
        <v>449.63000499999998</v>
      </c>
      <c r="H716" s="22">
        <v>2032.5200199999999</v>
      </c>
      <c r="I716" s="18">
        <v>21040.210940000001</v>
      </c>
    </row>
    <row r="717" spans="1:9" x14ac:dyDescent="0.2">
      <c r="A717" s="4">
        <v>34509</v>
      </c>
      <c r="B717" s="21">
        <v>1.2213000000000001</v>
      </c>
      <c r="C717" s="22">
        <v>100.6</v>
      </c>
      <c r="D717" s="22">
        <v>7.1989999999999998</v>
      </c>
      <c r="E717" s="10">
        <v>7.07</v>
      </c>
      <c r="F717" s="22">
        <v>4.2690000000000001</v>
      </c>
      <c r="G717" s="22">
        <v>442.79998799999998</v>
      </c>
      <c r="H717" s="22">
        <v>2005.0699460000001</v>
      </c>
      <c r="I717" s="18">
        <v>20766.75</v>
      </c>
    </row>
    <row r="718" spans="1:9" x14ac:dyDescent="0.2">
      <c r="A718" s="4">
        <v>34512</v>
      </c>
      <c r="B718" s="21">
        <v>1.2375</v>
      </c>
      <c r="C718" s="22">
        <v>100.45</v>
      </c>
      <c r="D718" s="22">
        <v>7.15</v>
      </c>
      <c r="E718" s="10">
        <v>7.11</v>
      </c>
      <c r="F718" s="22">
        <v>4.2990000000000004</v>
      </c>
      <c r="G718" s="22">
        <v>447.30999800000001</v>
      </c>
      <c r="H718" s="22">
        <v>2000.4799800000001</v>
      </c>
      <c r="I718" s="18">
        <v>20300.960940000001</v>
      </c>
    </row>
    <row r="719" spans="1:9" x14ac:dyDescent="0.2">
      <c r="A719" s="4">
        <v>34513</v>
      </c>
      <c r="B719" s="21">
        <v>1.2307999999999999</v>
      </c>
      <c r="C719" s="22">
        <v>100.05</v>
      </c>
      <c r="D719" s="22">
        <v>7.2439999999999998</v>
      </c>
      <c r="E719" s="10">
        <v>6.96</v>
      </c>
      <c r="F719" s="22">
        <v>4.399</v>
      </c>
      <c r="G719" s="22">
        <v>446.07000699999998</v>
      </c>
      <c r="H719" s="22">
        <v>2022.25</v>
      </c>
      <c r="I719" s="18">
        <v>20639.230469999999</v>
      </c>
    </row>
    <row r="720" spans="1:9" x14ac:dyDescent="0.2">
      <c r="A720" s="4">
        <v>34514</v>
      </c>
      <c r="B720" s="21">
        <v>1.2317</v>
      </c>
      <c r="C720" s="22">
        <v>98.8</v>
      </c>
      <c r="D720" s="22">
        <v>7.23</v>
      </c>
      <c r="E720" s="10">
        <v>6.95</v>
      </c>
      <c r="F720" s="22">
        <v>4.359</v>
      </c>
      <c r="G720" s="22">
        <v>447.63000499999998</v>
      </c>
      <c r="H720" s="22">
        <v>2042.4499510000001</v>
      </c>
      <c r="I720" s="18">
        <v>20481</v>
      </c>
    </row>
    <row r="721" spans="1:9" x14ac:dyDescent="0.2">
      <c r="A721" s="4">
        <v>34515</v>
      </c>
      <c r="B721" s="21">
        <v>1.2238</v>
      </c>
      <c r="C721" s="22">
        <v>98.44</v>
      </c>
      <c r="D721" s="22">
        <v>7.3289999999999997</v>
      </c>
      <c r="E721" s="10">
        <v>6.92</v>
      </c>
      <c r="F721" s="22">
        <v>4.3940000000000001</v>
      </c>
      <c r="G721" s="22">
        <v>444.26998900000001</v>
      </c>
      <c r="H721" s="22">
        <v>2020.849976</v>
      </c>
      <c r="I721" s="18">
        <v>20643.929690000001</v>
      </c>
    </row>
    <row r="722" spans="1:9" x14ac:dyDescent="0.2">
      <c r="A722" s="4">
        <v>34516</v>
      </c>
      <c r="B722" s="21">
        <v>1.2216</v>
      </c>
      <c r="C722" s="22">
        <v>98.75</v>
      </c>
      <c r="D722" s="22">
        <v>7.32</v>
      </c>
      <c r="E722" s="10">
        <v>7.07</v>
      </c>
      <c r="F722" s="22">
        <v>4.3440000000000003</v>
      </c>
      <c r="G722" s="22">
        <v>446.20001200000002</v>
      </c>
      <c r="H722" s="22">
        <v>2040.6899410000001</v>
      </c>
      <c r="I722" s="18">
        <v>20543.410159999999</v>
      </c>
    </row>
    <row r="723" spans="1:9" x14ac:dyDescent="0.2">
      <c r="A723" s="4">
        <v>34519</v>
      </c>
      <c r="B723" s="21">
        <v>1.2213000000000001</v>
      </c>
      <c r="C723" s="22">
        <v>99</v>
      </c>
      <c r="D723" s="22">
        <v>7.32</v>
      </c>
      <c r="E723" s="10">
        <v>7.04</v>
      </c>
      <c r="F723" s="22">
        <v>4.3440000000000003</v>
      </c>
      <c r="G723" s="22">
        <v>448.06</v>
      </c>
      <c r="H723" s="22">
        <v>2061.6999510000001</v>
      </c>
      <c r="I723" s="18">
        <v>20631.929690000001</v>
      </c>
    </row>
    <row r="724" spans="1:9" x14ac:dyDescent="0.2">
      <c r="A724" s="4">
        <v>34520</v>
      </c>
      <c r="B724" s="21">
        <v>1.2297</v>
      </c>
      <c r="C724" s="22">
        <v>99</v>
      </c>
      <c r="D724" s="22">
        <v>7.298</v>
      </c>
      <c r="E724" s="10">
        <v>7.09</v>
      </c>
      <c r="F724" s="22">
        <v>4.4539999999999997</v>
      </c>
      <c r="G724" s="22">
        <v>446.36999500000002</v>
      </c>
      <c r="H724" s="22">
        <v>2034.6400149999999</v>
      </c>
      <c r="I724" s="18">
        <v>20834.369139999999</v>
      </c>
    </row>
    <row r="725" spans="1:9" x14ac:dyDescent="0.2">
      <c r="A725" s="4">
        <v>34521</v>
      </c>
      <c r="B725" s="21">
        <v>1.2401</v>
      </c>
      <c r="C725" s="22">
        <v>99</v>
      </c>
      <c r="D725" s="22">
        <v>7.3019999999999996</v>
      </c>
      <c r="E725" s="10">
        <v>7.08</v>
      </c>
      <c r="F725" s="22">
        <v>4.444</v>
      </c>
      <c r="G725" s="22">
        <v>446.13000499999998</v>
      </c>
      <c r="H725" s="22">
        <v>2031.329956</v>
      </c>
      <c r="I725" s="18">
        <v>20629.029299999998</v>
      </c>
    </row>
    <row r="726" spans="1:9" x14ac:dyDescent="0.2">
      <c r="A726" s="4">
        <v>34522</v>
      </c>
      <c r="B726" s="21">
        <v>1.2359</v>
      </c>
      <c r="C726" s="22">
        <v>98.6</v>
      </c>
      <c r="D726" s="22">
        <v>7.2750000000000004</v>
      </c>
      <c r="E726" s="10">
        <v>7.06</v>
      </c>
      <c r="F726" s="22">
        <v>4.4740000000000002</v>
      </c>
      <c r="G726" s="22">
        <v>448.38000499999998</v>
      </c>
      <c r="H726" s="22">
        <v>2049.1000979999999</v>
      </c>
      <c r="I726" s="18">
        <v>20620.019530000001</v>
      </c>
    </row>
    <row r="727" spans="1:9" x14ac:dyDescent="0.2">
      <c r="A727" s="4">
        <v>34523</v>
      </c>
      <c r="B727" s="21">
        <v>1.2365999999999999</v>
      </c>
      <c r="C727" s="22">
        <v>98.1</v>
      </c>
      <c r="D727" s="22">
        <v>7.4020000000000001</v>
      </c>
      <c r="E727" s="10">
        <v>7.04</v>
      </c>
      <c r="F727" s="22">
        <v>4.3739999999999997</v>
      </c>
      <c r="G727" s="22">
        <v>449.54998799999998</v>
      </c>
      <c r="H727" s="22">
        <v>2047.829956</v>
      </c>
      <c r="I727" s="18">
        <v>20526.509770000001</v>
      </c>
    </row>
    <row r="728" spans="1:9" x14ac:dyDescent="0.2">
      <c r="A728" s="4">
        <v>34526</v>
      </c>
      <c r="B728" s="21">
        <v>1.2639</v>
      </c>
      <c r="C728" s="22">
        <v>97.6</v>
      </c>
      <c r="D728" s="22">
        <v>7.4569999999999999</v>
      </c>
      <c r="E728" s="10">
        <v>6.97</v>
      </c>
      <c r="F728" s="22">
        <v>4.4989999999999997</v>
      </c>
      <c r="G728" s="22">
        <v>448.05999800000001</v>
      </c>
      <c r="H728" s="22">
        <v>2069.459961</v>
      </c>
      <c r="I728" s="18">
        <v>20473.089840000001</v>
      </c>
    </row>
    <row r="729" spans="1:9" x14ac:dyDescent="0.2">
      <c r="A729" s="4">
        <v>34527</v>
      </c>
      <c r="B729" s="21">
        <v>1.2781</v>
      </c>
      <c r="C729" s="22">
        <v>97.25</v>
      </c>
      <c r="D729" s="22">
        <v>7.4109999999999996</v>
      </c>
      <c r="E729" s="10">
        <v>6.84</v>
      </c>
      <c r="F729" s="22">
        <v>4.399</v>
      </c>
      <c r="G729" s="22">
        <v>447.95001200000002</v>
      </c>
      <c r="H729" s="22">
        <v>2048.570068</v>
      </c>
      <c r="I729" s="18">
        <v>20400.480469999999</v>
      </c>
    </row>
    <row r="730" spans="1:9" x14ac:dyDescent="0.2">
      <c r="A730" s="4">
        <v>34528</v>
      </c>
      <c r="B730" s="21">
        <v>1.2676000000000001</v>
      </c>
      <c r="C730" s="22">
        <v>98.3</v>
      </c>
      <c r="D730" s="22">
        <v>7.3970000000000002</v>
      </c>
      <c r="E730" s="10">
        <v>6.83</v>
      </c>
      <c r="F730" s="22">
        <v>4.4690000000000003</v>
      </c>
      <c r="G730" s="22">
        <v>448.73001099999999</v>
      </c>
      <c r="H730" s="22">
        <v>2051.25</v>
      </c>
      <c r="I730" s="18">
        <v>20540.410159999999</v>
      </c>
    </row>
    <row r="731" spans="1:9" x14ac:dyDescent="0.2">
      <c r="A731" s="4">
        <v>34529</v>
      </c>
      <c r="B731" s="21">
        <v>1.2602</v>
      </c>
      <c r="C731" s="22">
        <v>98.6</v>
      </c>
      <c r="D731" s="22">
        <v>7.23</v>
      </c>
      <c r="E731" s="10">
        <v>6.87</v>
      </c>
      <c r="F731" s="22">
        <v>4.4989999999999997</v>
      </c>
      <c r="G731" s="22">
        <v>453.41000400000001</v>
      </c>
      <c r="H731" s="22">
        <v>2070.709961</v>
      </c>
      <c r="I731" s="18">
        <v>20718.039059999999</v>
      </c>
    </row>
    <row r="732" spans="1:9" x14ac:dyDescent="0.2">
      <c r="A732" s="4">
        <v>34530</v>
      </c>
      <c r="B732" s="21">
        <v>1.2529999999999999</v>
      </c>
      <c r="C732" s="22">
        <v>97.86</v>
      </c>
      <c r="D732" s="22">
        <v>7.23</v>
      </c>
      <c r="E732" s="10">
        <v>6.78</v>
      </c>
      <c r="F732" s="22">
        <v>4.4390000000000001</v>
      </c>
      <c r="G732" s="22">
        <v>454.16000400000001</v>
      </c>
      <c r="H732" s="22">
        <v>2103.540039</v>
      </c>
      <c r="I732" s="18">
        <v>20770.150389999999</v>
      </c>
    </row>
    <row r="733" spans="1:9" x14ac:dyDescent="0.2">
      <c r="A733" s="4">
        <v>34533</v>
      </c>
      <c r="B733" s="21">
        <v>1.2602</v>
      </c>
      <c r="C733" s="22">
        <v>98.45</v>
      </c>
      <c r="D733" s="22">
        <v>7.181</v>
      </c>
      <c r="E733" s="10">
        <v>6.84</v>
      </c>
      <c r="F733" s="22">
        <v>4.4589999999999996</v>
      </c>
      <c r="G733" s="22">
        <v>455.22000100000002</v>
      </c>
      <c r="H733" s="22">
        <v>2116.959961</v>
      </c>
      <c r="I733" s="18">
        <v>20717.640630000002</v>
      </c>
    </row>
    <row r="734" spans="1:9" x14ac:dyDescent="0.2">
      <c r="A734" s="4">
        <v>34534</v>
      </c>
      <c r="B734" s="21">
        <v>1.25</v>
      </c>
      <c r="C734" s="22">
        <v>99.3</v>
      </c>
      <c r="D734" s="22">
        <v>7.1230000000000002</v>
      </c>
      <c r="E734" s="10">
        <v>6.73</v>
      </c>
      <c r="F734" s="22">
        <v>4.3890000000000002</v>
      </c>
      <c r="G734" s="22">
        <v>453.85998499999999</v>
      </c>
      <c r="H734" s="22">
        <v>2129.860107</v>
      </c>
      <c r="I734" s="18">
        <v>20775.160159999999</v>
      </c>
    </row>
    <row r="735" spans="1:9" x14ac:dyDescent="0.2">
      <c r="A735" s="4">
        <v>34535</v>
      </c>
      <c r="B735" s="21">
        <v>1.2435</v>
      </c>
      <c r="C735" s="22">
        <v>98.85</v>
      </c>
      <c r="D735" s="22">
        <v>7.2249999999999996</v>
      </c>
      <c r="E735" s="10">
        <v>6.75</v>
      </c>
      <c r="F735" s="22">
        <v>4.4139999999999997</v>
      </c>
      <c r="G735" s="22">
        <v>451.60000600000001</v>
      </c>
      <c r="H735" s="22">
        <v>2120.969971</v>
      </c>
      <c r="I735" s="18">
        <v>20780.759770000001</v>
      </c>
    </row>
    <row r="736" spans="1:9" x14ac:dyDescent="0.2">
      <c r="A736" s="4">
        <v>34536</v>
      </c>
      <c r="B736" s="21">
        <v>1.2363</v>
      </c>
      <c r="C736" s="22">
        <v>99.1</v>
      </c>
      <c r="D736" s="22">
        <v>7.2519999999999998</v>
      </c>
      <c r="E736" s="10">
        <v>6.8</v>
      </c>
      <c r="F736" s="22">
        <v>4.4189999999999996</v>
      </c>
      <c r="G736" s="22">
        <v>452.60998499999999</v>
      </c>
      <c r="H736" s="22">
        <v>2126.75</v>
      </c>
      <c r="I736" s="18">
        <v>20622.91992</v>
      </c>
    </row>
    <row r="737" spans="1:9" x14ac:dyDescent="0.2">
      <c r="A737" s="4">
        <v>34537</v>
      </c>
      <c r="B737" s="21">
        <v>1.2235</v>
      </c>
      <c r="C737" s="22">
        <v>98.95</v>
      </c>
      <c r="D737" s="22">
        <v>7.27</v>
      </c>
      <c r="E737" s="10">
        <v>6.8</v>
      </c>
      <c r="F737" s="22">
        <v>4.4390000000000001</v>
      </c>
      <c r="G737" s="22">
        <v>453.10998499999999</v>
      </c>
      <c r="H737" s="22">
        <v>2148.2299800000001</v>
      </c>
      <c r="I737" s="18">
        <v>20462.890630000002</v>
      </c>
    </row>
    <row r="738" spans="1:9" x14ac:dyDescent="0.2">
      <c r="A738" s="4">
        <v>34540</v>
      </c>
      <c r="B738" s="21">
        <v>1.2299</v>
      </c>
      <c r="C738" s="22">
        <v>98.6</v>
      </c>
      <c r="D738" s="22">
        <v>7.2430000000000003</v>
      </c>
      <c r="E738" s="10">
        <v>6.87</v>
      </c>
      <c r="F738" s="22">
        <v>4.4189999999999996</v>
      </c>
      <c r="G738" s="22">
        <v>454.25</v>
      </c>
      <c r="H738" s="22">
        <v>2144.209961</v>
      </c>
      <c r="I738" s="18">
        <v>20297.660159999999</v>
      </c>
    </row>
    <row r="739" spans="1:9" x14ac:dyDescent="0.2">
      <c r="A739" s="4">
        <v>34541</v>
      </c>
      <c r="B739" s="21">
        <v>1.2291000000000001</v>
      </c>
      <c r="C739" s="22">
        <v>98.3</v>
      </c>
      <c r="D739" s="22">
        <v>7.2519999999999998</v>
      </c>
      <c r="E739" s="10">
        <v>6.8</v>
      </c>
      <c r="F739" s="22">
        <v>4.4790000000000001</v>
      </c>
      <c r="G739" s="22">
        <v>453.35998499999999</v>
      </c>
      <c r="H739" s="22">
        <v>2163.320068</v>
      </c>
      <c r="I739" s="18">
        <v>20345.369139999999</v>
      </c>
    </row>
    <row r="740" spans="1:9" x14ac:dyDescent="0.2">
      <c r="A740" s="4">
        <v>34542</v>
      </c>
      <c r="B740" s="21">
        <v>1.2350000000000001</v>
      </c>
      <c r="C740" s="22">
        <v>98.47</v>
      </c>
      <c r="D740" s="22">
        <v>7.32</v>
      </c>
      <c r="E740" s="10">
        <v>6.81</v>
      </c>
      <c r="F740" s="22">
        <v>4.4740000000000002</v>
      </c>
      <c r="G740" s="22">
        <v>452.57000699999998</v>
      </c>
      <c r="H740" s="22">
        <v>2135.929932</v>
      </c>
      <c r="I740" s="18">
        <v>20137.230469999999</v>
      </c>
    </row>
    <row r="741" spans="1:9" x14ac:dyDescent="0.2">
      <c r="A741" s="4">
        <v>34543</v>
      </c>
      <c r="B741" s="21">
        <v>1.2323999999999999</v>
      </c>
      <c r="C741" s="22">
        <v>100.15</v>
      </c>
      <c r="D741" s="22">
        <v>7.27</v>
      </c>
      <c r="E741" s="10">
        <v>6.9</v>
      </c>
      <c r="F741" s="22">
        <v>4.4889999999999999</v>
      </c>
      <c r="G741" s="22">
        <v>454.23998999999998</v>
      </c>
      <c r="H741" s="22">
        <v>2134.1201169999999</v>
      </c>
      <c r="I741" s="18">
        <v>20247.849610000001</v>
      </c>
    </row>
    <row r="742" spans="1:9" x14ac:dyDescent="0.2">
      <c r="A742" s="4">
        <v>34544</v>
      </c>
      <c r="B742" s="21">
        <v>1.2261</v>
      </c>
      <c r="C742" s="22">
        <v>100.15</v>
      </c>
      <c r="D742" s="22">
        <v>7.0949999999999998</v>
      </c>
      <c r="E742" s="10">
        <v>6.91</v>
      </c>
      <c r="F742" s="22">
        <v>4.5289999999999999</v>
      </c>
      <c r="G742" s="22">
        <v>458.26001000000002</v>
      </c>
      <c r="H742" s="22">
        <v>2152.1899410000001</v>
      </c>
      <c r="I742" s="18">
        <v>20449.390630000002</v>
      </c>
    </row>
    <row r="743" spans="1:9" x14ac:dyDescent="0.2">
      <c r="A743" s="4">
        <v>34547</v>
      </c>
      <c r="B743" s="21">
        <v>1.2366999999999999</v>
      </c>
      <c r="C743" s="22">
        <v>99.41</v>
      </c>
      <c r="D743" s="22">
        <v>7.1130000000000004</v>
      </c>
      <c r="E743" s="10">
        <v>6.83</v>
      </c>
      <c r="F743" s="22">
        <v>4.5309999999999997</v>
      </c>
      <c r="G743" s="22">
        <v>461.01001000000002</v>
      </c>
      <c r="H743" s="22">
        <v>2161.5</v>
      </c>
      <c r="I743" s="18">
        <v>20271.349610000001</v>
      </c>
    </row>
    <row r="744" spans="1:9" x14ac:dyDescent="0.2">
      <c r="A744" s="4">
        <v>34548</v>
      </c>
      <c r="B744" s="21">
        <v>1.2314000000000001</v>
      </c>
      <c r="C744" s="22">
        <v>100.41</v>
      </c>
      <c r="D744" s="22">
        <v>7.0860000000000003</v>
      </c>
      <c r="E744" s="10">
        <v>6.8</v>
      </c>
      <c r="F744" s="22">
        <v>4.5919999999999996</v>
      </c>
      <c r="G744" s="22">
        <v>460.55999800000001</v>
      </c>
      <c r="H744" s="22">
        <v>2193.6298830000001</v>
      </c>
      <c r="I744" s="18">
        <v>20660.130860000001</v>
      </c>
    </row>
    <row r="745" spans="1:9" x14ac:dyDescent="0.2">
      <c r="A745" s="4">
        <v>34549</v>
      </c>
      <c r="B745" s="21">
        <v>1.2337</v>
      </c>
      <c r="C745" s="22">
        <v>100.3</v>
      </c>
      <c r="D745" s="22">
        <v>7.0819999999999999</v>
      </c>
      <c r="E745" s="10">
        <v>6.77</v>
      </c>
      <c r="F745" s="22">
        <v>4.6269999999999998</v>
      </c>
      <c r="G745" s="22">
        <v>461.45001200000002</v>
      </c>
      <c r="H745" s="22">
        <v>2190.830078</v>
      </c>
      <c r="I745" s="18">
        <v>20632.730469999999</v>
      </c>
    </row>
    <row r="746" spans="1:9" x14ac:dyDescent="0.2">
      <c r="A746" s="4">
        <v>34550</v>
      </c>
      <c r="B746" s="21">
        <v>1.2325999999999999</v>
      </c>
      <c r="C746" s="22">
        <v>100.6</v>
      </c>
      <c r="D746" s="22">
        <v>7.1</v>
      </c>
      <c r="E746" s="10">
        <v>6.83</v>
      </c>
      <c r="F746" s="22">
        <v>4.7119999999999997</v>
      </c>
      <c r="G746" s="22">
        <v>458.39999399999999</v>
      </c>
      <c r="H746" s="22">
        <v>2176.6599120000001</v>
      </c>
      <c r="I746" s="18">
        <v>20676.839840000001</v>
      </c>
    </row>
    <row r="747" spans="1:9" x14ac:dyDescent="0.2">
      <c r="A747" s="4">
        <v>34551</v>
      </c>
      <c r="B747" s="21">
        <v>1.2317</v>
      </c>
      <c r="C747" s="22">
        <v>100.25</v>
      </c>
      <c r="D747" s="22">
        <v>7.2569999999999997</v>
      </c>
      <c r="E747" s="10">
        <v>6.86</v>
      </c>
      <c r="F747" s="22">
        <v>4.7779999999999996</v>
      </c>
      <c r="G747" s="22">
        <v>457.08999599999999</v>
      </c>
      <c r="H747" s="22">
        <v>2188.8100589999999</v>
      </c>
      <c r="I747" s="18">
        <v>20521.699219999999</v>
      </c>
    </row>
    <row r="748" spans="1:9" x14ac:dyDescent="0.2">
      <c r="A748" s="4">
        <v>34554</v>
      </c>
      <c r="B748" s="21">
        <v>1.2323</v>
      </c>
      <c r="C748" s="22">
        <v>101.51</v>
      </c>
      <c r="D748" s="22">
        <v>7.2569999999999997</v>
      </c>
      <c r="E748" s="10">
        <v>6.89</v>
      </c>
      <c r="F748" s="22">
        <v>4.8659999999999997</v>
      </c>
      <c r="G748" s="22">
        <v>457.89001500000001</v>
      </c>
      <c r="H748" s="22">
        <v>2182.320068</v>
      </c>
      <c r="I748" s="18">
        <v>20635.83008</v>
      </c>
    </row>
    <row r="749" spans="1:9" x14ac:dyDescent="0.2">
      <c r="A749" s="4">
        <v>34555</v>
      </c>
      <c r="B749" s="21">
        <v>1.2307999999999999</v>
      </c>
      <c r="C749" s="22">
        <v>101.32</v>
      </c>
      <c r="D749" s="22">
        <v>7.3019999999999996</v>
      </c>
      <c r="E749" s="10">
        <v>6.99</v>
      </c>
      <c r="F749" s="22">
        <v>4.9349999999999996</v>
      </c>
      <c r="G749" s="22">
        <v>457.92001299999998</v>
      </c>
      <c r="H749" s="22">
        <v>2160.5600589999999</v>
      </c>
      <c r="I749" s="18">
        <v>20590.220700000002</v>
      </c>
    </row>
    <row r="750" spans="1:9" x14ac:dyDescent="0.2">
      <c r="A750" s="4">
        <v>34556</v>
      </c>
      <c r="B750" s="21">
        <v>1.2349000000000001</v>
      </c>
      <c r="C750" s="22">
        <v>101.35</v>
      </c>
      <c r="D750" s="22">
        <v>7.3019999999999996</v>
      </c>
      <c r="E750" s="10">
        <v>7.02</v>
      </c>
      <c r="F750" s="22">
        <v>4.9349999999999996</v>
      </c>
      <c r="G750" s="22">
        <v>460.29998799999998</v>
      </c>
      <c r="H750" s="22">
        <v>2166.51001</v>
      </c>
      <c r="I750" s="18">
        <v>20770.25</v>
      </c>
    </row>
    <row r="751" spans="1:9" x14ac:dyDescent="0.2">
      <c r="A751" s="4">
        <v>34557</v>
      </c>
      <c r="B751" s="21">
        <v>1.2252000000000001</v>
      </c>
      <c r="C751" s="22">
        <v>100.25</v>
      </c>
      <c r="D751" s="22">
        <v>7.3440000000000003</v>
      </c>
      <c r="E751" s="10">
        <v>7</v>
      </c>
      <c r="F751" s="22">
        <v>4.8860000000000001</v>
      </c>
      <c r="G751" s="22">
        <v>458.88000499999998</v>
      </c>
      <c r="H751" s="22">
        <v>2156.3100589999999</v>
      </c>
      <c r="I751" s="18">
        <v>20821.359380000002</v>
      </c>
    </row>
    <row r="752" spans="1:9" x14ac:dyDescent="0.2">
      <c r="A752" s="4">
        <v>34558</v>
      </c>
      <c r="B752" s="21">
        <v>1.2445999999999999</v>
      </c>
      <c r="C752" s="22">
        <v>100.15</v>
      </c>
      <c r="D752" s="22">
        <v>7.2679999999999998</v>
      </c>
      <c r="E752" s="10">
        <v>7.29</v>
      </c>
      <c r="F752" s="22">
        <v>4.8860000000000001</v>
      </c>
      <c r="G752" s="22">
        <v>461.94000199999999</v>
      </c>
      <c r="H752" s="22">
        <v>2133.73999</v>
      </c>
      <c r="I752" s="18">
        <v>20663.83008</v>
      </c>
    </row>
    <row r="753" spans="1:9" x14ac:dyDescent="0.2">
      <c r="A753" s="4">
        <v>34561</v>
      </c>
      <c r="B753" s="21">
        <v>1.2470000000000001</v>
      </c>
      <c r="C753" s="22">
        <v>100.2</v>
      </c>
      <c r="D753" s="22">
        <v>7.2859999999999996</v>
      </c>
      <c r="E753" s="10">
        <v>7.21</v>
      </c>
      <c r="F753" s="22">
        <v>4.8650000000000002</v>
      </c>
      <c r="G753" s="22">
        <v>461.23001099999999</v>
      </c>
      <c r="H753" s="22">
        <v>2134.3400879999999</v>
      </c>
      <c r="I753" s="18">
        <v>20626.33008</v>
      </c>
    </row>
    <row r="754" spans="1:9" x14ac:dyDescent="0.2">
      <c r="A754" s="4">
        <v>34562</v>
      </c>
      <c r="B754" s="21">
        <v>1.2452000000000001</v>
      </c>
      <c r="C754" s="22">
        <v>100.58</v>
      </c>
      <c r="D754" s="22">
        <v>7.17</v>
      </c>
      <c r="E754" s="10">
        <v>7.2</v>
      </c>
      <c r="F754" s="22">
        <v>4.88</v>
      </c>
      <c r="G754" s="22">
        <v>465.01001000000002</v>
      </c>
      <c r="H754" s="22">
        <v>2152.6499020000001</v>
      </c>
      <c r="I754" s="18">
        <v>20786.359380000002</v>
      </c>
    </row>
    <row r="755" spans="1:9" x14ac:dyDescent="0.2">
      <c r="A755" s="4">
        <v>34563</v>
      </c>
      <c r="B755" s="21">
        <v>1.2430000000000001</v>
      </c>
      <c r="C755" s="22">
        <v>100.13</v>
      </c>
      <c r="D755" s="22">
        <v>7.1349999999999998</v>
      </c>
      <c r="E755" s="10">
        <v>7.11</v>
      </c>
      <c r="F755" s="22">
        <v>4.9059999999999997</v>
      </c>
      <c r="G755" s="22">
        <v>465.17001299999998</v>
      </c>
      <c r="H755" s="22">
        <v>2166.5600589999999</v>
      </c>
      <c r="I755" s="18">
        <v>20824.560549999998</v>
      </c>
    </row>
    <row r="756" spans="1:9" x14ac:dyDescent="0.2">
      <c r="A756" s="4">
        <v>34564</v>
      </c>
      <c r="B756" s="21">
        <v>1.2519</v>
      </c>
      <c r="C756" s="22">
        <v>98.58</v>
      </c>
      <c r="D756" s="22">
        <v>7.2679999999999998</v>
      </c>
      <c r="E756" s="10">
        <v>7.25</v>
      </c>
      <c r="F756" s="22">
        <v>4.8550000000000004</v>
      </c>
      <c r="G756" s="22">
        <v>463.17001299999998</v>
      </c>
      <c r="H756" s="22">
        <v>2151.4399410000001</v>
      </c>
      <c r="I756" s="18">
        <v>20862.769530000001</v>
      </c>
    </row>
    <row r="757" spans="1:9" x14ac:dyDescent="0.2">
      <c r="A757" s="4">
        <v>34565</v>
      </c>
      <c r="B757" s="21">
        <v>1.2586999999999999</v>
      </c>
      <c r="C757" s="22">
        <v>98.65</v>
      </c>
      <c r="D757" s="22">
        <v>7.2629999999999999</v>
      </c>
      <c r="E757" s="10">
        <v>7.22</v>
      </c>
      <c r="F757" s="22">
        <v>4.8010000000000002</v>
      </c>
      <c r="G757" s="22">
        <v>463.67999300000002</v>
      </c>
      <c r="H757" s="22">
        <v>2143.8400879999999</v>
      </c>
      <c r="I757" s="18">
        <v>20512.699219999999</v>
      </c>
    </row>
    <row r="758" spans="1:9" x14ac:dyDescent="0.2">
      <c r="A758" s="4">
        <v>34568</v>
      </c>
      <c r="B758" s="21">
        <v>1.266</v>
      </c>
      <c r="C758" s="22">
        <v>97.8</v>
      </c>
      <c r="D758" s="22">
        <v>7.3079999999999998</v>
      </c>
      <c r="E758" s="10">
        <v>7.3</v>
      </c>
      <c r="F758" s="22">
        <v>4.8559999999999999</v>
      </c>
      <c r="G758" s="22">
        <v>462.32000699999998</v>
      </c>
      <c r="H758" s="22">
        <v>2113.3701169999999</v>
      </c>
      <c r="I758" s="18">
        <v>20394.58008</v>
      </c>
    </row>
    <row r="759" spans="1:9" x14ac:dyDescent="0.2">
      <c r="A759" s="4">
        <v>34569</v>
      </c>
      <c r="B759" s="21">
        <v>1.2617</v>
      </c>
      <c r="C759" s="22">
        <v>97.88</v>
      </c>
      <c r="D759" s="22">
        <v>7.2720000000000002</v>
      </c>
      <c r="E759" s="10">
        <v>7.3</v>
      </c>
      <c r="F759" s="22">
        <v>4.835</v>
      </c>
      <c r="G759" s="22">
        <v>464.51001000000002</v>
      </c>
      <c r="H759" s="22">
        <v>2121.25</v>
      </c>
      <c r="I759" s="18">
        <v>20380.779299999998</v>
      </c>
    </row>
    <row r="760" spans="1:9" x14ac:dyDescent="0.2">
      <c r="A760" s="4">
        <v>34570</v>
      </c>
      <c r="B760" s="21">
        <v>1.2589999999999999</v>
      </c>
      <c r="C760" s="22">
        <v>99.02</v>
      </c>
      <c r="D760" s="22">
        <v>7.1959999999999997</v>
      </c>
      <c r="E760" s="10">
        <v>7.29</v>
      </c>
      <c r="F760" s="22">
        <v>4.87</v>
      </c>
      <c r="G760" s="22">
        <v>469.02999899999998</v>
      </c>
      <c r="H760" s="22">
        <v>2132.9799800000001</v>
      </c>
      <c r="I760" s="18">
        <v>20511.599610000001</v>
      </c>
    </row>
    <row r="761" spans="1:9" x14ac:dyDescent="0.2">
      <c r="A761" s="4">
        <v>34571</v>
      </c>
      <c r="B761" s="21">
        <v>1.2552000000000001</v>
      </c>
      <c r="C761" s="22">
        <v>99.7</v>
      </c>
      <c r="D761" s="22">
        <v>7.2720000000000002</v>
      </c>
      <c r="E761" s="10">
        <v>7.23</v>
      </c>
      <c r="F761" s="22">
        <v>4.8899999999999997</v>
      </c>
      <c r="G761" s="22">
        <v>468.07998700000002</v>
      </c>
      <c r="H761" s="22">
        <v>2153.4799800000001</v>
      </c>
      <c r="I761" s="18">
        <v>20443.289059999999</v>
      </c>
    </row>
    <row r="762" spans="1:9" x14ac:dyDescent="0.2">
      <c r="A762" s="4">
        <v>34572</v>
      </c>
      <c r="B762" s="21">
        <v>1.2426999999999999</v>
      </c>
      <c r="C762" s="22">
        <v>100.67</v>
      </c>
      <c r="D762" s="22">
        <v>7.2320000000000002</v>
      </c>
      <c r="E762" s="10">
        <v>7.26</v>
      </c>
      <c r="F762" s="22">
        <v>4.8949999999999996</v>
      </c>
      <c r="G762" s="22">
        <v>473.79998799999998</v>
      </c>
      <c r="H762" s="22">
        <v>2190.580078</v>
      </c>
      <c r="I762" s="18">
        <v>20471.490229999999</v>
      </c>
    </row>
    <row r="763" spans="1:9" x14ac:dyDescent="0.2">
      <c r="A763" s="4">
        <v>34575</v>
      </c>
      <c r="B763" s="21">
        <v>1.2426999999999999</v>
      </c>
      <c r="C763" s="22">
        <v>100.03</v>
      </c>
      <c r="D763" s="22">
        <v>7.2359999999999998</v>
      </c>
      <c r="E763" s="10">
        <v>7.18</v>
      </c>
      <c r="F763" s="22">
        <v>4.915</v>
      </c>
      <c r="G763" s="22">
        <v>474.58999599999999</v>
      </c>
      <c r="H763" s="22">
        <v>2215.719971</v>
      </c>
      <c r="I763" s="18">
        <v>20600.41992</v>
      </c>
    </row>
    <row r="764" spans="1:9" x14ac:dyDescent="0.2">
      <c r="A764" s="4">
        <v>34576</v>
      </c>
      <c r="B764" s="21">
        <v>1.2302999999999999</v>
      </c>
      <c r="C764" s="22">
        <v>99.58</v>
      </c>
      <c r="D764" s="22">
        <v>7.1909999999999998</v>
      </c>
      <c r="E764" s="10">
        <v>7.19</v>
      </c>
      <c r="F764" s="22">
        <v>4.9560000000000004</v>
      </c>
      <c r="G764" s="22">
        <v>476.07000699999998</v>
      </c>
      <c r="H764" s="22">
        <v>2205.820068</v>
      </c>
      <c r="I764" s="18">
        <v>20592.119139999999</v>
      </c>
    </row>
    <row r="765" spans="1:9" x14ac:dyDescent="0.2">
      <c r="A765" s="4">
        <v>34577</v>
      </c>
      <c r="B765" s="21">
        <v>1.2341</v>
      </c>
      <c r="C765" s="22">
        <v>100.05</v>
      </c>
      <c r="D765" s="22">
        <v>7.165</v>
      </c>
      <c r="E765" s="10">
        <v>7.21</v>
      </c>
      <c r="F765" s="22">
        <v>4.9509999999999996</v>
      </c>
      <c r="G765" s="22">
        <v>475.48998999999998</v>
      </c>
      <c r="H765" s="22">
        <v>2207.0900879999999</v>
      </c>
      <c r="I765" s="18">
        <v>20628.529299999998</v>
      </c>
    </row>
    <row r="766" spans="1:9" x14ac:dyDescent="0.2">
      <c r="A766" s="4">
        <v>34578</v>
      </c>
      <c r="B766" s="21">
        <v>1.2341</v>
      </c>
      <c r="C766" s="22">
        <v>99.81</v>
      </c>
      <c r="D766" s="22">
        <v>7.1740000000000004</v>
      </c>
      <c r="E766" s="10">
        <v>7.26</v>
      </c>
      <c r="F766" s="22">
        <v>4.9160000000000004</v>
      </c>
      <c r="G766" s="22">
        <v>473.17001299999998</v>
      </c>
      <c r="H766" s="22">
        <v>2185.780029</v>
      </c>
      <c r="I766" s="18">
        <v>20642.929690000001</v>
      </c>
    </row>
    <row r="767" spans="1:9" x14ac:dyDescent="0.2">
      <c r="A767" s="4">
        <v>34579</v>
      </c>
      <c r="B767" s="21">
        <v>1.2478</v>
      </c>
      <c r="C767" s="22">
        <v>99.13</v>
      </c>
      <c r="D767" s="22">
        <v>7.1959999999999997</v>
      </c>
      <c r="E767" s="10">
        <v>7.27</v>
      </c>
      <c r="F767" s="22">
        <v>4.9160000000000004</v>
      </c>
      <c r="G767" s="22">
        <v>470.98998999999998</v>
      </c>
      <c r="H767" s="22">
        <v>2197.3798830000001</v>
      </c>
      <c r="I767" s="18">
        <v>20653.83008</v>
      </c>
    </row>
    <row r="768" spans="1:9" x14ac:dyDescent="0.2">
      <c r="A768" s="4">
        <v>34582</v>
      </c>
      <c r="B768" s="21">
        <v>1.2502</v>
      </c>
      <c r="C768" s="22">
        <v>99.37</v>
      </c>
      <c r="D768" s="22">
        <v>7.1959999999999997</v>
      </c>
      <c r="E768" s="10">
        <v>7.39</v>
      </c>
      <c r="F768" s="22">
        <v>4.87</v>
      </c>
      <c r="G768" s="22">
        <v>466.21</v>
      </c>
      <c r="H768" s="22">
        <v>2173.6000979999999</v>
      </c>
      <c r="I768" s="18">
        <v>20409.179690000001</v>
      </c>
    </row>
    <row r="769" spans="1:9" x14ac:dyDescent="0.2">
      <c r="A769" s="4">
        <v>34583</v>
      </c>
      <c r="B769" s="21">
        <v>1.2583</v>
      </c>
      <c r="C769" s="22">
        <v>98.68</v>
      </c>
      <c r="D769" s="22">
        <v>7.2530000000000001</v>
      </c>
      <c r="E769" s="10">
        <v>7.43</v>
      </c>
      <c r="F769" s="22">
        <v>4.8259999999999996</v>
      </c>
      <c r="G769" s="22">
        <v>471.85998499999999</v>
      </c>
      <c r="H769" s="22">
        <v>2158.070068</v>
      </c>
      <c r="I769" s="18">
        <v>20393.980469999999</v>
      </c>
    </row>
    <row r="770" spans="1:9" x14ac:dyDescent="0.2">
      <c r="A770" s="4">
        <v>34584</v>
      </c>
      <c r="B770" s="21">
        <v>1.252</v>
      </c>
      <c r="C770" s="22">
        <v>99.44</v>
      </c>
      <c r="D770" s="22">
        <v>7.2850000000000001</v>
      </c>
      <c r="E770" s="10">
        <v>7.48</v>
      </c>
      <c r="F770" s="22">
        <v>4.726</v>
      </c>
      <c r="G770" s="22">
        <v>470.98998999999998</v>
      </c>
      <c r="H770" s="22">
        <v>2167.679932</v>
      </c>
      <c r="I770" s="18">
        <v>20023.800780000001</v>
      </c>
    </row>
    <row r="771" spans="1:9" x14ac:dyDescent="0.2">
      <c r="A771" s="4">
        <v>34585</v>
      </c>
      <c r="B771" s="21">
        <v>1.2472000000000001</v>
      </c>
      <c r="C771" s="22">
        <v>99.55</v>
      </c>
      <c r="D771" s="22">
        <v>7.2850000000000001</v>
      </c>
      <c r="E771" s="10">
        <v>7.48</v>
      </c>
      <c r="F771" s="22">
        <v>4.7450000000000001</v>
      </c>
      <c r="G771" s="22">
        <v>473.14001500000001</v>
      </c>
      <c r="H771" s="22">
        <v>2178.1000979999999</v>
      </c>
      <c r="I771" s="18">
        <v>19917.779299999998</v>
      </c>
    </row>
    <row r="772" spans="1:9" x14ac:dyDescent="0.2">
      <c r="A772" s="4">
        <v>34586</v>
      </c>
      <c r="B772" s="21">
        <v>1.2591000000000001</v>
      </c>
      <c r="C772" s="22">
        <v>99.18</v>
      </c>
      <c r="D772" s="22">
        <v>7.4290000000000003</v>
      </c>
      <c r="E772" s="10">
        <v>7.46</v>
      </c>
      <c r="F772" s="22">
        <v>4.6760000000000002</v>
      </c>
      <c r="G772" s="22">
        <v>468.17999300000002</v>
      </c>
      <c r="H772" s="22">
        <v>2155.580078</v>
      </c>
      <c r="I772" s="18">
        <v>19897.880860000001</v>
      </c>
    </row>
    <row r="773" spans="1:9" x14ac:dyDescent="0.2">
      <c r="A773" s="4">
        <v>34589</v>
      </c>
      <c r="B773" s="21">
        <v>1.258</v>
      </c>
      <c r="C773" s="22">
        <v>99.25</v>
      </c>
      <c r="D773" s="22">
        <v>7.4429999999999996</v>
      </c>
      <c r="E773" s="10">
        <v>7.59</v>
      </c>
      <c r="F773" s="22">
        <v>4.7249999999999996</v>
      </c>
      <c r="G773" s="22">
        <v>466.209991</v>
      </c>
      <c r="H773" s="22">
        <v>2155.8100589999999</v>
      </c>
      <c r="I773" s="18">
        <v>19917.279299999998</v>
      </c>
    </row>
    <row r="774" spans="1:9" x14ac:dyDescent="0.2">
      <c r="A774" s="4">
        <v>34590</v>
      </c>
      <c r="B774" s="21">
        <v>1.2542</v>
      </c>
      <c r="C774" s="22">
        <v>98.77</v>
      </c>
      <c r="D774" s="22">
        <v>7.4240000000000004</v>
      </c>
      <c r="E774" s="10">
        <v>7.58</v>
      </c>
      <c r="F774" s="22">
        <v>4.7050000000000001</v>
      </c>
      <c r="G774" s="22">
        <v>467.51001000000002</v>
      </c>
      <c r="H774" s="22">
        <v>2157.1499020000001</v>
      </c>
      <c r="I774" s="18">
        <v>20046.109380000002</v>
      </c>
    </row>
    <row r="775" spans="1:9" x14ac:dyDescent="0.2">
      <c r="A775" s="4">
        <v>34591</v>
      </c>
      <c r="B775" s="21">
        <v>1.2627999999999999</v>
      </c>
      <c r="C775" s="22">
        <v>99.2</v>
      </c>
      <c r="D775" s="22">
        <v>7.3929999999999998</v>
      </c>
      <c r="E775" s="10">
        <v>7.55</v>
      </c>
      <c r="F775" s="22">
        <v>4.7160000000000002</v>
      </c>
      <c r="G775" s="22">
        <v>468.79998799999998</v>
      </c>
      <c r="H775" s="22">
        <v>2118.169922</v>
      </c>
      <c r="I775" s="18">
        <v>19919.380860000001</v>
      </c>
    </row>
    <row r="776" spans="1:9" x14ac:dyDescent="0.2">
      <c r="A776" s="4">
        <v>34592</v>
      </c>
      <c r="B776" s="21">
        <v>1.2563</v>
      </c>
      <c r="C776" s="22">
        <v>99.5</v>
      </c>
      <c r="D776" s="22">
        <v>7.3380000000000001</v>
      </c>
      <c r="E776" s="10">
        <v>7.56</v>
      </c>
      <c r="F776" s="22">
        <v>4.7160000000000002</v>
      </c>
      <c r="G776" s="22">
        <v>474.80999800000001</v>
      </c>
      <c r="H776" s="22">
        <v>2129.360107</v>
      </c>
      <c r="I776" s="18">
        <v>19919.380860000001</v>
      </c>
    </row>
    <row r="777" spans="1:9" x14ac:dyDescent="0.2">
      <c r="A777" s="4">
        <v>34593</v>
      </c>
      <c r="B777" s="21">
        <v>1.2645</v>
      </c>
      <c r="C777" s="22">
        <v>98.95</v>
      </c>
      <c r="D777" s="22">
        <v>7.5069999999999997</v>
      </c>
      <c r="E777" s="10">
        <v>7.55</v>
      </c>
      <c r="F777" s="22">
        <v>4.7149999999999999</v>
      </c>
      <c r="G777" s="22">
        <v>471.19000199999999</v>
      </c>
      <c r="H777" s="22">
        <v>2097.4499510000001</v>
      </c>
      <c r="I777" s="18">
        <v>19796.259770000001</v>
      </c>
    </row>
    <row r="778" spans="1:9" x14ac:dyDescent="0.2">
      <c r="A778" s="4">
        <v>34596</v>
      </c>
      <c r="B778" s="21">
        <v>1.2527999999999999</v>
      </c>
      <c r="C778" s="22">
        <v>98.5</v>
      </c>
      <c r="D778" s="22">
        <v>7.4749999999999996</v>
      </c>
      <c r="E778" s="10">
        <v>7.64</v>
      </c>
      <c r="F778" s="22">
        <v>4.72</v>
      </c>
      <c r="G778" s="22">
        <v>470.85000600000001</v>
      </c>
      <c r="H778" s="22">
        <v>2100.5500489999999</v>
      </c>
      <c r="I778" s="18">
        <v>19554.109380000002</v>
      </c>
    </row>
    <row r="779" spans="1:9" x14ac:dyDescent="0.2">
      <c r="A779" s="4">
        <v>34597</v>
      </c>
      <c r="B779" s="21">
        <v>1.2555000000000001</v>
      </c>
      <c r="C779" s="22">
        <v>97.6</v>
      </c>
      <c r="D779" s="22">
        <v>7.5110000000000001</v>
      </c>
      <c r="E779" s="10">
        <v>7.72</v>
      </c>
      <c r="F779" s="22">
        <v>4.7060000000000004</v>
      </c>
      <c r="G779" s="22">
        <v>463.35998499999999</v>
      </c>
      <c r="H779" s="22">
        <v>2059.1499020000001</v>
      </c>
      <c r="I779" s="18">
        <v>19837.269530000001</v>
      </c>
    </row>
    <row r="780" spans="1:9" x14ac:dyDescent="0.2">
      <c r="A780" s="4">
        <v>34598</v>
      </c>
      <c r="B780" s="21">
        <v>1.2601</v>
      </c>
      <c r="C780" s="22">
        <v>97.75</v>
      </c>
      <c r="D780" s="22">
        <v>7.5529999999999999</v>
      </c>
      <c r="E780" s="10">
        <v>7.66</v>
      </c>
      <c r="F780" s="22">
        <v>4.6609999999999996</v>
      </c>
      <c r="G780" s="22">
        <v>461.459991</v>
      </c>
      <c r="H780" s="22">
        <v>2067.169922</v>
      </c>
      <c r="I780" s="18">
        <v>19885.380860000001</v>
      </c>
    </row>
    <row r="781" spans="1:9" x14ac:dyDescent="0.2">
      <c r="A781" s="4">
        <v>34599</v>
      </c>
      <c r="B781" s="21">
        <v>1.256</v>
      </c>
      <c r="C781" s="22">
        <v>98.03</v>
      </c>
      <c r="D781" s="22">
        <v>7.5430000000000001</v>
      </c>
      <c r="E781" s="10">
        <v>7.69</v>
      </c>
      <c r="F781" s="22">
        <v>4.6449999999999996</v>
      </c>
      <c r="G781" s="22">
        <v>461.26998900000001</v>
      </c>
      <c r="H781" s="22">
        <v>2072.8100589999999</v>
      </c>
      <c r="I781" s="18">
        <v>19833.66992</v>
      </c>
    </row>
    <row r="782" spans="1:9" x14ac:dyDescent="0.2">
      <c r="A782" s="4">
        <v>34600</v>
      </c>
      <c r="B782" s="21">
        <v>1.2599</v>
      </c>
      <c r="C782" s="22">
        <v>97.85</v>
      </c>
      <c r="D782" s="22">
        <v>7.5529999999999999</v>
      </c>
      <c r="E782" s="10">
        <v>7.6</v>
      </c>
      <c r="F782" s="22">
        <v>4.6449999999999996</v>
      </c>
      <c r="G782" s="22">
        <v>459.67001299999998</v>
      </c>
      <c r="H782" s="22">
        <v>2097.330078</v>
      </c>
      <c r="I782" s="18">
        <v>19833.66992</v>
      </c>
    </row>
    <row r="783" spans="1:9" x14ac:dyDescent="0.2">
      <c r="A783" s="4">
        <v>34603</v>
      </c>
      <c r="B783" s="21">
        <v>1.2524</v>
      </c>
      <c r="C783" s="22">
        <v>98.75</v>
      </c>
      <c r="D783" s="22">
        <v>7.5570000000000004</v>
      </c>
      <c r="E783" s="10">
        <v>7.57</v>
      </c>
      <c r="F783" s="22">
        <v>4.66</v>
      </c>
      <c r="G783" s="22">
        <v>460.82000699999998</v>
      </c>
      <c r="H783" s="22">
        <v>2057.830078</v>
      </c>
      <c r="I783" s="18">
        <v>19814.359380000002</v>
      </c>
    </row>
    <row r="784" spans="1:9" x14ac:dyDescent="0.2">
      <c r="A784" s="4">
        <v>34604</v>
      </c>
      <c r="B784" s="21">
        <v>1.2586999999999999</v>
      </c>
      <c r="C784" s="22">
        <v>98</v>
      </c>
      <c r="D784" s="22">
        <v>7.59</v>
      </c>
      <c r="E784" s="10">
        <v>7.59</v>
      </c>
      <c r="F784" s="22">
        <v>4.641</v>
      </c>
      <c r="G784" s="22">
        <v>462.04998799999998</v>
      </c>
      <c r="H784" s="22">
        <v>2056.889893</v>
      </c>
      <c r="I784" s="18">
        <v>19468.890630000002</v>
      </c>
    </row>
    <row r="785" spans="1:9" x14ac:dyDescent="0.2">
      <c r="A785" s="4">
        <v>34605</v>
      </c>
      <c r="B785" s="21">
        <v>1.2591000000000001</v>
      </c>
      <c r="C785" s="22">
        <v>98.95</v>
      </c>
      <c r="D785" s="22">
        <v>7.5529999999999999</v>
      </c>
      <c r="E785" s="10">
        <v>7.51</v>
      </c>
      <c r="F785" s="22">
        <v>4.6349999999999998</v>
      </c>
      <c r="G785" s="22">
        <v>464.83999599999999</v>
      </c>
      <c r="H785" s="22">
        <v>2070.360107</v>
      </c>
      <c r="I785" s="18">
        <v>19507.599610000001</v>
      </c>
    </row>
    <row r="786" spans="1:9" x14ac:dyDescent="0.2">
      <c r="A786" s="4">
        <v>34606</v>
      </c>
      <c r="B786" s="21">
        <v>1.2602</v>
      </c>
      <c r="C786" s="22">
        <v>98.55</v>
      </c>
      <c r="D786" s="22">
        <v>7.617</v>
      </c>
      <c r="E786" s="10">
        <v>7.51</v>
      </c>
      <c r="F786" s="22">
        <v>4.67</v>
      </c>
      <c r="G786" s="22">
        <v>462.23998999999998</v>
      </c>
      <c r="H786" s="22">
        <v>2016.079956</v>
      </c>
      <c r="I786" s="18">
        <v>19615.119139999999</v>
      </c>
    </row>
    <row r="787" spans="1:9" x14ac:dyDescent="0.2">
      <c r="A787" s="4">
        <v>34607</v>
      </c>
      <c r="B787" s="21">
        <v>1.2561</v>
      </c>
      <c r="C787" s="22">
        <v>99.15</v>
      </c>
      <c r="D787" s="22">
        <v>7.5990000000000002</v>
      </c>
      <c r="E787" s="10">
        <v>7.57</v>
      </c>
      <c r="F787" s="22">
        <v>4.7</v>
      </c>
      <c r="G787" s="22">
        <v>462.709991</v>
      </c>
      <c r="H787" s="22">
        <v>2002.3000489999999</v>
      </c>
      <c r="I787" s="18">
        <v>19563.810549999998</v>
      </c>
    </row>
    <row r="788" spans="1:9" x14ac:dyDescent="0.2">
      <c r="A788" s="4">
        <v>34610</v>
      </c>
      <c r="B788" s="21">
        <v>1.2517</v>
      </c>
      <c r="C788" s="22">
        <v>99.58</v>
      </c>
      <c r="D788" s="22">
        <v>7.65</v>
      </c>
      <c r="E788" s="10">
        <v>7.59</v>
      </c>
      <c r="F788" s="22">
        <v>4.74</v>
      </c>
      <c r="G788" s="22">
        <v>461.73998999999998</v>
      </c>
      <c r="H788" s="22">
        <v>2002.3000489999999</v>
      </c>
      <c r="I788" s="18">
        <v>19650.029299999998</v>
      </c>
    </row>
    <row r="789" spans="1:9" x14ac:dyDescent="0.2">
      <c r="A789" s="4">
        <v>34611</v>
      </c>
      <c r="B789" s="21">
        <v>1.2552000000000001</v>
      </c>
      <c r="C789" s="22">
        <v>99.66</v>
      </c>
      <c r="D789" s="22">
        <v>7.6779999999999999</v>
      </c>
      <c r="E789" s="10">
        <v>7.71</v>
      </c>
      <c r="F789" s="22">
        <v>4.7350000000000003</v>
      </c>
      <c r="G789" s="22">
        <v>454.58999599999999</v>
      </c>
      <c r="H789" s="22">
        <v>1988.670044</v>
      </c>
      <c r="I789" s="18">
        <v>19568.609380000002</v>
      </c>
    </row>
    <row r="790" spans="1:9" x14ac:dyDescent="0.2">
      <c r="A790" s="4">
        <v>34612</v>
      </c>
      <c r="B790" s="21">
        <v>1.2608999999999999</v>
      </c>
      <c r="C790" s="22">
        <v>99.61</v>
      </c>
      <c r="D790" s="22">
        <v>7.7480000000000002</v>
      </c>
      <c r="E790" s="10">
        <v>7.76</v>
      </c>
      <c r="F790" s="22">
        <v>4.7850000000000001</v>
      </c>
      <c r="G790" s="22">
        <v>453.51998900000001</v>
      </c>
      <c r="H790" s="22">
        <v>1946.48999</v>
      </c>
      <c r="I790" s="18">
        <v>19751.550780000001</v>
      </c>
    </row>
    <row r="791" spans="1:9" x14ac:dyDescent="0.2">
      <c r="A791" s="4">
        <v>34613</v>
      </c>
      <c r="B791" s="21">
        <v>1.2599</v>
      </c>
      <c r="C791" s="22">
        <v>99.87</v>
      </c>
      <c r="D791" s="22">
        <v>7.7530000000000001</v>
      </c>
      <c r="E791" s="10">
        <v>7.73</v>
      </c>
      <c r="F791" s="22">
        <v>4.806</v>
      </c>
      <c r="G791" s="22">
        <v>452.35998499999999</v>
      </c>
      <c r="H791" s="22">
        <v>1965.410034</v>
      </c>
      <c r="I791" s="18">
        <v>19655.230469999999</v>
      </c>
    </row>
    <row r="792" spans="1:9" x14ac:dyDescent="0.2">
      <c r="A792" s="4">
        <v>34614</v>
      </c>
      <c r="B792" s="21">
        <v>1.2623</v>
      </c>
      <c r="C792" s="22">
        <v>100.65</v>
      </c>
      <c r="D792" s="22">
        <v>7.6829999999999998</v>
      </c>
      <c r="E792" s="10">
        <v>7.81</v>
      </c>
      <c r="F792" s="22">
        <v>4.9050000000000002</v>
      </c>
      <c r="G792" s="22">
        <v>455.10000600000001</v>
      </c>
      <c r="H792" s="22">
        <v>1977.670044</v>
      </c>
      <c r="I792" s="18">
        <v>19744.75</v>
      </c>
    </row>
    <row r="793" spans="1:9" x14ac:dyDescent="0.2">
      <c r="A793" s="4">
        <v>34617</v>
      </c>
      <c r="B793" s="21">
        <v>1.2552000000000001</v>
      </c>
      <c r="C793" s="22">
        <v>100.3</v>
      </c>
      <c r="D793" s="22">
        <v>7.6829999999999998</v>
      </c>
      <c r="E793" s="10">
        <v>7.68</v>
      </c>
      <c r="F793" s="22">
        <v>4.9050000000000002</v>
      </c>
      <c r="G793" s="22">
        <v>459.040009</v>
      </c>
      <c r="H793" s="22">
        <v>2048.5600589999999</v>
      </c>
      <c r="I793" s="18">
        <v>19744.75</v>
      </c>
    </row>
    <row r="794" spans="1:9" x14ac:dyDescent="0.2">
      <c r="A794" s="4">
        <v>34618</v>
      </c>
      <c r="B794" s="21">
        <v>1.2567999999999999</v>
      </c>
      <c r="C794" s="22">
        <v>100.2</v>
      </c>
      <c r="D794" s="22">
        <v>7.6230000000000002</v>
      </c>
      <c r="E794" s="10">
        <v>7.6</v>
      </c>
      <c r="F794" s="22">
        <v>4.891</v>
      </c>
      <c r="G794" s="22">
        <v>465.790009</v>
      </c>
      <c r="H794" s="22">
        <v>2087.709961</v>
      </c>
      <c r="I794" s="18">
        <v>19821.460940000001</v>
      </c>
    </row>
    <row r="795" spans="1:9" x14ac:dyDescent="0.2">
      <c r="A795" s="4">
        <v>34619</v>
      </c>
      <c r="B795" s="21">
        <v>1.2606999999999999</v>
      </c>
      <c r="C795" s="22">
        <v>99.7</v>
      </c>
      <c r="D795" s="22">
        <v>7.6740000000000004</v>
      </c>
      <c r="E795" s="10">
        <v>7.57</v>
      </c>
      <c r="F795" s="22">
        <v>4.9109999999999996</v>
      </c>
      <c r="G795" s="22">
        <v>465.47000100000002</v>
      </c>
      <c r="H795" s="22">
        <v>2072.679932</v>
      </c>
      <c r="I795" s="18">
        <v>20089.720700000002</v>
      </c>
    </row>
    <row r="796" spans="1:9" x14ac:dyDescent="0.2">
      <c r="A796" s="4">
        <v>34620</v>
      </c>
      <c r="B796" s="21">
        <v>1.2605999999999999</v>
      </c>
      <c r="C796" s="22">
        <v>99.35</v>
      </c>
      <c r="D796" s="22">
        <v>7.6230000000000002</v>
      </c>
      <c r="E796" s="10">
        <v>7.56</v>
      </c>
      <c r="F796" s="22">
        <v>4.9260000000000002</v>
      </c>
      <c r="G796" s="22">
        <v>467.790009</v>
      </c>
      <c r="H796" s="22">
        <v>2108.080078</v>
      </c>
      <c r="I796" s="18">
        <v>20148.83008</v>
      </c>
    </row>
    <row r="797" spans="1:9" x14ac:dyDescent="0.2">
      <c r="A797" s="4">
        <v>34621</v>
      </c>
      <c r="B797" s="21">
        <v>1.2783</v>
      </c>
      <c r="C797" s="22">
        <v>98.25</v>
      </c>
      <c r="D797" s="22">
        <v>7.59</v>
      </c>
      <c r="E797" s="10">
        <v>7.44</v>
      </c>
      <c r="F797" s="22">
        <v>4.8449999999999998</v>
      </c>
      <c r="G797" s="22">
        <v>469.10000600000001</v>
      </c>
      <c r="H797" s="22">
        <v>2118.5200199999999</v>
      </c>
      <c r="I797" s="18">
        <v>19969.289059999999</v>
      </c>
    </row>
    <row r="798" spans="1:9" x14ac:dyDescent="0.2">
      <c r="A798" s="4">
        <v>34624</v>
      </c>
      <c r="B798" s="21">
        <v>1.2909999999999999</v>
      </c>
      <c r="C798" s="22">
        <v>97.72</v>
      </c>
      <c r="D798" s="22">
        <v>7.6</v>
      </c>
      <c r="E798" s="10">
        <v>7.34</v>
      </c>
      <c r="F798" s="22">
        <v>4.8410000000000002</v>
      </c>
      <c r="G798" s="22">
        <v>468.959991</v>
      </c>
      <c r="H798" s="22">
        <v>2095.580078</v>
      </c>
      <c r="I798" s="18">
        <v>19958.289059999999</v>
      </c>
    </row>
    <row r="799" spans="1:9" x14ac:dyDescent="0.2">
      <c r="A799" s="4">
        <v>34625</v>
      </c>
      <c r="B799" s="21">
        <v>1.2937000000000001</v>
      </c>
      <c r="C799" s="22">
        <v>97.75</v>
      </c>
      <c r="D799" s="22">
        <v>7.6139999999999999</v>
      </c>
      <c r="E799" s="10">
        <v>7.33</v>
      </c>
      <c r="F799" s="22">
        <v>4.87</v>
      </c>
      <c r="G799" s="22">
        <v>467.66000400000001</v>
      </c>
      <c r="H799" s="22">
        <v>2069.580078</v>
      </c>
      <c r="I799" s="18">
        <v>19992.400389999999</v>
      </c>
    </row>
    <row r="800" spans="1:9" x14ac:dyDescent="0.2">
      <c r="A800" s="4">
        <v>34626</v>
      </c>
      <c r="B800" s="21">
        <v>1.2937000000000001</v>
      </c>
      <c r="C800" s="22">
        <v>97.4</v>
      </c>
      <c r="D800" s="22">
        <v>7.6509999999999998</v>
      </c>
      <c r="E800" s="10">
        <v>7.37</v>
      </c>
      <c r="F800" s="22">
        <v>4.8410000000000002</v>
      </c>
      <c r="G800" s="22">
        <v>470.27999899999998</v>
      </c>
      <c r="H800" s="22">
        <v>2058.1298830000001</v>
      </c>
      <c r="I800" s="18">
        <v>19868.869139999999</v>
      </c>
    </row>
    <row r="801" spans="1:9" x14ac:dyDescent="0.2">
      <c r="A801" s="4">
        <v>34627</v>
      </c>
      <c r="B801" s="21">
        <v>1.2931999999999999</v>
      </c>
      <c r="C801" s="22">
        <v>97.03</v>
      </c>
      <c r="D801" s="22">
        <v>7.7830000000000004</v>
      </c>
      <c r="E801" s="10">
        <v>7.39</v>
      </c>
      <c r="F801" s="22">
        <v>4.87</v>
      </c>
      <c r="G801" s="22">
        <v>466.85000600000001</v>
      </c>
      <c r="H801" s="22">
        <v>2048.1499020000001</v>
      </c>
      <c r="I801" s="18">
        <v>19991.900389999999</v>
      </c>
    </row>
    <row r="802" spans="1:9" x14ac:dyDescent="0.2">
      <c r="A802" s="4">
        <v>34628</v>
      </c>
      <c r="B802" s="21">
        <v>1.2975000000000001</v>
      </c>
      <c r="C802" s="22">
        <v>97.23</v>
      </c>
      <c r="D802" s="22">
        <v>7.7830000000000004</v>
      </c>
      <c r="E802" s="10">
        <v>7.5</v>
      </c>
      <c r="F802" s="22">
        <v>4.83</v>
      </c>
      <c r="G802" s="22">
        <v>464.89001500000001</v>
      </c>
      <c r="H802" s="22">
        <v>2016.599976</v>
      </c>
      <c r="I802" s="18">
        <v>19899.08008</v>
      </c>
    </row>
    <row r="803" spans="1:9" x14ac:dyDescent="0.2">
      <c r="A803" s="4">
        <v>34631</v>
      </c>
      <c r="B803" s="21">
        <v>1.2965</v>
      </c>
      <c r="C803" s="22">
        <v>97.13</v>
      </c>
      <c r="D803" s="22">
        <v>7.83</v>
      </c>
      <c r="E803" s="10">
        <v>7.5</v>
      </c>
      <c r="F803" s="22">
        <v>4.9000000000000004</v>
      </c>
      <c r="G803" s="22">
        <v>460.82998700000002</v>
      </c>
      <c r="H803" s="22">
        <v>2022.6400149999999</v>
      </c>
      <c r="I803" s="18">
        <v>19852.369139999999</v>
      </c>
    </row>
    <row r="804" spans="1:9" x14ac:dyDescent="0.2">
      <c r="A804" s="4">
        <v>34632</v>
      </c>
      <c r="B804" s="21">
        <v>1.3007</v>
      </c>
      <c r="C804" s="22">
        <v>96.82</v>
      </c>
      <c r="D804" s="22">
        <v>7.859</v>
      </c>
      <c r="E804" s="10">
        <v>7.62</v>
      </c>
      <c r="F804" s="22">
        <v>4.8959999999999999</v>
      </c>
      <c r="G804" s="22">
        <v>461.52999899999998</v>
      </c>
      <c r="H804" s="22">
        <v>1995.849976</v>
      </c>
      <c r="I804" s="18">
        <v>19732.150389999999</v>
      </c>
    </row>
    <row r="805" spans="1:9" x14ac:dyDescent="0.2">
      <c r="A805" s="4">
        <v>34633</v>
      </c>
      <c r="B805" s="21">
        <v>1.2991999999999999</v>
      </c>
      <c r="C805" s="22">
        <v>96.83</v>
      </c>
      <c r="D805" s="22">
        <v>7.859</v>
      </c>
      <c r="E805" s="10">
        <v>7.65</v>
      </c>
      <c r="F805" s="22">
        <v>4.8780000000000001</v>
      </c>
      <c r="G805" s="22">
        <v>462.61999500000002</v>
      </c>
      <c r="H805" s="22">
        <v>2009.4499510000001</v>
      </c>
      <c r="I805" s="18">
        <v>19746.349610000001</v>
      </c>
    </row>
    <row r="806" spans="1:9" x14ac:dyDescent="0.2">
      <c r="A806" s="4">
        <v>34634</v>
      </c>
      <c r="B806" s="21">
        <v>1.298</v>
      </c>
      <c r="C806" s="22">
        <v>97.03</v>
      </c>
      <c r="D806" s="22">
        <v>7.859</v>
      </c>
      <c r="E806" s="10">
        <v>7.68</v>
      </c>
      <c r="F806" s="22">
        <v>4.8849999999999998</v>
      </c>
      <c r="G806" s="22">
        <v>465.85000600000001</v>
      </c>
      <c r="H806" s="22">
        <v>2026.369995</v>
      </c>
      <c r="I806" s="18">
        <v>19796.359380000002</v>
      </c>
    </row>
    <row r="807" spans="1:9" x14ac:dyDescent="0.2">
      <c r="A807" s="4">
        <v>34635</v>
      </c>
      <c r="B807" s="21">
        <v>1.2871999999999999</v>
      </c>
      <c r="C807" s="22">
        <v>97.28</v>
      </c>
      <c r="D807" s="22">
        <v>7.7930000000000001</v>
      </c>
      <c r="E807" s="10">
        <v>7.65</v>
      </c>
      <c r="F807" s="22">
        <v>4.8650000000000002</v>
      </c>
      <c r="G807" s="22">
        <v>473.76998900000001</v>
      </c>
      <c r="H807" s="22">
        <v>2064.860107</v>
      </c>
      <c r="I807" s="18">
        <v>19805.160159999999</v>
      </c>
    </row>
    <row r="808" spans="1:9" x14ac:dyDescent="0.2">
      <c r="A808" s="4">
        <v>34638</v>
      </c>
      <c r="B808" s="21">
        <v>1.288</v>
      </c>
      <c r="C808" s="22">
        <v>96.96</v>
      </c>
      <c r="D808" s="22">
        <v>7.7930000000000001</v>
      </c>
      <c r="E808" s="10">
        <v>7.56</v>
      </c>
      <c r="F808" s="22">
        <v>4.83</v>
      </c>
      <c r="G808" s="22">
        <v>472.35000600000001</v>
      </c>
      <c r="H808" s="22">
        <v>2061.580078</v>
      </c>
      <c r="I808" s="18">
        <v>19989.599610000001</v>
      </c>
    </row>
    <row r="809" spans="1:9" x14ac:dyDescent="0.2">
      <c r="A809" s="4">
        <v>34639</v>
      </c>
      <c r="B809" s="21">
        <v>1.2943</v>
      </c>
      <c r="C809" s="22">
        <v>96.61</v>
      </c>
      <c r="D809" s="22">
        <v>7.8929999999999998</v>
      </c>
      <c r="E809" s="10">
        <v>7.62</v>
      </c>
      <c r="F809" s="22">
        <v>4.8209999999999997</v>
      </c>
      <c r="G809" s="22">
        <v>468.42001299999998</v>
      </c>
      <c r="H809" s="22">
        <v>2066.179932</v>
      </c>
      <c r="I809" s="18">
        <v>19916.480469999999</v>
      </c>
    </row>
    <row r="810" spans="1:9" x14ac:dyDescent="0.2">
      <c r="A810" s="4">
        <v>34640</v>
      </c>
      <c r="B810" s="21">
        <v>1.2975000000000001</v>
      </c>
      <c r="C810" s="22">
        <v>97.53</v>
      </c>
      <c r="D810" s="22">
        <v>7.9269999999999996</v>
      </c>
      <c r="E810" s="10">
        <v>7.67</v>
      </c>
      <c r="F810" s="22">
        <v>4.8159999999999998</v>
      </c>
      <c r="G810" s="22">
        <v>466.51001000000002</v>
      </c>
      <c r="H810" s="22">
        <v>2039.910034</v>
      </c>
      <c r="I810" s="18">
        <v>19750.650389999999</v>
      </c>
    </row>
    <row r="811" spans="1:9" x14ac:dyDescent="0.2">
      <c r="A811" s="4">
        <v>34641</v>
      </c>
      <c r="B811" s="21">
        <v>1.2811999999999999</v>
      </c>
      <c r="C811" s="22">
        <v>97.63</v>
      </c>
      <c r="D811" s="22">
        <v>7.9459999999999997</v>
      </c>
      <c r="E811" s="10">
        <v>7.7</v>
      </c>
      <c r="F811" s="22">
        <v>4.8159999999999998</v>
      </c>
      <c r="G811" s="22">
        <v>467.91000400000001</v>
      </c>
      <c r="H811" s="22">
        <v>2061.3701169999999</v>
      </c>
      <c r="I811" s="18">
        <v>19750.650389999999</v>
      </c>
    </row>
    <row r="812" spans="1:9" x14ac:dyDescent="0.2">
      <c r="A812" s="4">
        <v>34642</v>
      </c>
      <c r="B812" s="21">
        <v>1.2724</v>
      </c>
      <c r="C812" s="22">
        <v>97.45</v>
      </c>
      <c r="D812" s="22">
        <v>8.0139999999999993</v>
      </c>
      <c r="E812" s="10">
        <v>7.63</v>
      </c>
      <c r="F812" s="22">
        <v>4.851</v>
      </c>
      <c r="G812" s="22">
        <v>462.27999899999998</v>
      </c>
      <c r="H812" s="22">
        <v>2069.389893</v>
      </c>
      <c r="I812" s="18">
        <v>19811.560549999998</v>
      </c>
    </row>
    <row r="813" spans="1:9" x14ac:dyDescent="0.2">
      <c r="A813" s="4">
        <v>34645</v>
      </c>
      <c r="B813" s="21">
        <v>1.2785</v>
      </c>
      <c r="C813" s="22">
        <v>97.38</v>
      </c>
      <c r="D813" s="22">
        <v>8.0229999999999997</v>
      </c>
      <c r="E813" s="10">
        <v>7.64</v>
      </c>
      <c r="F813" s="22">
        <v>4.8609999999999998</v>
      </c>
      <c r="G813" s="22">
        <v>463.07000699999998</v>
      </c>
      <c r="H813" s="22">
        <v>2043.3000489999999</v>
      </c>
      <c r="I813" s="18">
        <v>19619.220700000002</v>
      </c>
    </row>
    <row r="814" spans="1:9" x14ac:dyDescent="0.2">
      <c r="A814" s="4">
        <v>34646</v>
      </c>
      <c r="B814" s="21">
        <v>1.2847</v>
      </c>
      <c r="C814" s="22">
        <v>97.1</v>
      </c>
      <c r="D814" s="22">
        <v>7.9850000000000003</v>
      </c>
      <c r="E814" s="10">
        <v>7.65</v>
      </c>
      <c r="F814" s="22">
        <v>4.8810000000000002</v>
      </c>
      <c r="G814" s="22">
        <v>465.64999399999999</v>
      </c>
      <c r="H814" s="22">
        <v>2056.360107</v>
      </c>
      <c r="I814" s="18">
        <v>19609.019530000001</v>
      </c>
    </row>
    <row r="815" spans="1:9" x14ac:dyDescent="0.2">
      <c r="A815" s="4">
        <v>34647</v>
      </c>
      <c r="B815" s="21">
        <v>1.2674000000000001</v>
      </c>
      <c r="C815" s="22">
        <v>97.84</v>
      </c>
      <c r="D815" s="22">
        <v>7.923</v>
      </c>
      <c r="E815" s="10">
        <v>7.55</v>
      </c>
      <c r="F815" s="22">
        <v>4.774</v>
      </c>
      <c r="G815" s="22">
        <v>465.39999399999999</v>
      </c>
      <c r="H815" s="22">
        <v>2090.780029</v>
      </c>
      <c r="I815" s="18">
        <v>19423.880860000001</v>
      </c>
    </row>
    <row r="816" spans="1:9" x14ac:dyDescent="0.2">
      <c r="A816" s="4">
        <v>34648</v>
      </c>
      <c r="B816" s="21">
        <v>1.2639</v>
      </c>
      <c r="C816" s="22">
        <v>97.71</v>
      </c>
      <c r="D816" s="22">
        <v>7.9619999999999997</v>
      </c>
      <c r="E816" s="10">
        <v>7.52</v>
      </c>
      <c r="F816" s="22">
        <v>4.7720000000000002</v>
      </c>
      <c r="G816" s="22">
        <v>464.36999500000002</v>
      </c>
      <c r="H816" s="22">
        <v>2098.040039</v>
      </c>
      <c r="I816" s="18">
        <v>19264.849610000001</v>
      </c>
    </row>
    <row r="817" spans="1:9" x14ac:dyDescent="0.2">
      <c r="A817" s="4">
        <v>34649</v>
      </c>
      <c r="B817" s="21">
        <v>1.2692000000000001</v>
      </c>
      <c r="C817" s="22">
        <v>97.73</v>
      </c>
      <c r="D817" s="22">
        <v>7.9809999999999999</v>
      </c>
      <c r="E817" s="10">
        <v>7.5</v>
      </c>
      <c r="F817" s="22">
        <v>4.734</v>
      </c>
      <c r="G817" s="22">
        <v>462.35000600000001</v>
      </c>
      <c r="H817" s="22">
        <v>2073.669922</v>
      </c>
      <c r="I817" s="18">
        <v>19284.359380000002</v>
      </c>
    </row>
    <row r="818" spans="1:9" x14ac:dyDescent="0.2">
      <c r="A818" s="4">
        <v>34652</v>
      </c>
      <c r="B818" s="21">
        <v>1.2549999999999999</v>
      </c>
      <c r="C818" s="22">
        <v>98.33</v>
      </c>
      <c r="D818" s="22">
        <v>7.9249999999999998</v>
      </c>
      <c r="E818" s="10">
        <v>7.48</v>
      </c>
      <c r="F818" s="22">
        <v>4.7240000000000002</v>
      </c>
      <c r="G818" s="22">
        <v>466.040009</v>
      </c>
      <c r="H818" s="22">
        <v>2091.040039</v>
      </c>
      <c r="I818" s="18">
        <v>19261.449219999999</v>
      </c>
    </row>
    <row r="819" spans="1:9" x14ac:dyDescent="0.2">
      <c r="A819" s="4">
        <v>34653</v>
      </c>
      <c r="B819" s="21">
        <v>1.2552000000000001</v>
      </c>
      <c r="C819" s="22">
        <v>98.75</v>
      </c>
      <c r="D819" s="22">
        <v>7.8929999999999998</v>
      </c>
      <c r="E819" s="10">
        <v>7.45</v>
      </c>
      <c r="F819" s="22">
        <v>4.7190000000000003</v>
      </c>
      <c r="G819" s="22">
        <v>465.02999899999998</v>
      </c>
      <c r="H819" s="22">
        <v>2112.209961</v>
      </c>
      <c r="I819" s="18">
        <v>19391.679690000001</v>
      </c>
    </row>
    <row r="820" spans="1:9" x14ac:dyDescent="0.2">
      <c r="A820" s="4">
        <v>34654</v>
      </c>
      <c r="B820" s="21">
        <v>1.2507999999999999</v>
      </c>
      <c r="C820" s="22">
        <v>98.37</v>
      </c>
      <c r="D820" s="22">
        <v>7.9619999999999997</v>
      </c>
      <c r="E820" s="10">
        <v>7.45</v>
      </c>
      <c r="F820" s="22">
        <v>4.7389999999999999</v>
      </c>
      <c r="G820" s="22">
        <v>465.61999500000002</v>
      </c>
      <c r="H820" s="22">
        <v>2112.209961</v>
      </c>
      <c r="I820" s="18">
        <v>19306.660159999999</v>
      </c>
    </row>
    <row r="821" spans="1:9" x14ac:dyDescent="0.2">
      <c r="A821" s="4">
        <v>34655</v>
      </c>
      <c r="B821" s="21">
        <v>1.2527999999999999</v>
      </c>
      <c r="C821" s="22">
        <v>98.33</v>
      </c>
      <c r="D821" s="22">
        <v>8.0129999999999999</v>
      </c>
      <c r="E821" s="10">
        <v>7.51</v>
      </c>
      <c r="F821" s="22">
        <v>4.7489999999999997</v>
      </c>
      <c r="G821" s="22">
        <v>463.57000699999998</v>
      </c>
      <c r="H821" s="22">
        <v>2091.9399410000001</v>
      </c>
      <c r="I821" s="18">
        <v>19336.570309999999</v>
      </c>
    </row>
    <row r="822" spans="1:9" x14ac:dyDescent="0.2">
      <c r="A822" s="4">
        <v>34656</v>
      </c>
      <c r="B822" s="21">
        <v>1.2483</v>
      </c>
      <c r="C822" s="22">
        <v>98.59</v>
      </c>
      <c r="D822" s="22">
        <v>8.0039999999999996</v>
      </c>
      <c r="E822" s="10">
        <v>7.55</v>
      </c>
      <c r="F822" s="22">
        <v>4.7430000000000003</v>
      </c>
      <c r="G822" s="22">
        <v>461.47000100000002</v>
      </c>
      <c r="H822" s="22">
        <v>2089.4799800000001</v>
      </c>
      <c r="I822" s="18">
        <v>19302.560549999998</v>
      </c>
    </row>
    <row r="823" spans="1:9" x14ac:dyDescent="0.2">
      <c r="A823" s="4">
        <v>34659</v>
      </c>
      <c r="B823" s="21">
        <v>1.2444</v>
      </c>
      <c r="C823" s="22">
        <v>98.27</v>
      </c>
      <c r="D823" s="22">
        <v>8.0169999999999995</v>
      </c>
      <c r="E823" s="10">
        <v>7.52</v>
      </c>
      <c r="F823" s="22">
        <v>4.7389999999999999</v>
      </c>
      <c r="G823" s="22">
        <v>458.29998799999998</v>
      </c>
      <c r="H823" s="22">
        <v>2097.1999510000001</v>
      </c>
      <c r="I823" s="18">
        <v>19121.720700000002</v>
      </c>
    </row>
    <row r="824" spans="1:9" x14ac:dyDescent="0.2">
      <c r="A824" s="4">
        <v>34660</v>
      </c>
      <c r="B824" s="21">
        <v>1.2474000000000001</v>
      </c>
      <c r="C824" s="22">
        <v>98.21</v>
      </c>
      <c r="D824" s="22">
        <v>7.9850000000000003</v>
      </c>
      <c r="E824" s="10">
        <v>7.5</v>
      </c>
      <c r="F824" s="22">
        <v>4.7140000000000004</v>
      </c>
      <c r="G824" s="22">
        <v>450.08999599999999</v>
      </c>
      <c r="H824" s="22">
        <v>2073.290039</v>
      </c>
      <c r="I824" s="18">
        <v>18962.990229999999</v>
      </c>
    </row>
    <row r="825" spans="1:9" x14ac:dyDescent="0.2">
      <c r="A825" s="4">
        <v>34661</v>
      </c>
      <c r="B825" s="21">
        <v>1.2466999999999999</v>
      </c>
      <c r="C825" s="22">
        <v>98.44</v>
      </c>
      <c r="D825" s="22">
        <v>7.8010000000000002</v>
      </c>
      <c r="E825" s="10">
        <v>7.4</v>
      </c>
      <c r="F825" s="22">
        <v>4.7140000000000004</v>
      </c>
      <c r="G825" s="22">
        <v>449.92999300000002</v>
      </c>
      <c r="H825" s="22">
        <v>2040.0500489999999</v>
      </c>
      <c r="I825" s="18">
        <v>18962.990229999999</v>
      </c>
    </row>
    <row r="826" spans="1:9" x14ac:dyDescent="0.2">
      <c r="A826" s="4">
        <v>34662</v>
      </c>
      <c r="B826" s="21">
        <v>1.2430000000000001</v>
      </c>
      <c r="C826" s="22">
        <v>98.47</v>
      </c>
      <c r="D826" s="22">
        <v>7.8010000000000002</v>
      </c>
      <c r="E826" s="10">
        <v>7.39</v>
      </c>
      <c r="F826" s="22">
        <v>4.6289999999999996</v>
      </c>
      <c r="G826" s="22">
        <v>448.92</v>
      </c>
      <c r="H826" s="22">
        <v>2058.790039</v>
      </c>
      <c r="I826" s="18">
        <v>18701.240229999999</v>
      </c>
    </row>
    <row r="827" spans="1:9" x14ac:dyDescent="0.2">
      <c r="A827" s="4">
        <v>34663</v>
      </c>
      <c r="B827" s="21">
        <v>1.2419</v>
      </c>
      <c r="C827" s="22">
        <v>98.78</v>
      </c>
      <c r="D827" s="22">
        <v>7.7880000000000003</v>
      </c>
      <c r="E827" s="10">
        <v>7.32</v>
      </c>
      <c r="F827" s="22">
        <v>4.649</v>
      </c>
      <c r="G827" s="22">
        <v>452.290009</v>
      </c>
      <c r="H827" s="22">
        <v>2056.2700199999999</v>
      </c>
      <c r="I827" s="18">
        <v>18666.929690000001</v>
      </c>
    </row>
    <row r="828" spans="1:9" x14ac:dyDescent="0.2">
      <c r="A828" s="4">
        <v>34666</v>
      </c>
      <c r="B828" s="21">
        <v>1.2392000000000001</v>
      </c>
      <c r="C828" s="22">
        <v>98.74</v>
      </c>
      <c r="D828" s="22">
        <v>7.8739999999999997</v>
      </c>
      <c r="E828" s="10">
        <v>7.28</v>
      </c>
      <c r="F828" s="22">
        <v>4.694</v>
      </c>
      <c r="G828" s="22">
        <v>454.16000400000001</v>
      </c>
      <c r="H828" s="22">
        <v>2050.820068</v>
      </c>
      <c r="I828" s="18">
        <v>18811.359380000002</v>
      </c>
    </row>
    <row r="829" spans="1:9" x14ac:dyDescent="0.2">
      <c r="A829" s="4">
        <v>34667</v>
      </c>
      <c r="B829" s="21">
        <v>1.2415</v>
      </c>
      <c r="C829" s="22">
        <v>98.96</v>
      </c>
      <c r="D829" s="22">
        <v>7.9390000000000001</v>
      </c>
      <c r="E829" s="10">
        <v>7.35</v>
      </c>
      <c r="F829" s="22">
        <v>4.6890000000000001</v>
      </c>
      <c r="G829" s="22">
        <v>455.17001299999998</v>
      </c>
      <c r="H829" s="22">
        <v>2036.23999</v>
      </c>
      <c r="I829" s="18">
        <v>18926.490229999999</v>
      </c>
    </row>
    <row r="830" spans="1:9" x14ac:dyDescent="0.2">
      <c r="A830" s="4">
        <v>34668</v>
      </c>
      <c r="B830" s="21">
        <v>1.2345999999999999</v>
      </c>
      <c r="C830" s="22">
        <v>98.98</v>
      </c>
      <c r="D830" s="22">
        <v>7.8879999999999999</v>
      </c>
      <c r="E830" s="10">
        <v>7.41</v>
      </c>
      <c r="F830" s="22">
        <v>4.7140000000000004</v>
      </c>
      <c r="G830" s="22">
        <v>453.69000199999999</v>
      </c>
      <c r="H830" s="22">
        <v>2057.280029</v>
      </c>
      <c r="I830" s="18">
        <v>19075.619139999999</v>
      </c>
    </row>
    <row r="831" spans="1:9" x14ac:dyDescent="0.2">
      <c r="A831" s="4">
        <v>34669</v>
      </c>
      <c r="B831" s="21">
        <v>1.2337</v>
      </c>
      <c r="C831" s="22">
        <v>99.38</v>
      </c>
      <c r="D831" s="22">
        <v>7.9109999999999996</v>
      </c>
      <c r="E831" s="10">
        <v>7.31</v>
      </c>
      <c r="F831" s="22">
        <v>4.6559999999999997</v>
      </c>
      <c r="G831" s="22">
        <v>448.92001299999998</v>
      </c>
      <c r="H831" s="22">
        <v>2045.540039</v>
      </c>
      <c r="I831" s="18">
        <v>19013.599610000001</v>
      </c>
    </row>
    <row r="832" spans="1:9" x14ac:dyDescent="0.2">
      <c r="A832" s="4">
        <v>34670</v>
      </c>
      <c r="B832" s="21">
        <v>1.2294</v>
      </c>
      <c r="C832" s="22">
        <v>100.64</v>
      </c>
      <c r="D832" s="22">
        <v>7.7919999999999998</v>
      </c>
      <c r="E832" s="10">
        <v>7.31</v>
      </c>
      <c r="F832" s="22">
        <v>4.641</v>
      </c>
      <c r="G832" s="22">
        <v>453.29998799999998</v>
      </c>
      <c r="H832" s="22">
        <v>2042.380005</v>
      </c>
      <c r="I832" s="18">
        <v>18998.300780000001</v>
      </c>
    </row>
    <row r="833" spans="1:9" x14ac:dyDescent="0.2">
      <c r="A833" s="4">
        <v>34673</v>
      </c>
      <c r="B833" s="21">
        <v>1.2314000000000001</v>
      </c>
      <c r="C833" s="22">
        <v>100.33</v>
      </c>
      <c r="D833" s="22">
        <v>7.8230000000000004</v>
      </c>
      <c r="E833" s="10">
        <v>7.27</v>
      </c>
      <c r="F833" s="22">
        <v>4.6749999999999998</v>
      </c>
      <c r="G833" s="22">
        <v>453.32000699999998</v>
      </c>
      <c r="H833" s="22">
        <v>2067.26001</v>
      </c>
      <c r="I833" s="18">
        <v>19305.660159999999</v>
      </c>
    </row>
    <row r="834" spans="1:9" x14ac:dyDescent="0.2">
      <c r="A834" s="4">
        <v>34674</v>
      </c>
      <c r="B834" s="21">
        <v>1.2318</v>
      </c>
      <c r="C834" s="22">
        <v>100.12</v>
      </c>
      <c r="D834" s="22">
        <v>7.7190000000000003</v>
      </c>
      <c r="E834" s="10">
        <v>7.34</v>
      </c>
      <c r="F834" s="22">
        <v>4.6449999999999996</v>
      </c>
      <c r="G834" s="22">
        <v>453.10998499999999</v>
      </c>
      <c r="H834" s="22">
        <v>2046.98999</v>
      </c>
      <c r="I834" s="18">
        <v>19340.470700000002</v>
      </c>
    </row>
    <row r="835" spans="1:9" x14ac:dyDescent="0.2">
      <c r="A835" s="4">
        <v>34675</v>
      </c>
      <c r="B835" s="21">
        <v>1.2326999999999999</v>
      </c>
      <c r="C835" s="22">
        <v>99.92</v>
      </c>
      <c r="D835" s="22">
        <v>7.8010000000000002</v>
      </c>
      <c r="E835" s="10">
        <v>7.34</v>
      </c>
      <c r="F835" s="22">
        <v>4.6210000000000004</v>
      </c>
      <c r="G835" s="22">
        <v>451.23001099999999</v>
      </c>
      <c r="H835" s="22">
        <v>2044.040039</v>
      </c>
      <c r="I835" s="18">
        <v>19174.230469999999</v>
      </c>
    </row>
    <row r="836" spans="1:9" x14ac:dyDescent="0.2">
      <c r="A836" s="4">
        <v>34676</v>
      </c>
      <c r="B836" s="21">
        <v>1.2278</v>
      </c>
      <c r="C836" s="22">
        <v>100.56</v>
      </c>
      <c r="D836" s="22">
        <v>7.81</v>
      </c>
      <c r="E836" s="10">
        <v>7.43</v>
      </c>
      <c r="F836" s="22">
        <v>4.6449999999999996</v>
      </c>
      <c r="G836" s="22">
        <v>445.45001200000002</v>
      </c>
      <c r="H836" s="22">
        <v>2041.849976</v>
      </c>
      <c r="I836" s="18">
        <v>19180.039059999999</v>
      </c>
    </row>
    <row r="837" spans="1:9" x14ac:dyDescent="0.2">
      <c r="A837" s="4">
        <v>34677</v>
      </c>
      <c r="B837" s="21">
        <v>1.2281</v>
      </c>
      <c r="C837" s="22">
        <v>100.11</v>
      </c>
      <c r="D837" s="22">
        <v>7.7779999999999996</v>
      </c>
      <c r="E837" s="10">
        <v>7.39</v>
      </c>
      <c r="F837" s="22">
        <v>4.5910000000000002</v>
      </c>
      <c r="G837" s="22">
        <v>446.959991</v>
      </c>
      <c r="H837" s="22">
        <v>2024.1899410000001</v>
      </c>
      <c r="I837" s="18">
        <v>18978.300780000001</v>
      </c>
    </row>
    <row r="838" spans="1:9" x14ac:dyDescent="0.2">
      <c r="A838" s="4">
        <v>34680</v>
      </c>
      <c r="B838" s="21">
        <v>1.2302</v>
      </c>
      <c r="C838" s="22">
        <v>100</v>
      </c>
      <c r="D838" s="22">
        <v>7.8410000000000002</v>
      </c>
      <c r="E838" s="10">
        <v>7.42</v>
      </c>
      <c r="F838" s="22">
        <v>4.585</v>
      </c>
      <c r="G838" s="22">
        <v>449.47000100000002</v>
      </c>
      <c r="H838" s="22">
        <v>2003.6400149999999</v>
      </c>
      <c r="I838" s="18">
        <v>18975.099610000001</v>
      </c>
    </row>
    <row r="839" spans="1:9" x14ac:dyDescent="0.2">
      <c r="A839" s="4">
        <v>34681</v>
      </c>
      <c r="B839" s="21">
        <v>1.2286999999999999</v>
      </c>
      <c r="C839" s="22">
        <v>100.28</v>
      </c>
      <c r="D839" s="22">
        <v>7.8140000000000001</v>
      </c>
      <c r="E839" s="10">
        <v>7.51</v>
      </c>
      <c r="F839" s="22">
        <v>4.5609999999999999</v>
      </c>
      <c r="G839" s="22">
        <v>450.14999399999999</v>
      </c>
      <c r="H839" s="22">
        <v>2019.130005</v>
      </c>
      <c r="I839" s="18">
        <v>18875.480469999999</v>
      </c>
    </row>
    <row r="840" spans="1:9" x14ac:dyDescent="0.2">
      <c r="A840" s="4">
        <v>34682</v>
      </c>
      <c r="B840" s="21">
        <v>1.2314000000000001</v>
      </c>
      <c r="C840" s="22">
        <v>100.3</v>
      </c>
      <c r="D840" s="22">
        <v>7.7729999999999997</v>
      </c>
      <c r="E840" s="10">
        <v>7.5</v>
      </c>
      <c r="F840" s="22">
        <v>4.5659999999999998</v>
      </c>
      <c r="G840" s="22">
        <v>454.97000100000002</v>
      </c>
      <c r="H840" s="22">
        <v>2040.9399410000001</v>
      </c>
      <c r="I840" s="18">
        <v>18931.490229999999</v>
      </c>
    </row>
    <row r="841" spans="1:9" x14ac:dyDescent="0.2">
      <c r="A841" s="4">
        <v>34683</v>
      </c>
      <c r="B841" s="21">
        <v>1.2297</v>
      </c>
      <c r="C841" s="22">
        <v>100.31</v>
      </c>
      <c r="D841" s="22">
        <v>7.7770000000000001</v>
      </c>
      <c r="E841" s="10">
        <v>7.49</v>
      </c>
      <c r="F841" s="22">
        <v>4.5739999999999998</v>
      </c>
      <c r="G841" s="22">
        <v>455.33999599999999</v>
      </c>
      <c r="H841" s="22">
        <v>2054.2299800000001</v>
      </c>
      <c r="I841" s="18">
        <v>19121.119139999999</v>
      </c>
    </row>
    <row r="842" spans="1:9" x14ac:dyDescent="0.2">
      <c r="A842" s="4">
        <v>34684</v>
      </c>
      <c r="B842" s="21">
        <v>1.2302999999999999</v>
      </c>
      <c r="C842" s="22">
        <v>100.25</v>
      </c>
      <c r="D842" s="22">
        <v>7.8</v>
      </c>
      <c r="E842" s="10">
        <v>7.46</v>
      </c>
      <c r="F842" s="22">
        <v>4.5890000000000004</v>
      </c>
      <c r="G842" s="22">
        <v>458.79998799999998</v>
      </c>
      <c r="H842" s="22">
        <v>2069.8999020000001</v>
      </c>
      <c r="I842" s="18">
        <v>19163.429690000001</v>
      </c>
    </row>
    <row r="843" spans="1:9" x14ac:dyDescent="0.2">
      <c r="A843" s="4">
        <v>34687</v>
      </c>
      <c r="B843" s="21">
        <v>1.2270000000000001</v>
      </c>
      <c r="C843" s="22">
        <v>100.13</v>
      </c>
      <c r="D843" s="22">
        <v>7.7949999999999999</v>
      </c>
      <c r="E843" s="10">
        <v>7.47</v>
      </c>
      <c r="F843" s="22">
        <v>4.5990000000000002</v>
      </c>
      <c r="G843" s="22">
        <v>457.91000400000001</v>
      </c>
      <c r="H843" s="22">
        <v>2066.5900879999999</v>
      </c>
      <c r="I843" s="18">
        <v>19270.849610000001</v>
      </c>
    </row>
    <row r="844" spans="1:9" x14ac:dyDescent="0.2">
      <c r="A844" s="4">
        <v>34688</v>
      </c>
      <c r="B844" s="21">
        <v>1.2276</v>
      </c>
      <c r="C844" s="22">
        <v>100.23</v>
      </c>
      <c r="D844" s="22">
        <v>7.8</v>
      </c>
      <c r="E844" s="10">
        <v>7.51</v>
      </c>
      <c r="F844" s="22">
        <v>4.5739999999999998</v>
      </c>
      <c r="G844" s="22">
        <v>457.10000600000001</v>
      </c>
      <c r="H844" s="22">
        <v>2080.1599120000001</v>
      </c>
      <c r="I844" s="18">
        <v>19406.980469999999</v>
      </c>
    </row>
    <row r="845" spans="1:9" x14ac:dyDescent="0.2">
      <c r="A845" s="4">
        <v>34689</v>
      </c>
      <c r="B845" s="21">
        <v>1.2294</v>
      </c>
      <c r="C845" s="22">
        <v>100.61</v>
      </c>
      <c r="D845" s="22">
        <v>7.7859999999999996</v>
      </c>
      <c r="E845" s="10">
        <v>7.51</v>
      </c>
      <c r="F845" s="22">
        <v>4.5289999999999999</v>
      </c>
      <c r="G845" s="22">
        <v>459.60998499999999</v>
      </c>
      <c r="H845" s="22">
        <v>2095.5</v>
      </c>
      <c r="I845" s="18">
        <v>19340.66992</v>
      </c>
    </row>
    <row r="846" spans="1:9" x14ac:dyDescent="0.2">
      <c r="A846" s="4">
        <v>34690</v>
      </c>
      <c r="B846" s="21">
        <v>1.2229000000000001</v>
      </c>
      <c r="C846" s="22">
        <v>100.15</v>
      </c>
      <c r="D846" s="22">
        <v>7.827</v>
      </c>
      <c r="E846" s="10">
        <v>7.5</v>
      </c>
      <c r="F846" s="22">
        <v>4.5339999999999998</v>
      </c>
      <c r="G846" s="22">
        <v>459.67999300000002</v>
      </c>
      <c r="H846" s="22">
        <v>2102.25</v>
      </c>
      <c r="I846" s="18">
        <v>19633.529299999998</v>
      </c>
    </row>
    <row r="847" spans="1:9" x14ac:dyDescent="0.2">
      <c r="A847" s="4">
        <v>34691</v>
      </c>
      <c r="B847" s="21">
        <v>1.2252000000000001</v>
      </c>
      <c r="C847" s="22">
        <v>100.12</v>
      </c>
      <c r="D847" s="22">
        <v>7.827</v>
      </c>
      <c r="E847" s="10">
        <v>7.47</v>
      </c>
      <c r="F847" s="22">
        <v>4.5339999999999998</v>
      </c>
      <c r="G847" s="22">
        <v>459.82998700000002</v>
      </c>
      <c r="H847" s="22">
        <v>2100.9799800000001</v>
      </c>
      <c r="I847" s="18">
        <v>19633.529299999998</v>
      </c>
    </row>
    <row r="848" spans="1:9" x14ac:dyDescent="0.2">
      <c r="A848" s="4">
        <v>34694</v>
      </c>
      <c r="B848" s="21">
        <v>1.2252000000000001</v>
      </c>
      <c r="C848" s="22">
        <v>100.31</v>
      </c>
      <c r="D848" s="22">
        <v>7.827</v>
      </c>
      <c r="E848" s="10">
        <v>7.47</v>
      </c>
      <c r="F848" s="22">
        <v>4.5490000000000004</v>
      </c>
      <c r="G848" s="22">
        <v>459.27</v>
      </c>
      <c r="H848" s="22">
        <v>2100.9799800000001</v>
      </c>
      <c r="I848" s="18">
        <v>19726.75</v>
      </c>
    </row>
    <row r="849" spans="1:9" x14ac:dyDescent="0.2">
      <c r="A849" s="4">
        <v>34695</v>
      </c>
      <c r="B849" s="21">
        <v>1.2252000000000001</v>
      </c>
      <c r="C849" s="22">
        <v>100.38</v>
      </c>
      <c r="D849" s="22">
        <v>7.7450000000000001</v>
      </c>
      <c r="E849" s="10">
        <v>7.48</v>
      </c>
      <c r="F849" s="22">
        <v>4.5449999999999999</v>
      </c>
      <c r="G849" s="22">
        <v>462.47000100000002</v>
      </c>
      <c r="H849" s="22">
        <v>2110.7700199999999</v>
      </c>
      <c r="I849" s="18">
        <v>19711.359380000002</v>
      </c>
    </row>
    <row r="850" spans="1:9" x14ac:dyDescent="0.2">
      <c r="A850" s="4">
        <v>34696</v>
      </c>
      <c r="B850" s="21">
        <v>1.2264999999999999</v>
      </c>
      <c r="C850" s="22">
        <v>99.3</v>
      </c>
      <c r="D850" s="22">
        <v>7.7859999999999996</v>
      </c>
      <c r="E850" s="10">
        <v>7.45</v>
      </c>
      <c r="F850" s="22">
        <v>4.5289999999999999</v>
      </c>
      <c r="G850" s="22">
        <v>460.85998499999999</v>
      </c>
      <c r="H850" s="22">
        <v>2097.3400879999999</v>
      </c>
      <c r="I850" s="18">
        <v>19665.529299999998</v>
      </c>
    </row>
    <row r="851" spans="1:9" x14ac:dyDescent="0.2">
      <c r="A851" s="4">
        <v>34697</v>
      </c>
      <c r="B851" s="21">
        <v>1.2435</v>
      </c>
      <c r="C851" s="22">
        <v>99.63</v>
      </c>
      <c r="D851" s="22">
        <v>7.7990000000000004</v>
      </c>
      <c r="E851" s="10">
        <v>7.55</v>
      </c>
      <c r="F851" s="22">
        <v>4.5439999999999996</v>
      </c>
      <c r="G851" s="22">
        <v>461.17001299999998</v>
      </c>
      <c r="H851" s="22">
        <v>2074.679932</v>
      </c>
      <c r="I851" s="18">
        <v>19752.980469999999</v>
      </c>
    </row>
    <row r="852" spans="1:9" x14ac:dyDescent="0.2">
      <c r="A852" s="4">
        <v>34698</v>
      </c>
      <c r="B852" s="21">
        <v>1.2458</v>
      </c>
      <c r="C852" s="22">
        <v>99.58</v>
      </c>
      <c r="D852" s="22">
        <v>7.827</v>
      </c>
      <c r="E852" s="10">
        <v>7.65</v>
      </c>
      <c r="F852" s="22">
        <v>4.57</v>
      </c>
      <c r="G852" s="22">
        <v>459.26998900000001</v>
      </c>
      <c r="H852" s="22">
        <v>2097.51001</v>
      </c>
      <c r="I852" s="18">
        <v>19723.060549999998</v>
      </c>
    </row>
    <row r="853" spans="1:9" x14ac:dyDescent="0.2">
      <c r="A853" s="4">
        <v>34701</v>
      </c>
      <c r="B853" s="21">
        <v>1.2458</v>
      </c>
      <c r="C853" s="22">
        <v>100.2</v>
      </c>
      <c r="D853" s="22">
        <v>7.827</v>
      </c>
      <c r="E853" s="10">
        <v>7.64</v>
      </c>
      <c r="F853" s="22">
        <v>4.57</v>
      </c>
      <c r="G853" s="22">
        <v>460.83</v>
      </c>
      <c r="H853" s="22">
        <v>2079.1899410000001</v>
      </c>
      <c r="I853" s="18">
        <v>19723.060549999998</v>
      </c>
    </row>
    <row r="854" spans="1:9" x14ac:dyDescent="0.2">
      <c r="A854" s="4">
        <v>34702</v>
      </c>
      <c r="B854" s="21">
        <v>1.2425999999999999</v>
      </c>
      <c r="C854" s="22">
        <v>100.67</v>
      </c>
      <c r="D854" s="22">
        <v>7.8769999999999998</v>
      </c>
      <c r="E854" s="10">
        <v>7.64</v>
      </c>
      <c r="F854" s="22">
        <v>4.57</v>
      </c>
      <c r="G854" s="22">
        <v>459.10998499999999</v>
      </c>
      <c r="H854" s="22">
        <v>2068.919922</v>
      </c>
      <c r="I854" s="18">
        <v>19723.060549999998</v>
      </c>
    </row>
    <row r="855" spans="1:9" x14ac:dyDescent="0.2">
      <c r="A855" s="4">
        <v>34703</v>
      </c>
      <c r="B855" s="21">
        <v>1.2383999999999999</v>
      </c>
      <c r="C855" s="22">
        <v>101.35</v>
      </c>
      <c r="D855" s="22">
        <v>7.8129999999999997</v>
      </c>
      <c r="E855" s="10">
        <v>7.65</v>
      </c>
      <c r="F855" s="22">
        <v>4.6399999999999997</v>
      </c>
      <c r="G855" s="22">
        <v>460.709991</v>
      </c>
      <c r="H855" s="22">
        <v>2072.8999020000001</v>
      </c>
      <c r="I855" s="18">
        <v>19684.039059999999</v>
      </c>
    </row>
    <row r="856" spans="1:9" x14ac:dyDescent="0.2">
      <c r="A856" s="4">
        <v>34704</v>
      </c>
      <c r="B856" s="21">
        <v>1.2421</v>
      </c>
      <c r="C856" s="22">
        <v>100.88</v>
      </c>
      <c r="D856" s="22">
        <v>7.8680000000000003</v>
      </c>
      <c r="E856" s="10">
        <v>7.68</v>
      </c>
      <c r="F856" s="22">
        <v>4.6890000000000001</v>
      </c>
      <c r="G856" s="22">
        <v>460.33999599999999</v>
      </c>
      <c r="H856" s="22">
        <v>2051.459961</v>
      </c>
      <c r="I856" s="18">
        <v>19616.109380000002</v>
      </c>
    </row>
    <row r="857" spans="1:9" x14ac:dyDescent="0.2">
      <c r="A857" s="4">
        <v>34705</v>
      </c>
      <c r="B857" s="21">
        <v>1.2378</v>
      </c>
      <c r="C857" s="22">
        <v>101.37</v>
      </c>
      <c r="D857" s="22">
        <v>7.85</v>
      </c>
      <c r="E857" s="10">
        <v>7.74</v>
      </c>
      <c r="F857" s="22">
        <v>4.7190000000000003</v>
      </c>
      <c r="G857" s="22">
        <v>460.67999300000002</v>
      </c>
      <c r="H857" s="22">
        <v>2058.1999510000001</v>
      </c>
      <c r="I857" s="18">
        <v>19519.460940000001</v>
      </c>
    </row>
    <row r="858" spans="1:9" x14ac:dyDescent="0.2">
      <c r="A858" s="4">
        <v>34708</v>
      </c>
      <c r="B858" s="21">
        <v>1.2396</v>
      </c>
      <c r="C858" s="22">
        <v>100.03</v>
      </c>
      <c r="D858" s="22">
        <v>7.8819999999999997</v>
      </c>
      <c r="E858" s="10">
        <v>7.68</v>
      </c>
      <c r="F858" s="22">
        <v>4.7039999999999997</v>
      </c>
      <c r="G858" s="22">
        <v>460.82998700000002</v>
      </c>
      <c r="H858" s="22">
        <v>2053.4099120000001</v>
      </c>
      <c r="I858" s="18">
        <v>19444.91992</v>
      </c>
    </row>
    <row r="859" spans="1:9" x14ac:dyDescent="0.2">
      <c r="A859" s="4">
        <v>34709</v>
      </c>
      <c r="B859" s="21">
        <v>1.2517</v>
      </c>
      <c r="C859" s="22">
        <v>100.03</v>
      </c>
      <c r="D859" s="22">
        <v>7.8220000000000001</v>
      </c>
      <c r="E859" s="10">
        <v>7.7</v>
      </c>
      <c r="F859" s="22">
        <v>4.6840000000000002</v>
      </c>
      <c r="G859" s="22">
        <v>461.67999300000002</v>
      </c>
      <c r="H859" s="22">
        <v>2062.080078</v>
      </c>
      <c r="I859" s="18">
        <v>19501.449219999999</v>
      </c>
    </row>
    <row r="860" spans="1:9" x14ac:dyDescent="0.2">
      <c r="A860" s="4">
        <v>34710</v>
      </c>
      <c r="B860" s="21">
        <v>1.2511000000000001</v>
      </c>
      <c r="C860" s="22">
        <v>100.09</v>
      </c>
      <c r="D860" s="22">
        <v>7.7759999999999998</v>
      </c>
      <c r="E860" s="10">
        <v>7.6</v>
      </c>
      <c r="F860" s="22">
        <v>4.6390000000000002</v>
      </c>
      <c r="G860" s="22">
        <v>461.66000400000001</v>
      </c>
      <c r="H860" s="22">
        <v>2061.76001</v>
      </c>
      <c r="I860" s="18">
        <v>19548.470700000002</v>
      </c>
    </row>
    <row r="861" spans="1:9" x14ac:dyDescent="0.2">
      <c r="A861" s="4">
        <v>34711</v>
      </c>
      <c r="B861" s="21">
        <v>1.2557</v>
      </c>
      <c r="C861" s="22">
        <v>98.67</v>
      </c>
      <c r="D861" s="22">
        <v>7.7939999999999996</v>
      </c>
      <c r="E861" s="10">
        <v>7.6</v>
      </c>
      <c r="F861" s="22">
        <v>4.5990000000000002</v>
      </c>
      <c r="G861" s="22">
        <v>461.64001500000001</v>
      </c>
      <c r="H861" s="22">
        <v>2059.679932</v>
      </c>
      <c r="I861" s="18">
        <v>19410.009770000001</v>
      </c>
    </row>
    <row r="862" spans="1:9" x14ac:dyDescent="0.2">
      <c r="A862" s="4">
        <v>34712</v>
      </c>
      <c r="B862" s="21">
        <v>1.2538</v>
      </c>
      <c r="C862" s="22">
        <v>98.4</v>
      </c>
      <c r="D862" s="22">
        <v>7.68</v>
      </c>
      <c r="E862" s="10">
        <v>7.57</v>
      </c>
      <c r="F862" s="22">
        <v>4.6189999999999998</v>
      </c>
      <c r="G862" s="22">
        <v>465.97000100000002</v>
      </c>
      <c r="H862" s="22">
        <v>2064.139893</v>
      </c>
      <c r="I862" s="18">
        <v>19331.16992</v>
      </c>
    </row>
    <row r="863" spans="1:9" x14ac:dyDescent="0.2">
      <c r="A863" s="4">
        <v>34715</v>
      </c>
      <c r="B863" s="21">
        <v>1.2589999999999999</v>
      </c>
      <c r="C863" s="22">
        <v>98.42</v>
      </c>
      <c r="D863" s="22">
        <v>7.68</v>
      </c>
      <c r="E863" s="10">
        <v>7.54</v>
      </c>
      <c r="F863" s="22">
        <v>4.6189999999999998</v>
      </c>
      <c r="G863" s="22">
        <v>469.38000499999998</v>
      </c>
      <c r="H863" s="22">
        <v>2088.25</v>
      </c>
      <c r="I863" s="18">
        <v>19331.16992</v>
      </c>
    </row>
    <row r="864" spans="1:9" x14ac:dyDescent="0.2">
      <c r="A864" s="4">
        <v>34716</v>
      </c>
      <c r="B864" s="21">
        <v>1.2563</v>
      </c>
      <c r="C864" s="22">
        <v>99.11</v>
      </c>
      <c r="D864" s="22">
        <v>7.6840000000000002</v>
      </c>
      <c r="E864" s="10">
        <v>7.52</v>
      </c>
      <c r="F864" s="22">
        <v>4.6890000000000001</v>
      </c>
      <c r="G864" s="22">
        <v>470.04998799999998</v>
      </c>
      <c r="H864" s="22">
        <v>2081.389893</v>
      </c>
      <c r="I864" s="18">
        <v>19241.320309999999</v>
      </c>
    </row>
    <row r="865" spans="1:9" x14ac:dyDescent="0.2">
      <c r="A865" s="4">
        <v>34717</v>
      </c>
      <c r="B865" s="21">
        <v>1.2564</v>
      </c>
      <c r="C865" s="22">
        <v>99.53</v>
      </c>
      <c r="D865" s="22">
        <v>7.6980000000000004</v>
      </c>
      <c r="E865" s="10">
        <v>7.57</v>
      </c>
      <c r="F865" s="22">
        <v>4.6289999999999996</v>
      </c>
      <c r="G865" s="22">
        <v>469.709991</v>
      </c>
      <c r="H865" s="22">
        <v>2085.6201169999999</v>
      </c>
      <c r="I865" s="18">
        <v>19223.310549999998</v>
      </c>
    </row>
    <row r="866" spans="1:9" x14ac:dyDescent="0.2">
      <c r="A866" s="4">
        <v>34718</v>
      </c>
      <c r="B866" s="21">
        <v>1.256</v>
      </c>
      <c r="C866" s="22">
        <v>99.13</v>
      </c>
      <c r="D866" s="22">
        <v>7.7160000000000002</v>
      </c>
      <c r="E866" s="10">
        <v>7.52</v>
      </c>
      <c r="F866" s="22">
        <v>4.6539999999999999</v>
      </c>
      <c r="G866" s="22">
        <v>466.95001200000002</v>
      </c>
      <c r="H866" s="22">
        <v>2079.6000979999999</v>
      </c>
      <c r="I866" s="18">
        <v>19075.740229999999</v>
      </c>
    </row>
    <row r="867" spans="1:9" x14ac:dyDescent="0.2">
      <c r="A867" s="4">
        <v>34719</v>
      </c>
      <c r="B867" s="21">
        <v>1.2736000000000001</v>
      </c>
      <c r="C867" s="22">
        <v>99.4</v>
      </c>
      <c r="D867" s="22">
        <v>7.8079999999999998</v>
      </c>
      <c r="E867" s="10">
        <v>7.54</v>
      </c>
      <c r="F867" s="22">
        <v>4.6740000000000004</v>
      </c>
      <c r="G867" s="22">
        <v>464.77999899999998</v>
      </c>
      <c r="H867" s="22">
        <v>2050.860107</v>
      </c>
      <c r="I867" s="18">
        <v>18840.220700000002</v>
      </c>
    </row>
    <row r="868" spans="1:9" x14ac:dyDescent="0.2">
      <c r="A868" s="4">
        <v>34722</v>
      </c>
      <c r="B868" s="21">
        <v>1.2737000000000001</v>
      </c>
      <c r="C868" s="22">
        <v>99.8</v>
      </c>
      <c r="D868" s="22">
        <v>7.8220000000000001</v>
      </c>
      <c r="E868" s="10">
        <v>7.55</v>
      </c>
      <c r="F868" s="22">
        <v>4.6890000000000001</v>
      </c>
      <c r="G868" s="22">
        <v>465.82000699999998</v>
      </c>
      <c r="H868" s="22">
        <v>2013.030029</v>
      </c>
      <c r="I868" s="18">
        <v>17785.490229999999</v>
      </c>
    </row>
    <row r="869" spans="1:9" x14ac:dyDescent="0.2">
      <c r="A869" s="4">
        <v>34723</v>
      </c>
      <c r="B869" s="21">
        <v>1.2716000000000001</v>
      </c>
      <c r="C869" s="22">
        <v>99.69</v>
      </c>
      <c r="D869" s="22">
        <v>7.8449999999999998</v>
      </c>
      <c r="E869" s="10">
        <v>7.58</v>
      </c>
      <c r="F869" s="22">
        <v>4.6790000000000003</v>
      </c>
      <c r="G869" s="22">
        <v>465.85998499999999</v>
      </c>
      <c r="H869" s="22">
        <v>2027.670044</v>
      </c>
      <c r="I869" s="18">
        <v>18060.730469999999</v>
      </c>
    </row>
    <row r="870" spans="1:9" x14ac:dyDescent="0.2">
      <c r="A870" s="4">
        <v>34724</v>
      </c>
      <c r="B870" s="21">
        <v>1.2665</v>
      </c>
      <c r="C870" s="22">
        <v>99.53</v>
      </c>
      <c r="D870" s="22">
        <v>7.7850000000000001</v>
      </c>
      <c r="E870" s="10">
        <v>7.56</v>
      </c>
      <c r="F870" s="22">
        <v>4.6790000000000003</v>
      </c>
      <c r="G870" s="22">
        <v>467.44000199999999</v>
      </c>
      <c r="H870" s="22">
        <v>2026.969971</v>
      </c>
      <c r="I870" s="18">
        <v>18159.480469999999</v>
      </c>
    </row>
    <row r="871" spans="1:9" x14ac:dyDescent="0.2">
      <c r="A871" s="4">
        <v>34725</v>
      </c>
      <c r="B871" s="21">
        <v>1.27</v>
      </c>
      <c r="C871" s="22">
        <v>99.43</v>
      </c>
      <c r="D871" s="22">
        <v>7.7430000000000003</v>
      </c>
      <c r="E871" s="10">
        <v>7.53</v>
      </c>
      <c r="F871" s="22">
        <v>4.6559999999999997</v>
      </c>
      <c r="G871" s="22">
        <v>468.32000699999998</v>
      </c>
      <c r="H871" s="22">
        <v>2040.790039</v>
      </c>
      <c r="I871" s="18">
        <v>18070.839840000001</v>
      </c>
    </row>
    <row r="872" spans="1:9" x14ac:dyDescent="0.2">
      <c r="A872" s="4">
        <v>34726</v>
      </c>
      <c r="B872" s="21">
        <v>1.2697000000000001</v>
      </c>
      <c r="C872" s="22">
        <v>99.4</v>
      </c>
      <c r="D872" s="22">
        <v>7.6159999999999997</v>
      </c>
      <c r="E872" s="10">
        <v>7.42</v>
      </c>
      <c r="F872" s="22">
        <v>4.6440000000000001</v>
      </c>
      <c r="G872" s="22">
        <v>470.39001500000001</v>
      </c>
      <c r="H872" s="22">
        <v>2030.5600589999999</v>
      </c>
      <c r="I872" s="18">
        <v>18104.349610000001</v>
      </c>
    </row>
    <row r="873" spans="1:9" x14ac:dyDescent="0.2">
      <c r="A873" s="4">
        <v>34729</v>
      </c>
      <c r="B873" s="21">
        <v>1.2715000000000001</v>
      </c>
      <c r="C873" s="22">
        <v>98.42</v>
      </c>
      <c r="D873" s="22">
        <v>7.6340000000000003</v>
      </c>
      <c r="E873" s="10">
        <v>7.42</v>
      </c>
      <c r="F873" s="22">
        <v>4.6289999999999996</v>
      </c>
      <c r="G873" s="22">
        <v>468.51001000000002</v>
      </c>
      <c r="H873" s="22">
        <v>2026.6800539999999</v>
      </c>
      <c r="I873" s="18">
        <v>18752.880860000001</v>
      </c>
    </row>
    <row r="874" spans="1:9" x14ac:dyDescent="0.2">
      <c r="A874" s="4">
        <v>34730</v>
      </c>
      <c r="B874" s="21">
        <v>1.2673000000000001</v>
      </c>
      <c r="C874" s="22">
        <v>99.55</v>
      </c>
      <c r="D874" s="22">
        <v>7.593</v>
      </c>
      <c r="E874" s="10">
        <v>7.43</v>
      </c>
      <c r="F874" s="22">
        <v>4.6289999999999996</v>
      </c>
      <c r="G874" s="22">
        <v>470.42001299999998</v>
      </c>
      <c r="H874" s="22">
        <v>2024.8199460000001</v>
      </c>
      <c r="I874" s="18">
        <v>18649.820309999999</v>
      </c>
    </row>
    <row r="875" spans="1:9" x14ac:dyDescent="0.2">
      <c r="A875" s="4">
        <v>34731</v>
      </c>
      <c r="B875" s="21">
        <v>1.2622</v>
      </c>
      <c r="C875" s="22">
        <v>99.19</v>
      </c>
      <c r="D875" s="22">
        <v>7.6379999999999999</v>
      </c>
      <c r="E875" s="10">
        <v>7.41</v>
      </c>
      <c r="F875" s="22">
        <v>4.6459999999999999</v>
      </c>
      <c r="G875" s="22">
        <v>470.39999399999999</v>
      </c>
      <c r="H875" s="22">
        <v>2047.4399410000001</v>
      </c>
      <c r="I875" s="18">
        <v>18739.470700000002</v>
      </c>
    </row>
    <row r="876" spans="1:9" x14ac:dyDescent="0.2">
      <c r="A876" s="4">
        <v>34732</v>
      </c>
      <c r="B876" s="21">
        <v>1.2641</v>
      </c>
      <c r="C876" s="22">
        <v>99.41</v>
      </c>
      <c r="D876" s="22">
        <v>7.67</v>
      </c>
      <c r="E876" s="10">
        <v>7.46</v>
      </c>
      <c r="F876" s="22">
        <v>4.67</v>
      </c>
      <c r="G876" s="22">
        <v>472.790009</v>
      </c>
      <c r="H876" s="22">
        <v>2038.459961</v>
      </c>
      <c r="I876" s="18">
        <v>18604.300780000001</v>
      </c>
    </row>
    <row r="877" spans="1:9" x14ac:dyDescent="0.2">
      <c r="A877" s="4">
        <v>34733</v>
      </c>
      <c r="B877" s="21">
        <v>1.2596000000000001</v>
      </c>
      <c r="C877" s="22">
        <v>99.85</v>
      </c>
      <c r="D877" s="22">
        <v>7.4569999999999999</v>
      </c>
      <c r="E877" s="10">
        <v>7.45</v>
      </c>
      <c r="F877" s="22">
        <v>4.6509999999999998</v>
      </c>
      <c r="G877" s="22">
        <v>478.64999399999999</v>
      </c>
      <c r="H877" s="22">
        <v>2077.9399410000001</v>
      </c>
      <c r="I877" s="18">
        <v>18538.970700000002</v>
      </c>
    </row>
    <row r="878" spans="1:9" x14ac:dyDescent="0.2">
      <c r="A878" s="4">
        <v>34736</v>
      </c>
      <c r="B878" s="21">
        <v>1.2558</v>
      </c>
      <c r="C878" s="22">
        <v>99.36</v>
      </c>
      <c r="D878" s="22">
        <v>7.5069999999999997</v>
      </c>
      <c r="E878" s="10">
        <v>7.39</v>
      </c>
      <c r="F878" s="22">
        <v>4.6360000000000001</v>
      </c>
      <c r="G878" s="22">
        <v>481.14001500000001</v>
      </c>
      <c r="H878" s="22">
        <v>2085.080078</v>
      </c>
      <c r="I878" s="18">
        <v>18667.230469999999</v>
      </c>
    </row>
    <row r="879" spans="1:9" x14ac:dyDescent="0.2">
      <c r="A879" s="4">
        <v>34737</v>
      </c>
      <c r="B879" s="21">
        <v>1.2529999999999999</v>
      </c>
      <c r="C879" s="22">
        <v>99.46</v>
      </c>
      <c r="D879" s="22">
        <v>7.5110000000000001</v>
      </c>
      <c r="E879" s="10">
        <v>7.36</v>
      </c>
      <c r="F879" s="22">
        <v>4.6210000000000004</v>
      </c>
      <c r="G879" s="22">
        <v>480.80999800000001</v>
      </c>
      <c r="H879" s="22">
        <v>2093.01001</v>
      </c>
      <c r="I879" s="18">
        <v>18500.550780000001</v>
      </c>
    </row>
    <row r="880" spans="1:9" x14ac:dyDescent="0.2">
      <c r="A880" s="4">
        <v>34738</v>
      </c>
      <c r="B880" s="21">
        <v>1.2561</v>
      </c>
      <c r="C880" s="22">
        <v>98.93</v>
      </c>
      <c r="D880" s="22">
        <v>7.5110000000000001</v>
      </c>
      <c r="E880" s="10">
        <v>7.37</v>
      </c>
      <c r="F880" s="22">
        <v>4.625</v>
      </c>
      <c r="G880" s="22">
        <v>481.19000199999999</v>
      </c>
      <c r="H880" s="22">
        <v>2087.780029</v>
      </c>
      <c r="I880" s="18">
        <v>18290.25</v>
      </c>
    </row>
    <row r="881" spans="1:9" x14ac:dyDescent="0.2">
      <c r="A881" s="4">
        <v>34739</v>
      </c>
      <c r="B881" s="21">
        <v>1.2575000000000001</v>
      </c>
      <c r="C881" s="22">
        <v>98.91</v>
      </c>
      <c r="D881" s="22">
        <v>7.5720000000000001</v>
      </c>
      <c r="E881" s="10">
        <v>7.36</v>
      </c>
      <c r="F881" s="22">
        <v>4.625</v>
      </c>
      <c r="G881" s="22">
        <v>480.19000199999999</v>
      </c>
      <c r="H881" s="22">
        <v>2117.8000489999999</v>
      </c>
      <c r="I881" s="18">
        <v>18099.550780000001</v>
      </c>
    </row>
    <row r="882" spans="1:9" x14ac:dyDescent="0.2">
      <c r="A882" s="4">
        <v>34740</v>
      </c>
      <c r="B882" s="21">
        <v>1.2615000000000001</v>
      </c>
      <c r="C882" s="22">
        <v>98.93</v>
      </c>
      <c r="D882" s="22">
        <v>7.6180000000000003</v>
      </c>
      <c r="E882" s="10">
        <v>7.36</v>
      </c>
      <c r="F882" s="22">
        <v>4.63</v>
      </c>
      <c r="G882" s="22">
        <v>481.459991</v>
      </c>
      <c r="H882" s="22">
        <v>2127.5600589999999</v>
      </c>
      <c r="I882" s="18">
        <v>18291.349610000001</v>
      </c>
    </row>
    <row r="883" spans="1:9" x14ac:dyDescent="0.2">
      <c r="A883" s="4">
        <v>34743</v>
      </c>
      <c r="B883" s="21">
        <v>1.2648999999999999</v>
      </c>
      <c r="C883" s="22">
        <v>98.73</v>
      </c>
      <c r="D883" s="22">
        <v>7.5949999999999998</v>
      </c>
      <c r="E883" s="10">
        <v>7.44</v>
      </c>
      <c r="F883" s="22">
        <v>4.6059999999999999</v>
      </c>
      <c r="G883" s="22">
        <v>481.64999399999999</v>
      </c>
      <c r="H883" s="22">
        <v>2118.959961</v>
      </c>
      <c r="I883" s="18">
        <v>18313.859380000002</v>
      </c>
    </row>
    <row r="884" spans="1:9" x14ac:dyDescent="0.2">
      <c r="A884" s="4">
        <v>34744</v>
      </c>
      <c r="B884" s="21">
        <v>1.2692000000000001</v>
      </c>
      <c r="C884" s="22">
        <v>98.48</v>
      </c>
      <c r="D884" s="22">
        <v>7.5039999999999996</v>
      </c>
      <c r="E884" s="10">
        <v>7.44</v>
      </c>
      <c r="F884" s="22">
        <v>4.5960000000000001</v>
      </c>
      <c r="G884" s="22">
        <v>482.54998799999998</v>
      </c>
      <c r="H884" s="22">
        <v>2128.330078</v>
      </c>
      <c r="I884" s="18">
        <v>18138.470700000002</v>
      </c>
    </row>
    <row r="885" spans="1:9" x14ac:dyDescent="0.2">
      <c r="A885" s="4">
        <v>34745</v>
      </c>
      <c r="B885" s="21">
        <v>1.2726</v>
      </c>
      <c r="C885" s="22">
        <v>98.34</v>
      </c>
      <c r="D885" s="22">
        <v>7.4420000000000002</v>
      </c>
      <c r="E885" s="10">
        <v>7.44</v>
      </c>
      <c r="F885" s="22">
        <v>4.5659999999999998</v>
      </c>
      <c r="G885" s="22">
        <v>484.540009</v>
      </c>
      <c r="H885" s="22">
        <v>2135.48999</v>
      </c>
      <c r="I885" s="18">
        <v>17991</v>
      </c>
    </row>
    <row r="886" spans="1:9" x14ac:dyDescent="0.2">
      <c r="A886" s="4">
        <v>34746</v>
      </c>
      <c r="B886" s="21">
        <v>1.2848999999999999</v>
      </c>
      <c r="C886" s="22">
        <v>97.5</v>
      </c>
      <c r="D886" s="22">
        <v>7.3879999999999999</v>
      </c>
      <c r="E886" s="10">
        <v>7.37</v>
      </c>
      <c r="F886" s="22">
        <v>4.5659999999999998</v>
      </c>
      <c r="G886" s="22">
        <v>485.22000100000002</v>
      </c>
      <c r="H886" s="22">
        <v>2112.0600589999999</v>
      </c>
      <c r="I886" s="18">
        <v>17780.589840000001</v>
      </c>
    </row>
    <row r="887" spans="1:9" x14ac:dyDescent="0.2">
      <c r="A887" s="4">
        <v>34747</v>
      </c>
      <c r="B887" s="21">
        <v>1.2854000000000001</v>
      </c>
      <c r="C887" s="22">
        <v>97.4</v>
      </c>
      <c r="D887" s="22">
        <v>7.4189999999999996</v>
      </c>
      <c r="E887" s="10">
        <v>7.41</v>
      </c>
      <c r="F887" s="22">
        <v>4.55</v>
      </c>
      <c r="G887" s="22">
        <v>481.97000100000002</v>
      </c>
      <c r="H887" s="22">
        <v>2119.290039</v>
      </c>
      <c r="I887" s="18">
        <v>18020.509770000001</v>
      </c>
    </row>
    <row r="888" spans="1:9" x14ac:dyDescent="0.2">
      <c r="A888" s="4">
        <v>34750</v>
      </c>
      <c r="B888" s="21">
        <v>1.2975000000000001</v>
      </c>
      <c r="C888" s="22">
        <v>97.29</v>
      </c>
      <c r="D888" s="22">
        <v>7.4189999999999996</v>
      </c>
      <c r="E888" s="10">
        <v>7.41</v>
      </c>
      <c r="F888" s="22">
        <v>4.53</v>
      </c>
      <c r="G888" s="22">
        <v>483.81</v>
      </c>
      <c r="H888" s="22">
        <v>2101.9799800000001</v>
      </c>
      <c r="I888" s="18">
        <v>17956.480469999999</v>
      </c>
    </row>
    <row r="889" spans="1:9" x14ac:dyDescent="0.2">
      <c r="A889" s="4">
        <v>34751</v>
      </c>
      <c r="B889" s="21">
        <v>1.2898000000000001</v>
      </c>
      <c r="C889" s="22">
        <v>97.08</v>
      </c>
      <c r="D889" s="22">
        <v>7.4320000000000004</v>
      </c>
      <c r="E889" s="10">
        <v>7.43</v>
      </c>
      <c r="F889" s="22">
        <v>4.5049999999999999</v>
      </c>
      <c r="G889" s="22">
        <v>482.72000100000002</v>
      </c>
      <c r="H889" s="22">
        <v>2101.820068</v>
      </c>
      <c r="I889" s="18">
        <v>18096.25</v>
      </c>
    </row>
    <row r="890" spans="1:9" x14ac:dyDescent="0.2">
      <c r="A890" s="4">
        <v>34752</v>
      </c>
      <c r="B890" s="21">
        <v>1.2963</v>
      </c>
      <c r="C890" s="22">
        <v>97.05</v>
      </c>
      <c r="D890" s="22">
        <v>7.3209999999999997</v>
      </c>
      <c r="E890" s="10">
        <v>7.46</v>
      </c>
      <c r="F890" s="22">
        <v>4.4950000000000001</v>
      </c>
      <c r="G890" s="22">
        <v>485.07000699999998</v>
      </c>
      <c r="H890" s="22">
        <v>2096.26001</v>
      </c>
      <c r="I890" s="18">
        <v>18106.650389999999</v>
      </c>
    </row>
    <row r="891" spans="1:9" x14ac:dyDescent="0.2">
      <c r="A891" s="4">
        <v>34753</v>
      </c>
      <c r="B891" s="21">
        <v>1.2942</v>
      </c>
      <c r="C891" s="22">
        <v>96.72</v>
      </c>
      <c r="D891" s="22">
        <v>7.33</v>
      </c>
      <c r="E891" s="10">
        <v>7.39</v>
      </c>
      <c r="F891" s="22">
        <v>4.3840000000000003</v>
      </c>
      <c r="G891" s="22">
        <v>486.91000400000001</v>
      </c>
      <c r="H891" s="22">
        <v>2126.4399410000001</v>
      </c>
      <c r="I891" s="18">
        <v>17830.019530000001</v>
      </c>
    </row>
    <row r="892" spans="1:9" x14ac:dyDescent="0.2">
      <c r="A892" s="4">
        <v>34754</v>
      </c>
      <c r="B892" s="21">
        <v>1.2875000000000001</v>
      </c>
      <c r="C892" s="22">
        <v>96.9</v>
      </c>
      <c r="D892" s="22">
        <v>7.3250000000000002</v>
      </c>
      <c r="E892" s="10">
        <v>7.39</v>
      </c>
      <c r="F892" s="22">
        <v>4.42</v>
      </c>
      <c r="G892" s="22">
        <v>488.10998499999999</v>
      </c>
      <c r="H892" s="22">
        <v>2117.5900879999999</v>
      </c>
      <c r="I892" s="18">
        <v>17472.939450000002</v>
      </c>
    </row>
    <row r="893" spans="1:9" x14ac:dyDescent="0.2">
      <c r="A893" s="4">
        <v>34757</v>
      </c>
      <c r="B893" s="21">
        <v>1.2948</v>
      </c>
      <c r="C893" s="22">
        <v>97.08</v>
      </c>
      <c r="D893" s="22">
        <v>7.2359999999999998</v>
      </c>
      <c r="E893" s="10">
        <v>7.33</v>
      </c>
      <c r="F893" s="22">
        <v>4.3639999999999999</v>
      </c>
      <c r="G893" s="22">
        <v>483.80999800000001</v>
      </c>
      <c r="H893" s="22">
        <v>2106.0500489999999</v>
      </c>
      <c r="I893" s="18">
        <v>16808.699219999999</v>
      </c>
    </row>
    <row r="894" spans="1:9" x14ac:dyDescent="0.2">
      <c r="A894" s="4">
        <v>34758</v>
      </c>
      <c r="B894" s="21">
        <v>1.2927</v>
      </c>
      <c r="C894" s="22">
        <v>96.69</v>
      </c>
      <c r="D894" s="22">
        <v>7.21</v>
      </c>
      <c r="E894" s="10">
        <v>7.32</v>
      </c>
      <c r="F894" s="22">
        <v>4.3899999999999997</v>
      </c>
      <c r="G894" s="22">
        <v>487.39001500000001</v>
      </c>
      <c r="H894" s="22">
        <v>2097.8500979999999</v>
      </c>
      <c r="I894" s="18">
        <v>17053.429690000001</v>
      </c>
    </row>
    <row r="895" spans="1:9" x14ac:dyDescent="0.2">
      <c r="A895" s="4">
        <v>34759</v>
      </c>
      <c r="B895" s="21">
        <v>1.2957000000000001</v>
      </c>
      <c r="C895" s="22">
        <v>96.77</v>
      </c>
      <c r="D895" s="22">
        <v>7.2140000000000004</v>
      </c>
      <c r="E895" s="10">
        <v>7.3</v>
      </c>
      <c r="F895" s="22">
        <v>4.3849999999999998</v>
      </c>
      <c r="G895" s="22">
        <v>485.64999399999999</v>
      </c>
      <c r="H895" s="22">
        <v>2127.209961</v>
      </c>
      <c r="I895" s="18">
        <v>16618.710940000001</v>
      </c>
    </row>
    <row r="896" spans="1:9" x14ac:dyDescent="0.2">
      <c r="A896" s="4">
        <v>34760</v>
      </c>
      <c r="B896" s="21">
        <v>1.296</v>
      </c>
      <c r="C896" s="22">
        <v>95.28</v>
      </c>
      <c r="D896" s="22">
        <v>7.2889999999999997</v>
      </c>
      <c r="E896" s="10">
        <v>7.33</v>
      </c>
      <c r="F896" s="22">
        <v>4.3650000000000002</v>
      </c>
      <c r="G896" s="22">
        <v>485.13000499999998</v>
      </c>
      <c r="H896" s="22">
        <v>2116.639893</v>
      </c>
      <c r="I896" s="18">
        <v>16963.179690000001</v>
      </c>
    </row>
    <row r="897" spans="1:9" x14ac:dyDescent="0.2">
      <c r="A897" s="4">
        <v>34761</v>
      </c>
      <c r="B897" s="21">
        <v>1.3163</v>
      </c>
      <c r="C897" s="22">
        <v>94.14</v>
      </c>
      <c r="D897" s="22">
        <v>7.3559999999999999</v>
      </c>
      <c r="E897" s="10">
        <v>7.36</v>
      </c>
      <c r="F897" s="22">
        <v>4.3049999999999997</v>
      </c>
      <c r="G897" s="22">
        <v>485.42001299999998</v>
      </c>
      <c r="H897" s="22">
        <v>2094.1599120000001</v>
      </c>
      <c r="I897" s="18">
        <v>17039.619139999999</v>
      </c>
    </row>
    <row r="898" spans="1:9" x14ac:dyDescent="0.2">
      <c r="A898" s="4">
        <v>34764</v>
      </c>
      <c r="B898" s="21">
        <v>1.3357000000000001</v>
      </c>
      <c r="C898" s="22">
        <v>92.87</v>
      </c>
      <c r="D898" s="22">
        <v>7.4</v>
      </c>
      <c r="E898" s="10">
        <v>7.35</v>
      </c>
      <c r="F898" s="22">
        <v>4.25</v>
      </c>
      <c r="G898" s="22">
        <v>485.63000499999998</v>
      </c>
      <c r="H898" s="22">
        <v>2069.9499510000001</v>
      </c>
      <c r="I898" s="18">
        <v>17040.720700000002</v>
      </c>
    </row>
    <row r="899" spans="1:9" x14ac:dyDescent="0.2">
      <c r="A899" s="4">
        <v>34765</v>
      </c>
      <c r="B899" s="21">
        <v>1.341</v>
      </c>
      <c r="C899" s="22">
        <v>90.45</v>
      </c>
      <c r="D899" s="22">
        <v>7.431</v>
      </c>
      <c r="E899" s="10">
        <v>7.4</v>
      </c>
      <c r="F899" s="22">
        <v>4.1449999999999996</v>
      </c>
      <c r="G899" s="22">
        <v>482.11999500000002</v>
      </c>
      <c r="H899" s="22">
        <v>2041.26001</v>
      </c>
      <c r="I899" s="18">
        <v>16955.279299999998</v>
      </c>
    </row>
    <row r="900" spans="1:9" x14ac:dyDescent="0.2">
      <c r="A900" s="4">
        <v>34766</v>
      </c>
      <c r="B900" s="21">
        <v>1.3472</v>
      </c>
      <c r="C900" s="22">
        <v>91.62</v>
      </c>
      <c r="D900" s="22">
        <v>7.3550000000000004</v>
      </c>
      <c r="E900" s="10">
        <v>7.42</v>
      </c>
      <c r="F900" s="22">
        <v>4.1349999999999998</v>
      </c>
      <c r="G900" s="22">
        <v>483.14001500000001</v>
      </c>
      <c r="H900" s="22">
        <v>2029.380005</v>
      </c>
      <c r="I900" s="18">
        <v>16621.310549999998</v>
      </c>
    </row>
    <row r="901" spans="1:9" x14ac:dyDescent="0.2">
      <c r="A901" s="4">
        <v>34767</v>
      </c>
      <c r="B901" s="21">
        <v>1.3436999999999999</v>
      </c>
      <c r="C901" s="22">
        <v>91.02</v>
      </c>
      <c r="D901" s="22">
        <v>7.28</v>
      </c>
      <c r="E901" s="10">
        <v>7.42</v>
      </c>
      <c r="F901" s="22">
        <v>4.21</v>
      </c>
      <c r="G901" s="22">
        <v>483.16000400000001</v>
      </c>
      <c r="H901" s="22">
        <v>1989.1999510000001</v>
      </c>
      <c r="I901" s="18">
        <v>16763.08008</v>
      </c>
    </row>
    <row r="902" spans="1:9" x14ac:dyDescent="0.2">
      <c r="A902" s="4">
        <v>34768</v>
      </c>
      <c r="B902" s="21">
        <v>1.321</v>
      </c>
      <c r="C902" s="22">
        <v>90.9</v>
      </c>
      <c r="D902" s="22">
        <v>7.218</v>
      </c>
      <c r="E902" s="10">
        <v>7.4</v>
      </c>
      <c r="F902" s="22">
        <v>4.1900000000000004</v>
      </c>
      <c r="G902" s="22">
        <v>489.57000699999998</v>
      </c>
      <c r="H902" s="22">
        <v>2008.849976</v>
      </c>
      <c r="I902" s="18">
        <v>16358.37988</v>
      </c>
    </row>
    <row r="903" spans="1:9" x14ac:dyDescent="0.2">
      <c r="A903" s="4">
        <v>34771</v>
      </c>
      <c r="B903" s="21">
        <v>1.3259000000000001</v>
      </c>
      <c r="C903" s="22">
        <v>90.67</v>
      </c>
      <c r="D903" s="22">
        <v>7.1740000000000004</v>
      </c>
      <c r="E903" s="10">
        <v>7.38</v>
      </c>
      <c r="F903" s="22">
        <v>4.1100000000000003</v>
      </c>
      <c r="G903" s="22">
        <v>490.04998799999998</v>
      </c>
      <c r="H903" s="22">
        <v>1974.1400149999999</v>
      </c>
      <c r="I903" s="18">
        <v>16477.640630000002</v>
      </c>
    </row>
    <row r="904" spans="1:9" x14ac:dyDescent="0.2">
      <c r="A904" s="4">
        <v>34772</v>
      </c>
      <c r="B904" s="21">
        <v>1.3224</v>
      </c>
      <c r="C904" s="22">
        <v>90.77</v>
      </c>
      <c r="D904" s="22">
        <v>7.077</v>
      </c>
      <c r="E904" s="10">
        <v>7.34</v>
      </c>
      <c r="F904" s="22">
        <v>4.1449999999999996</v>
      </c>
      <c r="G904" s="22">
        <v>492.89001500000001</v>
      </c>
      <c r="H904" s="22">
        <v>2022.5</v>
      </c>
      <c r="I904" s="18">
        <v>16245.820309999999</v>
      </c>
    </row>
    <row r="905" spans="1:9" x14ac:dyDescent="0.2">
      <c r="A905" s="4">
        <v>34773</v>
      </c>
      <c r="B905" s="21">
        <v>1.3395999999999999</v>
      </c>
      <c r="C905" s="22">
        <v>89.49</v>
      </c>
      <c r="D905" s="22">
        <v>7.077</v>
      </c>
      <c r="E905" s="10">
        <v>7.24</v>
      </c>
      <c r="F905" s="22">
        <v>4.1150000000000002</v>
      </c>
      <c r="G905" s="22">
        <v>491.88000499999998</v>
      </c>
      <c r="H905" s="22">
        <v>1995.219971</v>
      </c>
      <c r="I905" s="18">
        <v>16666.83008</v>
      </c>
    </row>
    <row r="906" spans="1:9" x14ac:dyDescent="0.2">
      <c r="A906" s="4">
        <v>34774</v>
      </c>
      <c r="B906" s="21">
        <v>1.3408</v>
      </c>
      <c r="C906" s="22">
        <v>90.31</v>
      </c>
      <c r="D906" s="22">
        <v>7.0380000000000003</v>
      </c>
      <c r="E906" s="10">
        <v>7.26</v>
      </c>
      <c r="F906" s="22">
        <v>4.0650000000000004</v>
      </c>
      <c r="G906" s="22">
        <v>495.41000400000001</v>
      </c>
      <c r="H906" s="22">
        <v>2016.150024</v>
      </c>
      <c r="I906" s="18">
        <v>16355.679690000001</v>
      </c>
    </row>
    <row r="907" spans="1:9" x14ac:dyDescent="0.2">
      <c r="A907" s="4">
        <v>34775</v>
      </c>
      <c r="B907" s="21">
        <v>1.3352999999999999</v>
      </c>
      <c r="C907" s="22">
        <v>89.05</v>
      </c>
      <c r="D907" s="22">
        <v>7.1029999999999998</v>
      </c>
      <c r="E907" s="10">
        <v>7.17</v>
      </c>
      <c r="F907" s="22">
        <v>3.99</v>
      </c>
      <c r="G907" s="22">
        <v>495.51998900000001</v>
      </c>
      <c r="H907" s="22">
        <v>1979.5200199999999</v>
      </c>
      <c r="I907" s="18">
        <v>16251.23047</v>
      </c>
    </row>
    <row r="908" spans="1:9" x14ac:dyDescent="0.2">
      <c r="A908" s="4">
        <v>34778</v>
      </c>
      <c r="B908" s="21">
        <v>1.3284</v>
      </c>
      <c r="C908" s="22">
        <v>89.35</v>
      </c>
      <c r="D908" s="22">
        <v>7.1120000000000001</v>
      </c>
      <c r="E908" s="10">
        <v>7.16</v>
      </c>
      <c r="F908" s="22">
        <v>4.01</v>
      </c>
      <c r="G908" s="22">
        <v>496.14001500000001</v>
      </c>
      <c r="H908" s="22">
        <v>1984.98999</v>
      </c>
      <c r="I908" s="18">
        <v>16129.95996</v>
      </c>
    </row>
    <row r="909" spans="1:9" x14ac:dyDescent="0.2">
      <c r="A909" s="4">
        <v>34779</v>
      </c>
      <c r="B909" s="21">
        <v>1.3221000000000001</v>
      </c>
      <c r="C909" s="22">
        <v>89.35</v>
      </c>
      <c r="D909" s="22">
        <v>7.1509999999999998</v>
      </c>
      <c r="E909" s="10">
        <v>7.12</v>
      </c>
      <c r="F909" s="22">
        <v>4.01</v>
      </c>
      <c r="G909" s="22">
        <v>495.07000699999998</v>
      </c>
      <c r="H909" s="22">
        <v>1984.150024</v>
      </c>
      <c r="I909" s="18">
        <v>16129.95996</v>
      </c>
    </row>
    <row r="910" spans="1:9" x14ac:dyDescent="0.2">
      <c r="A910" s="4">
        <v>34780</v>
      </c>
      <c r="B910" s="21">
        <v>1.3238000000000001</v>
      </c>
      <c r="C910" s="22">
        <v>89.03</v>
      </c>
      <c r="D910" s="22">
        <v>7.1950000000000003</v>
      </c>
      <c r="E910" s="10">
        <v>7.16</v>
      </c>
      <c r="F910" s="22">
        <v>3.9649999999999999</v>
      </c>
      <c r="G910" s="22">
        <v>495.67001299999998</v>
      </c>
      <c r="H910" s="22">
        <v>1978.0699460000001</v>
      </c>
      <c r="I910" s="18">
        <v>15904.849609999999</v>
      </c>
    </row>
    <row r="911" spans="1:9" x14ac:dyDescent="0.2">
      <c r="A911" s="4">
        <v>34781</v>
      </c>
      <c r="B911" s="21">
        <v>1.3277000000000001</v>
      </c>
      <c r="C911" s="22">
        <v>88.15</v>
      </c>
      <c r="D911" s="22">
        <v>7.2030000000000003</v>
      </c>
      <c r="E911" s="10">
        <v>7.17</v>
      </c>
      <c r="F911" s="22">
        <v>3.87</v>
      </c>
      <c r="G911" s="22">
        <v>495.95001200000002</v>
      </c>
      <c r="H911" s="22">
        <v>1935.079956</v>
      </c>
      <c r="I911" s="18">
        <v>15813.410159999999</v>
      </c>
    </row>
    <row r="912" spans="1:9" x14ac:dyDescent="0.2">
      <c r="A912" s="4">
        <v>34782</v>
      </c>
      <c r="B912" s="21">
        <v>1.3213999999999999</v>
      </c>
      <c r="C912" s="22">
        <v>88.89</v>
      </c>
      <c r="D912" s="22">
        <v>7.085</v>
      </c>
      <c r="E912" s="10">
        <v>7.16</v>
      </c>
      <c r="F912" s="22">
        <v>3.85</v>
      </c>
      <c r="G912" s="22">
        <v>500.97000100000002</v>
      </c>
      <c r="H912" s="22">
        <v>1935.869995</v>
      </c>
      <c r="I912" s="18">
        <v>15749.76953</v>
      </c>
    </row>
    <row r="913" spans="1:9" x14ac:dyDescent="0.2">
      <c r="A913" s="4">
        <v>34785</v>
      </c>
      <c r="B913" s="21">
        <v>1.3277000000000001</v>
      </c>
      <c r="C913" s="22">
        <v>89.35</v>
      </c>
      <c r="D913" s="22">
        <v>7.032</v>
      </c>
      <c r="E913" s="10">
        <v>7.13</v>
      </c>
      <c r="F913" s="22">
        <v>3.8519999999999999</v>
      </c>
      <c r="G913" s="22">
        <v>503.20001200000002</v>
      </c>
      <c r="H913" s="22">
        <v>1928.8199460000001</v>
      </c>
      <c r="I913" s="18">
        <v>16096.25</v>
      </c>
    </row>
    <row r="914" spans="1:9" x14ac:dyDescent="0.2">
      <c r="A914" s="4">
        <v>34786</v>
      </c>
      <c r="B914" s="21">
        <v>1.333</v>
      </c>
      <c r="C914" s="22">
        <v>88.91</v>
      </c>
      <c r="D914" s="22">
        <v>7.141</v>
      </c>
      <c r="E914" s="10">
        <v>7.14</v>
      </c>
      <c r="F914" s="22">
        <v>3.802</v>
      </c>
      <c r="G914" s="22">
        <v>503.89999399999999</v>
      </c>
      <c r="H914" s="22">
        <v>1911.6999510000001</v>
      </c>
      <c r="I914" s="18">
        <v>16681.730469999999</v>
      </c>
    </row>
    <row r="915" spans="1:9" x14ac:dyDescent="0.2">
      <c r="A915" s="4">
        <v>34787</v>
      </c>
      <c r="B915" s="21">
        <v>1.3499000000000001</v>
      </c>
      <c r="C915" s="22">
        <v>88.34</v>
      </c>
      <c r="D915" s="22">
        <v>7.141</v>
      </c>
      <c r="E915" s="10">
        <v>7.18</v>
      </c>
      <c r="F915" s="22">
        <v>3.7519999999999998</v>
      </c>
      <c r="G915" s="22">
        <v>503.11999500000002</v>
      </c>
      <c r="H915" s="22">
        <v>1918.849976</v>
      </c>
      <c r="I915" s="18">
        <v>16460.730469999999</v>
      </c>
    </row>
    <row r="916" spans="1:9" x14ac:dyDescent="0.2">
      <c r="A916" s="4">
        <v>34788</v>
      </c>
      <c r="B916" s="21">
        <v>1.3261000000000001</v>
      </c>
      <c r="C916" s="22">
        <v>89.55</v>
      </c>
      <c r="D916" s="22">
        <v>7.1589999999999998</v>
      </c>
      <c r="E916" s="10">
        <v>7.14</v>
      </c>
      <c r="F916" s="22">
        <v>3.7719999999999998</v>
      </c>
      <c r="G916" s="22">
        <v>502.22000100000002</v>
      </c>
      <c r="H916" s="22">
        <v>1949.76001</v>
      </c>
      <c r="I916" s="18">
        <v>16512.220700000002</v>
      </c>
    </row>
    <row r="917" spans="1:9" x14ac:dyDescent="0.2">
      <c r="A917" s="4">
        <v>34789</v>
      </c>
      <c r="B917" s="21">
        <v>1.3614999999999999</v>
      </c>
      <c r="C917" s="22">
        <v>86.55</v>
      </c>
      <c r="D917" s="22">
        <v>7.1890000000000001</v>
      </c>
      <c r="E917" s="10">
        <v>7.17</v>
      </c>
      <c r="F917" s="22">
        <v>3.6779999999999999</v>
      </c>
      <c r="G917" s="22">
        <v>500.709991</v>
      </c>
      <c r="H917" s="22">
        <v>1914.6899410000001</v>
      </c>
      <c r="I917" s="18">
        <v>16139.950199999999</v>
      </c>
    </row>
    <row r="918" spans="1:9" x14ac:dyDescent="0.2">
      <c r="A918" s="4">
        <v>34792</v>
      </c>
      <c r="B918" s="21">
        <v>1.355</v>
      </c>
      <c r="C918" s="22">
        <v>85.85</v>
      </c>
      <c r="D918" s="22">
        <v>7.1319999999999997</v>
      </c>
      <c r="E918" s="10">
        <v>7.15</v>
      </c>
      <c r="F918" s="22">
        <v>3.53</v>
      </c>
      <c r="G918" s="22">
        <v>501.85000600000001</v>
      </c>
      <c r="H918" s="22">
        <v>1934.959961</v>
      </c>
      <c r="I918" s="18">
        <v>15381.29004</v>
      </c>
    </row>
    <row r="919" spans="1:9" x14ac:dyDescent="0.2">
      <c r="A919" s="4">
        <v>34793</v>
      </c>
      <c r="B919" s="21">
        <v>1.345</v>
      </c>
      <c r="C919" s="22">
        <v>86.2</v>
      </c>
      <c r="D919" s="22">
        <v>7.1059999999999999</v>
      </c>
      <c r="E919" s="10">
        <v>7.04</v>
      </c>
      <c r="F919" s="22">
        <v>3.5150000000000001</v>
      </c>
      <c r="G919" s="22">
        <v>505.23998999999998</v>
      </c>
      <c r="H919" s="22">
        <v>1965.6800539999999</v>
      </c>
      <c r="I919" s="18">
        <v>15630.530269999999</v>
      </c>
    </row>
    <row r="920" spans="1:9" x14ac:dyDescent="0.2">
      <c r="A920" s="4">
        <v>34794</v>
      </c>
      <c r="B920" s="21">
        <v>1.3473999999999999</v>
      </c>
      <c r="C920" s="22">
        <v>86.15</v>
      </c>
      <c r="D920" s="22">
        <v>7.1059999999999999</v>
      </c>
      <c r="E920" s="10">
        <v>7.05</v>
      </c>
      <c r="F920" s="22">
        <v>3.625</v>
      </c>
      <c r="G920" s="22">
        <v>505.57000699999998</v>
      </c>
      <c r="H920" s="22">
        <v>1972.589966</v>
      </c>
      <c r="I920" s="18">
        <v>15882.490229999999</v>
      </c>
    </row>
    <row r="921" spans="1:9" x14ac:dyDescent="0.2">
      <c r="A921" s="4">
        <v>34795</v>
      </c>
      <c r="B921" s="21">
        <v>1.3555999999999999</v>
      </c>
      <c r="C921" s="22">
        <v>84.84</v>
      </c>
      <c r="D921" s="22">
        <v>7.0750000000000002</v>
      </c>
      <c r="E921" s="10">
        <v>7.02</v>
      </c>
      <c r="F921" s="22">
        <v>3.58</v>
      </c>
      <c r="G921" s="22">
        <v>506.07998700000002</v>
      </c>
      <c r="H921" s="22">
        <v>1976.5200199999999</v>
      </c>
      <c r="I921" s="18">
        <v>15815.87012</v>
      </c>
    </row>
    <row r="922" spans="1:9" x14ac:dyDescent="0.2">
      <c r="A922" s="4">
        <v>34796</v>
      </c>
      <c r="B922" s="21">
        <v>1.355</v>
      </c>
      <c r="C922" s="22">
        <v>83.85</v>
      </c>
      <c r="D922" s="22">
        <v>7.0919999999999996</v>
      </c>
      <c r="E922" s="10">
        <v>7.02</v>
      </c>
      <c r="F922" s="22">
        <v>3.5550000000000002</v>
      </c>
      <c r="G922" s="22">
        <v>506.42001299999998</v>
      </c>
      <c r="H922" s="22">
        <v>1978.709961</v>
      </c>
      <c r="I922" s="18">
        <v>15719.5</v>
      </c>
    </row>
    <row r="923" spans="1:9" x14ac:dyDescent="0.2">
      <c r="A923" s="4">
        <v>34799</v>
      </c>
      <c r="B923" s="21">
        <v>1.3342000000000001</v>
      </c>
      <c r="C923" s="22">
        <v>83.9</v>
      </c>
      <c r="D923" s="22">
        <v>7.0960000000000001</v>
      </c>
      <c r="E923" s="10">
        <v>7.1</v>
      </c>
      <c r="F923" s="22">
        <v>3.6549999999999998</v>
      </c>
      <c r="G923" s="22">
        <v>507.01001000000002</v>
      </c>
      <c r="H923" s="22">
        <v>1980.8100589999999</v>
      </c>
      <c r="I923" s="18">
        <v>16163.089840000001</v>
      </c>
    </row>
    <row r="924" spans="1:9" x14ac:dyDescent="0.2">
      <c r="A924" s="4">
        <v>34800</v>
      </c>
      <c r="B924" s="21">
        <v>1.3365</v>
      </c>
      <c r="C924" s="22">
        <v>83.53</v>
      </c>
      <c r="D924" s="22">
        <v>7.0739999999999998</v>
      </c>
      <c r="E924" s="10">
        <v>7.13</v>
      </c>
      <c r="F924" s="22">
        <v>3.6749999999999998</v>
      </c>
      <c r="G924" s="22">
        <v>505.52999899999998</v>
      </c>
      <c r="H924" s="22">
        <v>1979.26001</v>
      </c>
      <c r="I924" s="18">
        <v>16268.87988</v>
      </c>
    </row>
    <row r="925" spans="1:9" x14ac:dyDescent="0.2">
      <c r="A925" s="4">
        <v>34801</v>
      </c>
      <c r="B925" s="21">
        <v>1.3328</v>
      </c>
      <c r="C925" s="22">
        <v>83.75</v>
      </c>
      <c r="D925" s="22">
        <v>7.048</v>
      </c>
      <c r="E925" s="10">
        <v>7.13</v>
      </c>
      <c r="F925" s="22">
        <v>3.72</v>
      </c>
      <c r="G925" s="22">
        <v>507.17001299999998</v>
      </c>
      <c r="H925" s="22">
        <v>1991.079956</v>
      </c>
      <c r="I925" s="18">
        <v>16344.91992</v>
      </c>
    </row>
    <row r="926" spans="1:9" x14ac:dyDescent="0.2">
      <c r="A926" s="4">
        <v>34802</v>
      </c>
      <c r="B926" s="21">
        <v>1.3488</v>
      </c>
      <c r="C926" s="22">
        <v>83.5</v>
      </c>
      <c r="D926" s="22">
        <v>7</v>
      </c>
      <c r="E926" s="10">
        <v>7.08</v>
      </c>
      <c r="F926" s="22">
        <v>3.5670000000000002</v>
      </c>
      <c r="G926" s="22">
        <v>509.23001099999999</v>
      </c>
      <c r="H926" s="22">
        <v>1982.98999</v>
      </c>
      <c r="I926" s="18">
        <v>16438.789059999999</v>
      </c>
    </row>
    <row r="927" spans="1:9" x14ac:dyDescent="0.2">
      <c r="A927" s="4">
        <v>34803</v>
      </c>
      <c r="B927" s="21">
        <v>1.3488</v>
      </c>
      <c r="C927" s="22">
        <v>83.3</v>
      </c>
      <c r="D927" s="22">
        <v>7</v>
      </c>
      <c r="E927" s="10">
        <v>7.08</v>
      </c>
      <c r="F927" s="22">
        <v>3.4020000000000001</v>
      </c>
      <c r="G927" s="22">
        <v>508.49</v>
      </c>
      <c r="H927" s="22">
        <v>1982.98999</v>
      </c>
      <c r="I927" s="18">
        <v>16047.889649999999</v>
      </c>
    </row>
    <row r="928" spans="1:9" x14ac:dyDescent="0.2">
      <c r="A928" s="4">
        <v>34806</v>
      </c>
      <c r="B928" s="21">
        <v>1.3488</v>
      </c>
      <c r="C928" s="22">
        <v>81.95</v>
      </c>
      <c r="D928" s="22">
        <v>7.0209999999999999</v>
      </c>
      <c r="E928" s="10">
        <v>7.08</v>
      </c>
      <c r="F928" s="22">
        <v>3.3650000000000002</v>
      </c>
      <c r="G928" s="22">
        <v>506.13000499999998</v>
      </c>
      <c r="H928" s="22">
        <v>1982.98999</v>
      </c>
      <c r="I928" s="18">
        <v>16304.150390000001</v>
      </c>
    </row>
    <row r="929" spans="1:9" x14ac:dyDescent="0.2">
      <c r="A929" s="4">
        <v>34807</v>
      </c>
      <c r="B929" s="21">
        <v>1.363</v>
      </c>
      <c r="C929" s="22">
        <v>80.63</v>
      </c>
      <c r="D929" s="22">
        <v>7.0209999999999999</v>
      </c>
      <c r="E929" s="10">
        <v>7.06</v>
      </c>
      <c r="F929" s="22">
        <v>3.3149999999999999</v>
      </c>
      <c r="G929" s="22">
        <v>505.36999500000002</v>
      </c>
      <c r="H929" s="22">
        <v>1954.619995</v>
      </c>
      <c r="I929" s="18">
        <v>16225.110350000001</v>
      </c>
    </row>
    <row r="930" spans="1:9" x14ac:dyDescent="0.2">
      <c r="A930" s="4">
        <v>34808</v>
      </c>
      <c r="B930" s="21">
        <v>1.3701000000000001</v>
      </c>
      <c r="C930" s="22">
        <v>81.349999999999994</v>
      </c>
      <c r="D930" s="22">
        <v>7.0339999999999998</v>
      </c>
      <c r="E930" s="10">
        <v>7.04</v>
      </c>
      <c r="F930" s="22">
        <v>3.43</v>
      </c>
      <c r="G930" s="22">
        <v>504.92001299999998</v>
      </c>
      <c r="H930" s="22">
        <v>1943.880005</v>
      </c>
      <c r="I930" s="18">
        <v>16376.08008</v>
      </c>
    </row>
    <row r="931" spans="1:9" x14ac:dyDescent="0.2">
      <c r="A931" s="4">
        <v>34809</v>
      </c>
      <c r="B931" s="21">
        <v>1.3552</v>
      </c>
      <c r="C931" s="22">
        <v>83.17</v>
      </c>
      <c r="D931" s="22">
        <v>6.9989999999999997</v>
      </c>
      <c r="E931" s="10">
        <v>7.1</v>
      </c>
      <c r="F931" s="22">
        <v>3.3889999999999998</v>
      </c>
      <c r="G931" s="22">
        <v>505.290009</v>
      </c>
      <c r="H931" s="22">
        <v>1955.329956</v>
      </c>
      <c r="I931" s="18">
        <v>16643.060549999998</v>
      </c>
    </row>
    <row r="932" spans="1:9" x14ac:dyDescent="0.2">
      <c r="A932" s="4">
        <v>34810</v>
      </c>
      <c r="B932" s="21">
        <v>1.3512</v>
      </c>
      <c r="C932" s="22">
        <v>82.73</v>
      </c>
      <c r="D932" s="22">
        <v>6.9939999999999998</v>
      </c>
      <c r="E932" s="10">
        <v>7.07</v>
      </c>
      <c r="F932" s="22">
        <v>3.4750000000000001</v>
      </c>
      <c r="G932" s="22">
        <v>508.48998999999998</v>
      </c>
      <c r="H932" s="22">
        <v>1987.6999510000001</v>
      </c>
      <c r="I932" s="18">
        <v>16968.240229999999</v>
      </c>
    </row>
    <row r="933" spans="1:9" x14ac:dyDescent="0.2">
      <c r="A933" s="4">
        <v>34813</v>
      </c>
      <c r="B933" s="21">
        <v>1.3589</v>
      </c>
      <c r="C933" s="22">
        <v>83.03</v>
      </c>
      <c r="D933" s="22">
        <v>6.9859999999999998</v>
      </c>
      <c r="E933" s="10">
        <v>7.09</v>
      </c>
      <c r="F933" s="22">
        <v>3.4350000000000001</v>
      </c>
      <c r="G933" s="22">
        <v>512.89001499999995</v>
      </c>
      <c r="H933" s="22">
        <v>1978.969971</v>
      </c>
      <c r="I933" s="18">
        <v>16804.050780000001</v>
      </c>
    </row>
    <row r="934" spans="1:9" x14ac:dyDescent="0.2">
      <c r="A934" s="4">
        <v>34814</v>
      </c>
      <c r="B934" s="21">
        <v>1.3661000000000001</v>
      </c>
      <c r="C934" s="22">
        <v>81.83</v>
      </c>
      <c r="D934" s="22">
        <v>6.9859999999999998</v>
      </c>
      <c r="E934" s="10">
        <v>7.05</v>
      </c>
      <c r="F934" s="22">
        <v>3.4449999999999998</v>
      </c>
      <c r="G934" s="22">
        <v>512.09997599999997</v>
      </c>
      <c r="H934" s="22">
        <v>2007.5699460000001</v>
      </c>
      <c r="I934" s="18">
        <v>16910.539059999999</v>
      </c>
    </row>
    <row r="935" spans="1:9" x14ac:dyDescent="0.2">
      <c r="A935" s="4">
        <v>34815</v>
      </c>
      <c r="B935" s="21">
        <v>1.3499000000000001</v>
      </c>
      <c r="C935" s="22">
        <v>83.8</v>
      </c>
      <c r="D935" s="22">
        <v>6.9939999999999998</v>
      </c>
      <c r="E935" s="10">
        <v>7.04</v>
      </c>
      <c r="F935" s="22">
        <v>3.4049999999999998</v>
      </c>
      <c r="G935" s="22">
        <v>512.65997300000004</v>
      </c>
      <c r="H935" s="22">
        <v>2028.5200199999999</v>
      </c>
      <c r="I935" s="18">
        <v>16826.490229999999</v>
      </c>
    </row>
    <row r="936" spans="1:9" x14ac:dyDescent="0.2">
      <c r="A936" s="4">
        <v>34816</v>
      </c>
      <c r="B936" s="21">
        <v>1.3581000000000001</v>
      </c>
      <c r="C936" s="22">
        <v>83.66</v>
      </c>
      <c r="D936" s="22">
        <v>7.0250000000000004</v>
      </c>
      <c r="E936" s="10">
        <v>7.01</v>
      </c>
      <c r="F936" s="22">
        <v>3.45</v>
      </c>
      <c r="G936" s="22">
        <v>513.54998799999998</v>
      </c>
      <c r="H936" s="22">
        <v>2024.25</v>
      </c>
      <c r="I936" s="18">
        <v>16883.990229999999</v>
      </c>
    </row>
    <row r="937" spans="1:9" x14ac:dyDescent="0.2">
      <c r="A937" s="4">
        <v>34817</v>
      </c>
      <c r="B937" s="21">
        <v>1.3521000000000001</v>
      </c>
      <c r="C937" s="22">
        <v>84.34</v>
      </c>
      <c r="D937" s="22">
        <v>7.0460000000000003</v>
      </c>
      <c r="E937" s="10">
        <v>7</v>
      </c>
      <c r="F937" s="22">
        <v>3.4750000000000001</v>
      </c>
      <c r="G937" s="22">
        <v>514.71002199999998</v>
      </c>
      <c r="H937" s="22">
        <v>2017.9499510000001</v>
      </c>
      <c r="I937" s="18">
        <v>16806.75</v>
      </c>
    </row>
    <row r="938" spans="1:9" x14ac:dyDescent="0.2">
      <c r="A938" s="4">
        <v>34820</v>
      </c>
      <c r="B938" s="21">
        <v>1.3459000000000001</v>
      </c>
      <c r="C938" s="22">
        <v>83.5</v>
      </c>
      <c r="D938" s="22">
        <v>7.0720000000000001</v>
      </c>
      <c r="E938" s="10">
        <v>7</v>
      </c>
      <c r="F938" s="22">
        <v>3.53</v>
      </c>
      <c r="G938" s="22">
        <v>514.26000999999997</v>
      </c>
      <c r="H938" s="22">
        <v>2017.9499510000001</v>
      </c>
      <c r="I938" s="18">
        <v>16811.460940000001</v>
      </c>
    </row>
    <row r="939" spans="1:9" x14ac:dyDescent="0.2">
      <c r="A939" s="4">
        <v>34821</v>
      </c>
      <c r="B939" s="21">
        <v>1.3577999999999999</v>
      </c>
      <c r="C939" s="22">
        <v>83.62</v>
      </c>
      <c r="D939" s="22">
        <v>7.024</v>
      </c>
      <c r="E939" s="10">
        <v>7.05</v>
      </c>
      <c r="F939" s="22">
        <v>3.49</v>
      </c>
      <c r="G939" s="22">
        <v>514.85998500000005</v>
      </c>
      <c r="H939" s="22">
        <v>2036.469971</v>
      </c>
      <c r="I939" s="18">
        <v>17088.660159999999</v>
      </c>
    </row>
    <row r="940" spans="1:9" x14ac:dyDescent="0.2">
      <c r="A940" s="4">
        <v>34822</v>
      </c>
      <c r="B940" s="21">
        <v>1.3585</v>
      </c>
      <c r="C940" s="22">
        <v>83.7</v>
      </c>
      <c r="D940" s="22">
        <v>6.9409999999999998</v>
      </c>
      <c r="E940" s="10">
        <v>7.04</v>
      </c>
      <c r="F940" s="22">
        <v>3.49</v>
      </c>
      <c r="G940" s="22">
        <v>520.47997999999995</v>
      </c>
      <c r="H940" s="22">
        <v>2037.98999</v>
      </c>
      <c r="I940" s="18">
        <v>17088.660159999999</v>
      </c>
    </row>
    <row r="941" spans="1:9" x14ac:dyDescent="0.2">
      <c r="A941" s="4">
        <v>34823</v>
      </c>
      <c r="B941" s="21">
        <v>1.3643000000000001</v>
      </c>
      <c r="C941" s="22">
        <v>83.89</v>
      </c>
      <c r="D941" s="22">
        <v>6.8330000000000002</v>
      </c>
      <c r="E941" s="10">
        <v>6.98</v>
      </c>
      <c r="F941" s="22">
        <v>3.49</v>
      </c>
      <c r="G941" s="22">
        <v>520.53997800000002</v>
      </c>
      <c r="H941" s="22">
        <v>2034.150024</v>
      </c>
      <c r="I941" s="18">
        <v>17088.660159999999</v>
      </c>
    </row>
    <row r="942" spans="1:9" x14ac:dyDescent="0.2">
      <c r="A942" s="4">
        <v>34824</v>
      </c>
      <c r="B942" s="21">
        <v>1.3648</v>
      </c>
      <c r="C942" s="22">
        <v>83.97</v>
      </c>
      <c r="D942" s="22">
        <v>6.6660000000000004</v>
      </c>
      <c r="E942" s="10">
        <v>6.95</v>
      </c>
      <c r="F942" s="22">
        <v>3.49</v>
      </c>
      <c r="G942" s="22">
        <v>520.11999500000002</v>
      </c>
      <c r="H942" s="22">
        <v>2021.219971</v>
      </c>
      <c r="I942" s="18">
        <v>17088.660159999999</v>
      </c>
    </row>
    <row r="943" spans="1:9" x14ac:dyDescent="0.2">
      <c r="A943" s="4">
        <v>34827</v>
      </c>
      <c r="B943" s="21">
        <v>1.3648</v>
      </c>
      <c r="C943" s="22">
        <v>83.26</v>
      </c>
      <c r="D943" s="22">
        <v>6.6740000000000004</v>
      </c>
      <c r="E943" s="10">
        <v>6.91</v>
      </c>
      <c r="F943" s="22">
        <v>3.4380000000000002</v>
      </c>
      <c r="G943" s="22">
        <v>523.96002199999998</v>
      </c>
      <c r="H943" s="22">
        <v>2030.650024</v>
      </c>
      <c r="I943" s="18">
        <v>17103.689450000002</v>
      </c>
    </row>
    <row r="944" spans="1:9" x14ac:dyDescent="0.2">
      <c r="A944" s="4">
        <v>34828</v>
      </c>
      <c r="B944" s="21">
        <v>1.3691</v>
      </c>
      <c r="C944" s="22">
        <v>83.37</v>
      </c>
      <c r="D944" s="22">
        <v>6.5810000000000004</v>
      </c>
      <c r="E944" s="10">
        <v>6.92</v>
      </c>
      <c r="F944" s="22">
        <v>3.3849999999999998</v>
      </c>
      <c r="G944" s="22">
        <v>523.55999799999995</v>
      </c>
      <c r="H944" s="22">
        <v>2050.6599120000001</v>
      </c>
      <c r="I944" s="18">
        <v>16958.220700000002</v>
      </c>
    </row>
    <row r="945" spans="1:9" x14ac:dyDescent="0.2">
      <c r="A945" s="4">
        <v>34829</v>
      </c>
      <c r="B945" s="21">
        <v>1.3577999999999999</v>
      </c>
      <c r="C945" s="22">
        <v>83.81</v>
      </c>
      <c r="D945" s="22">
        <v>6.6360000000000001</v>
      </c>
      <c r="E945" s="10">
        <v>6.83</v>
      </c>
      <c r="F945" s="22">
        <v>3.375</v>
      </c>
      <c r="G945" s="22">
        <v>524.35998500000005</v>
      </c>
      <c r="H945" s="22">
        <v>2064.4099120000001</v>
      </c>
      <c r="I945" s="18">
        <v>16826.490229999999</v>
      </c>
    </row>
    <row r="946" spans="1:9" x14ac:dyDescent="0.2">
      <c r="A946" s="4">
        <v>34830</v>
      </c>
      <c r="B946" s="21">
        <v>1.3354999999999999</v>
      </c>
      <c r="C946" s="22">
        <v>85.72</v>
      </c>
      <c r="D946" s="22">
        <v>6.673</v>
      </c>
      <c r="E946" s="10">
        <v>6.86</v>
      </c>
      <c r="F946" s="22">
        <v>3.3250000000000002</v>
      </c>
      <c r="G946" s="22">
        <v>524.36999500000002</v>
      </c>
      <c r="H946" s="22">
        <v>2086.4099120000001</v>
      </c>
      <c r="I946" s="18">
        <v>16461.730469999999</v>
      </c>
    </row>
    <row r="947" spans="1:9" x14ac:dyDescent="0.2">
      <c r="A947" s="4">
        <v>34831</v>
      </c>
      <c r="B947" s="21">
        <v>1.3120000000000001</v>
      </c>
      <c r="C947" s="22">
        <v>86.75</v>
      </c>
      <c r="D947" s="22">
        <v>6.665</v>
      </c>
      <c r="E947" s="10">
        <v>6.91</v>
      </c>
      <c r="F947" s="22">
        <v>3.4249999999999998</v>
      </c>
      <c r="G947" s="22">
        <v>525.54998799999998</v>
      </c>
      <c r="H947" s="22">
        <v>2102.3999020000001</v>
      </c>
      <c r="I947" s="18">
        <v>16420.759770000001</v>
      </c>
    </row>
    <row r="948" spans="1:9" x14ac:dyDescent="0.2">
      <c r="A948" s="4">
        <v>34834</v>
      </c>
      <c r="B948" s="21">
        <v>1.3115000000000001</v>
      </c>
      <c r="C948" s="22">
        <v>86.45</v>
      </c>
      <c r="D948" s="22">
        <v>6.617</v>
      </c>
      <c r="E948" s="10">
        <v>6.88</v>
      </c>
      <c r="F948" s="22">
        <v>3.42</v>
      </c>
      <c r="G948" s="22">
        <v>527.73999000000003</v>
      </c>
      <c r="H948" s="22">
        <v>2092</v>
      </c>
      <c r="I948" s="18">
        <v>16609.699219999999</v>
      </c>
    </row>
    <row r="949" spans="1:9" x14ac:dyDescent="0.2">
      <c r="A949" s="4">
        <v>34835</v>
      </c>
      <c r="B949" s="21">
        <v>1.3144</v>
      </c>
      <c r="C949" s="22">
        <v>86.65</v>
      </c>
      <c r="D949" s="22">
        <v>6.5519999999999996</v>
      </c>
      <c r="E949" s="10">
        <v>6.86</v>
      </c>
      <c r="F949" s="22">
        <v>3.4</v>
      </c>
      <c r="G949" s="22">
        <v>528.19000200000005</v>
      </c>
      <c r="H949" s="22">
        <v>2109.360107</v>
      </c>
      <c r="I949" s="18">
        <v>16388.900389999999</v>
      </c>
    </row>
    <row r="950" spans="1:9" x14ac:dyDescent="0.2">
      <c r="A950" s="4">
        <v>34836</v>
      </c>
      <c r="B950" s="21">
        <v>1.3131999999999999</v>
      </c>
      <c r="C950" s="22">
        <v>86.88</v>
      </c>
      <c r="D950" s="22">
        <v>6.5259999999999998</v>
      </c>
      <c r="E950" s="10">
        <v>6.8</v>
      </c>
      <c r="F950" s="22">
        <v>3.3650000000000002</v>
      </c>
      <c r="G950" s="22">
        <v>527.07000700000003</v>
      </c>
      <c r="H950" s="22">
        <v>2088.98999</v>
      </c>
      <c r="I950" s="18">
        <v>16471.349610000001</v>
      </c>
    </row>
    <row r="951" spans="1:9" x14ac:dyDescent="0.2">
      <c r="A951" s="4">
        <v>34837</v>
      </c>
      <c r="B951" s="21">
        <v>1.2958000000000001</v>
      </c>
      <c r="C951" s="22">
        <v>86.87</v>
      </c>
      <c r="D951" s="22">
        <v>6.6040000000000001</v>
      </c>
      <c r="E951" s="10">
        <v>6.82</v>
      </c>
      <c r="F951" s="22">
        <v>3.34</v>
      </c>
      <c r="G951" s="22">
        <v>519.580017</v>
      </c>
      <c r="H951" s="22">
        <v>2083.8000489999999</v>
      </c>
      <c r="I951" s="18">
        <v>16312.559569999999</v>
      </c>
    </row>
    <row r="952" spans="1:9" x14ac:dyDescent="0.2">
      <c r="A952" s="4">
        <v>34838</v>
      </c>
      <c r="B952" s="21">
        <v>1.3098000000000001</v>
      </c>
      <c r="C952" s="22">
        <v>86.86</v>
      </c>
      <c r="D952" s="22">
        <v>6.5990000000000002</v>
      </c>
      <c r="E952" s="10">
        <v>6.85</v>
      </c>
      <c r="F952" s="22">
        <v>3.2749999999999999</v>
      </c>
      <c r="G952" s="22">
        <v>519.19000200000005</v>
      </c>
      <c r="H952" s="22">
        <v>2064.419922</v>
      </c>
      <c r="I952" s="18">
        <v>16140.849609999999</v>
      </c>
    </row>
    <row r="953" spans="1:9" x14ac:dyDescent="0.2">
      <c r="A953" s="4">
        <v>34841</v>
      </c>
      <c r="B953" s="21">
        <v>1.3019000000000001</v>
      </c>
      <c r="C953" s="22">
        <v>87.38</v>
      </c>
      <c r="D953" s="22">
        <v>6.6120000000000001</v>
      </c>
      <c r="E953" s="10">
        <v>6.83</v>
      </c>
      <c r="F953" s="22">
        <v>3.23</v>
      </c>
      <c r="G953" s="22">
        <v>523.65002400000003</v>
      </c>
      <c r="H953" s="22">
        <v>2096.8701169999999</v>
      </c>
      <c r="I953" s="18">
        <v>15789.12012</v>
      </c>
    </row>
    <row r="954" spans="1:9" x14ac:dyDescent="0.2">
      <c r="A954" s="4">
        <v>34842</v>
      </c>
      <c r="B954" s="21">
        <v>1.3077000000000001</v>
      </c>
      <c r="C954" s="22">
        <v>87.16</v>
      </c>
      <c r="D954" s="22">
        <v>6.5510000000000002</v>
      </c>
      <c r="E954" s="10">
        <v>6.82</v>
      </c>
      <c r="F954" s="22">
        <v>3.2</v>
      </c>
      <c r="G954" s="22">
        <v>528.59002699999996</v>
      </c>
      <c r="H954" s="22">
        <v>2083.5500489999999</v>
      </c>
      <c r="I954" s="18">
        <v>15916.150390000001</v>
      </c>
    </row>
    <row r="955" spans="1:9" x14ac:dyDescent="0.2">
      <c r="A955" s="4">
        <v>34843</v>
      </c>
      <c r="B955" s="21">
        <v>1.3099000000000001</v>
      </c>
      <c r="C955" s="22">
        <v>87.16</v>
      </c>
      <c r="D955" s="22">
        <v>6.4269999999999996</v>
      </c>
      <c r="E955" s="10">
        <v>6.77</v>
      </c>
      <c r="F955" s="22">
        <v>3.1749999999999998</v>
      </c>
      <c r="G955" s="22">
        <v>528.60998500000005</v>
      </c>
      <c r="H955" s="22">
        <v>2105.8798830000001</v>
      </c>
      <c r="I955" s="18">
        <v>15970.75</v>
      </c>
    </row>
    <row r="956" spans="1:9" x14ac:dyDescent="0.2">
      <c r="A956" s="4">
        <v>34844</v>
      </c>
      <c r="B956" s="21">
        <v>1.3398000000000001</v>
      </c>
      <c r="C956" s="22">
        <v>84.84</v>
      </c>
      <c r="D956" s="22">
        <v>6.38</v>
      </c>
      <c r="E956" s="10">
        <v>6.77</v>
      </c>
      <c r="F956" s="22">
        <v>3.0950000000000002</v>
      </c>
      <c r="G956" s="22">
        <v>528.59002699999996</v>
      </c>
      <c r="H956" s="22">
        <v>2105.8798830000001</v>
      </c>
      <c r="I956" s="18">
        <v>15579.440430000001</v>
      </c>
    </row>
    <row r="957" spans="1:9" x14ac:dyDescent="0.2">
      <c r="A957" s="4">
        <v>34845</v>
      </c>
      <c r="B957" s="21">
        <v>1.3605</v>
      </c>
      <c r="C957" s="22">
        <v>82.91</v>
      </c>
      <c r="D957" s="22">
        <v>6.3879999999999999</v>
      </c>
      <c r="E957" s="10">
        <v>6.69</v>
      </c>
      <c r="F957" s="22">
        <v>3.04</v>
      </c>
      <c r="G957" s="22">
        <v>523.65002400000003</v>
      </c>
      <c r="H957" s="22">
        <v>2065.709961</v>
      </c>
      <c r="I957" s="18">
        <v>15694.25</v>
      </c>
    </row>
    <row r="958" spans="1:9" x14ac:dyDescent="0.2">
      <c r="A958" s="4">
        <v>34848</v>
      </c>
      <c r="B958" s="21">
        <v>1.3605</v>
      </c>
      <c r="C958" s="22">
        <v>82.8</v>
      </c>
      <c r="D958" s="22">
        <v>6.3879999999999999</v>
      </c>
      <c r="E958" s="10">
        <v>6.71</v>
      </c>
      <c r="F958" s="22">
        <v>3.0649999999999999</v>
      </c>
      <c r="G958" s="22">
        <v>535.6</v>
      </c>
      <c r="H958" s="22">
        <v>2069.26001</v>
      </c>
      <c r="I958" s="18">
        <v>15574.030269999999</v>
      </c>
    </row>
    <row r="959" spans="1:9" x14ac:dyDescent="0.2">
      <c r="A959" s="4">
        <v>34849</v>
      </c>
      <c r="B959" s="21">
        <v>1.3552</v>
      </c>
      <c r="C959" s="22">
        <v>82.92</v>
      </c>
      <c r="D959" s="22">
        <v>6.2939999999999996</v>
      </c>
      <c r="E959" s="10">
        <v>6.67</v>
      </c>
      <c r="F959" s="22">
        <v>2.98</v>
      </c>
      <c r="G959" s="22">
        <v>523.580017</v>
      </c>
      <c r="H959" s="22">
        <v>2081.459961</v>
      </c>
      <c r="I959" s="18">
        <v>15762.969730000001</v>
      </c>
    </row>
    <row r="960" spans="1:9" x14ac:dyDescent="0.2">
      <c r="A960" s="4">
        <v>34850</v>
      </c>
      <c r="B960" s="21">
        <v>1.3373999999999999</v>
      </c>
      <c r="C960" s="22">
        <v>84.62</v>
      </c>
      <c r="D960" s="22">
        <v>6.2859999999999996</v>
      </c>
      <c r="E960" s="10">
        <v>6.65</v>
      </c>
      <c r="F960" s="22">
        <v>2.8650000000000002</v>
      </c>
      <c r="G960" s="22">
        <v>533.40002400000003</v>
      </c>
      <c r="H960" s="22">
        <v>2099.9499510000001</v>
      </c>
      <c r="I960" s="18">
        <v>15436.79004</v>
      </c>
    </row>
    <row r="961" spans="1:9" x14ac:dyDescent="0.2">
      <c r="A961" s="4">
        <v>34851</v>
      </c>
      <c r="B961" s="21">
        <v>1.3289</v>
      </c>
      <c r="C961" s="22">
        <v>84.81</v>
      </c>
      <c r="D961" s="22">
        <v>6.1849999999999996</v>
      </c>
      <c r="E961" s="10">
        <v>6.62</v>
      </c>
      <c r="F961" s="22">
        <v>2.9</v>
      </c>
      <c r="G961" s="22">
        <v>533.48999000000003</v>
      </c>
      <c r="H961" s="22">
        <v>2119.23999</v>
      </c>
      <c r="I961" s="18">
        <v>15594.570309999999</v>
      </c>
    </row>
    <row r="962" spans="1:9" x14ac:dyDescent="0.2">
      <c r="A962" s="4">
        <v>34852</v>
      </c>
      <c r="B962" s="21">
        <v>1.343</v>
      </c>
      <c r="C962" s="22">
        <v>84.33</v>
      </c>
      <c r="D962" s="22">
        <v>6.08</v>
      </c>
      <c r="E962" s="10">
        <v>6.62</v>
      </c>
      <c r="F962" s="22">
        <v>3.0049999999999999</v>
      </c>
      <c r="G962" s="22">
        <v>532.51000999999997</v>
      </c>
      <c r="H962" s="22">
        <v>2132.719971</v>
      </c>
      <c r="I962" s="18">
        <v>15849.12988</v>
      </c>
    </row>
    <row r="963" spans="1:9" x14ac:dyDescent="0.2">
      <c r="A963" s="4">
        <v>34855</v>
      </c>
      <c r="B963" s="21">
        <v>1.3454999999999999</v>
      </c>
      <c r="C963" s="22">
        <v>84.78</v>
      </c>
      <c r="D963" s="22">
        <v>6.0590000000000002</v>
      </c>
      <c r="E963" s="10">
        <v>6.62</v>
      </c>
      <c r="F963" s="22">
        <v>2.94</v>
      </c>
      <c r="G963" s="22">
        <v>535.59997599999997</v>
      </c>
      <c r="H963" s="22">
        <v>2132.719971</v>
      </c>
      <c r="I963" s="18">
        <v>15897.320309999999</v>
      </c>
    </row>
    <row r="964" spans="1:9" x14ac:dyDescent="0.2">
      <c r="A964" s="4">
        <v>34856</v>
      </c>
      <c r="B964" s="21">
        <v>1.3357000000000001</v>
      </c>
      <c r="C964" s="22">
        <v>84.77</v>
      </c>
      <c r="D964" s="22">
        <v>6.0759999999999996</v>
      </c>
      <c r="E964" s="10">
        <v>6.51</v>
      </c>
      <c r="F964" s="22">
        <v>2.86</v>
      </c>
      <c r="G964" s="22">
        <v>535.54998799999998</v>
      </c>
      <c r="H964" s="22">
        <v>2154.169922</v>
      </c>
      <c r="I964" s="18">
        <v>15660.990229999999</v>
      </c>
    </row>
    <row r="965" spans="1:9" x14ac:dyDescent="0.2">
      <c r="A965" s="4">
        <v>34857</v>
      </c>
      <c r="B965" s="21">
        <v>1.3415999999999999</v>
      </c>
      <c r="C965" s="22">
        <v>84.97</v>
      </c>
      <c r="D965" s="22">
        <v>6.1589999999999998</v>
      </c>
      <c r="E965" s="10">
        <v>6.51</v>
      </c>
      <c r="F965" s="22">
        <v>2.9049999999999998</v>
      </c>
      <c r="G965" s="22">
        <v>533.13000499999998</v>
      </c>
      <c r="H965" s="22">
        <v>2136.719971</v>
      </c>
      <c r="I965" s="18">
        <v>15679.62012</v>
      </c>
    </row>
    <row r="966" spans="1:9" x14ac:dyDescent="0.2">
      <c r="A966" s="4">
        <v>34858</v>
      </c>
      <c r="B966" s="21">
        <v>1.331</v>
      </c>
      <c r="C966" s="22">
        <v>84.55</v>
      </c>
      <c r="D966" s="22">
        <v>6.2009999999999996</v>
      </c>
      <c r="E966" s="10">
        <v>6.56</v>
      </c>
      <c r="F966" s="22">
        <v>2.9750000000000001</v>
      </c>
      <c r="G966" s="22">
        <v>532.34997599999997</v>
      </c>
      <c r="H966" s="22">
        <v>2137.209961</v>
      </c>
      <c r="I966" s="18">
        <v>15442.29981</v>
      </c>
    </row>
    <row r="967" spans="1:9" x14ac:dyDescent="0.2">
      <c r="A967" s="4">
        <v>34859</v>
      </c>
      <c r="B967" s="21">
        <v>1.3494999999999999</v>
      </c>
      <c r="C967" s="22">
        <v>84.34</v>
      </c>
      <c r="D967" s="22">
        <v>6.3789999999999996</v>
      </c>
      <c r="E967" s="10">
        <v>6.62</v>
      </c>
      <c r="F967" s="22">
        <v>2.9550000000000001</v>
      </c>
      <c r="G967" s="22">
        <v>527.94000200000005</v>
      </c>
      <c r="H967" s="22">
        <v>2107.1599120000001</v>
      </c>
      <c r="I967" s="18">
        <v>15044.179690000001</v>
      </c>
    </row>
    <row r="968" spans="1:9" x14ac:dyDescent="0.2">
      <c r="A968" s="4">
        <v>34862</v>
      </c>
      <c r="B968" s="21">
        <v>1.3434999999999999</v>
      </c>
      <c r="C968" s="22">
        <v>84.06</v>
      </c>
      <c r="D968" s="22">
        <v>6.3659999999999997</v>
      </c>
      <c r="E968" s="10">
        <v>6.77</v>
      </c>
      <c r="F968" s="22">
        <v>3.0049999999999999</v>
      </c>
      <c r="G968" s="22">
        <v>530.88000499999998</v>
      </c>
      <c r="H968" s="22">
        <v>2127.790039</v>
      </c>
      <c r="I968" s="18">
        <v>14813.45996</v>
      </c>
    </row>
    <row r="969" spans="1:9" x14ac:dyDescent="0.2">
      <c r="A969" s="4">
        <v>34863</v>
      </c>
      <c r="B969" s="21">
        <v>1.3413999999999999</v>
      </c>
      <c r="C969" s="22">
        <v>84.68</v>
      </c>
      <c r="D969" s="22">
        <v>6.125</v>
      </c>
      <c r="E969" s="10">
        <v>6.77</v>
      </c>
      <c r="F969" s="22">
        <v>2.97</v>
      </c>
      <c r="G969" s="22">
        <v>536.04998799999998</v>
      </c>
      <c r="H969" s="22">
        <v>2124.25</v>
      </c>
      <c r="I969" s="18">
        <v>14599.679690000001</v>
      </c>
    </row>
    <row r="970" spans="1:9" x14ac:dyDescent="0.2">
      <c r="A970" s="4">
        <v>34864</v>
      </c>
      <c r="B970" s="21">
        <v>1.3501000000000001</v>
      </c>
      <c r="C970" s="22">
        <v>84.34</v>
      </c>
      <c r="D970" s="22">
        <v>6.1289999999999996</v>
      </c>
      <c r="E970" s="10">
        <v>6.67</v>
      </c>
      <c r="F970" s="22">
        <v>3.0249999999999999</v>
      </c>
      <c r="G970" s="22">
        <v>536.46997099999999</v>
      </c>
      <c r="H970" s="22">
        <v>2124.8400879999999</v>
      </c>
      <c r="I970" s="18">
        <v>14660.490229999999</v>
      </c>
    </row>
    <row r="971" spans="1:9" x14ac:dyDescent="0.2">
      <c r="A971" s="4">
        <v>34865</v>
      </c>
      <c r="B971" s="21">
        <v>1.3387</v>
      </c>
      <c r="C971" s="22">
        <v>84.58</v>
      </c>
      <c r="D971" s="22">
        <v>6.1580000000000004</v>
      </c>
      <c r="E971" s="10">
        <v>6.67</v>
      </c>
      <c r="F971" s="22">
        <v>3.0750000000000002</v>
      </c>
      <c r="G971" s="22">
        <v>537.11999500000002</v>
      </c>
      <c r="H971" s="22">
        <v>2124.8400879999999</v>
      </c>
      <c r="I971" s="18">
        <v>14867.259770000001</v>
      </c>
    </row>
    <row r="972" spans="1:9" x14ac:dyDescent="0.2">
      <c r="A972" s="4">
        <v>34866</v>
      </c>
      <c r="B972" s="21">
        <v>1.3466</v>
      </c>
      <c r="C972" s="22">
        <v>84.7</v>
      </c>
      <c r="D972" s="22">
        <v>6.1959999999999997</v>
      </c>
      <c r="E972" s="10">
        <v>6.81</v>
      </c>
      <c r="F972" s="22">
        <v>3.0550000000000002</v>
      </c>
      <c r="G972" s="22">
        <v>539.830017</v>
      </c>
      <c r="H972" s="22">
        <v>2125.0600589999999</v>
      </c>
      <c r="I972" s="18">
        <v>14703.16992</v>
      </c>
    </row>
    <row r="973" spans="1:9" x14ac:dyDescent="0.2">
      <c r="A973" s="4">
        <v>34869</v>
      </c>
      <c r="B973" s="21">
        <v>1.3479000000000001</v>
      </c>
      <c r="C973" s="22">
        <v>84.62</v>
      </c>
      <c r="D973" s="22">
        <v>6.1079999999999997</v>
      </c>
      <c r="E973" s="10">
        <v>6.74</v>
      </c>
      <c r="F973" s="22">
        <v>3.0049999999999999</v>
      </c>
      <c r="G973" s="22">
        <v>545.21997099999999</v>
      </c>
      <c r="H973" s="22">
        <v>2154.1298830000001</v>
      </c>
      <c r="I973" s="18">
        <v>14700.059569999999</v>
      </c>
    </row>
    <row r="974" spans="1:9" x14ac:dyDescent="0.2">
      <c r="A974" s="4">
        <v>34870</v>
      </c>
      <c r="B974" s="21">
        <v>1.3543000000000001</v>
      </c>
      <c r="C974" s="22">
        <v>84.53</v>
      </c>
      <c r="D974" s="22">
        <v>6.141</v>
      </c>
      <c r="E974" s="10">
        <v>6.69</v>
      </c>
      <c r="F974" s="22">
        <v>2.9950000000000001</v>
      </c>
      <c r="G974" s="22">
        <v>544.97997999999995</v>
      </c>
      <c r="H974" s="22">
        <v>2140.360107</v>
      </c>
      <c r="I974" s="18">
        <v>14665.700199999999</v>
      </c>
    </row>
    <row r="975" spans="1:9" x14ac:dyDescent="0.2">
      <c r="A975" s="4">
        <v>34871</v>
      </c>
      <c r="B975" s="21">
        <v>1.3547</v>
      </c>
      <c r="C975" s="22">
        <v>84.05</v>
      </c>
      <c r="D975" s="22">
        <v>6.1159999999999997</v>
      </c>
      <c r="E975" s="10">
        <v>6.66</v>
      </c>
      <c r="F975" s="22">
        <v>2.915</v>
      </c>
      <c r="G975" s="22">
        <v>543.97997999999995</v>
      </c>
      <c r="H975" s="22">
        <v>2144.8798830000001</v>
      </c>
      <c r="I975" s="18">
        <v>14951.20996</v>
      </c>
    </row>
    <row r="976" spans="1:9" x14ac:dyDescent="0.2">
      <c r="A976" s="4">
        <v>34872</v>
      </c>
      <c r="B976" s="21">
        <v>1.3628</v>
      </c>
      <c r="C976" s="22">
        <v>84.49</v>
      </c>
      <c r="D976" s="22">
        <v>6.016</v>
      </c>
      <c r="E976" s="10">
        <v>6.68</v>
      </c>
      <c r="F976" s="22">
        <v>2.83</v>
      </c>
      <c r="G976" s="22">
        <v>551.07000700000003</v>
      </c>
      <c r="H976" s="22">
        <v>2162.389893</v>
      </c>
      <c r="I976" s="18">
        <v>14926.37012</v>
      </c>
    </row>
    <row r="977" spans="1:11" x14ac:dyDescent="0.2">
      <c r="A977" s="4">
        <v>34873</v>
      </c>
      <c r="B977" s="21">
        <v>1.3616999999999999</v>
      </c>
      <c r="C977" s="22">
        <v>84.33</v>
      </c>
      <c r="D977" s="22">
        <v>6.0449999999999999</v>
      </c>
      <c r="E977" s="10">
        <v>6.71</v>
      </c>
      <c r="F977" s="22">
        <v>2.79</v>
      </c>
      <c r="G977" s="22">
        <v>549.71002199999998</v>
      </c>
      <c r="H977" s="22">
        <v>2138.219971</v>
      </c>
      <c r="I977" s="18">
        <v>15265.179690000001</v>
      </c>
    </row>
    <row r="978" spans="1:11" x14ac:dyDescent="0.2">
      <c r="A978" s="4">
        <v>34876</v>
      </c>
      <c r="B978" s="21">
        <v>1.3541000000000001</v>
      </c>
      <c r="C978" s="22">
        <v>84.29</v>
      </c>
      <c r="D978" s="22">
        <v>6.09</v>
      </c>
      <c r="E978" s="10">
        <v>6.81</v>
      </c>
      <c r="F978" s="22">
        <v>2.7850000000000001</v>
      </c>
      <c r="G978" s="22">
        <v>544.13000499999998</v>
      </c>
      <c r="H978" s="22">
        <v>2137.360107</v>
      </c>
      <c r="I978" s="18">
        <v>15145.360350000001</v>
      </c>
    </row>
    <row r="979" spans="1:11" x14ac:dyDescent="0.2">
      <c r="A979" s="4">
        <v>34877</v>
      </c>
      <c r="B979" s="21">
        <v>1.3616999999999999</v>
      </c>
      <c r="C979" s="22">
        <v>84.22</v>
      </c>
      <c r="D979" s="22">
        <v>6.1319999999999997</v>
      </c>
      <c r="E979" s="10">
        <v>6.82</v>
      </c>
      <c r="F979" s="22">
        <v>2.7549999999999999</v>
      </c>
      <c r="G979" s="22">
        <v>542.42999299999997</v>
      </c>
      <c r="H979" s="22">
        <v>2128.98999</v>
      </c>
      <c r="I979" s="18">
        <v>14759.04981</v>
      </c>
    </row>
    <row r="980" spans="1:11" x14ac:dyDescent="0.2">
      <c r="A980" s="4">
        <v>34878</v>
      </c>
      <c r="B980" s="21">
        <v>1.3569</v>
      </c>
      <c r="C980" s="22">
        <v>85.56</v>
      </c>
      <c r="D980" s="22">
        <v>6.0940000000000003</v>
      </c>
      <c r="E980" s="10">
        <v>6.82</v>
      </c>
      <c r="F980" s="22">
        <v>2.7850000000000001</v>
      </c>
      <c r="G980" s="22">
        <v>544.72997999999995</v>
      </c>
      <c r="H980" s="22">
        <v>2091.3000489999999</v>
      </c>
      <c r="I980" s="18">
        <v>14618.070309999999</v>
      </c>
    </row>
    <row r="981" spans="1:11" x14ac:dyDescent="0.2">
      <c r="A981" s="4">
        <v>34879</v>
      </c>
      <c r="B981" s="21">
        <v>1.3572</v>
      </c>
      <c r="C981" s="22">
        <v>84.33</v>
      </c>
      <c r="D981" s="22">
        <v>6.25</v>
      </c>
      <c r="E981" s="10">
        <v>6.81</v>
      </c>
      <c r="F981" s="22">
        <v>2.71</v>
      </c>
      <c r="G981" s="22">
        <v>543.86999500000002</v>
      </c>
      <c r="H981" s="22">
        <v>2094.679932</v>
      </c>
      <c r="I981" s="18">
        <v>14507.16992</v>
      </c>
    </row>
    <row r="982" spans="1:11" x14ac:dyDescent="0.2">
      <c r="A982" s="4">
        <v>34880</v>
      </c>
      <c r="B982" s="21">
        <v>1.3605</v>
      </c>
      <c r="C982" s="22">
        <v>84.63</v>
      </c>
      <c r="D982" s="22">
        <v>6.2030000000000003</v>
      </c>
      <c r="E982" s="10">
        <v>6.93</v>
      </c>
      <c r="F982" s="22">
        <v>2.7850000000000001</v>
      </c>
      <c r="G982" s="22">
        <v>544.75</v>
      </c>
      <c r="H982" s="22">
        <v>2089.040039</v>
      </c>
      <c r="I982" s="18">
        <v>14517.400390000001</v>
      </c>
      <c r="J982" s="22"/>
      <c r="K982" s="22"/>
    </row>
  </sheetData>
  <mergeCells count="1">
    <mergeCell ref="D1:F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ABM</vt:lpstr>
      <vt:lpstr>Prices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2023-12-11T19:08:51Z</dcterms:modified>
</cp:coreProperties>
</file>
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filterPrivacy="1" codeName="ThisWorkbook" defaultThemeVersion="124226"/>
  <xr:revisionPtr revIDLastSave="0" documentId="13_ncr:1_{A8277C3A-240C-4231-BBA4-E400397FF70E}" xr6:coauthVersionLast="47" xr6:coauthVersionMax="47" xr10:uidLastSave="{00000000-0000-0000-0000-000000000000}"/>
  <bookViews>
    <workbookView xWindow="14295" yWindow="0" windowWidth="14610" windowHeight="15585" tabRatio="666" xr2:uid="{00000000-000D-0000-FFFF-FFFF00000000}"/>
  </bookViews>
  <sheets>
    <sheet name="ABM" sheetId="15" r:id="rId1"/>
    <sheet name="Pric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82" i="15" l="1"/>
  <c r="H40" i="15"/>
  <c r="N40" i="15"/>
  <c r="O40" i="15" s="1"/>
  <c r="S40" i="15"/>
  <c r="T40" i="15" s="1"/>
  <c r="S983" i="15"/>
  <c r="N983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41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Q5" i="15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L5" i="15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J40" i="15" l="1"/>
  <c r="B40" i="15" s="1"/>
  <c r="R5" i="15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C40" i="15" l="1"/>
  <c r="D40" i="15" s="1"/>
  <c r="F40" i="15" s="1"/>
  <c r="E40" i="15" s="1"/>
  <c r="L17" i="15"/>
  <c r="Q17" i="15"/>
  <c r="G40" i="15" l="1"/>
  <c r="M17" i="15"/>
  <c r="R17" i="15"/>
  <c r="M18" i="15" l="1"/>
  <c r="Q18" i="15"/>
  <c r="L18" i="15"/>
  <c r="R18" i="15" l="1"/>
  <c r="L19" i="15"/>
  <c r="R19" i="15" l="1"/>
  <c r="R20" i="15" s="1"/>
  <c r="Q19" i="15"/>
  <c r="M19" i="15"/>
  <c r="M20" i="15" s="1"/>
  <c r="Q20" i="15" l="1"/>
  <c r="L20" i="15"/>
  <c r="Q21" i="15" l="1"/>
  <c r="R21" i="15"/>
  <c r="M21" i="15" l="1"/>
  <c r="L21" i="15"/>
  <c r="Q22" i="15"/>
  <c r="R22" i="15" l="1"/>
  <c r="Q23" i="15" l="1"/>
  <c r="M22" i="15"/>
  <c r="L22" i="15"/>
  <c r="R23" i="15" l="1"/>
  <c r="L23" i="15" l="1"/>
  <c r="Q24" i="15"/>
  <c r="M23" i="15"/>
  <c r="Q25" i="15" l="1"/>
  <c r="R24" i="15"/>
  <c r="R25" i="15" l="1"/>
  <c r="Q26" i="15"/>
  <c r="L24" i="15"/>
  <c r="M24" i="15"/>
  <c r="R26" i="15" l="1"/>
  <c r="Q27" i="15"/>
  <c r="R27" i="15" l="1"/>
  <c r="M25" i="15"/>
  <c r="L25" i="15"/>
  <c r="R28" i="15" l="1"/>
  <c r="Q28" i="15"/>
  <c r="L26" i="15" l="1"/>
  <c r="M26" i="15"/>
  <c r="R29" i="15"/>
  <c r="Q29" i="15" l="1"/>
  <c r="R30" i="15" l="1"/>
  <c r="L27" i="15"/>
  <c r="M27" i="15"/>
  <c r="Q30" i="15" l="1"/>
  <c r="L28" i="15" l="1"/>
  <c r="R31" i="15"/>
  <c r="M28" i="15"/>
  <c r="M29" i="15" l="1"/>
  <c r="Q31" i="15"/>
  <c r="Q32" i="15" s="1"/>
  <c r="L29" i="15"/>
  <c r="L30" i="15" l="1"/>
  <c r="R32" i="15"/>
  <c r="Q33" i="15" l="1"/>
  <c r="M30" i="15"/>
  <c r="M31" i="15" l="1"/>
  <c r="L31" i="15"/>
  <c r="R33" i="15"/>
  <c r="L32" i="15" l="1"/>
  <c r="M32" i="15"/>
  <c r="Q34" i="15"/>
  <c r="L33" i="15" l="1"/>
  <c r="Q35" i="15"/>
  <c r="R34" i="15"/>
  <c r="M33" i="15"/>
  <c r="R35" i="15" l="1"/>
  <c r="M34" i="15" l="1"/>
  <c r="Q36" i="15"/>
  <c r="Q37" i="15" s="1"/>
  <c r="L34" i="15"/>
  <c r="R36" i="15" l="1"/>
  <c r="R37" i="15" s="1"/>
  <c r="M35" i="15"/>
  <c r="L35" i="15"/>
  <c r="Q38" i="15" l="1"/>
  <c r="Q39" i="15" l="1"/>
  <c r="R38" i="15"/>
  <c r="L36" i="15"/>
  <c r="M36" i="15"/>
  <c r="R39" i="15" l="1"/>
  <c r="Q40" i="15"/>
  <c r="T41" i="15" s="1"/>
  <c r="R40" i="15" l="1"/>
  <c r="Q41" i="15"/>
  <c r="T42" i="15" s="1"/>
  <c r="M37" i="15"/>
  <c r="L37" i="15"/>
  <c r="R41" i="15" l="1"/>
  <c r="Q42" i="15"/>
  <c r="R42" i="15" l="1"/>
  <c r="M38" i="15"/>
  <c r="L38" i="15"/>
  <c r="T43" i="15" l="1"/>
  <c r="Q43" i="15" s="1"/>
  <c r="R43" i="15" l="1"/>
  <c r="T44" i="15"/>
  <c r="Q44" i="15" s="1"/>
  <c r="T45" i="15" s="1"/>
  <c r="M39" i="15"/>
  <c r="L39" i="15"/>
  <c r="R44" i="15" l="1"/>
  <c r="R45" i="15" s="1"/>
  <c r="Q45" i="15"/>
  <c r="T46" i="15" l="1"/>
  <c r="Q46" i="15" s="1"/>
  <c r="L40" i="15"/>
  <c r="O41" i="15" s="1"/>
  <c r="M40" i="15"/>
  <c r="R46" i="15" l="1"/>
  <c r="T47" i="15" s="1"/>
  <c r="Q47" i="15" s="1"/>
  <c r="J41" i="15"/>
  <c r="C41" i="15" s="1"/>
  <c r="M41" i="15" l="1"/>
  <c r="L41" i="15"/>
  <c r="O42" i="15" s="1"/>
  <c r="R47" i="15"/>
  <c r="T48" i="15" s="1"/>
  <c r="B41" i="15"/>
  <c r="J42" i="15" l="1"/>
  <c r="C42" i="15" s="1"/>
  <c r="G42" i="15" s="1"/>
  <c r="M42" i="15"/>
  <c r="G41" i="15"/>
  <c r="D41" i="15"/>
  <c r="L42" i="15"/>
  <c r="O43" i="15" s="1"/>
  <c r="Q48" i="15"/>
  <c r="B42" i="15" l="1"/>
  <c r="D42" i="15"/>
  <c r="F41" i="15"/>
  <c r="R48" i="15"/>
  <c r="T49" i="15" s="1"/>
  <c r="J43" i="15" l="1"/>
  <c r="C43" i="15" s="1"/>
  <c r="M43" i="15"/>
  <c r="L43" i="15"/>
  <c r="O44" i="15" s="1"/>
  <c r="F42" i="15"/>
  <c r="E41" i="15"/>
  <c r="Q49" i="15"/>
  <c r="T50" i="15" s="1"/>
  <c r="Q50" i="15" l="1"/>
  <c r="T51" i="15" s="1"/>
  <c r="E42" i="15"/>
  <c r="R49" i="15"/>
  <c r="J44" i="15"/>
  <c r="C44" i="15" s="1"/>
  <c r="B43" i="15"/>
  <c r="R50" i="15" l="1"/>
  <c r="Q51" i="15"/>
  <c r="T52" i="15" s="1"/>
  <c r="G44" i="15"/>
  <c r="B44" i="15"/>
  <c r="L44" i="15"/>
  <c r="M44" i="15"/>
  <c r="O45" i="15" s="1"/>
  <c r="G43" i="15"/>
  <c r="D43" i="15"/>
  <c r="Q52" i="15" l="1"/>
  <c r="T53" i="15" s="1"/>
  <c r="J45" i="15"/>
  <c r="C45" i="15" s="1"/>
  <c r="R51" i="15"/>
  <c r="D44" i="15"/>
  <c r="F43" i="15"/>
  <c r="R52" i="15" l="1"/>
  <c r="M45" i="15"/>
  <c r="O46" i="15" s="1"/>
  <c r="Q53" i="15"/>
  <c r="T54" i="15" s="1"/>
  <c r="F44" i="15"/>
  <c r="E43" i="15"/>
  <c r="G45" i="15"/>
  <c r="B45" i="15"/>
  <c r="L45" i="15"/>
  <c r="J46" i="15" l="1"/>
  <c r="R53" i="15"/>
  <c r="D45" i="15"/>
  <c r="F45" i="15" s="1"/>
  <c r="Q54" i="15"/>
  <c r="T55" i="15" s="1"/>
  <c r="M46" i="15"/>
  <c r="O47" i="15" s="1"/>
  <c r="L46" i="15"/>
  <c r="E44" i="15"/>
  <c r="C46" i="15" l="1"/>
  <c r="G46" i="15" s="1"/>
  <c r="B46" i="15"/>
  <c r="R54" i="15"/>
  <c r="Q55" i="15"/>
  <c r="J47" i="15"/>
  <c r="C47" i="15" s="1"/>
  <c r="E45" i="15"/>
  <c r="D46" i="15" l="1"/>
  <c r="F46" i="15" s="1"/>
  <c r="E46" i="15" s="1"/>
  <c r="R55" i="15"/>
  <c r="G47" i="15"/>
  <c r="B47" i="15"/>
  <c r="M47" i="15"/>
  <c r="O48" i="15" s="1"/>
  <c r="L47" i="15"/>
  <c r="D47" i="15" l="1"/>
  <c r="F47" i="15" s="1"/>
  <c r="E47" i="15" s="1"/>
  <c r="T56" i="15"/>
  <c r="Q56" i="15" s="1"/>
  <c r="J48" i="15"/>
  <c r="C48" i="15" s="1"/>
  <c r="R56" i="15" l="1"/>
  <c r="T57" i="15" s="1"/>
  <c r="Q57" i="15" s="1"/>
  <c r="L48" i="15"/>
  <c r="B48" i="15"/>
  <c r="M48" i="15"/>
  <c r="O49" i="15" s="1"/>
  <c r="G48" i="15" l="1"/>
  <c r="D48" i="15"/>
  <c r="R57" i="15"/>
  <c r="T58" i="15" s="1"/>
  <c r="Q58" i="15" l="1"/>
  <c r="T59" i="15" s="1"/>
  <c r="F48" i="15"/>
  <c r="J49" i="15"/>
  <c r="C49" i="15" s="1"/>
  <c r="L49" i="15"/>
  <c r="M49" i="15"/>
  <c r="O50" i="15" s="1"/>
  <c r="J50" i="15" l="1"/>
  <c r="C50" i="15" s="1"/>
  <c r="B49" i="15"/>
  <c r="E48" i="15"/>
  <c r="Q59" i="15"/>
  <c r="T60" i="15" s="1"/>
  <c r="R58" i="15"/>
  <c r="L50" i="15" l="1"/>
  <c r="R59" i="15"/>
  <c r="G49" i="15"/>
  <c r="D49" i="15"/>
  <c r="G50" i="15"/>
  <c r="B50" i="15"/>
  <c r="M50" i="15"/>
  <c r="O51" i="15" s="1"/>
  <c r="R60" i="15" l="1"/>
  <c r="Q60" i="15"/>
  <c r="T61" i="15" s="1"/>
  <c r="D50" i="15"/>
  <c r="F49" i="15"/>
  <c r="J51" i="15" l="1"/>
  <c r="C51" i="15" s="1"/>
  <c r="L51" i="15"/>
  <c r="F50" i="15"/>
  <c r="E49" i="15"/>
  <c r="R61" i="15"/>
  <c r="M51" i="15"/>
  <c r="O52" i="15" s="1"/>
  <c r="J52" i="15" l="1"/>
  <c r="C52" i="15" s="1"/>
  <c r="E50" i="15"/>
  <c r="Q61" i="15"/>
  <c r="T62" i="15" s="1"/>
  <c r="B51" i="15"/>
  <c r="L52" i="15" l="1"/>
  <c r="O53" i="15" s="1"/>
  <c r="R62" i="15"/>
  <c r="G52" i="15"/>
  <c r="B52" i="15"/>
  <c r="G51" i="15"/>
  <c r="D51" i="15"/>
  <c r="M52" i="15"/>
  <c r="J53" i="15" l="1"/>
  <c r="D52" i="15"/>
  <c r="F51" i="15"/>
  <c r="Q62" i="15"/>
  <c r="T63" i="15" s="1"/>
  <c r="M53" i="15" l="1"/>
  <c r="L53" i="15"/>
  <c r="C53" i="15"/>
  <c r="G53" i="15" s="1"/>
  <c r="B53" i="15"/>
  <c r="R63" i="15"/>
  <c r="F52" i="15"/>
  <c r="E51" i="15"/>
  <c r="O54" i="15" l="1"/>
  <c r="J54" i="15" s="1"/>
  <c r="D53" i="15"/>
  <c r="F53" i="15" s="1"/>
  <c r="E52" i="15"/>
  <c r="Q63" i="15"/>
  <c r="T64" i="15" s="1"/>
  <c r="L54" i="15" l="1"/>
  <c r="M54" i="15"/>
  <c r="O55" i="15" s="1"/>
  <c r="J55" i="15" s="1"/>
  <c r="C55" i="15" s="1"/>
  <c r="C54" i="15"/>
  <c r="G54" i="15" s="1"/>
  <c r="B54" i="15"/>
  <c r="R64" i="15"/>
  <c r="E53" i="15"/>
  <c r="D54" i="15" l="1"/>
  <c r="F54" i="15" s="1"/>
  <c r="L55" i="15"/>
  <c r="M55" i="15"/>
  <c r="O56" i="15" s="1"/>
  <c r="G55" i="15"/>
  <c r="B55" i="15"/>
  <c r="Q64" i="15"/>
  <c r="T65" i="15" s="1"/>
  <c r="M56" i="15" l="1"/>
  <c r="O57" i="15" s="1"/>
  <c r="R65" i="15"/>
  <c r="E54" i="15"/>
  <c r="D55" i="15"/>
  <c r="F55" i="15" l="1"/>
  <c r="Q65" i="15"/>
  <c r="T66" i="15" s="1"/>
  <c r="J56" i="15"/>
  <c r="C56" i="15" s="1"/>
  <c r="L56" i="15"/>
  <c r="J57" i="15"/>
  <c r="C57" i="15" s="1"/>
  <c r="L57" i="15" l="1"/>
  <c r="G57" i="15"/>
  <c r="B57" i="15"/>
  <c r="B56" i="15"/>
  <c r="M57" i="15"/>
  <c r="O58" i="15" s="1"/>
  <c r="R66" i="15"/>
  <c r="E55" i="15"/>
  <c r="G56" i="15" l="1"/>
  <c r="D56" i="15"/>
  <c r="Q66" i="15"/>
  <c r="T67" i="15" s="1"/>
  <c r="M58" i="15"/>
  <c r="R67" i="15" l="1"/>
  <c r="D57" i="15"/>
  <c r="F56" i="15"/>
  <c r="J58" i="15"/>
  <c r="C58" i="15" s="1"/>
  <c r="L58" i="15"/>
  <c r="O59" i="15" s="1"/>
  <c r="Q67" i="15" l="1"/>
  <c r="G58" i="15"/>
  <c r="B58" i="15"/>
  <c r="L59" i="15"/>
  <c r="F57" i="15"/>
  <c r="E56" i="15"/>
  <c r="D58" i="15"/>
  <c r="T68" i="15" l="1"/>
  <c r="R68" i="15" s="1"/>
  <c r="F58" i="15"/>
  <c r="E57" i="15"/>
  <c r="J59" i="15"/>
  <c r="C59" i="15" s="1"/>
  <c r="M59" i="15"/>
  <c r="O60" i="15" s="1"/>
  <c r="Q68" i="15" l="1"/>
  <c r="T69" i="15" s="1"/>
  <c r="R69" i="15" s="1"/>
  <c r="E58" i="15"/>
  <c r="B59" i="15"/>
  <c r="J60" i="15" l="1"/>
  <c r="C60" i="15" s="1"/>
  <c r="L60" i="15"/>
  <c r="M60" i="15"/>
  <c r="O61" i="15" s="1"/>
  <c r="G59" i="15"/>
  <c r="D59" i="15"/>
  <c r="Q69" i="15"/>
  <c r="T70" i="15" s="1"/>
  <c r="F59" i="15" l="1"/>
  <c r="J61" i="15"/>
  <c r="C61" i="15" s="1"/>
  <c r="R70" i="15"/>
  <c r="G60" i="15"/>
  <c r="B60" i="15"/>
  <c r="L61" i="15" l="1"/>
  <c r="Q70" i="15"/>
  <c r="T71" i="15" s="1"/>
  <c r="B61" i="15"/>
  <c r="G61" i="15"/>
  <c r="M61" i="15"/>
  <c r="O62" i="15" s="1"/>
  <c r="E59" i="15"/>
  <c r="D60" i="15"/>
  <c r="F60" i="15" s="1"/>
  <c r="R71" i="15" l="1"/>
  <c r="E60" i="15"/>
  <c r="D61" i="15"/>
  <c r="F61" i="15" l="1"/>
  <c r="Q71" i="15"/>
  <c r="T72" i="15" s="1"/>
  <c r="J62" i="15"/>
  <c r="C62" i="15" s="1"/>
  <c r="L62" i="15"/>
  <c r="M62" i="15"/>
  <c r="O63" i="15" s="1"/>
  <c r="J63" i="15" l="1"/>
  <c r="C63" i="15" s="1"/>
  <c r="R72" i="15"/>
  <c r="B62" i="15"/>
  <c r="E61" i="15"/>
  <c r="G62" i="15" l="1"/>
  <c r="D62" i="15"/>
  <c r="Q72" i="15"/>
  <c r="T73" i="15" s="1"/>
  <c r="G63" i="15"/>
  <c r="B63" i="15"/>
  <c r="M63" i="15"/>
  <c r="O64" i="15" s="1"/>
  <c r="L63" i="15"/>
  <c r="J64" i="15" l="1"/>
  <c r="C64" i="15" s="1"/>
  <c r="R73" i="15"/>
  <c r="D63" i="15"/>
  <c r="F62" i="15"/>
  <c r="F63" i="15" l="1"/>
  <c r="E62" i="15"/>
  <c r="Q73" i="15"/>
  <c r="T74" i="15" s="1"/>
  <c r="G64" i="15"/>
  <c r="B64" i="15"/>
  <c r="M64" i="15"/>
  <c r="O65" i="15" s="1"/>
  <c r="L64" i="15"/>
  <c r="J65" i="15" l="1"/>
  <c r="C65" i="15" s="1"/>
  <c r="R74" i="15"/>
  <c r="E63" i="15"/>
  <c r="D64" i="15"/>
  <c r="F64" i="15" s="1"/>
  <c r="L65" i="15" l="1"/>
  <c r="E64" i="15"/>
  <c r="Q74" i="15"/>
  <c r="T75" i="15" s="1"/>
  <c r="G65" i="15"/>
  <c r="B65" i="15"/>
  <c r="M65" i="15"/>
  <c r="O66" i="15" s="1"/>
  <c r="D65" i="15" l="1"/>
  <c r="R75" i="15"/>
  <c r="T76" i="15" s="1"/>
  <c r="M66" i="15"/>
  <c r="O67" i="15" s="1"/>
  <c r="Q75" i="15" l="1"/>
  <c r="J67" i="15"/>
  <c r="C67" i="15" s="1"/>
  <c r="J66" i="15"/>
  <c r="C66" i="15" s="1"/>
  <c r="L66" i="15"/>
  <c r="R76" i="15"/>
  <c r="T77" i="15" s="1"/>
  <c r="F65" i="15"/>
  <c r="L67" i="15" l="1"/>
  <c r="Q76" i="15"/>
  <c r="R77" i="15"/>
  <c r="T78" i="15" s="1"/>
  <c r="G67" i="15"/>
  <c r="B67" i="15"/>
  <c r="B66" i="15"/>
  <c r="E65" i="15"/>
  <c r="M67" i="15"/>
  <c r="O68" i="15" s="1"/>
  <c r="Q77" i="15" l="1"/>
  <c r="R78" i="15"/>
  <c r="T79" i="15" s="1"/>
  <c r="G66" i="15"/>
  <c r="D66" i="15"/>
  <c r="Q78" i="15" l="1"/>
  <c r="R79" i="15"/>
  <c r="T80" i="15" s="1"/>
  <c r="J68" i="15"/>
  <c r="C68" i="15" s="1"/>
  <c r="L68" i="15"/>
  <c r="M68" i="15"/>
  <c r="O69" i="15" s="1"/>
  <c r="D67" i="15"/>
  <c r="F66" i="15"/>
  <c r="Q79" i="15" l="1"/>
  <c r="R80" i="15"/>
  <c r="T81" i="15" s="1"/>
  <c r="F67" i="15"/>
  <c r="E66" i="15"/>
  <c r="J69" i="15"/>
  <c r="C69" i="15" s="1"/>
  <c r="G68" i="15"/>
  <c r="B68" i="15"/>
  <c r="Q80" i="15" l="1"/>
  <c r="R81" i="15"/>
  <c r="T82" i="15" s="1"/>
  <c r="L69" i="15"/>
  <c r="G69" i="15"/>
  <c r="B69" i="15"/>
  <c r="M69" i="15"/>
  <c r="O70" i="15" s="1"/>
  <c r="E67" i="15"/>
  <c r="D68" i="15"/>
  <c r="F68" i="15" s="1"/>
  <c r="Q81" i="15" l="1"/>
  <c r="R82" i="15"/>
  <c r="T83" i="15" s="1"/>
  <c r="E68" i="15"/>
  <c r="J70" i="15"/>
  <c r="C70" i="15" s="1"/>
  <c r="D69" i="15"/>
  <c r="F69" i="15" s="1"/>
  <c r="R83" i="15" l="1"/>
  <c r="G70" i="15"/>
  <c r="B70" i="15"/>
  <c r="L70" i="15"/>
  <c r="M70" i="15"/>
  <c r="O71" i="15" s="1"/>
  <c r="E69" i="15"/>
  <c r="Q82" i="15"/>
  <c r="J71" i="15" l="1"/>
  <c r="C71" i="15" s="1"/>
  <c r="D70" i="15"/>
  <c r="Q83" i="15"/>
  <c r="T84" i="15" s="1"/>
  <c r="F70" i="15" l="1"/>
  <c r="R84" i="15"/>
  <c r="L71" i="15"/>
  <c r="O72" i="15" s="1"/>
  <c r="G71" i="15"/>
  <c r="B71" i="15"/>
  <c r="M71" i="15"/>
  <c r="J72" i="15" l="1"/>
  <c r="C72" i="15" s="1"/>
  <c r="Q84" i="15"/>
  <c r="T85" i="15" s="1"/>
  <c r="E70" i="15"/>
  <c r="D71" i="15"/>
  <c r="F71" i="15" s="1"/>
  <c r="E71" i="15" l="1"/>
  <c r="R85" i="15"/>
  <c r="G72" i="15"/>
  <c r="B72" i="15"/>
  <c r="L72" i="15"/>
  <c r="O73" i="15" s="1"/>
  <c r="M72" i="15"/>
  <c r="J73" i="15" l="1"/>
  <c r="C73" i="15" s="1"/>
  <c r="Q85" i="15"/>
  <c r="T86" i="15" s="1"/>
  <c r="D72" i="15"/>
  <c r="M73" i="15" l="1"/>
  <c r="G73" i="15"/>
  <c r="B73" i="15"/>
  <c r="D73" i="15"/>
  <c r="F72" i="15"/>
  <c r="R86" i="15"/>
  <c r="L73" i="15"/>
  <c r="O74" i="15" s="1"/>
  <c r="F73" i="15" l="1"/>
  <c r="E72" i="15"/>
  <c r="L74" i="15"/>
  <c r="Q86" i="15"/>
  <c r="T87" i="15" s="1"/>
  <c r="R87" i="15" l="1"/>
  <c r="J74" i="15"/>
  <c r="C74" i="15" s="1"/>
  <c r="M74" i="15"/>
  <c r="O75" i="15" s="1"/>
  <c r="E73" i="15"/>
  <c r="B74" i="15" l="1"/>
  <c r="Q87" i="15"/>
  <c r="T88" i="15" s="1"/>
  <c r="R88" i="15" l="1"/>
  <c r="T89" i="15" s="1"/>
  <c r="G74" i="15"/>
  <c r="D74" i="15"/>
  <c r="J75" i="15"/>
  <c r="C75" i="15" s="1"/>
  <c r="L75" i="15"/>
  <c r="M75" i="15"/>
  <c r="O76" i="15" s="1"/>
  <c r="J76" i="15" l="1"/>
  <c r="C76" i="15" s="1"/>
  <c r="G75" i="15"/>
  <c r="B75" i="15"/>
  <c r="D75" i="15"/>
  <c r="F74" i="15"/>
  <c r="R89" i="15"/>
  <c r="T90" i="15" s="1"/>
  <c r="Q88" i="15"/>
  <c r="Q89" i="15" l="1"/>
  <c r="F75" i="15"/>
  <c r="E74" i="15"/>
  <c r="G76" i="15"/>
  <c r="B76" i="15"/>
  <c r="M76" i="15"/>
  <c r="L76" i="15"/>
  <c r="O77" i="15" s="1"/>
  <c r="Q90" i="15" l="1"/>
  <c r="J77" i="15"/>
  <c r="C77" i="15" s="1"/>
  <c r="R90" i="15"/>
  <c r="T91" i="15" s="1"/>
  <c r="D76" i="15"/>
  <c r="F76" i="15" s="1"/>
  <c r="E75" i="15"/>
  <c r="Q91" i="15" l="1"/>
  <c r="L77" i="15"/>
  <c r="O78" i="15" s="1"/>
  <c r="E76" i="15"/>
  <c r="G77" i="15"/>
  <c r="B77" i="15"/>
  <c r="M77" i="15"/>
  <c r="J78" i="15" l="1"/>
  <c r="C78" i="15" s="1"/>
  <c r="R91" i="15"/>
  <c r="T92" i="15" s="1"/>
  <c r="D77" i="15"/>
  <c r="M78" i="15" l="1"/>
  <c r="B78" i="15"/>
  <c r="G78" i="15"/>
  <c r="F77" i="15"/>
  <c r="Q92" i="15"/>
  <c r="L78" i="15"/>
  <c r="O79" i="15" s="1"/>
  <c r="D78" i="15" l="1"/>
  <c r="F78" i="15" s="1"/>
  <c r="E77" i="15"/>
  <c r="L79" i="15"/>
  <c r="O80" i="15" s="1"/>
  <c r="R92" i="15"/>
  <c r="T93" i="15" s="1"/>
  <c r="J80" i="15" l="1"/>
  <c r="C80" i="15" s="1"/>
  <c r="Q93" i="15"/>
  <c r="J79" i="15"/>
  <c r="C79" i="15" s="1"/>
  <c r="M79" i="15"/>
  <c r="E78" i="15"/>
  <c r="M80" i="15" l="1"/>
  <c r="B79" i="15"/>
  <c r="R93" i="15"/>
  <c r="T94" i="15" s="1"/>
  <c r="B80" i="15"/>
  <c r="G80" i="15"/>
  <c r="L80" i="15"/>
  <c r="O81" i="15" s="1"/>
  <c r="G79" i="15" l="1"/>
  <c r="D79" i="15"/>
  <c r="Q94" i="15"/>
  <c r="D80" i="15" l="1"/>
  <c r="F79" i="15"/>
  <c r="R94" i="15"/>
  <c r="T95" i="15" s="1"/>
  <c r="J81" i="15"/>
  <c r="C81" i="15" s="1"/>
  <c r="M81" i="15"/>
  <c r="L81" i="15"/>
  <c r="O82" i="15" s="1"/>
  <c r="B81" i="15" l="1"/>
  <c r="G81" i="15"/>
  <c r="E79" i="15"/>
  <c r="F80" i="15"/>
  <c r="J82" i="15"/>
  <c r="C82" i="15" s="1"/>
  <c r="Q95" i="15"/>
  <c r="T96" i="15" s="1"/>
  <c r="R95" i="15" l="1"/>
  <c r="M82" i="15"/>
  <c r="D81" i="15"/>
  <c r="D82" i="15" s="1"/>
  <c r="E80" i="15"/>
  <c r="B82" i="15"/>
  <c r="G82" i="15"/>
  <c r="L82" i="15"/>
  <c r="O83" i="15" s="1"/>
  <c r="R96" i="15" l="1"/>
  <c r="F81" i="15"/>
  <c r="E81" i="15" s="1"/>
  <c r="Q96" i="15"/>
  <c r="T97" i="15" l="1"/>
  <c r="R97" i="15" s="1"/>
  <c r="F82" i="15"/>
  <c r="E82" i="15" s="1"/>
  <c r="J83" i="15"/>
  <c r="C83" i="15" s="1"/>
  <c r="M83" i="15"/>
  <c r="O84" i="15" s="1"/>
  <c r="L83" i="15"/>
  <c r="Q97" i="15" l="1"/>
  <c r="T98" i="15" s="1"/>
  <c r="B83" i="15"/>
  <c r="J84" i="15"/>
  <c r="C84" i="15" s="1"/>
  <c r="R98" i="15" l="1"/>
  <c r="T99" i="15" s="1"/>
  <c r="R99" i="15" s="1"/>
  <c r="T100" i="15" s="1"/>
  <c r="R100" i="15" s="1"/>
  <c r="T101" i="15" s="1"/>
  <c r="Q98" i="15"/>
  <c r="L84" i="15"/>
  <c r="M84" i="15"/>
  <c r="O85" i="15" s="1"/>
  <c r="G83" i="15"/>
  <c r="D83" i="15"/>
  <c r="B84" i="15"/>
  <c r="G84" i="15"/>
  <c r="Q99" i="15" l="1"/>
  <c r="R101" i="15"/>
  <c r="T102" i="15" s="1"/>
  <c r="D84" i="15"/>
  <c r="F83" i="15"/>
  <c r="M85" i="15"/>
  <c r="O86" i="15" s="1"/>
  <c r="Q100" i="15"/>
  <c r="Q101" i="15" l="1"/>
  <c r="J86" i="15"/>
  <c r="C86" i="15" s="1"/>
  <c r="R102" i="15"/>
  <c r="T103" i="15" s="1"/>
  <c r="E83" i="15"/>
  <c r="F84" i="15"/>
  <c r="J85" i="15"/>
  <c r="C85" i="15" s="1"/>
  <c r="L85" i="15"/>
  <c r="Q102" i="15" l="1"/>
  <c r="R103" i="15"/>
  <c r="T104" i="15" s="1"/>
  <c r="E84" i="15"/>
  <c r="B85" i="15"/>
  <c r="B86" i="15"/>
  <c r="G86" i="15"/>
  <c r="L86" i="15"/>
  <c r="O87" i="15" s="1"/>
  <c r="M86" i="15"/>
  <c r="Q103" i="15" l="1"/>
  <c r="R104" i="15"/>
  <c r="T105" i="15" s="1"/>
  <c r="G85" i="15"/>
  <c r="D85" i="15"/>
  <c r="J87" i="15"/>
  <c r="C87" i="15" s="1"/>
  <c r="Q104" i="15" l="1"/>
  <c r="R105" i="15"/>
  <c r="T106" i="15" s="1"/>
  <c r="B87" i="15"/>
  <c r="G87" i="15"/>
  <c r="D86" i="15"/>
  <c r="D87" i="15" s="1"/>
  <c r="F85" i="15"/>
  <c r="L87" i="15"/>
  <c r="O88" i="15" s="1"/>
  <c r="M87" i="15"/>
  <c r="Q105" i="15" l="1"/>
  <c r="R106" i="15"/>
  <c r="T107" i="15" s="1"/>
  <c r="J88" i="15"/>
  <c r="C88" i="15" s="1"/>
  <c r="E85" i="15"/>
  <c r="F86" i="15"/>
  <c r="Q106" i="15" l="1"/>
  <c r="R107" i="15"/>
  <c r="T108" i="15" s="1"/>
  <c r="L88" i="15"/>
  <c r="O89" i="15" s="1"/>
  <c r="E86" i="15"/>
  <c r="F87" i="15"/>
  <c r="B88" i="15"/>
  <c r="M88" i="15"/>
  <c r="Q107" i="15" l="1"/>
  <c r="R108" i="15"/>
  <c r="T109" i="15" s="1"/>
  <c r="G88" i="15"/>
  <c r="D88" i="15"/>
  <c r="F88" i="15" s="1"/>
  <c r="J89" i="15"/>
  <c r="C89" i="15" s="1"/>
  <c r="E87" i="15"/>
  <c r="R109" i="15" l="1"/>
  <c r="T110" i="15" s="1"/>
  <c r="L89" i="15"/>
  <c r="E88" i="15"/>
  <c r="B89" i="15"/>
  <c r="G89" i="15"/>
  <c r="M89" i="15"/>
  <c r="O90" i="15" s="1"/>
  <c r="Q108" i="15"/>
  <c r="Q109" i="15" l="1"/>
  <c r="R110" i="15"/>
  <c r="T111" i="15" s="1"/>
  <c r="D89" i="15"/>
  <c r="J90" i="15"/>
  <c r="C90" i="15" s="1"/>
  <c r="Q110" i="15" l="1"/>
  <c r="R111" i="15"/>
  <c r="T112" i="15" s="1"/>
  <c r="M90" i="15"/>
  <c r="L90" i="15"/>
  <c r="O91" i="15" s="1"/>
  <c r="B90" i="15"/>
  <c r="G90" i="15"/>
  <c r="D90" i="15"/>
  <c r="F89" i="15"/>
  <c r="R112" i="15" l="1"/>
  <c r="T113" i="15" s="1"/>
  <c r="J91" i="15"/>
  <c r="C91" i="15" s="1"/>
  <c r="Q111" i="15"/>
  <c r="E89" i="15"/>
  <c r="F90" i="15"/>
  <c r="Q112" i="15" l="1"/>
  <c r="M91" i="15"/>
  <c r="R113" i="15"/>
  <c r="T114" i="15" s="1"/>
  <c r="L91" i="15"/>
  <c r="O92" i="15" s="1"/>
  <c r="B91" i="15"/>
  <c r="E90" i="15"/>
  <c r="Q113" i="15" l="1"/>
  <c r="R114" i="15"/>
  <c r="T115" i="15" s="1"/>
  <c r="G91" i="15"/>
  <c r="D91" i="15"/>
  <c r="Q114" i="15" l="1"/>
  <c r="R115" i="15"/>
  <c r="T116" i="15" s="1"/>
  <c r="F91" i="15"/>
  <c r="J92" i="15"/>
  <c r="C92" i="15" s="1"/>
  <c r="M92" i="15"/>
  <c r="L92" i="15"/>
  <c r="O93" i="15" s="1"/>
  <c r="Q115" i="15" l="1"/>
  <c r="R116" i="15"/>
  <c r="T117" i="15" s="1"/>
  <c r="J93" i="15"/>
  <c r="C93" i="15" s="1"/>
  <c r="E91" i="15"/>
  <c r="B92" i="15"/>
  <c r="Q116" i="15" l="1"/>
  <c r="M93" i="15"/>
  <c r="G93" i="15"/>
  <c r="B93" i="15"/>
  <c r="L93" i="15"/>
  <c r="O94" i="15" s="1"/>
  <c r="G92" i="15"/>
  <c r="D92" i="15"/>
  <c r="Q117" i="15" l="1"/>
  <c r="R117" i="15"/>
  <c r="T118" i="15" s="1"/>
  <c r="D93" i="15"/>
  <c r="F92" i="15"/>
  <c r="E92" i="15" l="1"/>
  <c r="F93" i="15"/>
  <c r="Q118" i="15"/>
  <c r="J94" i="15"/>
  <c r="C94" i="15" s="1"/>
  <c r="M94" i="15"/>
  <c r="O95" i="15" s="1"/>
  <c r="L94" i="15"/>
  <c r="J95" i="15" l="1"/>
  <c r="C95" i="15" s="1"/>
  <c r="B94" i="15"/>
  <c r="E93" i="15"/>
  <c r="R118" i="15"/>
  <c r="T119" i="15" s="1"/>
  <c r="L95" i="15" l="1"/>
  <c r="G94" i="15"/>
  <c r="D94" i="15"/>
  <c r="G95" i="15"/>
  <c r="B95" i="15"/>
  <c r="Q119" i="15"/>
  <c r="M95" i="15"/>
  <c r="O96" i="15" s="1"/>
  <c r="R119" i="15" l="1"/>
  <c r="T120" i="15" s="1"/>
  <c r="D95" i="15"/>
  <c r="F94" i="15"/>
  <c r="E94" i="15" l="1"/>
  <c r="F95" i="15"/>
  <c r="Q120" i="15"/>
  <c r="J96" i="15"/>
  <c r="C96" i="15" s="1"/>
  <c r="L96" i="15"/>
  <c r="M96" i="15"/>
  <c r="O97" i="15" s="1"/>
  <c r="J97" i="15" l="1"/>
  <c r="C97" i="15" s="1"/>
  <c r="B96" i="15"/>
  <c r="E95" i="15"/>
  <c r="R120" i="15"/>
  <c r="T121" i="15" s="1"/>
  <c r="G97" i="15" l="1"/>
  <c r="B97" i="15"/>
  <c r="G96" i="15"/>
  <c r="D96" i="15"/>
  <c r="M97" i="15"/>
  <c r="O98" i="15" s="1"/>
  <c r="Q121" i="15"/>
  <c r="L97" i="15"/>
  <c r="R121" i="15" l="1"/>
  <c r="T122" i="15" s="1"/>
  <c r="D97" i="15"/>
  <c r="F96" i="15"/>
  <c r="J98" i="15"/>
  <c r="C98" i="15" s="1"/>
  <c r="R122" i="15" l="1"/>
  <c r="Q122" i="15"/>
  <c r="E96" i="15"/>
  <c r="F97" i="15"/>
  <c r="L98" i="15"/>
  <c r="O99" i="15" s="1"/>
  <c r="G98" i="15"/>
  <c r="B98" i="15"/>
  <c r="M98" i="15"/>
  <c r="T123" i="15" l="1"/>
  <c r="R123" i="15" s="1"/>
  <c r="E97" i="15"/>
  <c r="J99" i="15"/>
  <c r="C99" i="15" s="1"/>
  <c r="D98" i="15"/>
  <c r="Q123" i="15" l="1"/>
  <c r="T124" i="15"/>
  <c r="R124" i="15" s="1"/>
  <c r="T125" i="15" s="1"/>
  <c r="G99" i="15"/>
  <c r="B99" i="15"/>
  <c r="L99" i="15"/>
  <c r="O100" i="15" s="1"/>
  <c r="F98" i="15"/>
  <c r="M99" i="15"/>
  <c r="Q124" i="15" l="1"/>
  <c r="Q125" i="15" s="1"/>
  <c r="T126" i="15" s="1"/>
  <c r="D99" i="15"/>
  <c r="F99" i="15" s="1"/>
  <c r="J100" i="15"/>
  <c r="C100" i="15" s="1"/>
  <c r="E98" i="15"/>
  <c r="R125" i="15"/>
  <c r="Q126" i="15" l="1"/>
  <c r="T127" i="15" s="1"/>
  <c r="R126" i="15"/>
  <c r="E99" i="15"/>
  <c r="L100" i="15"/>
  <c r="O101" i="15" s="1"/>
  <c r="B100" i="15"/>
  <c r="M100" i="15"/>
  <c r="Q127" i="15" l="1"/>
  <c r="R127" i="15"/>
  <c r="G100" i="15"/>
  <c r="D100" i="15"/>
  <c r="J101" i="15"/>
  <c r="C101" i="15" s="1"/>
  <c r="T128" i="15" l="1"/>
  <c r="Q128" i="15" s="1"/>
  <c r="L101" i="15"/>
  <c r="O102" i="15" s="1"/>
  <c r="F100" i="15"/>
  <c r="B101" i="15"/>
  <c r="G101" i="15"/>
  <c r="M101" i="15"/>
  <c r="R128" i="15" l="1"/>
  <c r="T129" i="15" s="1"/>
  <c r="Q129" i="15" s="1"/>
  <c r="J102" i="15"/>
  <c r="E100" i="15"/>
  <c r="D101" i="15"/>
  <c r="L102" i="15"/>
  <c r="O103" i="15" s="1"/>
  <c r="C102" i="15" l="1"/>
  <c r="G102" i="15" s="1"/>
  <c r="B102" i="15"/>
  <c r="M102" i="15"/>
  <c r="J103" i="15"/>
  <c r="C103" i="15" s="1"/>
  <c r="F101" i="15"/>
  <c r="R129" i="15"/>
  <c r="T130" i="15" s="1"/>
  <c r="D102" i="15" l="1"/>
  <c r="F102" i="15" s="1"/>
  <c r="M103" i="15"/>
  <c r="Q130" i="15"/>
  <c r="E101" i="15"/>
  <c r="B103" i="15"/>
  <c r="G103" i="15"/>
  <c r="L103" i="15"/>
  <c r="O104" i="15" s="1"/>
  <c r="D103" i="15" l="1"/>
  <c r="F103" i="15" s="1"/>
  <c r="R130" i="15"/>
  <c r="T131" i="15" s="1"/>
  <c r="E102" i="15"/>
  <c r="J104" i="15" l="1"/>
  <c r="C104" i="15" s="1"/>
  <c r="M104" i="15"/>
  <c r="L104" i="15"/>
  <c r="O105" i="15" s="1"/>
  <c r="E103" i="15"/>
  <c r="Q131" i="15"/>
  <c r="T132" i="15" s="1"/>
  <c r="Q132" i="15" l="1"/>
  <c r="T133" i="15" s="1"/>
  <c r="J105" i="15"/>
  <c r="C105" i="15" s="1"/>
  <c r="R131" i="15"/>
  <c r="B104" i="15"/>
  <c r="R132" i="15" l="1"/>
  <c r="Q133" i="15"/>
  <c r="T134" i="15" s="1"/>
  <c r="M105" i="15"/>
  <c r="L105" i="15"/>
  <c r="O106" i="15" s="1"/>
  <c r="G104" i="15"/>
  <c r="D104" i="15"/>
  <c r="B105" i="15"/>
  <c r="G105" i="15"/>
  <c r="R133" i="15" l="1"/>
  <c r="Q134" i="15"/>
  <c r="T135" i="15" s="1"/>
  <c r="D105" i="15"/>
  <c r="F104" i="15"/>
  <c r="J106" i="15"/>
  <c r="C106" i="15" s="1"/>
  <c r="Q135" i="15" l="1"/>
  <c r="E104" i="15"/>
  <c r="F105" i="15"/>
  <c r="R134" i="15"/>
  <c r="M106" i="15"/>
  <c r="O107" i="15" s="1"/>
  <c r="B106" i="15"/>
  <c r="G106" i="15"/>
  <c r="L106" i="15"/>
  <c r="R135" i="15" l="1"/>
  <c r="D106" i="15"/>
  <c r="F106" i="15" s="1"/>
  <c r="E105" i="15"/>
  <c r="J107" i="15"/>
  <c r="C107" i="15" s="1"/>
  <c r="T136" i="15" l="1"/>
  <c r="Q136" i="15" s="1"/>
  <c r="L107" i="15"/>
  <c r="O108" i="15" s="1"/>
  <c r="M107" i="15"/>
  <c r="E106" i="15"/>
  <c r="B107" i="15"/>
  <c r="R136" i="15" l="1"/>
  <c r="T137" i="15" s="1"/>
  <c r="Q137" i="15" s="1"/>
  <c r="J108" i="15"/>
  <c r="G107" i="15"/>
  <c r="D107" i="15"/>
  <c r="C108" i="15" l="1"/>
  <c r="G108" i="15" s="1"/>
  <c r="B108" i="15"/>
  <c r="M108" i="15"/>
  <c r="L108" i="15"/>
  <c r="O109" i="15" s="1"/>
  <c r="J109" i="15" s="1"/>
  <c r="C109" i="15" s="1"/>
  <c r="R137" i="15"/>
  <c r="F107" i="15"/>
  <c r="D108" i="15" l="1"/>
  <c r="F108" i="15" s="1"/>
  <c r="T138" i="15"/>
  <c r="R138" i="15" s="1"/>
  <c r="B109" i="15"/>
  <c r="G109" i="15"/>
  <c r="E107" i="15"/>
  <c r="L109" i="15"/>
  <c r="M109" i="15"/>
  <c r="O110" i="15" s="1"/>
  <c r="Q138" i="15" l="1"/>
  <c r="E108" i="15"/>
  <c r="D109" i="15"/>
  <c r="F109" i="15" s="1"/>
  <c r="J110" i="15"/>
  <c r="C110" i="15" s="1"/>
  <c r="T139" i="15" l="1"/>
  <c r="Q139" i="15" s="1"/>
  <c r="T140" i="15" s="1"/>
  <c r="E109" i="15"/>
  <c r="M110" i="15"/>
  <c r="O111" i="15" s="1"/>
  <c r="B110" i="15"/>
  <c r="G110" i="15"/>
  <c r="D110" i="15"/>
  <c r="L110" i="15"/>
  <c r="R139" i="15" l="1"/>
  <c r="R140" i="15" s="1"/>
  <c r="Q140" i="15"/>
  <c r="T141" i="15" s="1"/>
  <c r="J111" i="15"/>
  <c r="C111" i="15" s="1"/>
  <c r="F110" i="15"/>
  <c r="B111" i="15" l="1"/>
  <c r="E110" i="15"/>
  <c r="L111" i="15"/>
  <c r="M111" i="15"/>
  <c r="O112" i="15" s="1"/>
  <c r="R141" i="15"/>
  <c r="Q141" i="15" l="1"/>
  <c r="T142" i="15" s="1"/>
  <c r="G111" i="15"/>
  <c r="D111" i="15"/>
  <c r="J112" i="15"/>
  <c r="C112" i="15" s="1"/>
  <c r="B112" i="15" l="1"/>
  <c r="G112" i="15"/>
  <c r="F111" i="15"/>
  <c r="M112" i="15"/>
  <c r="O113" i="15" s="1"/>
  <c r="L112" i="15"/>
  <c r="R142" i="15"/>
  <c r="T143" i="15" s="1"/>
  <c r="D112" i="15" l="1"/>
  <c r="F112" i="15" s="1"/>
  <c r="R143" i="15"/>
  <c r="T144" i="15" s="1"/>
  <c r="E111" i="15"/>
  <c r="Q142" i="15"/>
  <c r="J113" i="15"/>
  <c r="C113" i="15" s="1"/>
  <c r="Q143" i="15" l="1"/>
  <c r="L113" i="15"/>
  <c r="O114" i="15" s="1"/>
  <c r="M113" i="15"/>
  <c r="R144" i="15"/>
  <c r="T145" i="15" s="1"/>
  <c r="E112" i="15"/>
  <c r="B113" i="15"/>
  <c r="J114" i="15" l="1"/>
  <c r="Q144" i="15"/>
  <c r="R145" i="15"/>
  <c r="T146" i="15" s="1"/>
  <c r="M114" i="15"/>
  <c r="G113" i="15"/>
  <c r="D113" i="15"/>
  <c r="L114" i="15"/>
  <c r="O115" i="15" s="1"/>
  <c r="C114" i="15" l="1"/>
  <c r="G114" i="15" s="1"/>
  <c r="B114" i="15"/>
  <c r="R146" i="15"/>
  <c r="T147" i="15" s="1"/>
  <c r="F113" i="15"/>
  <c r="Q145" i="15"/>
  <c r="J115" i="15"/>
  <c r="C115" i="15" s="1"/>
  <c r="D114" i="15" l="1"/>
  <c r="F114" i="15" s="1"/>
  <c r="Q146" i="15"/>
  <c r="R147" i="15"/>
  <c r="T148" i="15" s="1"/>
  <c r="E113" i="15"/>
  <c r="B115" i="15"/>
  <c r="G115" i="15"/>
  <c r="L115" i="15"/>
  <c r="O116" i="15" s="1"/>
  <c r="M115" i="15"/>
  <c r="R148" i="15" l="1"/>
  <c r="T149" i="15" s="1"/>
  <c r="E114" i="15"/>
  <c r="D115" i="15"/>
  <c r="J116" i="15"/>
  <c r="C116" i="15" s="1"/>
  <c r="Q147" i="15"/>
  <c r="Q148" i="15" l="1"/>
  <c r="R149" i="15"/>
  <c r="T150" i="15" s="1"/>
  <c r="F115" i="15"/>
  <c r="G116" i="15"/>
  <c r="B116" i="15"/>
  <c r="L116" i="15"/>
  <c r="O117" i="15" s="1"/>
  <c r="M116" i="15"/>
  <c r="R150" i="15" l="1"/>
  <c r="T151" i="15" s="1"/>
  <c r="J117" i="15"/>
  <c r="C117" i="15" s="1"/>
  <c r="D116" i="15"/>
  <c r="F116" i="15" s="1"/>
  <c r="E115" i="15"/>
  <c r="Q149" i="15"/>
  <c r="Q150" i="15" l="1"/>
  <c r="R151" i="15"/>
  <c r="T152" i="15" s="1"/>
  <c r="D117" i="15"/>
  <c r="F117" i="15" s="1"/>
  <c r="G117" i="15"/>
  <c r="B117" i="15"/>
  <c r="L117" i="15"/>
  <c r="O118" i="15" s="1"/>
  <c r="E116" i="15"/>
  <c r="M117" i="15"/>
  <c r="R152" i="15" l="1"/>
  <c r="T153" i="15" s="1"/>
  <c r="J118" i="15"/>
  <c r="C118" i="15" s="1"/>
  <c r="E117" i="15"/>
  <c r="Q151" i="15"/>
  <c r="Q152" i="15" l="1"/>
  <c r="R153" i="15"/>
  <c r="B118" i="15"/>
  <c r="L118" i="15"/>
  <c r="M118" i="15"/>
  <c r="O119" i="15" s="1"/>
  <c r="Q153" i="15" l="1"/>
  <c r="J119" i="15"/>
  <c r="C119" i="15" s="1"/>
  <c r="G118" i="15"/>
  <c r="D118" i="15"/>
  <c r="T154" i="15" l="1"/>
  <c r="R154" i="15" s="1"/>
  <c r="L119" i="15"/>
  <c r="F118" i="15"/>
  <c r="B119" i="15"/>
  <c r="G119" i="15"/>
  <c r="M119" i="15"/>
  <c r="O120" i="15" s="1"/>
  <c r="Q154" i="15" l="1"/>
  <c r="T155" i="15" s="1"/>
  <c r="R155" i="15" s="1"/>
  <c r="M120" i="15"/>
  <c r="E118" i="15"/>
  <c r="D119" i="15"/>
  <c r="F119" i="15" l="1"/>
  <c r="J120" i="15"/>
  <c r="C120" i="15" s="1"/>
  <c r="L120" i="15"/>
  <c r="O121" i="15" s="1"/>
  <c r="Q155" i="15"/>
  <c r="T156" i="15" s="1"/>
  <c r="E119" i="15" l="1"/>
  <c r="L121" i="15"/>
  <c r="O122" i="15" s="1"/>
  <c r="B120" i="15"/>
  <c r="R156" i="15"/>
  <c r="J122" i="15" l="1"/>
  <c r="C122" i="15" s="1"/>
  <c r="G120" i="15"/>
  <c r="D120" i="15"/>
  <c r="Q156" i="15"/>
  <c r="T157" i="15" s="1"/>
  <c r="J121" i="15"/>
  <c r="C121" i="15" s="1"/>
  <c r="M121" i="15"/>
  <c r="M122" i="15" l="1"/>
  <c r="R157" i="15"/>
  <c r="B122" i="15"/>
  <c r="G122" i="15"/>
  <c r="B121" i="15"/>
  <c r="G121" i="15"/>
  <c r="D121" i="15"/>
  <c r="D122" i="15" s="1"/>
  <c r="F120" i="15"/>
  <c r="L122" i="15"/>
  <c r="O123" i="15" s="1"/>
  <c r="L123" i="15" l="1"/>
  <c r="O124" i="15" s="1"/>
  <c r="Q157" i="15"/>
  <c r="T158" i="15" s="1"/>
  <c r="F121" i="15"/>
  <c r="E120" i="15"/>
  <c r="J124" i="15" l="1"/>
  <c r="C124" i="15" s="1"/>
  <c r="R158" i="15"/>
  <c r="F122" i="15"/>
  <c r="E121" i="15"/>
  <c r="J123" i="15"/>
  <c r="C123" i="15" s="1"/>
  <c r="M123" i="15"/>
  <c r="M124" i="15" l="1"/>
  <c r="O125" i="15" s="1"/>
  <c r="B123" i="15"/>
  <c r="E122" i="15"/>
  <c r="Q158" i="15"/>
  <c r="T159" i="15" s="1"/>
  <c r="B124" i="15"/>
  <c r="G124" i="15"/>
  <c r="L124" i="15"/>
  <c r="J125" i="15" l="1"/>
  <c r="R159" i="15"/>
  <c r="G123" i="15"/>
  <c r="D123" i="15"/>
  <c r="C125" i="15" l="1"/>
  <c r="G125" i="15" s="1"/>
  <c r="B125" i="15"/>
  <c r="M125" i="15"/>
  <c r="L125" i="15"/>
  <c r="Q159" i="15"/>
  <c r="T160" i="15" s="1"/>
  <c r="D124" i="15"/>
  <c r="F123" i="15"/>
  <c r="D125" i="15" l="1"/>
  <c r="O126" i="15"/>
  <c r="L126" i="15" s="1"/>
  <c r="F124" i="15"/>
  <c r="E123" i="15"/>
  <c r="R160" i="15"/>
  <c r="M126" i="15" l="1"/>
  <c r="O127" i="15" s="1"/>
  <c r="J127" i="15" s="1"/>
  <c r="C127" i="15" s="1"/>
  <c r="J126" i="15"/>
  <c r="F125" i="15"/>
  <c r="E124" i="15"/>
  <c r="Q160" i="15"/>
  <c r="T161" i="15" s="1"/>
  <c r="M127" i="15" l="1"/>
  <c r="L127" i="15"/>
  <c r="O128" i="15" s="1"/>
  <c r="C126" i="15"/>
  <c r="B126" i="15"/>
  <c r="R161" i="15"/>
  <c r="J128" i="15"/>
  <c r="C128" i="15" s="1"/>
  <c r="B127" i="15"/>
  <c r="E125" i="15"/>
  <c r="G126" i="15" l="1"/>
  <c r="D126" i="15"/>
  <c r="F126" i="15" s="1"/>
  <c r="E126" i="15" s="1"/>
  <c r="B128" i="15"/>
  <c r="G128" i="15"/>
  <c r="L128" i="15"/>
  <c r="O129" i="15" s="1"/>
  <c r="G127" i="15"/>
  <c r="Q161" i="15"/>
  <c r="T162" i="15" s="1"/>
  <c r="M128" i="15"/>
  <c r="D127" i="15" l="1"/>
  <c r="D128" i="15" s="1"/>
  <c r="J129" i="15"/>
  <c r="C129" i="15" s="1"/>
  <c r="R162" i="15"/>
  <c r="T163" i="15" s="1"/>
  <c r="F127" i="15" l="1"/>
  <c r="E127" i="15" s="1"/>
  <c r="M129" i="15"/>
  <c r="O130" i="15" s="1"/>
  <c r="R163" i="15"/>
  <c r="T164" i="15" s="1"/>
  <c r="Q162" i="15"/>
  <c r="B129" i="15"/>
  <c r="L129" i="15"/>
  <c r="F128" i="15" l="1"/>
  <c r="E128" i="15" s="1"/>
  <c r="J130" i="15"/>
  <c r="Q163" i="15"/>
  <c r="R164" i="15"/>
  <c r="L130" i="15"/>
  <c r="M130" i="15"/>
  <c r="O131" i="15" s="1"/>
  <c r="G129" i="15"/>
  <c r="D129" i="15"/>
  <c r="F129" i="15" s="1"/>
  <c r="C130" i="15" l="1"/>
  <c r="G130" i="15" s="1"/>
  <c r="B130" i="15"/>
  <c r="Q164" i="15"/>
  <c r="J131" i="15"/>
  <c r="C131" i="15" s="1"/>
  <c r="E129" i="15"/>
  <c r="D130" i="15" l="1"/>
  <c r="F130" i="15" s="1"/>
  <c r="E130" i="15" s="1"/>
  <c r="T165" i="15"/>
  <c r="R165" i="15" s="1"/>
  <c r="L131" i="15"/>
  <c r="O132" i="15" s="1"/>
  <c r="M131" i="15"/>
  <c r="B131" i="15"/>
  <c r="G131" i="15"/>
  <c r="Q165" i="15" l="1"/>
  <c r="T166" i="15" s="1"/>
  <c r="R166" i="15" s="1"/>
  <c r="J132" i="15"/>
  <c r="C132" i="15" s="1"/>
  <c r="D131" i="15"/>
  <c r="M132" i="15" l="1"/>
  <c r="F131" i="15"/>
  <c r="Q166" i="15"/>
  <c r="T167" i="15" s="1"/>
  <c r="B132" i="15"/>
  <c r="G132" i="15"/>
  <c r="L132" i="15"/>
  <c r="O133" i="15" s="1"/>
  <c r="R167" i="15" l="1"/>
  <c r="E131" i="15"/>
  <c r="D132" i="15"/>
  <c r="F132" i="15" l="1"/>
  <c r="Q167" i="15"/>
  <c r="T168" i="15" s="1"/>
  <c r="J133" i="15"/>
  <c r="C133" i="15" s="1"/>
  <c r="M133" i="15"/>
  <c r="O134" i="15" s="1"/>
  <c r="L133" i="15"/>
  <c r="R168" i="15" l="1"/>
  <c r="J134" i="15"/>
  <c r="C134" i="15" s="1"/>
  <c r="B133" i="15"/>
  <c r="E132" i="15"/>
  <c r="B134" i="15" l="1"/>
  <c r="G134" i="15"/>
  <c r="G133" i="15"/>
  <c r="D133" i="15"/>
  <c r="M134" i="15"/>
  <c r="O135" i="15" s="1"/>
  <c r="L134" i="15"/>
  <c r="Q168" i="15"/>
  <c r="T169" i="15" s="1"/>
  <c r="D134" i="15" l="1"/>
  <c r="F133" i="15"/>
  <c r="R169" i="15"/>
  <c r="J135" i="15"/>
  <c r="C135" i="15" s="1"/>
  <c r="B135" i="15" l="1"/>
  <c r="G135" i="15"/>
  <c r="M135" i="15"/>
  <c r="O136" i="15" s="1"/>
  <c r="Q169" i="15"/>
  <c r="T170" i="15" s="1"/>
  <c r="F134" i="15"/>
  <c r="E133" i="15"/>
  <c r="D135" i="15"/>
  <c r="L135" i="15"/>
  <c r="F135" i="15" l="1"/>
  <c r="E134" i="15"/>
  <c r="J136" i="15"/>
  <c r="C136" i="15" s="1"/>
  <c r="R170" i="15"/>
  <c r="M136" i="15" l="1"/>
  <c r="O137" i="15" s="1"/>
  <c r="B136" i="15"/>
  <c r="Q170" i="15"/>
  <c r="T171" i="15" s="1"/>
  <c r="E135" i="15"/>
  <c r="L136" i="15"/>
  <c r="R171" i="15" l="1"/>
  <c r="T172" i="15" s="1"/>
  <c r="G136" i="15"/>
  <c r="D136" i="15"/>
  <c r="J137" i="15"/>
  <c r="C137" i="15" s="1"/>
  <c r="B137" i="15" l="1"/>
  <c r="G137" i="15"/>
  <c r="L137" i="15"/>
  <c r="M137" i="15"/>
  <c r="O138" i="15" s="1"/>
  <c r="D137" i="15"/>
  <c r="F136" i="15"/>
  <c r="R172" i="15"/>
  <c r="T173" i="15" s="1"/>
  <c r="Q171" i="15"/>
  <c r="R173" i="15" l="1"/>
  <c r="T174" i="15" s="1"/>
  <c r="F137" i="15"/>
  <c r="E136" i="15"/>
  <c r="J138" i="15"/>
  <c r="C138" i="15" s="1"/>
  <c r="Q172" i="15"/>
  <c r="L138" i="15" l="1"/>
  <c r="R174" i="15"/>
  <c r="E137" i="15"/>
  <c r="B138" i="15"/>
  <c r="M138" i="15"/>
  <c r="O139" i="15" s="1"/>
  <c r="Q173" i="15"/>
  <c r="G138" i="15" l="1"/>
  <c r="D138" i="15"/>
  <c r="Q174" i="15"/>
  <c r="T175" i="15" s="1"/>
  <c r="J139" i="15" l="1"/>
  <c r="C139" i="15" s="1"/>
  <c r="L139" i="15"/>
  <c r="R175" i="15"/>
  <c r="M139" i="15"/>
  <c r="O140" i="15" s="1"/>
  <c r="F138" i="15"/>
  <c r="E138" i="15" l="1"/>
  <c r="Q175" i="15"/>
  <c r="T176" i="15" s="1"/>
  <c r="J140" i="15"/>
  <c r="C140" i="15" s="1"/>
  <c r="B139" i="15"/>
  <c r="L140" i="15" l="1"/>
  <c r="O141" i="15" s="1"/>
  <c r="R176" i="15"/>
  <c r="T177" i="15" s="1"/>
  <c r="B140" i="15"/>
  <c r="G140" i="15"/>
  <c r="M140" i="15"/>
  <c r="G139" i="15"/>
  <c r="D139" i="15"/>
  <c r="D140" i="15" l="1"/>
  <c r="F139" i="15"/>
  <c r="R177" i="15"/>
  <c r="Q176" i="15"/>
  <c r="J141" i="15"/>
  <c r="C141" i="15" s="1"/>
  <c r="L141" i="15" l="1"/>
  <c r="B141" i="15"/>
  <c r="G141" i="15"/>
  <c r="Q177" i="15"/>
  <c r="T178" i="15" s="1"/>
  <c r="F140" i="15"/>
  <c r="E139" i="15"/>
  <c r="D141" i="15"/>
  <c r="M141" i="15"/>
  <c r="O142" i="15" s="1"/>
  <c r="R178" i="15" l="1"/>
  <c r="F141" i="15"/>
  <c r="E140" i="15"/>
  <c r="J142" i="15"/>
  <c r="C142" i="15" s="1"/>
  <c r="Q178" i="15" l="1"/>
  <c r="T179" i="15" s="1"/>
  <c r="R179" i="15" s="1"/>
  <c r="E141" i="15"/>
  <c r="B142" i="15"/>
  <c r="M142" i="15"/>
  <c r="O143" i="15" s="1"/>
  <c r="L142" i="15"/>
  <c r="Q179" i="15" l="1"/>
  <c r="J143" i="15"/>
  <c r="C143" i="15" s="1"/>
  <c r="G142" i="15"/>
  <c r="D142" i="15"/>
  <c r="T180" i="15" l="1"/>
  <c r="R180" i="15" s="1"/>
  <c r="L143" i="15"/>
  <c r="F142" i="15"/>
  <c r="B143" i="15"/>
  <c r="G143" i="15"/>
  <c r="M143" i="15"/>
  <c r="O144" i="15" s="1"/>
  <c r="Q180" i="15" l="1"/>
  <c r="T181" i="15" s="1"/>
  <c r="R181" i="15" s="1"/>
  <c r="E142" i="15"/>
  <c r="D143" i="15"/>
  <c r="F143" i="15" l="1"/>
  <c r="J144" i="15"/>
  <c r="C144" i="15" s="1"/>
  <c r="L144" i="15"/>
  <c r="M144" i="15"/>
  <c r="O145" i="15" s="1"/>
  <c r="Q181" i="15"/>
  <c r="T182" i="15" s="1"/>
  <c r="J145" i="15" l="1"/>
  <c r="C145" i="15" s="1"/>
  <c r="B144" i="15"/>
  <c r="R182" i="15"/>
  <c r="E143" i="15"/>
  <c r="L145" i="15" l="1"/>
  <c r="O146" i="15" s="1"/>
  <c r="Q182" i="15"/>
  <c r="T183" i="15" s="1"/>
  <c r="B145" i="15"/>
  <c r="G145" i="15"/>
  <c r="G144" i="15"/>
  <c r="D144" i="15"/>
  <c r="M145" i="15"/>
  <c r="J146" i="15" l="1"/>
  <c r="D145" i="15"/>
  <c r="F144" i="15"/>
  <c r="R183" i="15"/>
  <c r="C146" i="15" l="1"/>
  <c r="G146" i="15" s="1"/>
  <c r="B146" i="15"/>
  <c r="L146" i="15"/>
  <c r="M146" i="15"/>
  <c r="Q183" i="15"/>
  <c r="T184" i="15" s="1"/>
  <c r="E144" i="15"/>
  <c r="F145" i="15"/>
  <c r="D146" i="15" l="1"/>
  <c r="F146" i="15" s="1"/>
  <c r="O147" i="15"/>
  <c r="J147" i="15" s="1"/>
  <c r="E145" i="15"/>
  <c r="R184" i="15"/>
  <c r="L147" i="15" l="1"/>
  <c r="O148" i="15" s="1"/>
  <c r="J148" i="15" s="1"/>
  <c r="C148" i="15" s="1"/>
  <c r="M147" i="15"/>
  <c r="C147" i="15"/>
  <c r="B147" i="15"/>
  <c r="Q184" i="15"/>
  <c r="T185" i="15" s="1"/>
  <c r="E146" i="15"/>
  <c r="D147" i="15" l="1"/>
  <c r="F147" i="15" s="1"/>
  <c r="E147" i="15" s="1"/>
  <c r="G147" i="15"/>
  <c r="M148" i="15"/>
  <c r="B148" i="15"/>
  <c r="L148" i="15"/>
  <c r="O149" i="15" s="1"/>
  <c r="R185" i="15"/>
  <c r="T186" i="15" s="1"/>
  <c r="Q185" i="15" l="1"/>
  <c r="G148" i="15"/>
  <c r="D148" i="15"/>
  <c r="R186" i="15"/>
  <c r="J149" i="15"/>
  <c r="C149" i="15" s="1"/>
  <c r="B149" i="15" l="1"/>
  <c r="G149" i="15"/>
  <c r="L149" i="15"/>
  <c r="O150" i="15" s="1"/>
  <c r="D149" i="15"/>
  <c r="F148" i="15"/>
  <c r="M149" i="15"/>
  <c r="Q186" i="15"/>
  <c r="T187" i="15" s="1"/>
  <c r="R187" i="15" l="1"/>
  <c r="E148" i="15"/>
  <c r="F149" i="15"/>
  <c r="J150" i="15"/>
  <c r="C150" i="15" s="1"/>
  <c r="E149" i="15" l="1"/>
  <c r="M150" i="15"/>
  <c r="O151" i="15" s="1"/>
  <c r="B150" i="15"/>
  <c r="L150" i="15"/>
  <c r="Q187" i="15"/>
  <c r="T188" i="15" s="1"/>
  <c r="R188" i="15" l="1"/>
  <c r="G150" i="15"/>
  <c r="D150" i="15"/>
  <c r="J151" i="15"/>
  <c r="C151" i="15" s="1"/>
  <c r="B151" i="15" l="1"/>
  <c r="G151" i="15"/>
  <c r="M151" i="15"/>
  <c r="F150" i="15"/>
  <c r="L151" i="15"/>
  <c r="O152" i="15" s="1"/>
  <c r="Q188" i="15"/>
  <c r="T189" i="15" s="1"/>
  <c r="R189" i="15" l="1"/>
  <c r="J152" i="15"/>
  <c r="C152" i="15" s="1"/>
  <c r="E150" i="15"/>
  <c r="D151" i="15"/>
  <c r="M152" i="15" l="1"/>
  <c r="O153" i="15" s="1"/>
  <c r="B152" i="15"/>
  <c r="G152" i="15"/>
  <c r="L152" i="15"/>
  <c r="F151" i="15"/>
  <c r="Q189" i="15"/>
  <c r="T190" i="15" s="1"/>
  <c r="J153" i="15" l="1"/>
  <c r="M153" i="15"/>
  <c r="E151" i="15"/>
  <c r="R190" i="15"/>
  <c r="T191" i="15" s="1"/>
  <c r="D152" i="15"/>
  <c r="F152" i="15" s="1"/>
  <c r="C153" i="15" l="1"/>
  <c r="G153" i="15" s="1"/>
  <c r="B153" i="15"/>
  <c r="L153" i="15"/>
  <c r="O154" i="15" s="1"/>
  <c r="Q190" i="15"/>
  <c r="E152" i="15"/>
  <c r="R191" i="15"/>
  <c r="T192" i="15" s="1"/>
  <c r="D153" i="15" l="1"/>
  <c r="F153" i="15" s="1"/>
  <c r="E153" i="15" s="1"/>
  <c r="Q191" i="15"/>
  <c r="R192" i="15"/>
  <c r="T193" i="15" s="1"/>
  <c r="L154" i="15" l="1"/>
  <c r="O155" i="15" s="1"/>
  <c r="M154" i="15"/>
  <c r="J154" i="15"/>
  <c r="R193" i="15"/>
  <c r="T194" i="15" s="1"/>
  <c r="Q192" i="15"/>
  <c r="C154" i="15" l="1"/>
  <c r="B154" i="15"/>
  <c r="Q193" i="15"/>
  <c r="R194" i="15"/>
  <c r="T195" i="15" s="1"/>
  <c r="J155" i="15" l="1"/>
  <c r="M155" i="15"/>
  <c r="O156" i="15" s="1"/>
  <c r="L155" i="15"/>
  <c r="G154" i="15"/>
  <c r="D154" i="15"/>
  <c r="F154" i="15" s="1"/>
  <c r="E154" i="15" s="1"/>
  <c r="Q194" i="15"/>
  <c r="R195" i="15"/>
  <c r="T196" i="15" s="1"/>
  <c r="J156" i="15"/>
  <c r="C156" i="15" s="1"/>
  <c r="L156" i="15" l="1"/>
  <c r="O157" i="15" s="1"/>
  <c r="J157" i="15" s="1"/>
  <c r="C157" i="15" s="1"/>
  <c r="M156" i="15"/>
  <c r="C155" i="15"/>
  <c r="G155" i="15" s="1"/>
  <c r="B155" i="15"/>
  <c r="Q195" i="15"/>
  <c r="R196" i="15"/>
  <c r="B156" i="15"/>
  <c r="G156" i="15"/>
  <c r="D155" i="15" l="1"/>
  <c r="F155" i="15" s="1"/>
  <c r="E155" i="15" s="1"/>
  <c r="Q196" i="15"/>
  <c r="B157" i="15"/>
  <c r="G157" i="15"/>
  <c r="L157" i="15"/>
  <c r="M157" i="15"/>
  <c r="O158" i="15" s="1"/>
  <c r="D156" i="15" l="1"/>
  <c r="F156" i="15" s="1"/>
  <c r="E156" i="15" s="1"/>
  <c r="T197" i="15"/>
  <c r="Q197" i="15" s="1"/>
  <c r="J158" i="15"/>
  <c r="C158" i="15" s="1"/>
  <c r="D157" i="15" l="1"/>
  <c r="F157" i="15" s="1"/>
  <c r="E157" i="15" s="1"/>
  <c r="R197" i="15"/>
  <c r="T198" i="15"/>
  <c r="B158" i="15"/>
  <c r="G158" i="15"/>
  <c r="M158" i="15"/>
  <c r="O159" i="15" s="1"/>
  <c r="L158" i="15"/>
  <c r="R198" i="15" l="1"/>
  <c r="Q198" i="15"/>
  <c r="T199" i="15" s="1"/>
  <c r="J159" i="15"/>
  <c r="C159" i="15" s="1"/>
  <c r="D158" i="15"/>
  <c r="R199" i="15" l="1"/>
  <c r="Q199" i="15"/>
  <c r="T200" i="15" s="1"/>
  <c r="Q200" i="15" s="1"/>
  <c r="F158" i="15"/>
  <c r="B159" i="15"/>
  <c r="G159" i="15"/>
  <c r="M159" i="15"/>
  <c r="O160" i="15" s="1"/>
  <c r="L159" i="15"/>
  <c r="R200" i="15" l="1"/>
  <c r="T201" i="15"/>
  <c r="Q201" i="15" s="1"/>
  <c r="T202" i="15" s="1"/>
  <c r="J160" i="15"/>
  <c r="C160" i="15" s="1"/>
  <c r="E158" i="15"/>
  <c r="D159" i="15"/>
  <c r="R201" i="15" l="1"/>
  <c r="R202" i="15" s="1"/>
  <c r="Q202" i="15"/>
  <c r="T203" i="15" s="1"/>
  <c r="Q203" i="15" s="1"/>
  <c r="T204" i="15" s="1"/>
  <c r="F159" i="15"/>
  <c r="B160" i="15"/>
  <c r="G160" i="15"/>
  <c r="M160" i="15"/>
  <c r="O161" i="15" s="1"/>
  <c r="L160" i="15"/>
  <c r="R203" i="15" l="1"/>
  <c r="J161" i="15"/>
  <c r="C161" i="15" s="1"/>
  <c r="D160" i="15"/>
  <c r="F160" i="15" s="1"/>
  <c r="E159" i="15"/>
  <c r="L161" i="15" l="1"/>
  <c r="R204" i="15"/>
  <c r="Q204" i="15"/>
  <c r="T205" i="15" s="1"/>
  <c r="E160" i="15"/>
  <c r="B161" i="15"/>
  <c r="G161" i="15"/>
  <c r="M161" i="15"/>
  <c r="O162" i="15" s="1"/>
  <c r="Q205" i="15" l="1"/>
  <c r="R205" i="15"/>
  <c r="T206" i="15" s="1"/>
  <c r="D161" i="15"/>
  <c r="Q206" i="15" l="1"/>
  <c r="F161" i="15"/>
  <c r="R206" i="15"/>
  <c r="T207" i="15" s="1"/>
  <c r="J162" i="15"/>
  <c r="C162" i="15" s="1"/>
  <c r="L162" i="15"/>
  <c r="M162" i="15"/>
  <c r="O163" i="15" s="1"/>
  <c r="B162" i="15" l="1"/>
  <c r="J163" i="15"/>
  <c r="C163" i="15" s="1"/>
  <c r="Q207" i="15"/>
  <c r="E161" i="15"/>
  <c r="L163" i="15" l="1"/>
  <c r="B163" i="15"/>
  <c r="G163" i="15"/>
  <c r="M163" i="15"/>
  <c r="O164" i="15" s="1"/>
  <c r="R207" i="15"/>
  <c r="T208" i="15" s="1"/>
  <c r="G162" i="15"/>
  <c r="D162" i="15"/>
  <c r="D163" i="15" l="1"/>
  <c r="F162" i="15"/>
  <c r="Q208" i="15"/>
  <c r="J164" i="15" l="1"/>
  <c r="C164" i="15" s="1"/>
  <c r="L164" i="15"/>
  <c r="M164" i="15"/>
  <c r="O165" i="15" s="1"/>
  <c r="R208" i="15"/>
  <c r="T209" i="15" s="1"/>
  <c r="E162" i="15"/>
  <c r="F163" i="15"/>
  <c r="J165" i="15" l="1"/>
  <c r="C165" i="15" s="1"/>
  <c r="E163" i="15"/>
  <c r="Q209" i="15"/>
  <c r="B164" i="15"/>
  <c r="L165" i="15" l="1"/>
  <c r="M165" i="15"/>
  <c r="O166" i="15" s="1"/>
  <c r="G164" i="15"/>
  <c r="D164" i="15"/>
  <c r="R209" i="15"/>
  <c r="T210" i="15" s="1"/>
  <c r="B165" i="15"/>
  <c r="G165" i="15"/>
  <c r="J166" i="15" l="1"/>
  <c r="M166" i="15"/>
  <c r="O167" i="15" s="1"/>
  <c r="D165" i="15"/>
  <c r="F164" i="15"/>
  <c r="Q210" i="15"/>
  <c r="T211" i="15" s="1"/>
  <c r="C166" i="15" l="1"/>
  <c r="G166" i="15" s="1"/>
  <c r="B166" i="15"/>
  <c r="L166" i="15"/>
  <c r="R210" i="15"/>
  <c r="E164" i="15"/>
  <c r="F165" i="15"/>
  <c r="Q211" i="15"/>
  <c r="J167" i="15"/>
  <c r="C167" i="15" s="1"/>
  <c r="D166" i="15" l="1"/>
  <c r="M167" i="15"/>
  <c r="O168" i="15" s="1"/>
  <c r="B167" i="15"/>
  <c r="L167" i="15"/>
  <c r="R211" i="15"/>
  <c r="T212" i="15" s="1"/>
  <c r="F166" i="15"/>
  <c r="E165" i="15"/>
  <c r="E166" i="15" l="1"/>
  <c r="Q212" i="15"/>
  <c r="T213" i="15" s="1"/>
  <c r="G167" i="15"/>
  <c r="D167" i="15"/>
  <c r="F167" i="15" s="1"/>
  <c r="J168" i="15"/>
  <c r="C168" i="15" s="1"/>
  <c r="Q213" i="15" l="1"/>
  <c r="T214" i="15" s="1"/>
  <c r="E167" i="15"/>
  <c r="M168" i="15"/>
  <c r="O169" i="15" s="1"/>
  <c r="L168" i="15"/>
  <c r="R212" i="15"/>
  <c r="B168" i="15"/>
  <c r="G168" i="15"/>
  <c r="R213" i="15" l="1"/>
  <c r="D168" i="15"/>
  <c r="F168" i="15" s="1"/>
  <c r="E168" i="15" s="1"/>
  <c r="Q214" i="15"/>
  <c r="J169" i="15"/>
  <c r="C169" i="15" s="1"/>
  <c r="R214" i="15" l="1"/>
  <c r="B169" i="15"/>
  <c r="M169" i="15"/>
  <c r="O170" i="15" s="1"/>
  <c r="L169" i="15"/>
  <c r="T215" i="15" l="1"/>
  <c r="Q215" i="15" s="1"/>
  <c r="J170" i="15"/>
  <c r="C170" i="15" s="1"/>
  <c r="G169" i="15"/>
  <c r="D169" i="15"/>
  <c r="R215" i="15" l="1"/>
  <c r="T216" i="15" s="1"/>
  <c r="Q216" i="15" s="1"/>
  <c r="F169" i="15"/>
  <c r="B170" i="15"/>
  <c r="G170" i="15"/>
  <c r="M170" i="15"/>
  <c r="O171" i="15" s="1"/>
  <c r="L170" i="15"/>
  <c r="R216" i="15" l="1"/>
  <c r="T217" i="15" s="1"/>
  <c r="J171" i="15"/>
  <c r="C171" i="15" s="1"/>
  <c r="E169" i="15"/>
  <c r="D170" i="15"/>
  <c r="F170" i="15" s="1"/>
  <c r="E170" i="15" l="1"/>
  <c r="B171" i="15"/>
  <c r="G171" i="15"/>
  <c r="M171" i="15"/>
  <c r="L171" i="15"/>
  <c r="O172" i="15" s="1"/>
  <c r="D171" i="15"/>
  <c r="Q217" i="15"/>
  <c r="R217" i="15" l="1"/>
  <c r="T218" i="15" s="1"/>
  <c r="F171" i="15"/>
  <c r="J172" i="15"/>
  <c r="C172" i="15" s="1"/>
  <c r="R218" i="15" l="1"/>
  <c r="T219" i="15" s="1"/>
  <c r="Q218" i="15"/>
  <c r="B172" i="15"/>
  <c r="L172" i="15"/>
  <c r="O173" i="15" s="1"/>
  <c r="E171" i="15"/>
  <c r="M172" i="15"/>
  <c r="R219" i="15" l="1"/>
  <c r="Q219" i="15"/>
  <c r="J173" i="15"/>
  <c r="C173" i="15" s="1"/>
  <c r="G172" i="15"/>
  <c r="D172" i="15"/>
  <c r="T220" i="15" l="1"/>
  <c r="R220" i="15" s="1"/>
  <c r="M173" i="15"/>
  <c r="O174" i="15" s="1"/>
  <c r="J174" i="15" s="1"/>
  <c r="C174" i="15" s="1"/>
  <c r="F172" i="15"/>
  <c r="L173" i="15"/>
  <c r="B173" i="15"/>
  <c r="G173" i="15"/>
  <c r="T221" i="15" l="1"/>
  <c r="R221" i="15" s="1"/>
  <c r="Q220" i="15"/>
  <c r="D173" i="15"/>
  <c r="F173" i="15" s="1"/>
  <c r="M174" i="15"/>
  <c r="E172" i="15"/>
  <c r="B174" i="15"/>
  <c r="G174" i="15"/>
  <c r="L174" i="15"/>
  <c r="O175" i="15" s="1"/>
  <c r="Q221" i="15" l="1"/>
  <c r="T222" i="15" s="1"/>
  <c r="R222" i="15" s="1"/>
  <c r="L175" i="15"/>
  <c r="O176" i="15" s="1"/>
  <c r="D174" i="15"/>
  <c r="E173" i="15"/>
  <c r="Q222" i="15" l="1"/>
  <c r="T223" i="15" s="1"/>
  <c r="R223" i="15" s="1"/>
  <c r="J176" i="15"/>
  <c r="C176" i="15" s="1"/>
  <c r="F174" i="15"/>
  <c r="J175" i="15"/>
  <c r="C175" i="15" s="1"/>
  <c r="M175" i="15"/>
  <c r="M176" i="15" l="1"/>
  <c r="O177" i="15" s="1"/>
  <c r="Q223" i="15"/>
  <c r="T224" i="15" s="1"/>
  <c r="B175" i="15"/>
  <c r="E174" i="15"/>
  <c r="B176" i="15"/>
  <c r="G176" i="15"/>
  <c r="L176" i="15"/>
  <c r="J177" i="15" l="1"/>
  <c r="R224" i="15"/>
  <c r="G175" i="15"/>
  <c r="D175" i="15"/>
  <c r="C177" i="15" l="1"/>
  <c r="G177" i="15" s="1"/>
  <c r="B177" i="15"/>
  <c r="L177" i="15"/>
  <c r="M177" i="15"/>
  <c r="O178" i="15" s="1"/>
  <c r="D176" i="15"/>
  <c r="F175" i="15"/>
  <c r="Q224" i="15"/>
  <c r="T225" i="15" s="1"/>
  <c r="D177" i="15" l="1"/>
  <c r="J178" i="15"/>
  <c r="C178" i="15" s="1"/>
  <c r="L178" i="15"/>
  <c r="O179" i="15" s="1"/>
  <c r="M178" i="15"/>
  <c r="R225" i="15"/>
  <c r="T226" i="15" s="1"/>
  <c r="F176" i="15"/>
  <c r="E175" i="15"/>
  <c r="F177" i="15" l="1"/>
  <c r="E176" i="15"/>
  <c r="R226" i="15"/>
  <c r="T227" i="15" s="1"/>
  <c r="Q225" i="15"/>
  <c r="J179" i="15"/>
  <c r="C179" i="15" s="1"/>
  <c r="B178" i="15"/>
  <c r="Q226" i="15" l="1"/>
  <c r="R227" i="15"/>
  <c r="T228" i="15" s="1"/>
  <c r="M179" i="15"/>
  <c r="B179" i="15"/>
  <c r="G179" i="15"/>
  <c r="L179" i="15"/>
  <c r="O180" i="15" s="1"/>
  <c r="G178" i="15"/>
  <c r="D178" i="15"/>
  <c r="F178" i="15" s="1"/>
  <c r="E177" i="15"/>
  <c r="Q227" i="15" l="1"/>
  <c r="R228" i="15"/>
  <c r="T229" i="15" s="1"/>
  <c r="J180" i="15"/>
  <c r="C180" i="15" s="1"/>
  <c r="E178" i="15"/>
  <c r="D179" i="15"/>
  <c r="F179" i="15" s="1"/>
  <c r="Q228" i="15" l="1"/>
  <c r="R229" i="15"/>
  <c r="T230" i="15" s="1"/>
  <c r="B180" i="15"/>
  <c r="G180" i="15"/>
  <c r="E179" i="15"/>
  <c r="L180" i="15"/>
  <c r="M180" i="15"/>
  <c r="O181" i="15" s="1"/>
  <c r="Q229" i="15" l="1"/>
  <c r="R230" i="15"/>
  <c r="D180" i="15"/>
  <c r="J181" i="15"/>
  <c r="C181" i="15" s="1"/>
  <c r="F180" i="15" l="1"/>
  <c r="B181" i="15"/>
  <c r="G181" i="15"/>
  <c r="M181" i="15"/>
  <c r="O182" i="15" s="1"/>
  <c r="L181" i="15"/>
  <c r="Q230" i="15"/>
  <c r="T231" i="15" s="1"/>
  <c r="J182" i="15" l="1"/>
  <c r="C182" i="15" s="1"/>
  <c r="R231" i="15"/>
  <c r="E180" i="15"/>
  <c r="D181" i="15"/>
  <c r="F181" i="15" s="1"/>
  <c r="E181" i="15" l="1"/>
  <c r="B182" i="15"/>
  <c r="G182" i="15"/>
  <c r="Q231" i="15"/>
  <c r="T232" i="15" s="1"/>
  <c r="M182" i="15"/>
  <c r="O183" i="15" s="1"/>
  <c r="L182" i="15"/>
  <c r="J183" i="15" l="1"/>
  <c r="C183" i="15" s="1"/>
  <c r="R232" i="15"/>
  <c r="D182" i="15"/>
  <c r="L183" i="15"/>
  <c r="Q232" i="15" l="1"/>
  <c r="T233" i="15" s="1"/>
  <c r="F182" i="15"/>
  <c r="B183" i="15"/>
  <c r="G183" i="15"/>
  <c r="M183" i="15"/>
  <c r="O184" i="15" s="1"/>
  <c r="D183" i="15" l="1"/>
  <c r="F183" i="15" s="1"/>
  <c r="E182" i="15"/>
  <c r="R233" i="15"/>
  <c r="E183" i="15" l="1"/>
  <c r="Q233" i="15"/>
  <c r="T234" i="15" s="1"/>
  <c r="J184" i="15"/>
  <c r="C184" i="15" s="1"/>
  <c r="L184" i="15"/>
  <c r="O185" i="15" s="1"/>
  <c r="M184" i="15"/>
  <c r="B184" i="15" l="1"/>
  <c r="R234" i="15"/>
  <c r="J185" i="15"/>
  <c r="C185" i="15" s="1"/>
  <c r="B185" i="15" l="1"/>
  <c r="G185" i="15"/>
  <c r="L185" i="15"/>
  <c r="O186" i="15" s="1"/>
  <c r="M185" i="15"/>
  <c r="Q234" i="15"/>
  <c r="T235" i="15" s="1"/>
  <c r="G184" i="15"/>
  <c r="D184" i="15"/>
  <c r="D185" i="15" l="1"/>
  <c r="F184" i="15"/>
  <c r="R235" i="15"/>
  <c r="T236" i="15" s="1"/>
  <c r="J186" i="15"/>
  <c r="C186" i="15" s="1"/>
  <c r="M186" i="15" l="1"/>
  <c r="O187" i="15" s="1"/>
  <c r="E184" i="15"/>
  <c r="F185" i="15"/>
  <c r="B186" i="15"/>
  <c r="G186" i="15"/>
  <c r="L186" i="15"/>
  <c r="R236" i="15"/>
  <c r="T237" i="15" s="1"/>
  <c r="Q235" i="15"/>
  <c r="R237" i="15" l="1"/>
  <c r="T238" i="15" s="1"/>
  <c r="E185" i="15"/>
  <c r="D186" i="15"/>
  <c r="Q236" i="15"/>
  <c r="J187" i="15"/>
  <c r="C187" i="15" s="1"/>
  <c r="Q237" i="15" l="1"/>
  <c r="L187" i="15"/>
  <c r="M187" i="15"/>
  <c r="O188" i="15" s="1"/>
  <c r="J188" i="15" s="1"/>
  <c r="C188" i="15" s="1"/>
  <c r="R238" i="15"/>
  <c r="F186" i="15"/>
  <c r="B187" i="15"/>
  <c r="G187" i="15"/>
  <c r="Q238" i="15" l="1"/>
  <c r="L188" i="15"/>
  <c r="G188" i="15"/>
  <c r="B188" i="15"/>
  <c r="E186" i="15"/>
  <c r="M188" i="15"/>
  <c r="O189" i="15" s="1"/>
  <c r="D187" i="15"/>
  <c r="D188" i="15" s="1"/>
  <c r="T239" i="15" l="1"/>
  <c r="R239" i="15" s="1"/>
  <c r="F187" i="15"/>
  <c r="E187" i="15" s="1"/>
  <c r="J189" i="15"/>
  <c r="C189" i="15" s="1"/>
  <c r="Q239" i="15" l="1"/>
  <c r="T240" i="15" s="1"/>
  <c r="R240" i="15" s="1"/>
  <c r="F188" i="15"/>
  <c r="E188" i="15" s="1"/>
  <c r="B189" i="15"/>
  <c r="M189" i="15"/>
  <c r="O190" i="15" s="1"/>
  <c r="L189" i="15"/>
  <c r="G189" i="15" l="1"/>
  <c r="D189" i="15"/>
  <c r="J190" i="15"/>
  <c r="C190" i="15" s="1"/>
  <c r="Q240" i="15"/>
  <c r="T241" i="15" s="1"/>
  <c r="R241" i="15" l="1"/>
  <c r="F189" i="15"/>
  <c r="G190" i="15"/>
  <c r="B190" i="15"/>
  <c r="M190" i="15"/>
  <c r="O191" i="15" s="1"/>
  <c r="L190" i="15"/>
  <c r="D190" i="15" l="1"/>
  <c r="F190" i="15" s="1"/>
  <c r="E189" i="15"/>
  <c r="J191" i="15"/>
  <c r="C191" i="15" s="1"/>
  <c r="Q241" i="15"/>
  <c r="T242" i="15" s="1"/>
  <c r="E190" i="15" l="1"/>
  <c r="R242" i="15"/>
  <c r="G191" i="15"/>
  <c r="B191" i="15"/>
  <c r="M191" i="15"/>
  <c r="O192" i="15" s="1"/>
  <c r="L191" i="15"/>
  <c r="J192" i="15" l="1"/>
  <c r="C192" i="15" s="1"/>
  <c r="Q242" i="15"/>
  <c r="T243" i="15" s="1"/>
  <c r="D191" i="15"/>
  <c r="L192" i="15" l="1"/>
  <c r="O193" i="15" s="1"/>
  <c r="R243" i="15"/>
  <c r="F191" i="15"/>
  <c r="G192" i="15"/>
  <c r="B192" i="15"/>
  <c r="M192" i="15"/>
  <c r="J193" i="15" l="1"/>
  <c r="L193" i="15"/>
  <c r="O194" i="15" s="1"/>
  <c r="E191" i="15"/>
  <c r="D192" i="15"/>
  <c r="Q243" i="15"/>
  <c r="T244" i="15" s="1"/>
  <c r="C193" i="15" l="1"/>
  <c r="G193" i="15" s="1"/>
  <c r="B193" i="15"/>
  <c r="M193" i="15"/>
  <c r="J194" i="15"/>
  <c r="L194" i="15"/>
  <c r="O195" i="15" s="1"/>
  <c r="F192" i="15"/>
  <c r="R244" i="15"/>
  <c r="D193" i="15" l="1"/>
  <c r="C194" i="15"/>
  <c r="G194" i="15" s="1"/>
  <c r="B194" i="15"/>
  <c r="M194" i="15"/>
  <c r="Q244" i="15"/>
  <c r="T245" i="15" s="1"/>
  <c r="F193" i="15"/>
  <c r="E192" i="15"/>
  <c r="D194" i="15" l="1"/>
  <c r="F194" i="15" s="1"/>
  <c r="M195" i="15"/>
  <c r="O196" i="15" s="1"/>
  <c r="J196" i="15" s="1"/>
  <c r="C196" i="15" s="1"/>
  <c r="L195" i="15"/>
  <c r="J195" i="15"/>
  <c r="E193" i="15"/>
  <c r="R245" i="15"/>
  <c r="C195" i="15" l="1"/>
  <c r="B195" i="15"/>
  <c r="E194" i="15"/>
  <c r="Q245" i="15"/>
  <c r="T246" i="15" s="1"/>
  <c r="G196" i="15"/>
  <c r="B196" i="15"/>
  <c r="M196" i="15"/>
  <c r="O197" i="15" s="1"/>
  <c r="L196" i="15"/>
  <c r="G195" i="15" l="1"/>
  <c r="D195" i="15"/>
  <c r="F195" i="15" s="1"/>
  <c r="E195" i="15" s="1"/>
  <c r="J197" i="15"/>
  <c r="C197" i="15" s="1"/>
  <c r="R246" i="15"/>
  <c r="T247" i="15" s="1"/>
  <c r="D196" i="15" l="1"/>
  <c r="F196" i="15" s="1"/>
  <c r="E196" i="15" s="1"/>
  <c r="L197" i="15"/>
  <c r="R247" i="15"/>
  <c r="T248" i="15" s="1"/>
  <c r="Q246" i="15"/>
  <c r="G197" i="15"/>
  <c r="B197" i="15"/>
  <c r="M197" i="15"/>
  <c r="O198" i="15" s="1"/>
  <c r="Q247" i="15" l="1"/>
  <c r="R248" i="15"/>
  <c r="T249" i="15" s="1"/>
  <c r="D197" i="15"/>
  <c r="M198" i="15"/>
  <c r="O199" i="15" s="1"/>
  <c r="Q248" i="15" l="1"/>
  <c r="J199" i="15"/>
  <c r="C199" i="15" s="1"/>
  <c r="J198" i="15"/>
  <c r="C198" i="15" s="1"/>
  <c r="L198" i="15"/>
  <c r="F197" i="15"/>
  <c r="L199" i="15" l="1"/>
  <c r="Q249" i="15"/>
  <c r="T250" i="15" s="1"/>
  <c r="R249" i="15"/>
  <c r="E197" i="15"/>
  <c r="B198" i="15"/>
  <c r="G199" i="15"/>
  <c r="B199" i="15"/>
  <c r="M199" i="15"/>
  <c r="O200" i="15" s="1"/>
  <c r="R250" i="15" l="1"/>
  <c r="Q250" i="15"/>
  <c r="T251" i="15" s="1"/>
  <c r="G198" i="15"/>
  <c r="D198" i="15"/>
  <c r="M200" i="15"/>
  <c r="O201" i="15" s="1"/>
  <c r="J201" i="15" l="1"/>
  <c r="C201" i="15" s="1"/>
  <c r="J200" i="15"/>
  <c r="C200" i="15" s="1"/>
  <c r="L200" i="15"/>
  <c r="D199" i="15"/>
  <c r="F198" i="15"/>
  <c r="R251" i="15"/>
  <c r="L201" i="15" l="1"/>
  <c r="Q251" i="15"/>
  <c r="T252" i="15" s="1"/>
  <c r="B201" i="15"/>
  <c r="G201" i="15"/>
  <c r="E198" i="15"/>
  <c r="F199" i="15"/>
  <c r="G200" i="15"/>
  <c r="B200" i="15"/>
  <c r="M201" i="15"/>
  <c r="O202" i="15" s="1"/>
  <c r="D200" i="15" l="1"/>
  <c r="D201" i="15" s="1"/>
  <c r="E199" i="15"/>
  <c r="M202" i="15"/>
  <c r="O203" i="15" s="1"/>
  <c r="R252" i="15"/>
  <c r="T253" i="15" s="1"/>
  <c r="F200" i="15" l="1"/>
  <c r="E200" i="15" s="1"/>
  <c r="J203" i="15"/>
  <c r="C203" i="15" s="1"/>
  <c r="R253" i="15"/>
  <c r="T254" i="15" s="1"/>
  <c r="Q252" i="15"/>
  <c r="J202" i="15"/>
  <c r="C202" i="15" s="1"/>
  <c r="L202" i="15"/>
  <c r="F201" i="15" l="1"/>
  <c r="E201" i="15" s="1"/>
  <c r="Q253" i="15"/>
  <c r="L203" i="15"/>
  <c r="R254" i="15"/>
  <c r="T255" i="15" s="1"/>
  <c r="B202" i="15"/>
  <c r="G203" i="15"/>
  <c r="B203" i="15"/>
  <c r="M203" i="15"/>
  <c r="O204" i="15" s="1"/>
  <c r="Q254" i="15" l="1"/>
  <c r="R255" i="15"/>
  <c r="T256" i="15" s="1"/>
  <c r="G202" i="15"/>
  <c r="D202" i="15"/>
  <c r="M204" i="15"/>
  <c r="O205" i="15" s="1"/>
  <c r="J205" i="15" l="1"/>
  <c r="C205" i="15" s="1"/>
  <c r="R256" i="15"/>
  <c r="T257" i="15" s="1"/>
  <c r="D203" i="15"/>
  <c r="F202" i="15"/>
  <c r="J204" i="15"/>
  <c r="C204" i="15" s="1"/>
  <c r="L204" i="15"/>
  <c r="Q255" i="15"/>
  <c r="L205" i="15" l="1"/>
  <c r="O206" i="15" s="1"/>
  <c r="J206" i="15" s="1"/>
  <c r="C206" i="15" s="1"/>
  <c r="R257" i="15"/>
  <c r="T258" i="15" s="1"/>
  <c r="E202" i="15"/>
  <c r="F203" i="15"/>
  <c r="G204" i="15"/>
  <c r="B204" i="15"/>
  <c r="B205" i="15"/>
  <c r="G205" i="15"/>
  <c r="Q256" i="15"/>
  <c r="M205" i="15"/>
  <c r="Q257" i="15" l="1"/>
  <c r="R258" i="15"/>
  <c r="B206" i="15"/>
  <c r="G206" i="15"/>
  <c r="M206" i="15"/>
  <c r="L206" i="15"/>
  <c r="O207" i="15" s="1"/>
  <c r="E203" i="15"/>
  <c r="D204" i="15"/>
  <c r="D205" i="15" s="1"/>
  <c r="F204" i="15" l="1"/>
  <c r="E204" i="15" s="1"/>
  <c r="J207" i="15"/>
  <c r="C207" i="15" s="1"/>
  <c r="D206" i="15"/>
  <c r="Q258" i="15"/>
  <c r="T259" i="15" s="1"/>
  <c r="F205" i="15" l="1"/>
  <c r="E205" i="15" s="1"/>
  <c r="M207" i="15"/>
  <c r="R259" i="15"/>
  <c r="B207" i="15"/>
  <c r="G207" i="15"/>
  <c r="L207" i="15"/>
  <c r="O208" i="15" s="1"/>
  <c r="F206" i="15" l="1"/>
  <c r="E206" i="15" s="1"/>
  <c r="D207" i="15"/>
  <c r="Q259" i="15"/>
  <c r="T260" i="15" s="1"/>
  <c r="J208" i="15" l="1"/>
  <c r="C208" i="15" s="1"/>
  <c r="M208" i="15"/>
  <c r="R260" i="15"/>
  <c r="L208" i="15"/>
  <c r="O209" i="15" s="1"/>
  <c r="F207" i="15"/>
  <c r="E207" i="15" l="1"/>
  <c r="J209" i="15"/>
  <c r="C209" i="15" s="1"/>
  <c r="Q260" i="15"/>
  <c r="T261" i="15" s="1"/>
  <c r="B208" i="15"/>
  <c r="M209" i="15" l="1"/>
  <c r="B209" i="15"/>
  <c r="G209" i="15"/>
  <c r="L209" i="15"/>
  <c r="O210" i="15" s="1"/>
  <c r="R261" i="15"/>
  <c r="G208" i="15"/>
  <c r="D208" i="15"/>
  <c r="D209" i="15" l="1"/>
  <c r="F208" i="15"/>
  <c r="Q261" i="15"/>
  <c r="T262" i="15" s="1"/>
  <c r="E208" i="15" l="1"/>
  <c r="F209" i="15"/>
  <c r="R262" i="15"/>
  <c r="J210" i="15"/>
  <c r="C210" i="15" s="1"/>
  <c r="M210" i="15"/>
  <c r="O211" i="15" s="1"/>
  <c r="L210" i="15"/>
  <c r="J211" i="15" l="1"/>
  <c r="C211" i="15" s="1"/>
  <c r="B210" i="15"/>
  <c r="Q262" i="15"/>
  <c r="T263" i="15" s="1"/>
  <c r="E209" i="15"/>
  <c r="L211" i="15" l="1"/>
  <c r="M211" i="15"/>
  <c r="O212" i="15" s="1"/>
  <c r="J212" i="15" s="1"/>
  <c r="C212" i="15" s="1"/>
  <c r="G210" i="15"/>
  <c r="D210" i="15"/>
  <c r="R263" i="15"/>
  <c r="B211" i="15"/>
  <c r="G211" i="15"/>
  <c r="B212" i="15" l="1"/>
  <c r="G212" i="15"/>
  <c r="M212" i="15"/>
  <c r="O213" i="15" s="1"/>
  <c r="Q263" i="15"/>
  <c r="T264" i="15" s="1"/>
  <c r="D211" i="15"/>
  <c r="D212" i="15" s="1"/>
  <c r="F210" i="15"/>
  <c r="L212" i="15"/>
  <c r="E210" i="15" l="1"/>
  <c r="F211" i="15"/>
  <c r="J213" i="15"/>
  <c r="C213" i="15" s="1"/>
  <c r="R264" i="15"/>
  <c r="B213" i="15" l="1"/>
  <c r="M213" i="15"/>
  <c r="L213" i="15"/>
  <c r="O214" i="15" s="1"/>
  <c r="Q264" i="15"/>
  <c r="T265" i="15" s="1"/>
  <c r="E211" i="15"/>
  <c r="F212" i="15"/>
  <c r="J214" i="15" l="1"/>
  <c r="C214" i="15" s="1"/>
  <c r="G213" i="15"/>
  <c r="D213" i="15"/>
  <c r="E212" i="15"/>
  <c r="R265" i="15"/>
  <c r="Q265" i="15" l="1"/>
  <c r="T266" i="15" s="1"/>
  <c r="F213" i="15"/>
  <c r="B214" i="15"/>
  <c r="G214" i="15"/>
  <c r="M214" i="15"/>
  <c r="O215" i="15" s="1"/>
  <c r="L214" i="15"/>
  <c r="E213" i="15" l="1"/>
  <c r="D214" i="15"/>
  <c r="F214" i="15" s="1"/>
  <c r="J215" i="15"/>
  <c r="C215" i="15" s="1"/>
  <c r="R266" i="15"/>
  <c r="E214" i="15" l="1"/>
  <c r="Q266" i="15"/>
  <c r="T267" i="15" s="1"/>
  <c r="M215" i="15"/>
  <c r="O216" i="15" s="1"/>
  <c r="B215" i="15"/>
  <c r="G215" i="15"/>
  <c r="L215" i="15"/>
  <c r="D215" i="15" l="1"/>
  <c r="J216" i="15"/>
  <c r="C216" i="15" s="1"/>
  <c r="R267" i="15"/>
  <c r="L216" i="15" l="1"/>
  <c r="B216" i="15"/>
  <c r="G216" i="15"/>
  <c r="Q267" i="15"/>
  <c r="T268" i="15" s="1"/>
  <c r="M216" i="15"/>
  <c r="O217" i="15" s="1"/>
  <c r="D216" i="15"/>
  <c r="F215" i="15"/>
  <c r="E215" i="15" l="1"/>
  <c r="F216" i="15"/>
  <c r="R268" i="15"/>
  <c r="T269" i="15" s="1"/>
  <c r="R269" i="15" l="1"/>
  <c r="Q268" i="15"/>
  <c r="E216" i="15"/>
  <c r="J217" i="15"/>
  <c r="C217" i="15" s="1"/>
  <c r="L217" i="15"/>
  <c r="M217" i="15"/>
  <c r="O218" i="15" s="1"/>
  <c r="Q269" i="15" l="1"/>
  <c r="J218" i="15"/>
  <c r="C218" i="15" s="1"/>
  <c r="B217" i="15"/>
  <c r="T270" i="15" l="1"/>
  <c r="R270" i="15" s="1"/>
  <c r="L218" i="15"/>
  <c r="G217" i="15"/>
  <c r="D217" i="15"/>
  <c r="B218" i="15"/>
  <c r="G218" i="15"/>
  <c r="M218" i="15"/>
  <c r="O219" i="15" s="1"/>
  <c r="Q270" i="15" l="1"/>
  <c r="T271" i="15"/>
  <c r="R271" i="15" s="1"/>
  <c r="D218" i="15"/>
  <c r="F217" i="15"/>
  <c r="T272" i="15" l="1"/>
  <c r="R272" i="15" s="1"/>
  <c r="T273" i="15" s="1"/>
  <c r="R273" i="15" s="1"/>
  <c r="T274" i="15" s="1"/>
  <c r="Q271" i="15"/>
  <c r="J219" i="15"/>
  <c r="C219" i="15" s="1"/>
  <c r="L219" i="15"/>
  <c r="M219" i="15"/>
  <c r="O220" i="15" s="1"/>
  <c r="E217" i="15"/>
  <c r="F218" i="15"/>
  <c r="Q272" i="15" l="1"/>
  <c r="Q273" i="15" s="1"/>
  <c r="Q274" i="15" s="1"/>
  <c r="R274" i="15"/>
  <c r="T275" i="15" s="1"/>
  <c r="J220" i="15"/>
  <c r="C220" i="15" s="1"/>
  <c r="B219" i="15"/>
  <c r="E218" i="15"/>
  <c r="R275" i="15" l="1"/>
  <c r="G219" i="15"/>
  <c r="D219" i="15"/>
  <c r="B220" i="15"/>
  <c r="G220" i="15"/>
  <c r="M220" i="15"/>
  <c r="O221" i="15" s="1"/>
  <c r="L220" i="15"/>
  <c r="Q275" i="15" l="1"/>
  <c r="J221" i="15"/>
  <c r="C221" i="15" s="1"/>
  <c r="D220" i="15"/>
  <c r="F219" i="15"/>
  <c r="T276" i="15" l="1"/>
  <c r="R276" i="15" s="1"/>
  <c r="L221" i="15"/>
  <c r="O222" i="15" s="1"/>
  <c r="E219" i="15"/>
  <c r="F220" i="15"/>
  <c r="B221" i="15"/>
  <c r="G221" i="15"/>
  <c r="M221" i="15"/>
  <c r="Q276" i="15" l="1"/>
  <c r="T277" i="15" s="1"/>
  <c r="R277" i="15" s="1"/>
  <c r="J222" i="15"/>
  <c r="E220" i="15"/>
  <c r="D221" i="15"/>
  <c r="L222" i="15"/>
  <c r="O223" i="15" s="1"/>
  <c r="C222" i="15" l="1"/>
  <c r="G222" i="15" s="1"/>
  <c r="B222" i="15"/>
  <c r="M222" i="15"/>
  <c r="F221" i="15"/>
  <c r="E221" i="15" s="1"/>
  <c r="J223" i="15"/>
  <c r="C223" i="15" s="1"/>
  <c r="Q277" i="15"/>
  <c r="T278" i="15" s="1"/>
  <c r="D222" i="15" l="1"/>
  <c r="F222" i="15" s="1"/>
  <c r="E222" i="15" s="1"/>
  <c r="M223" i="15"/>
  <c r="R278" i="15"/>
  <c r="B223" i="15"/>
  <c r="L223" i="15"/>
  <c r="O224" i="15" s="1"/>
  <c r="G223" i="15" l="1"/>
  <c r="D223" i="15"/>
  <c r="Q278" i="15"/>
  <c r="T279" i="15" s="1"/>
  <c r="R279" i="15" l="1"/>
  <c r="T280" i="15" s="1"/>
  <c r="F223" i="15"/>
  <c r="J224" i="15"/>
  <c r="C224" i="15" s="1"/>
  <c r="M224" i="15"/>
  <c r="O225" i="15" s="1"/>
  <c r="L224" i="15"/>
  <c r="E223" i="15" l="1"/>
  <c r="J225" i="15"/>
  <c r="C225" i="15" s="1"/>
  <c r="B224" i="15"/>
  <c r="R280" i="15"/>
  <c r="T281" i="15" s="1"/>
  <c r="Q279" i="15"/>
  <c r="Q280" i="15" l="1"/>
  <c r="Q281" i="15" s="1"/>
  <c r="R281" i="15"/>
  <c r="T282" i="15" s="1"/>
  <c r="M225" i="15"/>
  <c r="O226" i="15" s="1"/>
  <c r="G224" i="15"/>
  <c r="D224" i="15"/>
  <c r="B225" i="15"/>
  <c r="G225" i="15"/>
  <c r="L225" i="15"/>
  <c r="R282" i="15" l="1"/>
  <c r="T283" i="15" s="1"/>
  <c r="J226" i="15"/>
  <c r="C226" i="15" s="1"/>
  <c r="D225" i="15"/>
  <c r="F224" i="15"/>
  <c r="L226" i="15" l="1"/>
  <c r="Q282" i="15"/>
  <c r="R283" i="15"/>
  <c r="E224" i="15"/>
  <c r="F225" i="15"/>
  <c r="B226" i="15"/>
  <c r="G226" i="15"/>
  <c r="D226" i="15"/>
  <c r="M226" i="15"/>
  <c r="O227" i="15" s="1"/>
  <c r="Q283" i="15" l="1"/>
  <c r="E225" i="15"/>
  <c r="F226" i="15"/>
  <c r="T284" i="15" l="1"/>
  <c r="R284" i="15" s="1"/>
  <c r="J227" i="15"/>
  <c r="C227" i="15" s="1"/>
  <c r="L227" i="15"/>
  <c r="M227" i="15"/>
  <c r="O228" i="15" s="1"/>
  <c r="E226" i="15"/>
  <c r="Q284" i="15" l="1"/>
  <c r="T285" i="15" s="1"/>
  <c r="R285" i="15" s="1"/>
  <c r="T286" i="15" s="1"/>
  <c r="J228" i="15"/>
  <c r="C228" i="15" s="1"/>
  <c r="B227" i="15"/>
  <c r="L228" i="15" l="1"/>
  <c r="G227" i="15"/>
  <c r="D227" i="15"/>
  <c r="Q285" i="15"/>
  <c r="R286" i="15"/>
  <c r="T287" i="15" s="1"/>
  <c r="B228" i="15"/>
  <c r="G228" i="15"/>
  <c r="M228" i="15"/>
  <c r="O229" i="15" s="1"/>
  <c r="R287" i="15" l="1"/>
  <c r="T288" i="15" s="1"/>
  <c r="Q286" i="15"/>
  <c r="D228" i="15"/>
  <c r="F227" i="15"/>
  <c r="Q287" i="15" l="1"/>
  <c r="R288" i="15"/>
  <c r="T289" i="15" s="1"/>
  <c r="J229" i="15"/>
  <c r="C229" i="15" s="1"/>
  <c r="L229" i="15"/>
  <c r="M229" i="15"/>
  <c r="O230" i="15" s="1"/>
  <c r="E227" i="15"/>
  <c r="F228" i="15"/>
  <c r="Q288" i="15" l="1"/>
  <c r="R289" i="15"/>
  <c r="E228" i="15"/>
  <c r="J230" i="15"/>
  <c r="C230" i="15" s="1"/>
  <c r="B229" i="15"/>
  <c r="Q289" i="15" l="1"/>
  <c r="T290" i="15" s="1"/>
  <c r="R290" i="15" s="1"/>
  <c r="M230" i="15"/>
  <c r="O231" i="15" s="1"/>
  <c r="B230" i="15"/>
  <c r="G230" i="15"/>
  <c r="L230" i="15"/>
  <c r="G229" i="15"/>
  <c r="D229" i="15"/>
  <c r="Q290" i="15" l="1"/>
  <c r="T291" i="15" s="1"/>
  <c r="J231" i="15"/>
  <c r="C231" i="15" s="1"/>
  <c r="D230" i="15"/>
  <c r="F229" i="15"/>
  <c r="M231" i="15" l="1"/>
  <c r="E229" i="15"/>
  <c r="F230" i="15"/>
  <c r="B231" i="15"/>
  <c r="G231" i="15"/>
  <c r="R291" i="15"/>
  <c r="L231" i="15"/>
  <c r="O232" i="15" s="1"/>
  <c r="Q291" i="15" l="1"/>
  <c r="T292" i="15" s="1"/>
  <c r="E230" i="15"/>
  <c r="J232" i="15"/>
  <c r="C232" i="15" s="1"/>
  <c r="D231" i="15"/>
  <c r="F231" i="15" l="1"/>
  <c r="B232" i="15"/>
  <c r="G232" i="15"/>
  <c r="L232" i="15"/>
  <c r="O233" i="15" s="1"/>
  <c r="M232" i="15"/>
  <c r="R292" i="15"/>
  <c r="Q292" i="15" l="1"/>
  <c r="T293" i="15" s="1"/>
  <c r="J233" i="15"/>
  <c r="C233" i="15" s="1"/>
  <c r="E231" i="15"/>
  <c r="D232" i="15"/>
  <c r="F232" i="15" s="1"/>
  <c r="E232" i="15" l="1"/>
  <c r="M233" i="15"/>
  <c r="B233" i="15"/>
  <c r="G233" i="15"/>
  <c r="L233" i="15"/>
  <c r="O234" i="15" s="1"/>
  <c r="R293" i="15"/>
  <c r="T294" i="15" s="1"/>
  <c r="Q293" i="15" l="1"/>
  <c r="Q294" i="15" s="1"/>
  <c r="J234" i="15"/>
  <c r="C234" i="15" s="1"/>
  <c r="D233" i="15"/>
  <c r="M234" i="15" l="1"/>
  <c r="O235" i="15" s="1"/>
  <c r="J235" i="15" s="1"/>
  <c r="C235" i="15" s="1"/>
  <c r="R294" i="15"/>
  <c r="T295" i="15" s="1"/>
  <c r="F233" i="15"/>
  <c r="B234" i="15"/>
  <c r="G234" i="15"/>
  <c r="L234" i="15"/>
  <c r="B235" i="15" l="1"/>
  <c r="G235" i="15"/>
  <c r="M235" i="15"/>
  <c r="O236" i="15" s="1"/>
  <c r="E233" i="15"/>
  <c r="D234" i="15"/>
  <c r="D235" i="15" s="1"/>
  <c r="Q295" i="15"/>
  <c r="L235" i="15"/>
  <c r="R295" i="15" l="1"/>
  <c r="T296" i="15" s="1"/>
  <c r="J236" i="15"/>
  <c r="C236" i="15" s="1"/>
  <c r="F234" i="15"/>
  <c r="L236" i="15" l="1"/>
  <c r="E234" i="15"/>
  <c r="F235" i="15"/>
  <c r="M236" i="15"/>
  <c r="O237" i="15" s="1"/>
  <c r="B236" i="15"/>
  <c r="Q296" i="15"/>
  <c r="R296" i="15" l="1"/>
  <c r="T297" i="15" s="1"/>
  <c r="G236" i="15"/>
  <c r="D236" i="15"/>
  <c r="F236" i="15" s="1"/>
  <c r="E235" i="15"/>
  <c r="M237" i="15"/>
  <c r="J237" i="15" l="1"/>
  <c r="C237" i="15" s="1"/>
  <c r="L237" i="15"/>
  <c r="O238" i="15" s="1"/>
  <c r="E236" i="15"/>
  <c r="Q297" i="15"/>
  <c r="T298" i="15" s="1"/>
  <c r="Q298" i="15" l="1"/>
  <c r="R297" i="15"/>
  <c r="B237" i="15"/>
  <c r="G237" i="15" l="1"/>
  <c r="D237" i="15"/>
  <c r="J238" i="15"/>
  <c r="C238" i="15" s="1"/>
  <c r="M238" i="15"/>
  <c r="L238" i="15"/>
  <c r="O239" i="15" s="1"/>
  <c r="R298" i="15"/>
  <c r="T299" i="15" s="1"/>
  <c r="F237" i="15" l="1"/>
  <c r="Q299" i="15"/>
  <c r="J239" i="15"/>
  <c r="C239" i="15" s="1"/>
  <c r="B238" i="15"/>
  <c r="G238" i="15"/>
  <c r="B239" i="15" l="1"/>
  <c r="G239" i="15"/>
  <c r="M239" i="15"/>
  <c r="L239" i="15"/>
  <c r="O240" i="15" s="1"/>
  <c r="E237" i="15"/>
  <c r="R299" i="15"/>
  <c r="T300" i="15" s="1"/>
  <c r="D238" i="15"/>
  <c r="F238" i="15" s="1"/>
  <c r="E238" i="15" l="1"/>
  <c r="J240" i="15"/>
  <c r="C240" i="15" s="1"/>
  <c r="Q300" i="15"/>
  <c r="T301" i="15" s="1"/>
  <c r="D239" i="15"/>
  <c r="M240" i="15" l="1"/>
  <c r="O241" i="15" s="1"/>
  <c r="Q301" i="15"/>
  <c r="T302" i="15" s="1"/>
  <c r="R300" i="15"/>
  <c r="L240" i="15"/>
  <c r="B240" i="15"/>
  <c r="G240" i="15"/>
  <c r="F239" i="15"/>
  <c r="J241" i="15" l="1"/>
  <c r="R301" i="15"/>
  <c r="D240" i="15"/>
  <c r="Q302" i="15"/>
  <c r="T303" i="15" s="1"/>
  <c r="L241" i="15"/>
  <c r="E239" i="15"/>
  <c r="C241" i="15" l="1"/>
  <c r="G241" i="15" s="1"/>
  <c r="B241" i="15"/>
  <c r="M241" i="15"/>
  <c r="R302" i="15"/>
  <c r="F240" i="15"/>
  <c r="E240" i="15" s="1"/>
  <c r="Q303" i="15"/>
  <c r="T304" i="15" s="1"/>
  <c r="D241" i="15" l="1"/>
  <c r="F241" i="15" s="1"/>
  <c r="E241" i="15" s="1"/>
  <c r="O242" i="15"/>
  <c r="J242" i="15" s="1"/>
  <c r="Q304" i="15"/>
  <c r="R303" i="15"/>
  <c r="L242" i="15" l="1"/>
  <c r="M242" i="15"/>
  <c r="O243" i="15" s="1"/>
  <c r="J243" i="15" s="1"/>
  <c r="C243" i="15" s="1"/>
  <c r="C242" i="15"/>
  <c r="D242" i="15" s="1"/>
  <c r="B242" i="15"/>
  <c r="R304" i="15"/>
  <c r="G242" i="15" l="1"/>
  <c r="T305" i="15"/>
  <c r="Q305" i="15" s="1"/>
  <c r="L243" i="15"/>
  <c r="F242" i="15"/>
  <c r="G243" i="15"/>
  <c r="B243" i="15"/>
  <c r="M243" i="15"/>
  <c r="O244" i="15" s="1"/>
  <c r="R305" i="15" l="1"/>
  <c r="T306" i="15" s="1"/>
  <c r="Q306" i="15" s="1"/>
  <c r="T307" i="15" s="1"/>
  <c r="J244" i="15"/>
  <c r="C244" i="15" s="1"/>
  <c r="E242" i="15"/>
  <c r="D243" i="15"/>
  <c r="R306" i="15" l="1"/>
  <c r="R307" i="15" s="1"/>
  <c r="T308" i="15" s="1"/>
  <c r="L244" i="15"/>
  <c r="F243" i="15"/>
  <c r="B244" i="15"/>
  <c r="G244" i="15"/>
  <c r="M244" i="15"/>
  <c r="O245" i="15" s="1"/>
  <c r="Q307" i="15" l="1"/>
  <c r="D244" i="15"/>
  <c r="F244" i="15" s="1"/>
  <c r="E243" i="15"/>
  <c r="R308" i="15"/>
  <c r="T309" i="15" s="1"/>
  <c r="R309" i="15" l="1"/>
  <c r="T310" i="15" s="1"/>
  <c r="E244" i="15"/>
  <c r="J245" i="15"/>
  <c r="C245" i="15" s="1"/>
  <c r="L245" i="15"/>
  <c r="M245" i="15"/>
  <c r="O246" i="15" s="1"/>
  <c r="Q308" i="15"/>
  <c r="Q309" i="15" s="1"/>
  <c r="R310" i="15" l="1"/>
  <c r="T311" i="15" s="1"/>
  <c r="J246" i="15"/>
  <c r="C246" i="15" s="1"/>
  <c r="B245" i="15"/>
  <c r="Q310" i="15" l="1"/>
  <c r="Q311" i="15" s="1"/>
  <c r="B246" i="15"/>
  <c r="G246" i="15"/>
  <c r="G245" i="15"/>
  <c r="D245" i="15"/>
  <c r="L246" i="15"/>
  <c r="M246" i="15"/>
  <c r="O247" i="15" s="1"/>
  <c r="R311" i="15" l="1"/>
  <c r="D246" i="15"/>
  <c r="F245" i="15"/>
  <c r="J247" i="15"/>
  <c r="C247" i="15" s="1"/>
  <c r="T312" i="15" l="1"/>
  <c r="Q312" i="15" s="1"/>
  <c r="L247" i="15"/>
  <c r="F246" i="15"/>
  <c r="E245" i="15"/>
  <c r="G247" i="15"/>
  <c r="B247" i="15"/>
  <c r="M247" i="15"/>
  <c r="O248" i="15" s="1"/>
  <c r="D247" i="15"/>
  <c r="R312" i="15" l="1"/>
  <c r="T313" i="15" s="1"/>
  <c r="M248" i="15"/>
  <c r="O249" i="15" s="1"/>
  <c r="E246" i="15"/>
  <c r="F247" i="15"/>
  <c r="Q313" i="15"/>
  <c r="T314" i="15" s="1"/>
  <c r="J249" i="15" l="1"/>
  <c r="C249" i="15" s="1"/>
  <c r="E247" i="15"/>
  <c r="Q314" i="15"/>
  <c r="T315" i="15" s="1"/>
  <c r="R313" i="15"/>
  <c r="J248" i="15"/>
  <c r="C248" i="15" s="1"/>
  <c r="L248" i="15"/>
  <c r="Q315" i="15" l="1"/>
  <c r="T316" i="15" s="1"/>
  <c r="B248" i="15"/>
  <c r="R314" i="15"/>
  <c r="G249" i="15"/>
  <c r="B249" i="15"/>
  <c r="L249" i="15"/>
  <c r="M249" i="15"/>
  <c r="O250" i="15" s="1"/>
  <c r="R315" i="15" l="1"/>
  <c r="Q316" i="15"/>
  <c r="T317" i="15" s="1"/>
  <c r="G248" i="15"/>
  <c r="D248" i="15"/>
  <c r="J250" i="15"/>
  <c r="C250" i="15" s="1"/>
  <c r="R316" i="15" l="1"/>
  <c r="Q317" i="15"/>
  <c r="M250" i="15"/>
  <c r="O251" i="15" s="1"/>
  <c r="B250" i="15"/>
  <c r="G250" i="15"/>
  <c r="L250" i="15"/>
  <c r="D249" i="15"/>
  <c r="D250" i="15" s="1"/>
  <c r="F248" i="15"/>
  <c r="E248" i="15" l="1"/>
  <c r="F249" i="15"/>
  <c r="J251" i="15"/>
  <c r="C251" i="15" s="1"/>
  <c r="R317" i="15"/>
  <c r="T318" i="15" s="1"/>
  <c r="B251" i="15" l="1"/>
  <c r="M251" i="15"/>
  <c r="Q318" i="15"/>
  <c r="T319" i="15" s="1"/>
  <c r="F250" i="15"/>
  <c r="E249" i="15"/>
  <c r="L251" i="15"/>
  <c r="O252" i="15" s="1"/>
  <c r="E250" i="15" l="1"/>
  <c r="J252" i="15"/>
  <c r="C252" i="15" s="1"/>
  <c r="Q319" i="15"/>
  <c r="R318" i="15"/>
  <c r="G251" i="15"/>
  <c r="D251" i="15"/>
  <c r="F251" i="15" s="1"/>
  <c r="E251" i="15" l="1"/>
  <c r="B252" i="15"/>
  <c r="G252" i="15"/>
  <c r="R319" i="15"/>
  <c r="T320" i="15" s="1"/>
  <c r="L252" i="15"/>
  <c r="O253" i="15" s="1"/>
  <c r="M252" i="15"/>
  <c r="Q320" i="15" l="1"/>
  <c r="T321" i="15" s="1"/>
  <c r="J253" i="15"/>
  <c r="C253" i="15" s="1"/>
  <c r="D252" i="15"/>
  <c r="M253" i="15" l="1"/>
  <c r="Q321" i="15"/>
  <c r="T322" i="15" s="1"/>
  <c r="F252" i="15"/>
  <c r="B253" i="15"/>
  <c r="G253" i="15"/>
  <c r="L253" i="15"/>
  <c r="O254" i="15" s="1"/>
  <c r="R320" i="15"/>
  <c r="Q322" i="15" l="1"/>
  <c r="T323" i="15" s="1"/>
  <c r="E252" i="15"/>
  <c r="D253" i="15"/>
  <c r="R321" i="15"/>
  <c r="R322" i="15" l="1"/>
  <c r="Q323" i="15"/>
  <c r="T324" i="15" s="1"/>
  <c r="F253" i="15"/>
  <c r="J254" i="15"/>
  <c r="C254" i="15" s="1"/>
  <c r="M254" i="15"/>
  <c r="L254" i="15"/>
  <c r="O255" i="15" s="1"/>
  <c r="R323" i="15" l="1"/>
  <c r="Q324" i="15"/>
  <c r="J255" i="15"/>
  <c r="C255" i="15" s="1"/>
  <c r="E253" i="15"/>
  <c r="B254" i="15"/>
  <c r="M255" i="15" l="1"/>
  <c r="L255" i="15"/>
  <c r="O256" i="15" s="1"/>
  <c r="G255" i="15"/>
  <c r="B255" i="15"/>
  <c r="R324" i="15"/>
  <c r="T325" i="15" s="1"/>
  <c r="G254" i="15"/>
  <c r="D254" i="15"/>
  <c r="D255" i="15" l="1"/>
  <c r="F254" i="15"/>
  <c r="Q325" i="15"/>
  <c r="J256" i="15"/>
  <c r="C256" i="15" s="1"/>
  <c r="M256" i="15" l="1"/>
  <c r="O257" i="15" s="1"/>
  <c r="B256" i="15"/>
  <c r="G256" i="15"/>
  <c r="L256" i="15"/>
  <c r="R325" i="15"/>
  <c r="T326" i="15" s="1"/>
  <c r="E254" i="15"/>
  <c r="F255" i="15"/>
  <c r="J257" i="15" l="1"/>
  <c r="D256" i="15"/>
  <c r="Q326" i="15"/>
  <c r="M257" i="15"/>
  <c r="O258" i="15" s="1"/>
  <c r="L257" i="15"/>
  <c r="E255" i="15"/>
  <c r="C257" i="15" l="1"/>
  <c r="G257" i="15" s="1"/>
  <c r="B257" i="15"/>
  <c r="F256" i="15"/>
  <c r="E256" i="15" s="1"/>
  <c r="J258" i="15"/>
  <c r="C258" i="15" s="1"/>
  <c r="R326" i="15"/>
  <c r="T327" i="15" s="1"/>
  <c r="D257" i="15" l="1"/>
  <c r="F257" i="15" s="1"/>
  <c r="E257" i="15" s="1"/>
  <c r="Q327" i="15"/>
  <c r="L258" i="15"/>
  <c r="O259" i="15" s="1"/>
  <c r="M258" i="15"/>
  <c r="B258" i="15"/>
  <c r="J259" i="15" l="1"/>
  <c r="C259" i="15" s="1"/>
  <c r="G258" i="15"/>
  <c r="D258" i="15"/>
  <c r="R327" i="15"/>
  <c r="T328" i="15" s="1"/>
  <c r="F258" i="15" l="1"/>
  <c r="L259" i="15"/>
  <c r="O260" i="15" s="1"/>
  <c r="G259" i="15"/>
  <c r="B259" i="15"/>
  <c r="Q328" i="15"/>
  <c r="M259" i="15"/>
  <c r="R328" i="15" l="1"/>
  <c r="T329" i="15" s="1"/>
  <c r="E258" i="15"/>
  <c r="J260" i="15"/>
  <c r="C260" i="15" s="1"/>
  <c r="D259" i="15"/>
  <c r="B260" i="15" l="1"/>
  <c r="G260" i="15"/>
  <c r="F259" i="15"/>
  <c r="Q329" i="15"/>
  <c r="L260" i="15"/>
  <c r="O261" i="15" s="1"/>
  <c r="M260" i="15"/>
  <c r="J261" i="15" l="1"/>
  <c r="C261" i="15" s="1"/>
  <c r="R329" i="15"/>
  <c r="T330" i="15" s="1"/>
  <c r="D260" i="15"/>
  <c r="F260" i="15" s="1"/>
  <c r="E259" i="15"/>
  <c r="B261" i="15" l="1"/>
  <c r="G261" i="15"/>
  <c r="L261" i="15"/>
  <c r="E260" i="15"/>
  <c r="Q330" i="15"/>
  <c r="M261" i="15"/>
  <c r="O262" i="15" s="1"/>
  <c r="R330" i="15" l="1"/>
  <c r="T331" i="15" s="1"/>
  <c r="J262" i="15"/>
  <c r="C262" i="15" s="1"/>
  <c r="D261" i="15"/>
  <c r="F261" i="15" l="1"/>
  <c r="M262" i="15"/>
  <c r="O263" i="15" s="1"/>
  <c r="B262" i="15"/>
  <c r="G262" i="15"/>
  <c r="L262" i="15"/>
  <c r="Q331" i="15"/>
  <c r="R331" i="15" l="1"/>
  <c r="T332" i="15" s="1"/>
  <c r="J263" i="15"/>
  <c r="C263" i="15" s="1"/>
  <c r="E261" i="15"/>
  <c r="D262" i="15"/>
  <c r="F262" i="15" l="1"/>
  <c r="B263" i="15"/>
  <c r="G263" i="15"/>
  <c r="M263" i="15"/>
  <c r="O264" i="15" s="1"/>
  <c r="L263" i="15"/>
  <c r="Q332" i="15"/>
  <c r="T333" i="15" s="1"/>
  <c r="J264" i="15" l="1"/>
  <c r="C264" i="15" s="1"/>
  <c r="Q333" i="15"/>
  <c r="R332" i="15"/>
  <c r="E262" i="15"/>
  <c r="D263" i="15"/>
  <c r="F263" i="15" s="1"/>
  <c r="L264" i="15" l="1"/>
  <c r="R333" i="15"/>
  <c r="B264" i="15"/>
  <c r="G264" i="15"/>
  <c r="E263" i="15"/>
  <c r="M264" i="15"/>
  <c r="O265" i="15" s="1"/>
  <c r="T334" i="15" l="1"/>
  <c r="Q334" i="15" s="1"/>
  <c r="D264" i="15"/>
  <c r="R334" i="15" l="1"/>
  <c r="T335" i="15" s="1"/>
  <c r="Q335" i="15" s="1"/>
  <c r="F264" i="15"/>
  <c r="J265" i="15"/>
  <c r="C265" i="15" s="1"/>
  <c r="L265" i="15"/>
  <c r="M265" i="15"/>
  <c r="O266" i="15" s="1"/>
  <c r="J266" i="15" l="1"/>
  <c r="C266" i="15" s="1"/>
  <c r="E264" i="15"/>
  <c r="B265" i="15"/>
  <c r="R335" i="15"/>
  <c r="T336" i="15" s="1"/>
  <c r="L266" i="15" l="1"/>
  <c r="G265" i="15"/>
  <c r="D265" i="15"/>
  <c r="B266" i="15"/>
  <c r="G266" i="15"/>
  <c r="Q336" i="15"/>
  <c r="M266" i="15"/>
  <c r="O267" i="15" s="1"/>
  <c r="R336" i="15" l="1"/>
  <c r="T337" i="15" s="1"/>
  <c r="D266" i="15"/>
  <c r="F265" i="15"/>
  <c r="E265" i="15" l="1"/>
  <c r="F266" i="15"/>
  <c r="Q337" i="15"/>
  <c r="J267" i="15"/>
  <c r="C267" i="15" s="1"/>
  <c r="L267" i="15"/>
  <c r="M267" i="15"/>
  <c r="O268" i="15" s="1"/>
  <c r="R337" i="15" l="1"/>
  <c r="J268" i="15"/>
  <c r="C268" i="15" s="1"/>
  <c r="E266" i="15"/>
  <c r="B267" i="15"/>
  <c r="T338" i="15" l="1"/>
  <c r="Q338" i="15" s="1"/>
  <c r="B268" i="15"/>
  <c r="G268" i="15"/>
  <c r="M268" i="15"/>
  <c r="G267" i="15"/>
  <c r="D267" i="15"/>
  <c r="L268" i="15"/>
  <c r="O269" i="15" s="1"/>
  <c r="R338" i="15" l="1"/>
  <c r="T339" i="15" s="1"/>
  <c r="Q339" i="15" s="1"/>
  <c r="D268" i="15"/>
  <c r="F267" i="15"/>
  <c r="J269" i="15"/>
  <c r="C269" i="15" s="1"/>
  <c r="M269" i="15" l="1"/>
  <c r="R339" i="15"/>
  <c r="T340" i="15" s="1"/>
  <c r="E267" i="15"/>
  <c r="F268" i="15"/>
  <c r="B269" i="15"/>
  <c r="G269" i="15"/>
  <c r="L269" i="15"/>
  <c r="O270" i="15" s="1"/>
  <c r="E268" i="15" l="1"/>
  <c r="D269" i="15"/>
  <c r="Q340" i="15"/>
  <c r="R340" i="15" l="1"/>
  <c r="T341" i="15" s="1"/>
  <c r="F269" i="15"/>
  <c r="J270" i="15"/>
  <c r="C270" i="15" s="1"/>
  <c r="M270" i="15"/>
  <c r="L270" i="15"/>
  <c r="O271" i="15" s="1"/>
  <c r="J271" i="15" l="1"/>
  <c r="C271" i="15" s="1"/>
  <c r="B270" i="15"/>
  <c r="E269" i="15"/>
  <c r="Q341" i="15"/>
  <c r="R341" i="15" l="1"/>
  <c r="T342" i="15" s="1"/>
  <c r="Q342" i="15" s="1"/>
  <c r="L271" i="15"/>
  <c r="O272" i="15" s="1"/>
  <c r="G270" i="15"/>
  <c r="D270" i="15"/>
  <c r="B271" i="15"/>
  <c r="G271" i="15"/>
  <c r="M271" i="15"/>
  <c r="J272" i="15" l="1"/>
  <c r="R342" i="15"/>
  <c r="T343" i="15" s="1"/>
  <c r="M272" i="15"/>
  <c r="D271" i="15"/>
  <c r="F270" i="15"/>
  <c r="C272" i="15" l="1"/>
  <c r="G272" i="15" s="1"/>
  <c r="B272" i="15"/>
  <c r="L272" i="15"/>
  <c r="E270" i="15"/>
  <c r="F271" i="15"/>
  <c r="Q343" i="15"/>
  <c r="D272" i="15" l="1"/>
  <c r="F272" i="15" s="1"/>
  <c r="O273" i="15"/>
  <c r="J273" i="15" s="1"/>
  <c r="R343" i="15"/>
  <c r="T344" i="15" s="1"/>
  <c r="E271" i="15"/>
  <c r="M273" i="15" l="1"/>
  <c r="L273" i="15"/>
  <c r="O274" i="15" s="1"/>
  <c r="C273" i="15"/>
  <c r="G273" i="15" s="1"/>
  <c r="B273" i="15"/>
  <c r="E272" i="15"/>
  <c r="J274" i="15"/>
  <c r="C274" i="15" s="1"/>
  <c r="Q344" i="15"/>
  <c r="T345" i="15" s="1"/>
  <c r="D273" i="15" l="1"/>
  <c r="F273" i="15" s="1"/>
  <c r="E273" i="15" s="1"/>
  <c r="R344" i="15"/>
  <c r="B274" i="15"/>
  <c r="G274" i="15"/>
  <c r="L274" i="15"/>
  <c r="Q345" i="15"/>
  <c r="T346" i="15" s="1"/>
  <c r="M274" i="15"/>
  <c r="O275" i="15" s="1"/>
  <c r="D274" i="15" l="1"/>
  <c r="F274" i="15" s="1"/>
  <c r="E274" i="15" s="1"/>
  <c r="R345" i="15"/>
  <c r="J275" i="15"/>
  <c r="C275" i="15" s="1"/>
  <c r="R346" i="15" l="1"/>
  <c r="Q346" i="15"/>
  <c r="T347" i="15" s="1"/>
  <c r="B275" i="15"/>
  <c r="M275" i="15"/>
  <c r="O276" i="15" s="1"/>
  <c r="L275" i="15"/>
  <c r="G275" i="15" l="1"/>
  <c r="D275" i="15"/>
  <c r="J276" i="15"/>
  <c r="C276" i="15" s="1"/>
  <c r="R347" i="15"/>
  <c r="M276" i="15" l="1"/>
  <c r="Q347" i="15"/>
  <c r="T348" i="15" s="1"/>
  <c r="B276" i="15"/>
  <c r="G276" i="15"/>
  <c r="F275" i="15"/>
  <c r="L276" i="15"/>
  <c r="O277" i="15" s="1"/>
  <c r="D276" i="15" l="1"/>
  <c r="F276" i="15" s="1"/>
  <c r="E275" i="15"/>
  <c r="R348" i="15"/>
  <c r="E276" i="15" l="1"/>
  <c r="Q348" i="15"/>
  <c r="T349" i="15" s="1"/>
  <c r="J277" i="15"/>
  <c r="C277" i="15" s="1"/>
  <c r="M277" i="15"/>
  <c r="L277" i="15"/>
  <c r="O278" i="15" s="1"/>
  <c r="B277" i="15" l="1"/>
  <c r="R349" i="15"/>
  <c r="J278" i="15"/>
  <c r="C278" i="15" s="1"/>
  <c r="L278" i="15" l="1"/>
  <c r="O279" i="15" s="1"/>
  <c r="B278" i="15"/>
  <c r="G278" i="15"/>
  <c r="Q349" i="15"/>
  <c r="T350" i="15" s="1"/>
  <c r="M278" i="15"/>
  <c r="G277" i="15"/>
  <c r="D277" i="15"/>
  <c r="D278" i="15" l="1"/>
  <c r="F277" i="15"/>
  <c r="R350" i="15"/>
  <c r="J279" i="15"/>
  <c r="C279" i="15" s="1"/>
  <c r="B279" i="15" l="1"/>
  <c r="G279" i="15"/>
  <c r="M279" i="15"/>
  <c r="L279" i="15"/>
  <c r="O280" i="15" s="1"/>
  <c r="Q350" i="15"/>
  <c r="T351" i="15" s="1"/>
  <c r="E277" i="15"/>
  <c r="F278" i="15"/>
  <c r="R351" i="15" l="1"/>
  <c r="J280" i="15"/>
  <c r="C280" i="15" s="1"/>
  <c r="D279" i="15"/>
  <c r="F279" i="15" s="1"/>
  <c r="E278" i="15"/>
  <c r="M280" i="15" l="1"/>
  <c r="B280" i="15"/>
  <c r="G280" i="15"/>
  <c r="L280" i="15"/>
  <c r="O281" i="15" s="1"/>
  <c r="E279" i="15"/>
  <c r="D280" i="15"/>
  <c r="F280" i="15" s="1"/>
  <c r="Q351" i="15"/>
  <c r="T352" i="15" s="1"/>
  <c r="E280" i="15" l="1"/>
  <c r="R352" i="15"/>
  <c r="T353" i="15" s="1"/>
  <c r="R353" i="15" l="1"/>
  <c r="T354" i="15" s="1"/>
  <c r="Q352" i="15"/>
  <c r="J281" i="15"/>
  <c r="C281" i="15" s="1"/>
  <c r="M281" i="15"/>
  <c r="O282" i="15" s="1"/>
  <c r="L281" i="15"/>
  <c r="Q353" i="15" l="1"/>
  <c r="R354" i="15"/>
  <c r="T355" i="15" s="1"/>
  <c r="J282" i="15"/>
  <c r="C282" i="15" s="1"/>
  <c r="B281" i="15"/>
  <c r="Q354" i="15" l="1"/>
  <c r="R355" i="15"/>
  <c r="T356" i="15" s="1"/>
  <c r="G281" i="15"/>
  <c r="D281" i="15"/>
  <c r="B282" i="15"/>
  <c r="G282" i="15"/>
  <c r="M282" i="15"/>
  <c r="L282" i="15"/>
  <c r="O283" i="15" s="1"/>
  <c r="R356" i="15" l="1"/>
  <c r="T357" i="15" s="1"/>
  <c r="D282" i="15"/>
  <c r="F281" i="15"/>
  <c r="Q355" i="15"/>
  <c r="J283" i="15"/>
  <c r="C283" i="15" s="1"/>
  <c r="Q356" i="15" l="1"/>
  <c r="R357" i="15"/>
  <c r="G283" i="15"/>
  <c r="B283" i="15"/>
  <c r="L283" i="15"/>
  <c r="O284" i="15" s="1"/>
  <c r="E281" i="15"/>
  <c r="F282" i="15"/>
  <c r="M283" i="15"/>
  <c r="Q357" i="15" l="1"/>
  <c r="J284" i="15"/>
  <c r="C284" i="15" s="1"/>
  <c r="E282" i="15"/>
  <c r="D283" i="15"/>
  <c r="F283" i="15" s="1"/>
  <c r="T358" i="15" l="1"/>
  <c r="R358" i="15" s="1"/>
  <c r="B284" i="15"/>
  <c r="G284" i="15"/>
  <c r="L284" i="15"/>
  <c r="E283" i="15"/>
  <c r="M284" i="15"/>
  <c r="O285" i="15" s="1"/>
  <c r="Q358" i="15" l="1"/>
  <c r="T359" i="15" s="1"/>
  <c r="R359" i="15" s="1"/>
  <c r="J285" i="15"/>
  <c r="C285" i="15" s="1"/>
  <c r="D284" i="15"/>
  <c r="L285" i="15" l="1"/>
  <c r="F284" i="15"/>
  <c r="Q359" i="15"/>
  <c r="T360" i="15" s="1"/>
  <c r="G285" i="15"/>
  <c r="B285" i="15"/>
  <c r="M285" i="15"/>
  <c r="O286" i="15" s="1"/>
  <c r="R360" i="15" l="1"/>
  <c r="E284" i="15"/>
  <c r="D285" i="15"/>
  <c r="F285" i="15" l="1"/>
  <c r="Q360" i="15"/>
  <c r="T361" i="15" s="1"/>
  <c r="J286" i="15"/>
  <c r="C286" i="15" s="1"/>
  <c r="L286" i="15"/>
  <c r="M286" i="15"/>
  <c r="O287" i="15" s="1"/>
  <c r="J287" i="15" l="1"/>
  <c r="C287" i="15" s="1"/>
  <c r="B286" i="15"/>
  <c r="E285" i="15"/>
  <c r="R361" i="15"/>
  <c r="L287" i="15" l="1"/>
  <c r="O288" i="15" s="1"/>
  <c r="J288" i="15" s="1"/>
  <c r="C288" i="15" s="1"/>
  <c r="Q361" i="15"/>
  <c r="G287" i="15"/>
  <c r="B287" i="15"/>
  <c r="G286" i="15"/>
  <c r="D286" i="15"/>
  <c r="M287" i="15"/>
  <c r="T362" i="15" l="1"/>
  <c r="R362" i="15" s="1"/>
  <c r="M288" i="15"/>
  <c r="B288" i="15"/>
  <c r="G288" i="15"/>
  <c r="D287" i="15"/>
  <c r="D288" i="15" s="1"/>
  <c r="F286" i="15"/>
  <c r="L288" i="15"/>
  <c r="O289" i="15" s="1"/>
  <c r="Q362" i="15" l="1"/>
  <c r="T363" i="15" s="1"/>
  <c r="R363" i="15" s="1"/>
  <c r="L289" i="15"/>
  <c r="O290" i="15" s="1"/>
  <c r="E286" i="15"/>
  <c r="F287" i="15"/>
  <c r="J290" i="15" l="1"/>
  <c r="C290" i="15" s="1"/>
  <c r="E287" i="15"/>
  <c r="F288" i="15"/>
  <c r="Q363" i="15"/>
  <c r="T364" i="15" s="1"/>
  <c r="J289" i="15"/>
  <c r="C289" i="15" s="1"/>
  <c r="M289" i="15"/>
  <c r="M290" i="15" s="1"/>
  <c r="R364" i="15" l="1"/>
  <c r="E288" i="15"/>
  <c r="B289" i="15"/>
  <c r="B290" i="15"/>
  <c r="G290" i="15"/>
  <c r="L290" i="15"/>
  <c r="O291" i="15" s="1"/>
  <c r="G289" i="15" l="1"/>
  <c r="D289" i="15"/>
  <c r="Q364" i="15"/>
  <c r="T365" i="15" s="1"/>
  <c r="J291" i="15" l="1"/>
  <c r="C291" i="15" s="1"/>
  <c r="M291" i="15"/>
  <c r="O292" i="15" s="1"/>
  <c r="D290" i="15"/>
  <c r="F289" i="15"/>
  <c r="R365" i="15"/>
  <c r="L291" i="15"/>
  <c r="Q365" i="15" l="1"/>
  <c r="T366" i="15" s="1"/>
  <c r="E289" i="15"/>
  <c r="F290" i="15"/>
  <c r="J292" i="15"/>
  <c r="C292" i="15" s="1"/>
  <c r="G291" i="15"/>
  <c r="B291" i="15"/>
  <c r="D291" i="15" l="1"/>
  <c r="F291" i="15" s="1"/>
  <c r="M292" i="15"/>
  <c r="B292" i="15"/>
  <c r="G292" i="15"/>
  <c r="L292" i="15"/>
  <c r="O293" i="15" s="1"/>
  <c r="E290" i="15"/>
  <c r="R366" i="15"/>
  <c r="Q366" i="15" l="1"/>
  <c r="J293" i="15"/>
  <c r="C293" i="15" s="1"/>
  <c r="E291" i="15"/>
  <c r="D292" i="15"/>
  <c r="F292" i="15" s="1"/>
  <c r="T367" i="15" l="1"/>
  <c r="Q367" i="15" s="1"/>
  <c r="M293" i="15"/>
  <c r="E292" i="15"/>
  <c r="G293" i="15"/>
  <c r="B293" i="15"/>
  <c r="L293" i="15"/>
  <c r="O294" i="15" s="1"/>
  <c r="T368" i="15" l="1"/>
  <c r="Q368" i="15" s="1"/>
  <c r="R367" i="15"/>
  <c r="D293" i="15"/>
  <c r="L294" i="15"/>
  <c r="R368" i="15" l="1"/>
  <c r="T369" i="15"/>
  <c r="Q369" i="15" s="1"/>
  <c r="T370" i="15" s="1"/>
  <c r="J294" i="15"/>
  <c r="C294" i="15" s="1"/>
  <c r="M294" i="15"/>
  <c r="O295" i="15" s="1"/>
  <c r="F293" i="15"/>
  <c r="R369" i="15" l="1"/>
  <c r="R370" i="15" s="1"/>
  <c r="Q370" i="15"/>
  <c r="T371" i="15" s="1"/>
  <c r="Q371" i="15" s="1"/>
  <c r="T372" i="15" s="1"/>
  <c r="E293" i="15"/>
  <c r="M295" i="15"/>
  <c r="O296" i="15" s="1"/>
  <c r="B294" i="15"/>
  <c r="J296" i="15" l="1"/>
  <c r="C296" i="15" s="1"/>
  <c r="Q372" i="15"/>
  <c r="J295" i="15"/>
  <c r="C295" i="15" s="1"/>
  <c r="L295" i="15"/>
  <c r="R371" i="15"/>
  <c r="G294" i="15"/>
  <c r="D294" i="15"/>
  <c r="L296" i="15" l="1"/>
  <c r="R372" i="15"/>
  <c r="B296" i="15"/>
  <c r="G296" i="15"/>
  <c r="G295" i="15"/>
  <c r="B295" i="15"/>
  <c r="F294" i="15"/>
  <c r="M296" i="15"/>
  <c r="O297" i="15" s="1"/>
  <c r="T373" i="15" l="1"/>
  <c r="Q373" i="15" s="1"/>
  <c r="E294" i="15"/>
  <c r="D295" i="15"/>
  <c r="D296" i="15" s="1"/>
  <c r="R373" i="15" l="1"/>
  <c r="T374" i="15" s="1"/>
  <c r="Q374" i="15" s="1"/>
  <c r="F295" i="15"/>
  <c r="J297" i="15"/>
  <c r="C297" i="15" s="1"/>
  <c r="L297" i="15"/>
  <c r="M297" i="15"/>
  <c r="O298" i="15" s="1"/>
  <c r="J298" i="15" l="1"/>
  <c r="C298" i="15" s="1"/>
  <c r="B297" i="15"/>
  <c r="E295" i="15"/>
  <c r="F296" i="15"/>
  <c r="R374" i="15"/>
  <c r="T375" i="15" s="1"/>
  <c r="L298" i="15" l="1"/>
  <c r="O299" i="15" s="1"/>
  <c r="E296" i="15"/>
  <c r="G297" i="15"/>
  <c r="D297" i="15"/>
  <c r="F297" i="15" s="1"/>
  <c r="B298" i="15"/>
  <c r="G298" i="15"/>
  <c r="Q375" i="15"/>
  <c r="T376" i="15" s="1"/>
  <c r="M298" i="15"/>
  <c r="J299" i="15" l="1"/>
  <c r="M299" i="15"/>
  <c r="E297" i="15"/>
  <c r="Q376" i="15"/>
  <c r="T377" i="15" s="1"/>
  <c r="D298" i="15"/>
  <c r="R375" i="15"/>
  <c r="L299" i="15"/>
  <c r="O300" i="15" s="1"/>
  <c r="C299" i="15" l="1"/>
  <c r="G299" i="15" s="1"/>
  <c r="B299" i="15"/>
  <c r="Q377" i="15"/>
  <c r="T378" i="15" s="1"/>
  <c r="F298" i="15"/>
  <c r="R376" i="15"/>
  <c r="D299" i="15" l="1"/>
  <c r="F299" i="15" s="1"/>
  <c r="R377" i="15"/>
  <c r="Q378" i="15"/>
  <c r="T379" i="15" s="1"/>
  <c r="J300" i="15"/>
  <c r="C300" i="15" s="1"/>
  <c r="M300" i="15"/>
  <c r="O301" i="15" s="1"/>
  <c r="E298" i="15"/>
  <c r="L300" i="15"/>
  <c r="R378" i="15" l="1"/>
  <c r="Q379" i="15"/>
  <c r="E299" i="15"/>
  <c r="J301" i="15"/>
  <c r="C301" i="15" s="1"/>
  <c r="B300" i="15"/>
  <c r="B301" i="15" l="1"/>
  <c r="G301" i="15"/>
  <c r="M301" i="15"/>
  <c r="O302" i="15" s="1"/>
  <c r="L301" i="15"/>
  <c r="R379" i="15"/>
  <c r="T380" i="15" s="1"/>
  <c r="G300" i="15"/>
  <c r="D300" i="15"/>
  <c r="Q380" i="15" l="1"/>
  <c r="J302" i="15"/>
  <c r="C302" i="15" s="1"/>
  <c r="D301" i="15"/>
  <c r="F300" i="15"/>
  <c r="L302" i="15" l="1"/>
  <c r="O303" i="15" s="1"/>
  <c r="E300" i="15"/>
  <c r="F301" i="15"/>
  <c r="M302" i="15"/>
  <c r="B302" i="15"/>
  <c r="G302" i="15"/>
  <c r="R380" i="15"/>
  <c r="T381" i="15" s="1"/>
  <c r="J303" i="15" l="1"/>
  <c r="Q381" i="15"/>
  <c r="T382" i="15" s="1"/>
  <c r="E301" i="15"/>
  <c r="D302" i="15"/>
  <c r="F302" i="15" s="1"/>
  <c r="C303" i="15" l="1"/>
  <c r="G303" i="15" s="1"/>
  <c r="B303" i="15"/>
  <c r="M303" i="15"/>
  <c r="L303" i="15"/>
  <c r="O304" i="15" s="1"/>
  <c r="E302" i="15"/>
  <c r="R381" i="15"/>
  <c r="Q382" i="15"/>
  <c r="D303" i="15" l="1"/>
  <c r="F303" i="15" s="1"/>
  <c r="J304" i="15"/>
  <c r="C304" i="15" s="1"/>
  <c r="M304" i="15"/>
  <c r="O305" i="15" s="1"/>
  <c r="L304" i="15"/>
  <c r="R382" i="15"/>
  <c r="T383" i="15" s="1"/>
  <c r="E303" i="15" l="1"/>
  <c r="Q383" i="15"/>
  <c r="J305" i="15"/>
  <c r="C305" i="15" s="1"/>
  <c r="B304" i="15"/>
  <c r="R383" i="15" l="1"/>
  <c r="T384" i="15" s="1"/>
  <c r="B305" i="15"/>
  <c r="G305" i="15"/>
  <c r="M305" i="15"/>
  <c r="O306" i="15" s="1"/>
  <c r="G304" i="15"/>
  <c r="D304" i="15"/>
  <c r="L305" i="15"/>
  <c r="J306" i="15" l="1"/>
  <c r="C306" i="15" s="1"/>
  <c r="D305" i="15"/>
  <c r="F304" i="15"/>
  <c r="Q384" i="15"/>
  <c r="T385" i="15" s="1"/>
  <c r="Q385" i="15" l="1"/>
  <c r="T386" i="15" s="1"/>
  <c r="R384" i="15"/>
  <c r="E304" i="15"/>
  <c r="F305" i="15"/>
  <c r="B306" i="15"/>
  <c r="G306" i="15"/>
  <c r="M306" i="15"/>
  <c r="L306" i="15"/>
  <c r="O307" i="15" s="1"/>
  <c r="R385" i="15" l="1"/>
  <c r="Q386" i="15"/>
  <c r="T387" i="15" s="1"/>
  <c r="E305" i="15"/>
  <c r="D306" i="15"/>
  <c r="F306" i="15" s="1"/>
  <c r="J307" i="15"/>
  <c r="C307" i="15" s="1"/>
  <c r="E306" i="15" l="1"/>
  <c r="Q387" i="15"/>
  <c r="T388" i="15" s="1"/>
  <c r="L307" i="15"/>
  <c r="O308" i="15" s="1"/>
  <c r="B307" i="15"/>
  <c r="G307" i="15"/>
  <c r="R386" i="15"/>
  <c r="M307" i="15"/>
  <c r="Q388" i="15" l="1"/>
  <c r="T389" i="15" s="1"/>
  <c r="J308" i="15"/>
  <c r="C308" i="15" s="1"/>
  <c r="D307" i="15"/>
  <c r="R387" i="15"/>
  <c r="M308" i="15" l="1"/>
  <c r="R388" i="15"/>
  <c r="Q389" i="15"/>
  <c r="T390" i="15" s="1"/>
  <c r="F307" i="15"/>
  <c r="L308" i="15"/>
  <c r="O309" i="15" s="1"/>
  <c r="B308" i="15"/>
  <c r="G308" i="15"/>
  <c r="R389" i="15" l="1"/>
  <c r="D308" i="15"/>
  <c r="F308" i="15" s="1"/>
  <c r="Q390" i="15"/>
  <c r="E307" i="15"/>
  <c r="J309" i="15" l="1"/>
  <c r="C309" i="15" s="1"/>
  <c r="M309" i="15"/>
  <c r="L309" i="15"/>
  <c r="O310" i="15" s="1"/>
  <c r="R390" i="15"/>
  <c r="T391" i="15" s="1"/>
  <c r="E308" i="15"/>
  <c r="J310" i="15" l="1"/>
  <c r="C310" i="15" s="1"/>
  <c r="Q391" i="15"/>
  <c r="B309" i="15"/>
  <c r="M310" i="15" l="1"/>
  <c r="O311" i="15" s="1"/>
  <c r="J311" i="15" s="1"/>
  <c r="C311" i="15" s="1"/>
  <c r="R391" i="15"/>
  <c r="T392" i="15" s="1"/>
  <c r="G309" i="15"/>
  <c r="D309" i="15"/>
  <c r="B310" i="15"/>
  <c r="G310" i="15"/>
  <c r="L310" i="15"/>
  <c r="D310" i="15" l="1"/>
  <c r="F309" i="15"/>
  <c r="Q392" i="15"/>
  <c r="B311" i="15"/>
  <c r="G311" i="15"/>
  <c r="M311" i="15"/>
  <c r="O312" i="15" s="1"/>
  <c r="L311" i="15"/>
  <c r="E309" i="15" l="1"/>
  <c r="F310" i="15"/>
  <c r="J312" i="15"/>
  <c r="C312" i="15" s="1"/>
  <c r="R392" i="15"/>
  <c r="T393" i="15" s="1"/>
  <c r="D311" i="15"/>
  <c r="B312" i="15" l="1"/>
  <c r="G312" i="15"/>
  <c r="Q393" i="15"/>
  <c r="L312" i="15"/>
  <c r="D312" i="15"/>
  <c r="M312" i="15"/>
  <c r="O313" i="15" s="1"/>
  <c r="E310" i="15"/>
  <c r="F311" i="15"/>
  <c r="J313" i="15" l="1"/>
  <c r="C313" i="15" s="1"/>
  <c r="R393" i="15"/>
  <c r="T394" i="15" s="1"/>
  <c r="E311" i="15"/>
  <c r="F312" i="15"/>
  <c r="Q394" i="15" l="1"/>
  <c r="T395" i="15" s="1"/>
  <c r="E312" i="15"/>
  <c r="L313" i="15"/>
  <c r="B313" i="15"/>
  <c r="M313" i="15"/>
  <c r="O314" i="15" s="1"/>
  <c r="J314" i="15" l="1"/>
  <c r="C314" i="15" s="1"/>
  <c r="Q395" i="15"/>
  <c r="T396" i="15" s="1"/>
  <c r="G313" i="15"/>
  <c r="D313" i="15"/>
  <c r="R394" i="15"/>
  <c r="R395" i="15" l="1"/>
  <c r="Q396" i="15"/>
  <c r="T397" i="15" s="1"/>
  <c r="F313" i="15"/>
  <c r="B314" i="15"/>
  <c r="G314" i="15"/>
  <c r="M314" i="15"/>
  <c r="O315" i="15" s="1"/>
  <c r="L314" i="15"/>
  <c r="R396" i="15" l="1"/>
  <c r="Q397" i="15"/>
  <c r="T398" i="15" s="1"/>
  <c r="J315" i="15"/>
  <c r="C315" i="15" s="1"/>
  <c r="E313" i="15"/>
  <c r="D314" i="15"/>
  <c r="F314" i="15" s="1"/>
  <c r="R397" i="15" l="1"/>
  <c r="R398" i="15" s="1"/>
  <c r="E314" i="15"/>
  <c r="B315" i="15"/>
  <c r="G315" i="15"/>
  <c r="M315" i="15"/>
  <c r="O316" i="15" s="1"/>
  <c r="L315" i="15"/>
  <c r="D315" i="15" l="1"/>
  <c r="Q398" i="15"/>
  <c r="T399" i="15" s="1"/>
  <c r="J316" i="15"/>
  <c r="C316" i="15" s="1"/>
  <c r="M316" i="15" l="1"/>
  <c r="R399" i="15"/>
  <c r="B316" i="15"/>
  <c r="G316" i="15"/>
  <c r="L316" i="15"/>
  <c r="O317" i="15" s="1"/>
  <c r="F315" i="15"/>
  <c r="E315" i="15" l="1"/>
  <c r="J317" i="15"/>
  <c r="C317" i="15" s="1"/>
  <c r="D316" i="15"/>
  <c r="Q399" i="15"/>
  <c r="T400" i="15" s="1"/>
  <c r="M317" i="15" l="1"/>
  <c r="R400" i="15"/>
  <c r="B317" i="15"/>
  <c r="G317" i="15"/>
  <c r="L317" i="15"/>
  <c r="O318" i="15" s="1"/>
  <c r="F316" i="15"/>
  <c r="E316" i="15" l="1"/>
  <c r="Q400" i="15"/>
  <c r="T401" i="15" s="1"/>
  <c r="D317" i="15"/>
  <c r="J318" i="15" l="1"/>
  <c r="C318" i="15" s="1"/>
  <c r="M318" i="15"/>
  <c r="R401" i="15"/>
  <c r="L318" i="15"/>
  <c r="O319" i="15" s="1"/>
  <c r="F317" i="15"/>
  <c r="E317" i="15" l="1"/>
  <c r="J319" i="15"/>
  <c r="C319" i="15" s="1"/>
  <c r="Q401" i="15"/>
  <c r="T402" i="15" s="1"/>
  <c r="B318" i="15"/>
  <c r="G319" i="15" l="1"/>
  <c r="B319" i="15"/>
  <c r="M319" i="15"/>
  <c r="L319" i="15"/>
  <c r="O320" i="15" s="1"/>
  <c r="R402" i="15"/>
  <c r="G318" i="15"/>
  <c r="D318" i="15"/>
  <c r="D319" i="15" l="1"/>
  <c r="F318" i="15"/>
  <c r="Q402" i="15"/>
  <c r="T403" i="15" s="1"/>
  <c r="J320" i="15"/>
  <c r="C320" i="15" s="1"/>
  <c r="G320" i="15" l="1"/>
  <c r="B320" i="15"/>
  <c r="E318" i="15"/>
  <c r="F319" i="15"/>
  <c r="L320" i="15"/>
  <c r="M320" i="15"/>
  <c r="O321" i="15" s="1"/>
  <c r="R403" i="15"/>
  <c r="D320" i="15"/>
  <c r="J321" i="15" l="1"/>
  <c r="C321" i="15" s="1"/>
  <c r="Q403" i="15"/>
  <c r="T404" i="15" s="1"/>
  <c r="E319" i="15"/>
  <c r="F320" i="15"/>
  <c r="L321" i="15" l="1"/>
  <c r="R404" i="15"/>
  <c r="E320" i="15"/>
  <c r="B321" i="15"/>
  <c r="M321" i="15"/>
  <c r="O322" i="15" s="1"/>
  <c r="G321" i="15" l="1"/>
  <c r="D321" i="15"/>
  <c r="Q404" i="15"/>
  <c r="T405" i="15" s="1"/>
  <c r="R405" i="15" l="1"/>
  <c r="T406" i="15" s="1"/>
  <c r="J322" i="15"/>
  <c r="C322" i="15" s="1"/>
  <c r="L322" i="15"/>
  <c r="M322" i="15"/>
  <c r="O323" i="15" s="1"/>
  <c r="F321" i="15"/>
  <c r="E321" i="15" l="1"/>
  <c r="B322" i="15"/>
  <c r="J323" i="15"/>
  <c r="C323" i="15" s="1"/>
  <c r="R406" i="15"/>
  <c r="Q405" i="15"/>
  <c r="L323" i="15" l="1"/>
  <c r="Q406" i="15"/>
  <c r="T407" i="15" s="1"/>
  <c r="R407" i="15" s="1"/>
  <c r="G322" i="15"/>
  <c r="D322" i="15"/>
  <c r="G323" i="15"/>
  <c r="B323" i="15"/>
  <c r="M323" i="15"/>
  <c r="O324" i="15" s="1"/>
  <c r="Q407" i="15" l="1"/>
  <c r="M324" i="15"/>
  <c r="O325" i="15" s="1"/>
  <c r="D323" i="15"/>
  <c r="F322" i="15"/>
  <c r="T408" i="15" l="1"/>
  <c r="R408" i="15" s="1"/>
  <c r="J325" i="15"/>
  <c r="C325" i="15" s="1"/>
  <c r="E322" i="15"/>
  <c r="F323" i="15"/>
  <c r="J324" i="15"/>
  <c r="C324" i="15" s="1"/>
  <c r="L324" i="15"/>
  <c r="Q408" i="15"/>
  <c r="T409" i="15" s="1"/>
  <c r="L325" i="15" l="1"/>
  <c r="B324" i="15"/>
  <c r="E323" i="15"/>
  <c r="G325" i="15"/>
  <c r="B325" i="15"/>
  <c r="R409" i="15"/>
  <c r="M325" i="15"/>
  <c r="O326" i="15" s="1"/>
  <c r="Q409" i="15" l="1"/>
  <c r="G324" i="15"/>
  <c r="D324" i="15"/>
  <c r="T410" i="15" l="1"/>
  <c r="Q410" i="15" s="1"/>
  <c r="D325" i="15"/>
  <c r="F324" i="15"/>
  <c r="J326" i="15"/>
  <c r="C326" i="15" s="1"/>
  <c r="L326" i="15"/>
  <c r="O327" i="15" s="1"/>
  <c r="M326" i="15"/>
  <c r="R410" i="15" l="1"/>
  <c r="T411" i="15"/>
  <c r="G326" i="15"/>
  <c r="B326" i="15"/>
  <c r="E324" i="15"/>
  <c r="F325" i="15"/>
  <c r="J327" i="15"/>
  <c r="C327" i="15" s="1"/>
  <c r="R411" i="15" l="1"/>
  <c r="Q411" i="15"/>
  <c r="T412" i="15" s="1"/>
  <c r="M327" i="15"/>
  <c r="L327" i="15"/>
  <c r="O328" i="15" s="1"/>
  <c r="E325" i="15"/>
  <c r="D326" i="15"/>
  <c r="D327" i="15" s="1"/>
  <c r="G327" i="15"/>
  <c r="B327" i="15"/>
  <c r="R412" i="15" l="1"/>
  <c r="Q412" i="15"/>
  <c r="J328" i="15"/>
  <c r="L328" i="15"/>
  <c r="O329" i="15" s="1"/>
  <c r="F326" i="15"/>
  <c r="T413" i="15" l="1"/>
  <c r="R413" i="15" s="1"/>
  <c r="T414" i="15" s="1"/>
  <c r="C328" i="15"/>
  <c r="G328" i="15" s="1"/>
  <c r="B328" i="15"/>
  <c r="M328" i="15"/>
  <c r="E326" i="15"/>
  <c r="F327" i="15"/>
  <c r="D328" i="15" l="1"/>
  <c r="Q413" i="15"/>
  <c r="Q414" i="15" s="1"/>
  <c r="J329" i="15"/>
  <c r="C329" i="15" s="1"/>
  <c r="M329" i="15"/>
  <c r="O330" i="15" s="1"/>
  <c r="L329" i="15"/>
  <c r="R414" i="15"/>
  <c r="T415" i="15" s="1"/>
  <c r="E327" i="15"/>
  <c r="F328" i="15"/>
  <c r="Q415" i="15" l="1"/>
  <c r="E328" i="15"/>
  <c r="J330" i="15"/>
  <c r="C330" i="15" s="1"/>
  <c r="B329" i="15"/>
  <c r="G329" i="15" l="1"/>
  <c r="D329" i="15"/>
  <c r="L330" i="15"/>
  <c r="G330" i="15"/>
  <c r="B330" i="15"/>
  <c r="M330" i="15"/>
  <c r="O331" i="15" s="1"/>
  <c r="R415" i="15"/>
  <c r="T416" i="15" s="1"/>
  <c r="Q416" i="15" l="1"/>
  <c r="J331" i="15"/>
  <c r="C331" i="15" s="1"/>
  <c r="D330" i="15"/>
  <c r="F329" i="15"/>
  <c r="F330" i="15" l="1"/>
  <c r="E329" i="15"/>
  <c r="M331" i="15"/>
  <c r="G331" i="15"/>
  <c r="B331" i="15"/>
  <c r="L331" i="15"/>
  <c r="O332" i="15" s="1"/>
  <c r="D331" i="15"/>
  <c r="R416" i="15"/>
  <c r="T417" i="15" s="1"/>
  <c r="J332" i="15" l="1"/>
  <c r="C332" i="15" s="1"/>
  <c r="Q417" i="15"/>
  <c r="E330" i="15"/>
  <c r="F331" i="15"/>
  <c r="M332" i="15" l="1"/>
  <c r="L332" i="15"/>
  <c r="O333" i="15" s="1"/>
  <c r="E331" i="15"/>
  <c r="R417" i="15"/>
  <c r="T418" i="15" s="1"/>
  <c r="B332" i="15"/>
  <c r="J333" i="15" l="1"/>
  <c r="G332" i="15"/>
  <c r="D332" i="15"/>
  <c r="Q418" i="15"/>
  <c r="T419" i="15" s="1"/>
  <c r="C333" i="15" l="1"/>
  <c r="G333" i="15" s="1"/>
  <c r="B333" i="15"/>
  <c r="L333" i="15"/>
  <c r="M333" i="15"/>
  <c r="O334" i="15" s="1"/>
  <c r="J334" i="15" s="1"/>
  <c r="C334" i="15" s="1"/>
  <c r="Q419" i="15"/>
  <c r="T420" i="15" s="1"/>
  <c r="R418" i="15"/>
  <c r="F332" i="15"/>
  <c r="D333" i="15" l="1"/>
  <c r="F333" i="15" s="1"/>
  <c r="L334" i="15"/>
  <c r="R419" i="15"/>
  <c r="Q420" i="15"/>
  <c r="T421" i="15" s="1"/>
  <c r="M334" i="15"/>
  <c r="O335" i="15" s="1"/>
  <c r="E332" i="15"/>
  <c r="G334" i="15"/>
  <c r="B334" i="15"/>
  <c r="Q421" i="15" l="1"/>
  <c r="T422" i="15" s="1"/>
  <c r="E333" i="15"/>
  <c r="D334" i="15"/>
  <c r="F334" i="15" s="1"/>
  <c r="R420" i="15"/>
  <c r="R421" i="15" l="1"/>
  <c r="Q422" i="15"/>
  <c r="T423" i="15" s="1"/>
  <c r="E334" i="15"/>
  <c r="J335" i="15"/>
  <c r="C335" i="15" s="1"/>
  <c r="L335" i="15"/>
  <c r="O336" i="15" s="1"/>
  <c r="M335" i="15"/>
  <c r="Q423" i="15" l="1"/>
  <c r="J336" i="15"/>
  <c r="C336" i="15" s="1"/>
  <c r="B335" i="15"/>
  <c r="R422" i="15"/>
  <c r="M336" i="15" l="1"/>
  <c r="R423" i="15"/>
  <c r="G336" i="15"/>
  <c r="B336" i="15"/>
  <c r="G335" i="15"/>
  <c r="D335" i="15"/>
  <c r="L336" i="15"/>
  <c r="O337" i="15" s="1"/>
  <c r="T424" i="15" l="1"/>
  <c r="Q424" i="15" s="1"/>
  <c r="D336" i="15"/>
  <c r="F335" i="15"/>
  <c r="R424" i="15" l="1"/>
  <c r="T425" i="15" s="1"/>
  <c r="Q425" i="15" s="1"/>
  <c r="J337" i="15"/>
  <c r="C337" i="15" s="1"/>
  <c r="M337" i="15"/>
  <c r="E335" i="15"/>
  <c r="F336" i="15"/>
  <c r="L337" i="15"/>
  <c r="O338" i="15" s="1"/>
  <c r="R425" i="15" l="1"/>
  <c r="T426" i="15" s="1"/>
  <c r="J338" i="15"/>
  <c r="C338" i="15" s="1"/>
  <c r="E336" i="15"/>
  <c r="B337" i="15"/>
  <c r="M338" i="15" l="1"/>
  <c r="O339" i="15" s="1"/>
  <c r="Q426" i="15"/>
  <c r="G337" i="15"/>
  <c r="D337" i="15"/>
  <c r="G338" i="15"/>
  <c r="B338" i="15"/>
  <c r="L338" i="15"/>
  <c r="J339" i="15" l="1"/>
  <c r="D338" i="15"/>
  <c r="F337" i="15"/>
  <c r="R426" i="15"/>
  <c r="T427" i="15" s="1"/>
  <c r="L339" i="15"/>
  <c r="C339" i="15" l="1"/>
  <c r="G339" i="15" s="1"/>
  <c r="B339" i="15"/>
  <c r="M339" i="15"/>
  <c r="Q427" i="15"/>
  <c r="T428" i="15" s="1"/>
  <c r="F338" i="15"/>
  <c r="E337" i="15"/>
  <c r="D339" i="15" l="1"/>
  <c r="F339" i="15" s="1"/>
  <c r="O340" i="15"/>
  <c r="J340" i="15" s="1"/>
  <c r="E338" i="15"/>
  <c r="Q428" i="15"/>
  <c r="T429" i="15" s="1"/>
  <c r="R427" i="15"/>
  <c r="L340" i="15" l="1"/>
  <c r="M340" i="15"/>
  <c r="O341" i="15" s="1"/>
  <c r="J341" i="15" s="1"/>
  <c r="C341" i="15" s="1"/>
  <c r="C340" i="15"/>
  <c r="D340" i="15" s="1"/>
  <c r="B340" i="15"/>
  <c r="Q429" i="15"/>
  <c r="T430" i="15" s="1"/>
  <c r="E339" i="15"/>
  <c r="R428" i="15"/>
  <c r="G340" i="15" l="1"/>
  <c r="Q430" i="15"/>
  <c r="T431" i="15" s="1"/>
  <c r="G341" i="15"/>
  <c r="B341" i="15"/>
  <c r="D341" i="15"/>
  <c r="M341" i="15"/>
  <c r="O342" i="15" s="1"/>
  <c r="L341" i="15"/>
  <c r="R429" i="15"/>
  <c r="F340" i="15"/>
  <c r="R430" i="15" l="1"/>
  <c r="Q431" i="15"/>
  <c r="J342" i="15"/>
  <c r="C342" i="15" s="1"/>
  <c r="E340" i="15"/>
  <c r="F341" i="15"/>
  <c r="R431" i="15" l="1"/>
  <c r="L342" i="15"/>
  <c r="M342" i="15"/>
  <c r="O343" i="15" s="1"/>
  <c r="B342" i="15"/>
  <c r="E341" i="15"/>
  <c r="T432" i="15" l="1"/>
  <c r="Q432" i="15" s="1"/>
  <c r="J343" i="15"/>
  <c r="C343" i="15" s="1"/>
  <c r="G342" i="15"/>
  <c r="D342" i="15"/>
  <c r="R432" i="15" l="1"/>
  <c r="T433" i="15"/>
  <c r="Q433" i="15" s="1"/>
  <c r="T434" i="15" s="1"/>
  <c r="Q434" i="15" s="1"/>
  <c r="T435" i="15" s="1"/>
  <c r="L343" i="15"/>
  <c r="F342" i="15"/>
  <c r="G343" i="15"/>
  <c r="B343" i="15"/>
  <c r="M343" i="15"/>
  <c r="O344" i="15" s="1"/>
  <c r="R433" i="15" l="1"/>
  <c r="R434" i="15" s="1"/>
  <c r="Q435" i="15"/>
  <c r="T436" i="15" s="1"/>
  <c r="E342" i="15"/>
  <c r="D343" i="15"/>
  <c r="F343" i="15" s="1"/>
  <c r="M344" i="15"/>
  <c r="O345" i="15" s="1"/>
  <c r="E343" i="15" l="1"/>
  <c r="J345" i="15"/>
  <c r="C345" i="15" s="1"/>
  <c r="Q436" i="15"/>
  <c r="T437" i="15" s="1"/>
  <c r="J344" i="15"/>
  <c r="C344" i="15" s="1"/>
  <c r="L344" i="15"/>
  <c r="R435" i="15"/>
  <c r="L345" i="15" l="1"/>
  <c r="O346" i="15" s="1"/>
  <c r="J346" i="15" s="1"/>
  <c r="C346" i="15" s="1"/>
  <c r="Q437" i="15"/>
  <c r="T438" i="15" s="1"/>
  <c r="B344" i="15"/>
  <c r="G345" i="15"/>
  <c r="B345" i="15"/>
  <c r="M345" i="15"/>
  <c r="R436" i="15"/>
  <c r="R437" i="15" s="1"/>
  <c r="Q438" i="15" l="1"/>
  <c r="T439" i="15" s="1"/>
  <c r="G346" i="15"/>
  <c r="B346" i="15"/>
  <c r="G344" i="15"/>
  <c r="D344" i="15"/>
  <c r="L346" i="15"/>
  <c r="O347" i="15" s="1"/>
  <c r="R438" i="15"/>
  <c r="M346" i="15"/>
  <c r="Q439" i="15" l="1"/>
  <c r="T440" i="15" s="1"/>
  <c r="D345" i="15"/>
  <c r="D346" i="15" s="1"/>
  <c r="F344" i="15"/>
  <c r="J347" i="15"/>
  <c r="C347" i="15" s="1"/>
  <c r="R439" i="15" l="1"/>
  <c r="R440" i="15" s="1"/>
  <c r="Q440" i="15"/>
  <c r="T441" i="15" s="1"/>
  <c r="G347" i="15"/>
  <c r="B347" i="15"/>
  <c r="L347" i="15"/>
  <c r="D347" i="15"/>
  <c r="M347" i="15"/>
  <c r="O348" i="15" s="1"/>
  <c r="E344" i="15"/>
  <c r="F345" i="15"/>
  <c r="Q441" i="15" l="1"/>
  <c r="J348" i="15"/>
  <c r="C348" i="15" s="1"/>
  <c r="F346" i="15"/>
  <c r="E345" i="15"/>
  <c r="R441" i="15" l="1"/>
  <c r="B348" i="15"/>
  <c r="E346" i="15"/>
  <c r="F347" i="15"/>
  <c r="M348" i="15"/>
  <c r="O349" i="15" s="1"/>
  <c r="L348" i="15"/>
  <c r="T442" i="15" l="1"/>
  <c r="Q442" i="15" s="1"/>
  <c r="J349" i="15"/>
  <c r="C349" i="15" s="1"/>
  <c r="E347" i="15"/>
  <c r="G348" i="15"/>
  <c r="D348" i="15"/>
  <c r="R442" i="15" l="1"/>
  <c r="T443" i="15" s="1"/>
  <c r="Q443" i="15" s="1"/>
  <c r="F348" i="15"/>
  <c r="G349" i="15"/>
  <c r="B349" i="15"/>
  <c r="M349" i="15"/>
  <c r="O350" i="15" s="1"/>
  <c r="L349" i="15"/>
  <c r="J350" i="15" l="1"/>
  <c r="C350" i="15" s="1"/>
  <c r="E348" i="15"/>
  <c r="D349" i="15"/>
  <c r="F349" i="15" s="1"/>
  <c r="R443" i="15"/>
  <c r="T444" i="15" s="1"/>
  <c r="L350" i="15" l="1"/>
  <c r="E349" i="15"/>
  <c r="Q444" i="15"/>
  <c r="T445" i="15" s="1"/>
  <c r="G350" i="15"/>
  <c r="B350" i="15"/>
  <c r="M350" i="15"/>
  <c r="O351" i="15" s="1"/>
  <c r="D350" i="15" l="1"/>
  <c r="R444" i="15"/>
  <c r="M351" i="15"/>
  <c r="O352" i="15" s="1"/>
  <c r="Q445" i="15"/>
  <c r="T446" i="15" s="1"/>
  <c r="Q446" i="15" l="1"/>
  <c r="T447" i="15" s="1"/>
  <c r="J352" i="15"/>
  <c r="C352" i="15" s="1"/>
  <c r="J351" i="15"/>
  <c r="C351" i="15" s="1"/>
  <c r="L351" i="15"/>
  <c r="R445" i="15"/>
  <c r="F350" i="15"/>
  <c r="L352" i="15" l="1"/>
  <c r="R446" i="15"/>
  <c r="M352" i="15"/>
  <c r="O353" i="15" s="1"/>
  <c r="G352" i="15"/>
  <c r="B352" i="15"/>
  <c r="Q447" i="15"/>
  <c r="T448" i="15" s="1"/>
  <c r="B351" i="15"/>
  <c r="E350" i="15"/>
  <c r="Q448" i="15" l="1"/>
  <c r="T449" i="15" s="1"/>
  <c r="G3" i="15"/>
  <c r="G351" i="15"/>
  <c r="D351" i="15"/>
  <c r="R447" i="15"/>
  <c r="R448" i="15" l="1"/>
  <c r="Q449" i="15"/>
  <c r="T450" i="15" s="1"/>
  <c r="D352" i="15"/>
  <c r="F351" i="15"/>
  <c r="J353" i="15"/>
  <c r="C353" i="15" s="1"/>
  <c r="L353" i="15"/>
  <c r="M353" i="15"/>
  <c r="O354" i="15" s="1"/>
  <c r="R449" i="15" l="1"/>
  <c r="Q450" i="15"/>
  <c r="J354" i="15"/>
  <c r="C354" i="15" s="1"/>
  <c r="G353" i="15"/>
  <c r="B353" i="15"/>
  <c r="E351" i="15"/>
  <c r="F352" i="15"/>
  <c r="H3" i="15"/>
  <c r="E352" i="15" l="1"/>
  <c r="E3" i="15" s="1"/>
  <c r="G354" i="15"/>
  <c r="B354" i="15"/>
  <c r="D353" i="15"/>
  <c r="D354" i="15" s="1"/>
  <c r="M354" i="15"/>
  <c r="R450" i="15"/>
  <c r="T451" i="15" s="1"/>
  <c r="L354" i="15"/>
  <c r="O355" i="15" s="1"/>
  <c r="Q451" i="15" l="1"/>
  <c r="F353" i="15"/>
  <c r="J355" i="15"/>
  <c r="C355" i="15" s="1"/>
  <c r="E353" i="15" l="1"/>
  <c r="F354" i="15"/>
  <c r="M355" i="15"/>
  <c r="B355" i="15"/>
  <c r="L355" i="15"/>
  <c r="O356" i="15" s="1"/>
  <c r="R451" i="15"/>
  <c r="T452" i="15" s="1"/>
  <c r="Q452" i="15" l="1"/>
  <c r="J356" i="15"/>
  <c r="C356" i="15" s="1"/>
  <c r="G355" i="15"/>
  <c r="D355" i="15"/>
  <c r="E354" i="15"/>
  <c r="L356" i="15" l="1"/>
  <c r="G356" i="15"/>
  <c r="B356" i="15"/>
  <c r="R452" i="15"/>
  <c r="T453" i="15" s="1"/>
  <c r="F355" i="15"/>
  <c r="M356" i="15"/>
  <c r="O357" i="15" s="1"/>
  <c r="E355" i="15" l="1"/>
  <c r="Q453" i="15"/>
  <c r="J357" i="15"/>
  <c r="C357" i="15" s="1"/>
  <c r="D356" i="15"/>
  <c r="G357" i="15" l="1"/>
  <c r="B357" i="15"/>
  <c r="D357" i="15"/>
  <c r="L357" i="15"/>
  <c r="M357" i="15"/>
  <c r="O358" i="15" s="1"/>
  <c r="R453" i="15"/>
  <c r="T454" i="15" s="1"/>
  <c r="F356" i="15"/>
  <c r="E356" i="15" l="1"/>
  <c r="F357" i="15"/>
  <c r="Q454" i="15"/>
  <c r="J358" i="15"/>
  <c r="C358" i="15" s="1"/>
  <c r="B358" i="15" l="1"/>
  <c r="M358" i="15"/>
  <c r="O359" i="15" s="1"/>
  <c r="L358" i="15"/>
  <c r="R454" i="15"/>
  <c r="T455" i="15" s="1"/>
  <c r="E357" i="15"/>
  <c r="Q455" i="15" l="1"/>
  <c r="J359" i="15"/>
  <c r="C359" i="15" s="1"/>
  <c r="G358" i="15"/>
  <c r="D358" i="15"/>
  <c r="L359" i="15" l="1"/>
  <c r="O360" i="15" s="1"/>
  <c r="M359" i="15"/>
  <c r="F358" i="15"/>
  <c r="G359" i="15"/>
  <c r="B359" i="15"/>
  <c r="R455" i="15"/>
  <c r="T456" i="15" s="1"/>
  <c r="J360" i="15" l="1"/>
  <c r="M360" i="15"/>
  <c r="E358" i="15"/>
  <c r="D359" i="15"/>
  <c r="Q456" i="15"/>
  <c r="T457" i="15" s="1"/>
  <c r="C360" i="15" l="1"/>
  <c r="G360" i="15" s="1"/>
  <c r="B360" i="15"/>
  <c r="L360" i="15"/>
  <c r="O361" i="15" s="1"/>
  <c r="Q457" i="15"/>
  <c r="T458" i="15" s="1"/>
  <c r="R456" i="15"/>
  <c r="F359" i="15"/>
  <c r="D360" i="15" l="1"/>
  <c r="F360" i="15" s="1"/>
  <c r="R457" i="15"/>
  <c r="Q458" i="15"/>
  <c r="T459" i="15" s="1"/>
  <c r="J361" i="15"/>
  <c r="C361" i="15" s="1"/>
  <c r="M361" i="15"/>
  <c r="O362" i="15" s="1"/>
  <c r="E359" i="15"/>
  <c r="L361" i="15"/>
  <c r="Q459" i="15" l="1"/>
  <c r="T460" i="15" s="1"/>
  <c r="J362" i="15"/>
  <c r="C362" i="15" s="1"/>
  <c r="E360" i="15"/>
  <c r="B361" i="15"/>
  <c r="R458" i="15"/>
  <c r="R459" i="15" l="1"/>
  <c r="Q460" i="15"/>
  <c r="T461" i="15" s="1"/>
  <c r="B362" i="15"/>
  <c r="G362" i="15"/>
  <c r="M362" i="15"/>
  <c r="O363" i="15" s="1"/>
  <c r="L362" i="15"/>
  <c r="G361" i="15"/>
  <c r="D361" i="15"/>
  <c r="R460" i="15" l="1"/>
  <c r="Q461" i="15"/>
  <c r="J363" i="15"/>
  <c r="C363" i="15" s="1"/>
  <c r="D362" i="15"/>
  <c r="F361" i="15"/>
  <c r="R461" i="15" l="1"/>
  <c r="T462" i="15" s="1"/>
  <c r="Q462" i="15" s="1"/>
  <c r="F362" i="15"/>
  <c r="E361" i="15"/>
  <c r="L363" i="15"/>
  <c r="B363" i="15"/>
  <c r="G363" i="15"/>
  <c r="M363" i="15"/>
  <c r="O364" i="15" s="1"/>
  <c r="J364" i="15" l="1"/>
  <c r="C364" i="15" s="1"/>
  <c r="E362" i="15"/>
  <c r="D363" i="15"/>
  <c r="R462" i="15"/>
  <c r="T463" i="15" s="1"/>
  <c r="L364" i="15" l="1"/>
  <c r="Q463" i="15"/>
  <c r="F363" i="15"/>
  <c r="G364" i="15"/>
  <c r="B364" i="15"/>
  <c r="M364" i="15"/>
  <c r="O365" i="15" s="1"/>
  <c r="E363" i="15" l="1"/>
  <c r="M365" i="15"/>
  <c r="O366" i="15" s="1"/>
  <c r="R463" i="15"/>
  <c r="T464" i="15" s="1"/>
  <c r="D364" i="15"/>
  <c r="J366" i="15" l="1"/>
  <c r="C366" i="15" s="1"/>
  <c r="Q464" i="15"/>
  <c r="J365" i="15"/>
  <c r="C365" i="15" s="1"/>
  <c r="L365" i="15"/>
  <c r="F364" i="15"/>
  <c r="L366" i="15" l="1"/>
  <c r="E364" i="15"/>
  <c r="B365" i="15"/>
  <c r="R464" i="15"/>
  <c r="T465" i="15" s="1"/>
  <c r="G366" i="15"/>
  <c r="B366" i="15"/>
  <c r="M366" i="15"/>
  <c r="O367" i="15" s="1"/>
  <c r="Q465" i="15" l="1"/>
  <c r="G365" i="15"/>
  <c r="D365" i="15"/>
  <c r="M367" i="15"/>
  <c r="O368" i="15" s="1"/>
  <c r="J368" i="15" l="1"/>
  <c r="C368" i="15" s="1"/>
  <c r="J367" i="15"/>
  <c r="C367" i="15" s="1"/>
  <c r="L367" i="15"/>
  <c r="D366" i="15"/>
  <c r="F365" i="15"/>
  <c r="R465" i="15"/>
  <c r="T466" i="15" s="1"/>
  <c r="L368" i="15" l="1"/>
  <c r="F366" i="15"/>
  <c r="E365" i="15"/>
  <c r="Q466" i="15"/>
  <c r="G367" i="15"/>
  <c r="B367" i="15"/>
  <c r="G368" i="15"/>
  <c r="B368" i="15"/>
  <c r="M368" i="15"/>
  <c r="O369" i="15" s="1"/>
  <c r="R466" i="15" l="1"/>
  <c r="T467" i="15" s="1"/>
  <c r="D367" i="15"/>
  <c r="D368" i="15" s="1"/>
  <c r="M369" i="15"/>
  <c r="O370" i="15" s="1"/>
  <c r="E366" i="15"/>
  <c r="F367" i="15" l="1"/>
  <c r="E367" i="15" s="1"/>
  <c r="J370" i="15"/>
  <c r="C370" i="15" s="1"/>
  <c r="J369" i="15"/>
  <c r="C369" i="15" s="1"/>
  <c r="L369" i="15"/>
  <c r="Q467" i="15"/>
  <c r="L370" i="15" l="1"/>
  <c r="F368" i="15"/>
  <c r="E368" i="15" s="1"/>
  <c r="R467" i="15"/>
  <c r="G370" i="15"/>
  <c r="B370" i="15"/>
  <c r="B369" i="15"/>
  <c r="M370" i="15"/>
  <c r="O371" i="15" s="1"/>
  <c r="T468" i="15" l="1"/>
  <c r="R468" i="15" s="1"/>
  <c r="G369" i="15"/>
  <c r="D369" i="15"/>
  <c r="Q468" i="15" l="1"/>
  <c r="T469" i="15"/>
  <c r="R469" i="15" s="1"/>
  <c r="T470" i="15" s="1"/>
  <c r="R470" i="15" s="1"/>
  <c r="D370" i="15"/>
  <c r="F369" i="15"/>
  <c r="J371" i="15"/>
  <c r="C371" i="15" s="1"/>
  <c r="L371" i="15"/>
  <c r="O372" i="15" s="1"/>
  <c r="M371" i="15"/>
  <c r="Q469" i="15" l="1"/>
  <c r="Q470" i="15" s="1"/>
  <c r="G371" i="15"/>
  <c r="B371" i="15"/>
  <c r="D371" i="15"/>
  <c r="J372" i="15"/>
  <c r="C372" i="15" s="1"/>
  <c r="E369" i="15"/>
  <c r="F370" i="15"/>
  <c r="T471" i="15" l="1"/>
  <c r="R471" i="15" s="1"/>
  <c r="L372" i="15"/>
  <c r="O373" i="15" s="1"/>
  <c r="G372" i="15"/>
  <c r="B372" i="15"/>
  <c r="M372" i="15"/>
  <c r="F371" i="15"/>
  <c r="E370" i="15"/>
  <c r="Q471" i="15" l="1"/>
  <c r="T472" i="15" s="1"/>
  <c r="R472" i="15" s="1"/>
  <c r="E371" i="15"/>
  <c r="J373" i="15"/>
  <c r="C373" i="15" s="1"/>
  <c r="D372" i="15"/>
  <c r="L373" i="15" l="1"/>
  <c r="G373" i="15"/>
  <c r="B373" i="15"/>
  <c r="Q472" i="15"/>
  <c r="T473" i="15" s="1"/>
  <c r="F372" i="15"/>
  <c r="M373" i="15"/>
  <c r="O374" i="15" s="1"/>
  <c r="J374" i="15" l="1"/>
  <c r="C374" i="15" s="1"/>
  <c r="D373" i="15"/>
  <c r="F373" i="15" s="1"/>
  <c r="E372" i="15"/>
  <c r="R473" i="15"/>
  <c r="T474" i="15" s="1"/>
  <c r="L374" i="15" l="1"/>
  <c r="Q473" i="15"/>
  <c r="R474" i="15"/>
  <c r="T475" i="15" s="1"/>
  <c r="E373" i="15"/>
  <c r="G374" i="15"/>
  <c r="B374" i="15"/>
  <c r="M374" i="15"/>
  <c r="O375" i="15" s="1"/>
  <c r="R475" i="15" l="1"/>
  <c r="D374" i="15"/>
  <c r="Q474" i="15"/>
  <c r="Q475" i="15" s="1"/>
  <c r="T476" i="15" s="1"/>
  <c r="R476" i="15" l="1"/>
  <c r="F374" i="15"/>
  <c r="J375" i="15"/>
  <c r="C375" i="15" s="1"/>
  <c r="L375" i="15"/>
  <c r="M375" i="15"/>
  <c r="O376" i="15" s="1"/>
  <c r="E374" i="15" l="1"/>
  <c r="J376" i="15"/>
  <c r="C376" i="15" s="1"/>
  <c r="B375" i="15"/>
  <c r="Q476" i="15"/>
  <c r="T477" i="15" s="1"/>
  <c r="L376" i="15" l="1"/>
  <c r="G375" i="15"/>
  <c r="D375" i="15"/>
  <c r="G376" i="15"/>
  <c r="B376" i="15"/>
  <c r="M376" i="15"/>
  <c r="O377" i="15" s="1"/>
  <c r="R477" i="15"/>
  <c r="Q477" i="15" l="1"/>
  <c r="T478" i="15" s="1"/>
  <c r="D376" i="15"/>
  <c r="F375" i="15"/>
  <c r="F376" i="15" l="1"/>
  <c r="E375" i="15"/>
  <c r="R478" i="15"/>
  <c r="J377" i="15"/>
  <c r="C377" i="15" s="1"/>
  <c r="L377" i="15"/>
  <c r="O378" i="15" s="1"/>
  <c r="M377" i="15"/>
  <c r="J378" i="15" l="1"/>
  <c r="C378" i="15" s="1"/>
  <c r="B377" i="15"/>
  <c r="Q478" i="15"/>
  <c r="T479" i="15" s="1"/>
  <c r="E376" i="15"/>
  <c r="L378" i="15" l="1"/>
  <c r="O379" i="15" s="1"/>
  <c r="G377" i="15"/>
  <c r="D377" i="15"/>
  <c r="R479" i="15"/>
  <c r="G378" i="15"/>
  <c r="B378" i="15"/>
  <c r="M378" i="15"/>
  <c r="J379" i="15" l="1"/>
  <c r="L379" i="15"/>
  <c r="O380" i="15" s="1"/>
  <c r="Q479" i="15"/>
  <c r="T480" i="15" s="1"/>
  <c r="D378" i="15"/>
  <c r="F377" i="15"/>
  <c r="C379" i="15" l="1"/>
  <c r="G379" i="15" s="1"/>
  <c r="B379" i="15"/>
  <c r="M379" i="15"/>
  <c r="F378" i="15"/>
  <c r="E377" i="15"/>
  <c r="R480" i="15"/>
  <c r="T481" i="15" s="1"/>
  <c r="J380" i="15"/>
  <c r="C380" i="15" s="1"/>
  <c r="D379" i="15" l="1"/>
  <c r="B380" i="15"/>
  <c r="R481" i="15"/>
  <c r="L380" i="15"/>
  <c r="O381" i="15" s="1"/>
  <c r="Q480" i="15"/>
  <c r="F379" i="15"/>
  <c r="E378" i="15"/>
  <c r="M380" i="15"/>
  <c r="Q481" i="15" l="1"/>
  <c r="E379" i="15"/>
  <c r="J381" i="15"/>
  <c r="C381" i="15" s="1"/>
  <c r="G380" i="15"/>
  <c r="D380" i="15"/>
  <c r="T482" i="15" l="1"/>
  <c r="R482" i="15" s="1"/>
  <c r="M381" i="15"/>
  <c r="G381" i="15"/>
  <c r="B381" i="15"/>
  <c r="L381" i="15"/>
  <c r="O382" i="15" s="1"/>
  <c r="F380" i="15"/>
  <c r="Q482" i="15" l="1"/>
  <c r="T483" i="15" s="1"/>
  <c r="R483" i="15" s="1"/>
  <c r="E380" i="15"/>
  <c r="D381" i="15"/>
  <c r="F381" i="15" s="1"/>
  <c r="E381" i="15" l="1"/>
  <c r="Q483" i="15"/>
  <c r="T484" i="15" s="1"/>
  <c r="J382" i="15"/>
  <c r="C382" i="15" s="1"/>
  <c r="M382" i="15"/>
  <c r="L382" i="15"/>
  <c r="O383" i="15" s="1"/>
  <c r="J383" i="15" l="1"/>
  <c r="C383" i="15" s="1"/>
  <c r="R484" i="15"/>
  <c r="B382" i="15"/>
  <c r="M383" i="15" l="1"/>
  <c r="L383" i="15"/>
  <c r="O384" i="15" s="1"/>
  <c r="Q484" i="15"/>
  <c r="T485" i="15" s="1"/>
  <c r="G382" i="15"/>
  <c r="D382" i="15"/>
  <c r="G383" i="15"/>
  <c r="B383" i="15"/>
  <c r="J384" i="15"/>
  <c r="C384" i="15" s="1"/>
  <c r="L384" i="15" l="1"/>
  <c r="D383" i="15"/>
  <c r="F382" i="15"/>
  <c r="R485" i="15"/>
  <c r="G384" i="15"/>
  <c r="B384" i="15"/>
  <c r="M384" i="15"/>
  <c r="O385" i="15" s="1"/>
  <c r="Q485" i="15" l="1"/>
  <c r="T486" i="15" s="1"/>
  <c r="F383" i="15"/>
  <c r="E382" i="15"/>
  <c r="M385" i="15"/>
  <c r="O386" i="15" s="1"/>
  <c r="D384" i="15"/>
  <c r="J386" i="15" l="1"/>
  <c r="C386" i="15" s="1"/>
  <c r="R486" i="15"/>
  <c r="J385" i="15"/>
  <c r="C385" i="15" s="1"/>
  <c r="L385" i="15"/>
  <c r="L386" i="15" s="1"/>
  <c r="F384" i="15"/>
  <c r="E383" i="15"/>
  <c r="E384" i="15" l="1"/>
  <c r="B385" i="15"/>
  <c r="Q486" i="15"/>
  <c r="T487" i="15" s="1"/>
  <c r="G386" i="15"/>
  <c r="B386" i="15"/>
  <c r="M386" i="15"/>
  <c r="O387" i="15" s="1"/>
  <c r="R487" i="15" l="1"/>
  <c r="T488" i="15" s="1"/>
  <c r="G385" i="15"/>
  <c r="D385" i="15"/>
  <c r="J387" i="15" l="1"/>
  <c r="C387" i="15" s="1"/>
  <c r="L387" i="15"/>
  <c r="M387" i="15"/>
  <c r="O388" i="15" s="1"/>
  <c r="D386" i="15"/>
  <c r="F385" i="15"/>
  <c r="R488" i="15"/>
  <c r="T489" i="15" s="1"/>
  <c r="Q487" i="15"/>
  <c r="R489" i="15" l="1"/>
  <c r="F386" i="15"/>
  <c r="E385" i="15"/>
  <c r="Q488" i="15"/>
  <c r="J388" i="15"/>
  <c r="C388" i="15" s="1"/>
  <c r="G387" i="15"/>
  <c r="B387" i="15"/>
  <c r="Q489" i="15" l="1"/>
  <c r="D387" i="15"/>
  <c r="D388" i="15" s="1"/>
  <c r="G388" i="15"/>
  <c r="B388" i="15"/>
  <c r="M388" i="15"/>
  <c r="E386" i="15"/>
  <c r="L388" i="15"/>
  <c r="O389" i="15" s="1"/>
  <c r="T490" i="15" l="1"/>
  <c r="R490" i="15" s="1"/>
  <c r="F387" i="15"/>
  <c r="F388" i="15" s="1"/>
  <c r="J389" i="15"/>
  <c r="C389" i="15" s="1"/>
  <c r="Q490" i="15" l="1"/>
  <c r="T491" i="15" s="1"/>
  <c r="R491" i="15" s="1"/>
  <c r="E387" i="15"/>
  <c r="B389" i="15"/>
  <c r="L389" i="15"/>
  <c r="M389" i="15"/>
  <c r="O390" i="15" s="1"/>
  <c r="E388" i="15"/>
  <c r="J390" i="15" l="1"/>
  <c r="C390" i="15" s="1"/>
  <c r="Q491" i="15"/>
  <c r="T492" i="15" s="1"/>
  <c r="G389" i="15"/>
  <c r="D389" i="15"/>
  <c r="L390" i="15" l="1"/>
  <c r="F389" i="15"/>
  <c r="R492" i="15"/>
  <c r="G390" i="15"/>
  <c r="B390" i="15"/>
  <c r="M390" i="15"/>
  <c r="O391" i="15" s="1"/>
  <c r="Q492" i="15" l="1"/>
  <c r="T493" i="15" s="1"/>
  <c r="E389" i="15"/>
  <c r="D390" i="15"/>
  <c r="F390" i="15" l="1"/>
  <c r="R493" i="15"/>
  <c r="J391" i="15"/>
  <c r="C391" i="15" s="1"/>
  <c r="L391" i="15"/>
  <c r="O392" i="15" s="1"/>
  <c r="M391" i="15"/>
  <c r="B391" i="15" l="1"/>
  <c r="J392" i="15"/>
  <c r="C392" i="15" s="1"/>
  <c r="Q493" i="15"/>
  <c r="T494" i="15" s="1"/>
  <c r="E390" i="15"/>
  <c r="B392" i="15" l="1"/>
  <c r="G392" i="15"/>
  <c r="G391" i="15"/>
  <c r="D391" i="15"/>
  <c r="R494" i="15"/>
  <c r="L392" i="15"/>
  <c r="O393" i="15" s="1"/>
  <c r="M392" i="15"/>
  <c r="D392" i="15" l="1"/>
  <c r="F391" i="15"/>
  <c r="J393" i="15"/>
  <c r="C393" i="15" s="1"/>
  <c r="Q494" i="15"/>
  <c r="T495" i="15" s="1"/>
  <c r="R495" i="15" l="1"/>
  <c r="L393" i="15"/>
  <c r="O394" i="15" s="1"/>
  <c r="B393" i="15"/>
  <c r="G393" i="15"/>
  <c r="F392" i="15"/>
  <c r="E391" i="15"/>
  <c r="D393" i="15"/>
  <c r="M393" i="15"/>
  <c r="J394" i="15" l="1"/>
  <c r="C394" i="15" s="1"/>
  <c r="F393" i="15"/>
  <c r="E392" i="15"/>
  <c r="Q495" i="15"/>
  <c r="T496" i="15" s="1"/>
  <c r="M394" i="15" l="1"/>
  <c r="O395" i="15" s="1"/>
  <c r="R496" i="15"/>
  <c r="T497" i="15" s="1"/>
  <c r="E393" i="15"/>
  <c r="B394" i="15"/>
  <c r="L394" i="15"/>
  <c r="J395" i="15" l="1"/>
  <c r="G394" i="15"/>
  <c r="D394" i="15"/>
  <c r="R497" i="15"/>
  <c r="T498" i="15" s="1"/>
  <c r="Q496" i="15"/>
  <c r="C395" i="15" l="1"/>
  <c r="G395" i="15" s="1"/>
  <c r="B395" i="15"/>
  <c r="M395" i="15"/>
  <c r="L395" i="15"/>
  <c r="R498" i="15"/>
  <c r="T499" i="15" s="1"/>
  <c r="Q497" i="15"/>
  <c r="F394" i="15"/>
  <c r="D395" i="15" l="1"/>
  <c r="F395" i="15" s="1"/>
  <c r="O396" i="15"/>
  <c r="J396" i="15" s="1"/>
  <c r="Q498" i="15"/>
  <c r="R499" i="15"/>
  <c r="T500" i="15" s="1"/>
  <c r="E394" i="15"/>
  <c r="M396" i="15" l="1"/>
  <c r="C396" i="15"/>
  <c r="B396" i="15"/>
  <c r="L396" i="15"/>
  <c r="O397" i="15" s="1"/>
  <c r="J397" i="15" s="1"/>
  <c r="C397" i="15" s="1"/>
  <c r="Q499" i="15"/>
  <c r="R500" i="15"/>
  <c r="E395" i="15"/>
  <c r="Q500" i="15" l="1"/>
  <c r="T501" i="15" s="1"/>
  <c r="R501" i="15" s="1"/>
  <c r="G396" i="15"/>
  <c r="D396" i="15"/>
  <c r="F396" i="15" s="1"/>
  <c r="E396" i="15" s="1"/>
  <c r="L397" i="15"/>
  <c r="O398" i="15" s="1"/>
  <c r="B397" i="15"/>
  <c r="M397" i="15"/>
  <c r="G397" i="15" l="1"/>
  <c r="D397" i="15"/>
  <c r="Q501" i="15"/>
  <c r="T502" i="15" s="1"/>
  <c r="J398" i="15"/>
  <c r="C398" i="15" s="1"/>
  <c r="M398" i="15" l="1"/>
  <c r="F397" i="15"/>
  <c r="B398" i="15"/>
  <c r="G398" i="15"/>
  <c r="L398" i="15"/>
  <c r="O399" i="15" s="1"/>
  <c r="R502" i="15"/>
  <c r="T503" i="15" s="1"/>
  <c r="J399" i="15" l="1"/>
  <c r="C399" i="15" s="1"/>
  <c r="R503" i="15"/>
  <c r="T504" i="15" s="1"/>
  <c r="Q502" i="15"/>
  <c r="E397" i="15"/>
  <c r="D398" i="15"/>
  <c r="Q503" i="15" l="1"/>
  <c r="R504" i="15"/>
  <c r="F398" i="15"/>
  <c r="B399" i="15"/>
  <c r="G399" i="15"/>
  <c r="M399" i="15"/>
  <c r="O400" i="15" s="1"/>
  <c r="L399" i="15"/>
  <c r="Q504" i="15" l="1"/>
  <c r="J400" i="15"/>
  <c r="C400" i="15" s="1"/>
  <c r="E398" i="15"/>
  <c r="D399" i="15"/>
  <c r="T505" i="15" l="1"/>
  <c r="R505" i="15" s="1"/>
  <c r="F399" i="15"/>
  <c r="B400" i="15"/>
  <c r="G400" i="15"/>
  <c r="M400" i="15"/>
  <c r="O401" i="15" s="1"/>
  <c r="L400" i="15"/>
  <c r="Q505" i="15" l="1"/>
  <c r="T506" i="15"/>
  <c r="D400" i="15"/>
  <c r="F400" i="15" s="1"/>
  <c r="J401" i="15"/>
  <c r="C401" i="15" s="1"/>
  <c r="E399" i="15"/>
  <c r="Q506" i="15" l="1"/>
  <c r="R506" i="15"/>
  <c r="T507" i="15" s="1"/>
  <c r="B401" i="15"/>
  <c r="G401" i="15"/>
  <c r="M401" i="15"/>
  <c r="O402" i="15" s="1"/>
  <c r="E400" i="15"/>
  <c r="D401" i="15"/>
  <c r="L401" i="15"/>
  <c r="Q507" i="15" l="1"/>
  <c r="R507" i="15"/>
  <c r="T508" i="15" s="1"/>
  <c r="R508" i="15" s="1"/>
  <c r="J402" i="15"/>
  <c r="C402" i="15" s="1"/>
  <c r="F401" i="15"/>
  <c r="Q508" i="15" l="1"/>
  <c r="T509" i="15" s="1"/>
  <c r="R509" i="15" s="1"/>
  <c r="L402" i="15"/>
  <c r="E401" i="15"/>
  <c r="B402" i="15"/>
  <c r="M402" i="15"/>
  <c r="O403" i="15" s="1"/>
  <c r="G402" i="15" l="1"/>
  <c r="D402" i="15"/>
  <c r="Q509" i="15"/>
  <c r="T510" i="15" s="1"/>
  <c r="F402" i="15" l="1"/>
  <c r="R510" i="15"/>
  <c r="J403" i="15"/>
  <c r="C403" i="15" s="1"/>
  <c r="L403" i="15"/>
  <c r="M403" i="15"/>
  <c r="O404" i="15" s="1"/>
  <c r="J404" i="15" l="1"/>
  <c r="C404" i="15" s="1"/>
  <c r="B403" i="15"/>
  <c r="Q510" i="15"/>
  <c r="T511" i="15" s="1"/>
  <c r="E402" i="15"/>
  <c r="R511" i="15" l="1"/>
  <c r="T512" i="15" s="1"/>
  <c r="G403" i="15"/>
  <c r="D403" i="15"/>
  <c r="B404" i="15"/>
  <c r="G404" i="15"/>
  <c r="M404" i="15"/>
  <c r="O405" i="15" s="1"/>
  <c r="L404" i="15"/>
  <c r="J405" i="15" l="1"/>
  <c r="C405" i="15" s="1"/>
  <c r="D404" i="15"/>
  <c r="F403" i="15"/>
  <c r="R512" i="15"/>
  <c r="T513" i="15" s="1"/>
  <c r="Q511" i="15"/>
  <c r="Q512" i="15" l="1"/>
  <c r="L405" i="15"/>
  <c r="R513" i="15"/>
  <c r="T514" i="15" s="1"/>
  <c r="F404" i="15"/>
  <c r="E403" i="15"/>
  <c r="B405" i="15"/>
  <c r="G405" i="15"/>
  <c r="M405" i="15"/>
  <c r="O406" i="15" s="1"/>
  <c r="D405" i="15" l="1"/>
  <c r="F405" i="15" s="1"/>
  <c r="R514" i="15"/>
  <c r="T515" i="15" s="1"/>
  <c r="E404" i="15"/>
  <c r="Q513" i="15"/>
  <c r="M406" i="15"/>
  <c r="O407" i="15" s="1"/>
  <c r="Q514" i="15" l="1"/>
  <c r="J407" i="15"/>
  <c r="C407" i="15" s="1"/>
  <c r="R515" i="15"/>
  <c r="T516" i="15" s="1"/>
  <c r="J406" i="15"/>
  <c r="C406" i="15" s="1"/>
  <c r="L406" i="15"/>
  <c r="L407" i="15" s="1"/>
  <c r="E405" i="15"/>
  <c r="R516" i="15" l="1"/>
  <c r="Q515" i="15"/>
  <c r="B406" i="15"/>
  <c r="B407" i="15"/>
  <c r="G407" i="15"/>
  <c r="M407" i="15"/>
  <c r="O408" i="15" s="1"/>
  <c r="Q516" i="15" l="1"/>
  <c r="G406" i="15"/>
  <c r="D406" i="15"/>
  <c r="M408" i="15"/>
  <c r="O409" i="15" s="1"/>
  <c r="T517" i="15" l="1"/>
  <c r="R517" i="15" s="1"/>
  <c r="J409" i="15"/>
  <c r="C409" i="15" s="1"/>
  <c r="J408" i="15"/>
  <c r="C408" i="15" s="1"/>
  <c r="L408" i="15"/>
  <c r="D407" i="15"/>
  <c r="F406" i="15"/>
  <c r="Q517" i="15" l="1"/>
  <c r="T518" i="15" s="1"/>
  <c r="R518" i="15" s="1"/>
  <c r="L409" i="15"/>
  <c r="F407" i="15"/>
  <c r="E406" i="15"/>
  <c r="B408" i="15"/>
  <c r="G408" i="15"/>
  <c r="B409" i="15"/>
  <c r="G409" i="15"/>
  <c r="M409" i="15"/>
  <c r="O410" i="15" s="1"/>
  <c r="D408" i="15" l="1"/>
  <c r="D409" i="15" s="1"/>
  <c r="Q518" i="15"/>
  <c r="T519" i="15" s="1"/>
  <c r="E407" i="15"/>
  <c r="F408" i="15" l="1"/>
  <c r="F409" i="15" s="1"/>
  <c r="J410" i="15"/>
  <c r="C410" i="15" s="1"/>
  <c r="L410" i="15"/>
  <c r="M410" i="15"/>
  <c r="O411" i="15" s="1"/>
  <c r="R519" i="15"/>
  <c r="T520" i="15" s="1"/>
  <c r="E408" i="15" l="1"/>
  <c r="R520" i="15"/>
  <c r="T521" i="15" s="1"/>
  <c r="J411" i="15"/>
  <c r="C411" i="15" s="1"/>
  <c r="Q519" i="15"/>
  <c r="Q520" i="15" s="1"/>
  <c r="B410" i="15"/>
  <c r="E409" i="15"/>
  <c r="R521" i="15" l="1"/>
  <c r="T522" i="15" s="1"/>
  <c r="B411" i="15"/>
  <c r="G411" i="15"/>
  <c r="G410" i="15"/>
  <c r="D410" i="15"/>
  <c r="L411" i="15"/>
  <c r="M411" i="15"/>
  <c r="O412" i="15" s="1"/>
  <c r="Q521" i="15" l="1"/>
  <c r="R522" i="15"/>
  <c r="T523" i="15" s="1"/>
  <c r="D411" i="15"/>
  <c r="F410" i="15"/>
  <c r="J412" i="15"/>
  <c r="C412" i="15" s="1"/>
  <c r="Q522" i="15" l="1"/>
  <c r="M412" i="15"/>
  <c r="R523" i="15"/>
  <c r="F411" i="15"/>
  <c r="E410" i="15"/>
  <c r="B412" i="15"/>
  <c r="G412" i="15"/>
  <c r="L412" i="15"/>
  <c r="O413" i="15" s="1"/>
  <c r="L413" i="15" l="1"/>
  <c r="O414" i="15" s="1"/>
  <c r="E411" i="15"/>
  <c r="D412" i="15"/>
  <c r="F412" i="15" s="1"/>
  <c r="Q523" i="15"/>
  <c r="T524" i="15" s="1"/>
  <c r="E412" i="15" l="1"/>
  <c r="J414" i="15"/>
  <c r="C414" i="15" s="1"/>
  <c r="R524" i="15"/>
  <c r="J413" i="15"/>
  <c r="C413" i="15" s="1"/>
  <c r="M413" i="15"/>
  <c r="B413" i="15" l="1"/>
  <c r="Q524" i="15"/>
  <c r="T525" i="15" s="1"/>
  <c r="B414" i="15"/>
  <c r="G414" i="15"/>
  <c r="L414" i="15"/>
  <c r="O415" i="15" s="1"/>
  <c r="M414" i="15"/>
  <c r="J415" i="15" l="1"/>
  <c r="C415" i="15" s="1"/>
  <c r="G413" i="15"/>
  <c r="D413" i="15"/>
  <c r="R525" i="15"/>
  <c r="D414" i="15" l="1"/>
  <c r="F413" i="15"/>
  <c r="G415" i="15"/>
  <c r="B415" i="15"/>
  <c r="Q525" i="15"/>
  <c r="T526" i="15" s="1"/>
  <c r="L415" i="15"/>
  <c r="O416" i="15" s="1"/>
  <c r="M415" i="15"/>
  <c r="J416" i="15" l="1"/>
  <c r="C416" i="15" s="1"/>
  <c r="R526" i="15"/>
  <c r="T527" i="15" s="1"/>
  <c r="F414" i="15"/>
  <c r="E413" i="15"/>
  <c r="D415" i="15"/>
  <c r="F415" i="15" l="1"/>
  <c r="E414" i="15"/>
  <c r="Q526" i="15"/>
  <c r="R527" i="15"/>
  <c r="B416" i="15"/>
  <c r="G416" i="15"/>
  <c r="L416" i="15"/>
  <c r="M416" i="15"/>
  <c r="O417" i="15" s="1"/>
  <c r="Q527" i="15" l="1"/>
  <c r="T528" i="15" s="1"/>
  <c r="D416" i="15"/>
  <c r="F416" i="15" s="1"/>
  <c r="J417" i="15"/>
  <c r="C417" i="15" s="1"/>
  <c r="E415" i="15"/>
  <c r="E416" i="15" l="1"/>
  <c r="L417" i="15"/>
  <c r="O418" i="15" s="1"/>
  <c r="M417" i="15"/>
  <c r="B417" i="15"/>
  <c r="G417" i="15"/>
  <c r="R528" i="15"/>
  <c r="T529" i="15" s="1"/>
  <c r="Q528" i="15" l="1"/>
  <c r="J418" i="15"/>
  <c r="C418" i="15" s="1"/>
  <c r="D417" i="15"/>
  <c r="R529" i="15"/>
  <c r="T530" i="15" s="1"/>
  <c r="M418" i="15" l="1"/>
  <c r="O419" i="15" s="1"/>
  <c r="R530" i="15"/>
  <c r="F417" i="15"/>
  <c r="Q529" i="15"/>
  <c r="B418" i="15"/>
  <c r="G418" i="15"/>
  <c r="L418" i="15"/>
  <c r="J419" i="15" l="1"/>
  <c r="Q530" i="15"/>
  <c r="D418" i="15"/>
  <c r="F418" i="15" s="1"/>
  <c r="M419" i="15"/>
  <c r="O420" i="15" s="1"/>
  <c r="E417" i="15"/>
  <c r="T531" i="15" l="1"/>
  <c r="R531" i="15" s="1"/>
  <c r="C419" i="15"/>
  <c r="G419" i="15" s="1"/>
  <c r="B419" i="15"/>
  <c r="L419" i="15"/>
  <c r="J420" i="15"/>
  <c r="C420" i="15" s="1"/>
  <c r="E418" i="15"/>
  <c r="Q531" i="15" l="1"/>
  <c r="T532" i="15" s="1"/>
  <c r="R532" i="15" s="1"/>
  <c r="D419" i="15"/>
  <c r="F419" i="15" s="1"/>
  <c r="M420" i="15"/>
  <c r="O421" i="15" s="1"/>
  <c r="B420" i="15"/>
  <c r="G420" i="15"/>
  <c r="L420" i="15"/>
  <c r="T533" i="15" l="1"/>
  <c r="R533" i="15" s="1"/>
  <c r="T534" i="15" s="1"/>
  <c r="Q532" i="15"/>
  <c r="E419" i="15"/>
  <c r="J421" i="15"/>
  <c r="C421" i="15" s="1"/>
  <c r="D420" i="15"/>
  <c r="F420" i="15" s="1"/>
  <c r="Q533" i="15" l="1"/>
  <c r="Q534" i="15" s="1"/>
  <c r="R534" i="15"/>
  <c r="T535" i="15" s="1"/>
  <c r="L421" i="15"/>
  <c r="E420" i="15"/>
  <c r="B421" i="15"/>
  <c r="G421" i="15"/>
  <c r="D421" i="15"/>
  <c r="M421" i="15"/>
  <c r="O422" i="15" s="1"/>
  <c r="Q535" i="15" l="1"/>
  <c r="R535" i="15"/>
  <c r="T536" i="15" s="1"/>
  <c r="F421" i="15"/>
  <c r="J422" i="15" l="1"/>
  <c r="C422" i="15" s="1"/>
  <c r="L422" i="15"/>
  <c r="M422" i="15"/>
  <c r="O423" i="15" s="1"/>
  <c r="E421" i="15"/>
  <c r="Q536" i="15"/>
  <c r="R536" i="15" l="1"/>
  <c r="T537" i="15" s="1"/>
  <c r="J423" i="15"/>
  <c r="C423" i="15" s="1"/>
  <c r="B422" i="15"/>
  <c r="L423" i="15" l="1"/>
  <c r="G422" i="15"/>
  <c r="D422" i="15"/>
  <c r="G423" i="15"/>
  <c r="B423" i="15"/>
  <c r="M423" i="15"/>
  <c r="O424" i="15" s="1"/>
  <c r="Q537" i="15"/>
  <c r="R537" i="15" l="1"/>
  <c r="T538" i="15" s="1"/>
  <c r="D423" i="15"/>
  <c r="F422" i="15"/>
  <c r="J424" i="15" l="1"/>
  <c r="C424" i="15" s="1"/>
  <c r="L424" i="15"/>
  <c r="F423" i="15"/>
  <c r="E422" i="15"/>
  <c r="M424" i="15"/>
  <c r="O425" i="15" s="1"/>
  <c r="Q538" i="15"/>
  <c r="R538" i="15" l="1"/>
  <c r="T539" i="15" s="1"/>
  <c r="J425" i="15"/>
  <c r="C425" i="15" s="1"/>
  <c r="E423" i="15"/>
  <c r="B424" i="15"/>
  <c r="B425" i="15" l="1"/>
  <c r="G425" i="15"/>
  <c r="M425" i="15"/>
  <c r="L425" i="15"/>
  <c r="O426" i="15" s="1"/>
  <c r="G424" i="15"/>
  <c r="D424" i="15"/>
  <c r="Q539" i="15"/>
  <c r="J426" i="15" l="1"/>
  <c r="C426" i="15" s="1"/>
  <c r="D425" i="15"/>
  <c r="F424" i="15"/>
  <c r="R539" i="15"/>
  <c r="T540" i="15" s="1"/>
  <c r="M426" i="15" l="1"/>
  <c r="Q540" i="15"/>
  <c r="E424" i="15"/>
  <c r="F425" i="15"/>
  <c r="B426" i="15"/>
  <c r="G426" i="15"/>
  <c r="L426" i="15"/>
  <c r="O427" i="15" s="1"/>
  <c r="E425" i="15" l="1"/>
  <c r="R540" i="15"/>
  <c r="T541" i="15" s="1"/>
  <c r="D426" i="15"/>
  <c r="J427" i="15" l="1"/>
  <c r="C427" i="15" s="1"/>
  <c r="M427" i="15"/>
  <c r="L427" i="15"/>
  <c r="O428" i="15" s="1"/>
  <c r="Q541" i="15"/>
  <c r="F426" i="15"/>
  <c r="R541" i="15" l="1"/>
  <c r="T542" i="15" s="1"/>
  <c r="E426" i="15"/>
  <c r="J428" i="15"/>
  <c r="C428" i="15" s="1"/>
  <c r="B427" i="15"/>
  <c r="B428" i="15" l="1"/>
  <c r="G428" i="15"/>
  <c r="L428" i="15"/>
  <c r="O429" i="15" s="1"/>
  <c r="M428" i="15"/>
  <c r="G427" i="15"/>
  <c r="D427" i="15"/>
  <c r="Q542" i="15"/>
  <c r="D428" i="15" l="1"/>
  <c r="F427" i="15"/>
  <c r="R542" i="15"/>
  <c r="T543" i="15" s="1"/>
  <c r="J429" i="15"/>
  <c r="C429" i="15" s="1"/>
  <c r="B429" i="15" l="1"/>
  <c r="G429" i="15"/>
  <c r="M429" i="15"/>
  <c r="F428" i="15"/>
  <c r="E427" i="15"/>
  <c r="L429" i="15"/>
  <c r="O430" i="15" s="1"/>
  <c r="Q543" i="15"/>
  <c r="J430" i="15" l="1"/>
  <c r="C430" i="15" s="1"/>
  <c r="R543" i="15"/>
  <c r="T544" i="15" s="1"/>
  <c r="E428" i="15"/>
  <c r="D429" i="15"/>
  <c r="M430" i="15" l="1"/>
  <c r="F429" i="15"/>
  <c r="Q544" i="15"/>
  <c r="B430" i="15"/>
  <c r="G430" i="15"/>
  <c r="L430" i="15"/>
  <c r="O431" i="15" s="1"/>
  <c r="R544" i="15" l="1"/>
  <c r="T545" i="15" s="1"/>
  <c r="E429" i="15"/>
  <c r="D430" i="15"/>
  <c r="Q545" i="15" l="1"/>
  <c r="J431" i="15"/>
  <c r="C431" i="15" s="1"/>
  <c r="M431" i="15"/>
  <c r="O432" i="15" s="1"/>
  <c r="F430" i="15"/>
  <c r="L431" i="15"/>
  <c r="E430" i="15" l="1"/>
  <c r="J432" i="15"/>
  <c r="C432" i="15" s="1"/>
  <c r="B431" i="15"/>
  <c r="R545" i="15"/>
  <c r="T546" i="15" s="1"/>
  <c r="B432" i="15" l="1"/>
  <c r="G432" i="15"/>
  <c r="M432" i="15"/>
  <c r="Q546" i="15"/>
  <c r="G431" i="15"/>
  <c r="D431" i="15"/>
  <c r="L432" i="15"/>
  <c r="O433" i="15" s="1"/>
  <c r="J433" i="15" l="1"/>
  <c r="C433" i="15" s="1"/>
  <c r="R546" i="15"/>
  <c r="T547" i="15" s="1"/>
  <c r="D432" i="15"/>
  <c r="F431" i="15"/>
  <c r="M433" i="15" l="1"/>
  <c r="Q547" i="15"/>
  <c r="F432" i="15"/>
  <c r="E431" i="15"/>
  <c r="B433" i="15"/>
  <c r="G433" i="15"/>
  <c r="L433" i="15"/>
  <c r="O434" i="15" s="1"/>
  <c r="E432" i="15" l="1"/>
  <c r="R547" i="15"/>
  <c r="T548" i="15" s="1"/>
  <c r="D433" i="15"/>
  <c r="F433" i="15" s="1"/>
  <c r="L434" i="15"/>
  <c r="O435" i="15" s="1"/>
  <c r="J435" i="15" l="1"/>
  <c r="C435" i="15" s="1"/>
  <c r="E433" i="15"/>
  <c r="J434" i="15"/>
  <c r="C434" i="15" s="1"/>
  <c r="M434" i="15"/>
  <c r="Q548" i="15"/>
  <c r="T549" i="15" s="1"/>
  <c r="M435" i="15" l="1"/>
  <c r="O436" i="15" s="1"/>
  <c r="R548" i="15"/>
  <c r="B434" i="15"/>
  <c r="G435" i="15"/>
  <c r="B435" i="15"/>
  <c r="Q549" i="15"/>
  <c r="T550" i="15" s="1"/>
  <c r="L435" i="15"/>
  <c r="J436" i="15" l="1"/>
  <c r="Q550" i="15"/>
  <c r="T551" i="15" s="1"/>
  <c r="G434" i="15"/>
  <c r="D434" i="15"/>
  <c r="R549" i="15"/>
  <c r="C436" i="15" l="1"/>
  <c r="G436" i="15" s="1"/>
  <c r="B436" i="15"/>
  <c r="L436" i="15"/>
  <c r="M436" i="15"/>
  <c r="O437" i="15" s="1"/>
  <c r="R550" i="15"/>
  <c r="Q551" i="15"/>
  <c r="T552" i="15" s="1"/>
  <c r="D435" i="15"/>
  <c r="F434" i="15"/>
  <c r="D436" i="15" l="1"/>
  <c r="R551" i="15"/>
  <c r="Q552" i="15"/>
  <c r="J437" i="15"/>
  <c r="C437" i="15" s="1"/>
  <c r="L437" i="15"/>
  <c r="O438" i="15" s="1"/>
  <c r="M437" i="15"/>
  <c r="F435" i="15"/>
  <c r="E434" i="15"/>
  <c r="J438" i="15" l="1"/>
  <c r="C438" i="15" s="1"/>
  <c r="F436" i="15"/>
  <c r="E435" i="15"/>
  <c r="B437" i="15"/>
  <c r="R552" i="15"/>
  <c r="T553" i="15" s="1"/>
  <c r="M438" i="15" l="1"/>
  <c r="G437" i="15"/>
  <c r="D437" i="15"/>
  <c r="E436" i="15"/>
  <c r="B438" i="15"/>
  <c r="G438" i="15"/>
  <c r="L438" i="15"/>
  <c r="O439" i="15" s="1"/>
  <c r="Q553" i="15"/>
  <c r="T554" i="15" s="1"/>
  <c r="D438" i="15" l="1"/>
  <c r="Q554" i="15"/>
  <c r="F437" i="15"/>
  <c r="R553" i="15"/>
  <c r="R554" i="15" l="1"/>
  <c r="F438" i="15"/>
  <c r="E437" i="15"/>
  <c r="J439" i="15"/>
  <c r="C439" i="15" s="1"/>
  <c r="M439" i="15"/>
  <c r="O440" i="15" s="1"/>
  <c r="L439" i="15"/>
  <c r="T555" i="15" l="1"/>
  <c r="Q555" i="15" s="1"/>
  <c r="B439" i="15"/>
  <c r="J440" i="15"/>
  <c r="C440" i="15" s="1"/>
  <c r="E438" i="15"/>
  <c r="R555" i="15" l="1"/>
  <c r="T556" i="15"/>
  <c r="Q556" i="15" s="1"/>
  <c r="T557" i="15" s="1"/>
  <c r="M440" i="15"/>
  <c r="O441" i="15" s="1"/>
  <c r="G439" i="15"/>
  <c r="D439" i="15"/>
  <c r="B440" i="15"/>
  <c r="G440" i="15"/>
  <c r="L440" i="15"/>
  <c r="R556" i="15" l="1"/>
  <c r="R557" i="15" s="1"/>
  <c r="Q557" i="15"/>
  <c r="T558" i="15" s="1"/>
  <c r="D440" i="15"/>
  <c r="F439" i="15"/>
  <c r="J441" i="15"/>
  <c r="C441" i="15" s="1"/>
  <c r="R558" i="15" l="1"/>
  <c r="Q558" i="15"/>
  <c r="T559" i="15" s="1"/>
  <c r="R559" i="15" s="1"/>
  <c r="G441" i="15"/>
  <c r="B441" i="15"/>
  <c r="E439" i="15"/>
  <c r="F440" i="15"/>
  <c r="L441" i="15"/>
  <c r="M441" i="15"/>
  <c r="O442" i="15" s="1"/>
  <c r="Q559" i="15" l="1"/>
  <c r="T560" i="15" s="1"/>
  <c r="E440" i="15"/>
  <c r="D441" i="15"/>
  <c r="F441" i="15" s="1"/>
  <c r="J442" i="15"/>
  <c r="C442" i="15" s="1"/>
  <c r="Q560" i="15" l="1"/>
  <c r="M442" i="15"/>
  <c r="R560" i="15"/>
  <c r="T561" i="15" s="1"/>
  <c r="L442" i="15"/>
  <c r="O443" i="15" s="1"/>
  <c r="E441" i="15"/>
  <c r="D442" i="15"/>
  <c r="G442" i="15"/>
  <c r="B442" i="15"/>
  <c r="Q561" i="15" l="1"/>
  <c r="J443" i="15"/>
  <c r="C443" i="15" s="1"/>
  <c r="G443" i="15" s="1"/>
  <c r="M443" i="15"/>
  <c r="L443" i="15"/>
  <c r="O444" i="15" s="1"/>
  <c r="R561" i="15"/>
  <c r="T562" i="15" s="1"/>
  <c r="F442" i="15"/>
  <c r="B443" i="15" l="1"/>
  <c r="J444" i="15"/>
  <c r="E442" i="15"/>
  <c r="Q562" i="15"/>
  <c r="D443" i="15"/>
  <c r="C444" i="15" l="1"/>
  <c r="G444" i="15" s="1"/>
  <c r="B444" i="15"/>
  <c r="L444" i="15"/>
  <c r="M444" i="15"/>
  <c r="O445" i="15" s="1"/>
  <c r="J445" i="15" s="1"/>
  <c r="C445" i="15" s="1"/>
  <c r="D444" i="15"/>
  <c r="R562" i="15"/>
  <c r="T563" i="15" s="1"/>
  <c r="F443" i="15"/>
  <c r="L445" i="15" l="1"/>
  <c r="E443" i="15"/>
  <c r="F444" i="15"/>
  <c r="Q563" i="15"/>
  <c r="G445" i="15"/>
  <c r="B445" i="15"/>
  <c r="M445" i="15"/>
  <c r="O446" i="15" s="1"/>
  <c r="D445" i="15" l="1"/>
  <c r="F445" i="15" s="1"/>
  <c r="R563" i="15"/>
  <c r="T564" i="15" s="1"/>
  <c r="E444" i="15"/>
  <c r="J446" i="15" l="1"/>
  <c r="C446" i="15" s="1"/>
  <c r="L446" i="15"/>
  <c r="M446" i="15"/>
  <c r="O447" i="15" s="1"/>
  <c r="Q564" i="15"/>
  <c r="E445" i="15"/>
  <c r="R564" i="15" l="1"/>
  <c r="T565" i="15" s="1"/>
  <c r="J447" i="15"/>
  <c r="C447" i="15" s="1"/>
  <c r="B446" i="15"/>
  <c r="L447" i="15" l="1"/>
  <c r="G446" i="15"/>
  <c r="D446" i="15"/>
  <c r="G447" i="15"/>
  <c r="B447" i="15"/>
  <c r="M447" i="15"/>
  <c r="O448" i="15" s="1"/>
  <c r="Q565" i="15"/>
  <c r="R565" i="15" l="1"/>
  <c r="M448" i="15"/>
  <c r="O449" i="15" s="1"/>
  <c r="D447" i="15"/>
  <c r="F446" i="15"/>
  <c r="T566" i="15" l="1"/>
  <c r="R566" i="15" s="1"/>
  <c r="J449" i="15"/>
  <c r="C449" i="15" s="1"/>
  <c r="E446" i="15"/>
  <c r="F447" i="15"/>
  <c r="J448" i="15"/>
  <c r="C448" i="15" s="1"/>
  <c r="L448" i="15"/>
  <c r="Q566" i="15" l="1"/>
  <c r="T567" i="15" s="1"/>
  <c r="Q567" i="15" s="1"/>
  <c r="L449" i="15"/>
  <c r="E447" i="15"/>
  <c r="B448" i="15"/>
  <c r="G449" i="15"/>
  <c r="B449" i="15"/>
  <c r="M449" i="15"/>
  <c r="O450" i="15" s="1"/>
  <c r="R567" i="15" l="1"/>
  <c r="T568" i="15" s="1"/>
  <c r="Q568" i="15" s="1"/>
  <c r="G448" i="15"/>
  <c r="D448" i="15"/>
  <c r="M450" i="15"/>
  <c r="O451" i="15" s="1"/>
  <c r="J451" i="15" l="1"/>
  <c r="C451" i="15" s="1"/>
  <c r="J450" i="15"/>
  <c r="C450" i="15" s="1"/>
  <c r="L450" i="15"/>
  <c r="D449" i="15"/>
  <c r="F448" i="15"/>
  <c r="R568" i="15"/>
  <c r="T569" i="15" s="1"/>
  <c r="L451" i="15" l="1"/>
  <c r="Q569" i="15"/>
  <c r="E448" i="15"/>
  <c r="F449" i="15"/>
  <c r="G450" i="15"/>
  <c r="B450" i="15"/>
  <c r="G451" i="15"/>
  <c r="B451" i="15"/>
  <c r="M451" i="15"/>
  <c r="O452" i="15" s="1"/>
  <c r="E449" i="15" l="1"/>
  <c r="D450" i="15"/>
  <c r="D451" i="15" s="1"/>
  <c r="R569" i="15"/>
  <c r="T570" i="15" s="1"/>
  <c r="Q570" i="15" l="1"/>
  <c r="J452" i="15"/>
  <c r="C452" i="15" s="1"/>
  <c r="L452" i="15"/>
  <c r="O453" i="15" s="1"/>
  <c r="M452" i="15"/>
  <c r="F450" i="15"/>
  <c r="J453" i="15" l="1"/>
  <c r="C453" i="15" s="1"/>
  <c r="E450" i="15"/>
  <c r="F451" i="15"/>
  <c r="B452" i="15"/>
  <c r="R570" i="15"/>
  <c r="T571" i="15" s="1"/>
  <c r="G452" i="15" l="1"/>
  <c r="D452" i="15"/>
  <c r="E451" i="15"/>
  <c r="G453" i="15"/>
  <c r="B453" i="15"/>
  <c r="L453" i="15"/>
  <c r="Q571" i="15"/>
  <c r="T572" i="15" s="1"/>
  <c r="M453" i="15"/>
  <c r="O454" i="15" s="1"/>
  <c r="R571" i="15" l="1"/>
  <c r="D453" i="15"/>
  <c r="F452" i="15"/>
  <c r="J454" i="15"/>
  <c r="C454" i="15" s="1"/>
  <c r="R572" i="15" l="1"/>
  <c r="M454" i="15"/>
  <c r="O455" i="15" s="1"/>
  <c r="Q572" i="15"/>
  <c r="T573" i="15" s="1"/>
  <c r="E452" i="15"/>
  <c r="F453" i="15"/>
  <c r="G454" i="15"/>
  <c r="B454" i="15"/>
  <c r="D454" i="15"/>
  <c r="L454" i="15"/>
  <c r="E453" i="15" l="1"/>
  <c r="F454" i="15"/>
  <c r="R573" i="15"/>
  <c r="J455" i="15"/>
  <c r="C455" i="15" s="1"/>
  <c r="B455" i="15" l="1"/>
  <c r="L455" i="15"/>
  <c r="M455" i="15"/>
  <c r="O456" i="15" s="1"/>
  <c r="Q573" i="15"/>
  <c r="T574" i="15" s="1"/>
  <c r="E454" i="15"/>
  <c r="J456" i="15" l="1"/>
  <c r="C456" i="15" s="1"/>
  <c r="R574" i="15"/>
  <c r="G455" i="15"/>
  <c r="D455" i="15"/>
  <c r="L456" i="15" l="1"/>
  <c r="Q574" i="15"/>
  <c r="T575" i="15" s="1"/>
  <c r="F455" i="15"/>
  <c r="G456" i="15"/>
  <c r="B456" i="15"/>
  <c r="M456" i="15"/>
  <c r="O457" i="15" s="1"/>
  <c r="E455" i="15" l="1"/>
  <c r="M457" i="15"/>
  <c r="O458" i="15" s="1"/>
  <c r="D456" i="15"/>
  <c r="R575" i="15"/>
  <c r="T576" i="15" s="1"/>
  <c r="J458" i="15" l="1"/>
  <c r="C458" i="15" s="1"/>
  <c r="R576" i="15"/>
  <c r="T577" i="15" s="1"/>
  <c r="Q575" i="15"/>
  <c r="J457" i="15"/>
  <c r="C457" i="15" s="1"/>
  <c r="L457" i="15"/>
  <c r="F456" i="15"/>
  <c r="L458" i="15" l="1"/>
  <c r="Q576" i="15"/>
  <c r="R577" i="15"/>
  <c r="T578" i="15" s="1"/>
  <c r="B457" i="15"/>
  <c r="G458" i="15"/>
  <c r="B458" i="15"/>
  <c r="E456" i="15"/>
  <c r="M458" i="15"/>
  <c r="O459" i="15" s="1"/>
  <c r="Q577" i="15" l="1"/>
  <c r="R578" i="15"/>
  <c r="T579" i="15" s="1"/>
  <c r="G457" i="15"/>
  <c r="D457" i="15"/>
  <c r="Q578" i="15" l="1"/>
  <c r="R579" i="15"/>
  <c r="T580" i="15" s="1"/>
  <c r="J459" i="15"/>
  <c r="C459" i="15" s="1"/>
  <c r="L459" i="15"/>
  <c r="M459" i="15"/>
  <c r="O460" i="15" s="1"/>
  <c r="D458" i="15"/>
  <c r="F457" i="15"/>
  <c r="Q579" i="15" l="1"/>
  <c r="R580" i="15"/>
  <c r="T581" i="15" s="1"/>
  <c r="J460" i="15"/>
  <c r="C460" i="15" s="1"/>
  <c r="G459" i="15"/>
  <c r="B459" i="15"/>
  <c r="E457" i="15"/>
  <c r="F458" i="15"/>
  <c r="R581" i="15" l="1"/>
  <c r="T582" i="15" s="1"/>
  <c r="D459" i="15"/>
  <c r="G460" i="15"/>
  <c r="B460" i="15"/>
  <c r="Q580" i="15"/>
  <c r="M460" i="15"/>
  <c r="O461" i="15" s="1"/>
  <c r="L460" i="15"/>
  <c r="E458" i="15"/>
  <c r="Q581" i="15" l="1"/>
  <c r="R582" i="15"/>
  <c r="T583" i="15" s="1"/>
  <c r="J461" i="15"/>
  <c r="C461" i="15" s="1"/>
  <c r="D460" i="15"/>
  <c r="F459" i="15"/>
  <c r="Q582" i="15" l="1"/>
  <c r="L461" i="15"/>
  <c r="O462" i="15" s="1"/>
  <c r="R583" i="15"/>
  <c r="T584" i="15" s="1"/>
  <c r="E459" i="15"/>
  <c r="F460" i="15"/>
  <c r="G461" i="15"/>
  <c r="B461" i="15"/>
  <c r="M461" i="15"/>
  <c r="J462" i="15" l="1"/>
  <c r="Q583" i="15"/>
  <c r="D461" i="15"/>
  <c r="F461" i="15" s="1"/>
  <c r="R584" i="15"/>
  <c r="T585" i="15" s="1"/>
  <c r="M462" i="15"/>
  <c r="O463" i="15" s="1"/>
  <c r="E460" i="15"/>
  <c r="L462" i="15"/>
  <c r="C462" i="15" l="1"/>
  <c r="G462" i="15" s="1"/>
  <c r="B462" i="15"/>
  <c r="Q584" i="15"/>
  <c r="R585" i="15"/>
  <c r="T586" i="15" s="1"/>
  <c r="J463" i="15"/>
  <c r="C463" i="15" s="1"/>
  <c r="E461" i="15"/>
  <c r="D462" i="15" l="1"/>
  <c r="Q585" i="15"/>
  <c r="L463" i="15"/>
  <c r="R586" i="15"/>
  <c r="T587" i="15" s="1"/>
  <c r="G463" i="15"/>
  <c r="B463" i="15"/>
  <c r="M463" i="15"/>
  <c r="O464" i="15" s="1"/>
  <c r="F462" i="15"/>
  <c r="Q586" i="15" l="1"/>
  <c r="R587" i="15"/>
  <c r="T588" i="15" s="1"/>
  <c r="D463" i="15"/>
  <c r="F463" i="15" s="1"/>
  <c r="E462" i="15"/>
  <c r="Q587" i="15" l="1"/>
  <c r="R588" i="15"/>
  <c r="T589" i="15" s="1"/>
  <c r="E463" i="15"/>
  <c r="J464" i="15"/>
  <c r="C464" i="15" s="1"/>
  <c r="L464" i="15"/>
  <c r="O465" i="15" s="1"/>
  <c r="M464" i="15"/>
  <c r="Q588" i="15" l="1"/>
  <c r="R589" i="15"/>
  <c r="T590" i="15" s="1"/>
  <c r="J465" i="15"/>
  <c r="C465" i="15" s="1"/>
  <c r="B464" i="15"/>
  <c r="M465" i="15" l="1"/>
  <c r="Q589" i="15"/>
  <c r="R590" i="15"/>
  <c r="T591" i="15" s="1"/>
  <c r="G464" i="15"/>
  <c r="D464" i="15"/>
  <c r="L465" i="15"/>
  <c r="O466" i="15" s="1"/>
  <c r="G465" i="15"/>
  <c r="B465" i="15"/>
  <c r="R591" i="15" l="1"/>
  <c r="T592" i="15" s="1"/>
  <c r="D465" i="15"/>
  <c r="F464" i="15"/>
  <c r="L466" i="15"/>
  <c r="Q590" i="15"/>
  <c r="Q591" i="15" l="1"/>
  <c r="R592" i="15"/>
  <c r="T593" i="15" s="1"/>
  <c r="J466" i="15"/>
  <c r="C466" i="15" s="1"/>
  <c r="M466" i="15"/>
  <c r="O467" i="15" s="1"/>
  <c r="E464" i="15"/>
  <c r="F465" i="15"/>
  <c r="Q592" i="15" l="1"/>
  <c r="R593" i="15"/>
  <c r="T594" i="15" s="1"/>
  <c r="B466" i="15"/>
  <c r="E465" i="15"/>
  <c r="R594" i="15" l="1"/>
  <c r="T595" i="15" s="1"/>
  <c r="G466" i="15"/>
  <c r="D466" i="15"/>
  <c r="J467" i="15"/>
  <c r="C467" i="15" s="1"/>
  <c r="L467" i="15"/>
  <c r="M467" i="15"/>
  <c r="O468" i="15" s="1"/>
  <c r="Q593" i="15"/>
  <c r="Q594" i="15" l="1"/>
  <c r="R595" i="15"/>
  <c r="T596" i="15" s="1"/>
  <c r="J468" i="15"/>
  <c r="C468" i="15" s="1"/>
  <c r="G467" i="15"/>
  <c r="B467" i="15"/>
  <c r="F466" i="15"/>
  <c r="L468" i="15" l="1"/>
  <c r="Q595" i="15"/>
  <c r="R596" i="15"/>
  <c r="T597" i="15" s="1"/>
  <c r="E466" i="15"/>
  <c r="G468" i="15"/>
  <c r="B468" i="15"/>
  <c r="M468" i="15"/>
  <c r="O469" i="15" s="1"/>
  <c r="D467" i="15"/>
  <c r="F467" i="15" s="1"/>
  <c r="R597" i="15" l="1"/>
  <c r="Q596" i="15"/>
  <c r="E467" i="15"/>
  <c r="D468" i="15"/>
  <c r="F468" i="15" s="1"/>
  <c r="Q597" i="15" l="1"/>
  <c r="E468" i="15"/>
  <c r="J469" i="15"/>
  <c r="C469" i="15" s="1"/>
  <c r="L469" i="15"/>
  <c r="O470" i="15" s="1"/>
  <c r="M469" i="15"/>
  <c r="T598" i="15" l="1"/>
  <c r="R598" i="15" s="1"/>
  <c r="J470" i="15"/>
  <c r="C470" i="15" s="1"/>
  <c r="B469" i="15"/>
  <c r="Q598" i="15" l="1"/>
  <c r="M470" i="15"/>
  <c r="O471" i="15" s="1"/>
  <c r="J471" i="15" s="1"/>
  <c r="C471" i="15" s="1"/>
  <c r="G469" i="15"/>
  <c r="D469" i="15"/>
  <c r="G470" i="15"/>
  <c r="B470" i="15"/>
  <c r="L470" i="15"/>
  <c r="T599" i="15" l="1"/>
  <c r="R599" i="15" s="1"/>
  <c r="G471" i="15"/>
  <c r="B471" i="15"/>
  <c r="M471" i="15"/>
  <c r="O472" i="15" s="1"/>
  <c r="D470" i="15"/>
  <c r="D471" i="15" s="1"/>
  <c r="F469" i="15"/>
  <c r="L471" i="15"/>
  <c r="Q599" i="15" l="1"/>
  <c r="J472" i="15"/>
  <c r="C472" i="15" s="1"/>
  <c r="E469" i="15"/>
  <c r="F470" i="15"/>
  <c r="T600" i="15" l="1"/>
  <c r="R600" i="15" s="1"/>
  <c r="M472" i="15"/>
  <c r="O473" i="15" s="1"/>
  <c r="E470" i="15"/>
  <c r="F471" i="15"/>
  <c r="B472" i="15"/>
  <c r="L472" i="15"/>
  <c r="Q600" i="15" l="1"/>
  <c r="T601" i="15" s="1"/>
  <c r="G472" i="15"/>
  <c r="D472" i="15"/>
  <c r="E471" i="15"/>
  <c r="J473" i="15"/>
  <c r="C473" i="15" s="1"/>
  <c r="Q601" i="15" l="1"/>
  <c r="T602" i="15" s="1"/>
  <c r="Q602" i="15" s="1"/>
  <c r="R601" i="15"/>
  <c r="G473" i="15"/>
  <c r="B473" i="15"/>
  <c r="M473" i="15"/>
  <c r="O474" i="15" s="1"/>
  <c r="L473" i="15"/>
  <c r="F472" i="15"/>
  <c r="R602" i="15" l="1"/>
  <c r="T603" i="15"/>
  <c r="E472" i="15"/>
  <c r="J474" i="15"/>
  <c r="C474" i="15" s="1"/>
  <c r="D473" i="15"/>
  <c r="F473" i="15" s="1"/>
  <c r="R603" i="15" l="1"/>
  <c r="Q603" i="15"/>
  <c r="T604" i="15" s="1"/>
  <c r="L474" i="15"/>
  <c r="O475" i="15" s="1"/>
  <c r="E473" i="15"/>
  <c r="M474" i="15"/>
  <c r="G474" i="15"/>
  <c r="B474" i="15"/>
  <c r="R604" i="15" l="1"/>
  <c r="Q604" i="15"/>
  <c r="T605" i="15" s="1"/>
  <c r="J475" i="15"/>
  <c r="D474" i="15"/>
  <c r="L475" i="15"/>
  <c r="O476" i="15" s="1"/>
  <c r="R605" i="15" l="1"/>
  <c r="Q605" i="15"/>
  <c r="T606" i="15" s="1"/>
  <c r="C475" i="15"/>
  <c r="G475" i="15" s="1"/>
  <c r="B475" i="15"/>
  <c r="M475" i="15"/>
  <c r="F474" i="15"/>
  <c r="D475" i="15" l="1"/>
  <c r="R606" i="15"/>
  <c r="T607" i="15" s="1"/>
  <c r="R607" i="15" s="1"/>
  <c r="T608" i="15" s="1"/>
  <c r="Q606" i="15"/>
  <c r="E474" i="15"/>
  <c r="F475" i="15"/>
  <c r="J476" i="15"/>
  <c r="C476" i="15" s="1"/>
  <c r="M476" i="15"/>
  <c r="L476" i="15"/>
  <c r="O477" i="15" s="1"/>
  <c r="Q607" i="15" l="1"/>
  <c r="Q608" i="15" s="1"/>
  <c r="R608" i="15"/>
  <c r="T609" i="15" s="1"/>
  <c r="J477" i="15"/>
  <c r="C477" i="15" s="1"/>
  <c r="B476" i="15"/>
  <c r="E475" i="15"/>
  <c r="M477" i="15" l="1"/>
  <c r="L477" i="15"/>
  <c r="O478" i="15" s="1"/>
  <c r="G476" i="15"/>
  <c r="D476" i="15"/>
  <c r="G477" i="15"/>
  <c r="B477" i="15"/>
  <c r="Q609" i="15"/>
  <c r="T610" i="15" s="1"/>
  <c r="Q610" i="15" l="1"/>
  <c r="T611" i="15" s="1"/>
  <c r="R609" i="15"/>
  <c r="D477" i="15"/>
  <c r="F476" i="15"/>
  <c r="R610" i="15" l="1"/>
  <c r="Q611" i="15"/>
  <c r="T612" i="15" s="1"/>
  <c r="J478" i="15"/>
  <c r="C478" i="15" s="1"/>
  <c r="M478" i="15"/>
  <c r="L478" i="15"/>
  <c r="O479" i="15" s="1"/>
  <c r="E476" i="15"/>
  <c r="F477" i="15"/>
  <c r="R611" i="15" l="1"/>
  <c r="Q612" i="15"/>
  <c r="T613" i="15" s="1"/>
  <c r="E477" i="15"/>
  <c r="J479" i="15"/>
  <c r="C479" i="15" s="1"/>
  <c r="B478" i="15"/>
  <c r="R612" i="15" l="1"/>
  <c r="Q613" i="15"/>
  <c r="T614" i="15" s="1"/>
  <c r="L479" i="15"/>
  <c r="M479" i="15"/>
  <c r="O480" i="15" s="1"/>
  <c r="G479" i="15"/>
  <c r="B479" i="15"/>
  <c r="R613" i="15"/>
  <c r="G478" i="15"/>
  <c r="D478" i="15"/>
  <c r="Q614" i="15" l="1"/>
  <c r="T615" i="15" s="1"/>
  <c r="J480" i="15"/>
  <c r="C480" i="15" s="1"/>
  <c r="D479" i="15"/>
  <c r="F478" i="15"/>
  <c r="L480" i="15" l="1"/>
  <c r="R614" i="15"/>
  <c r="Q615" i="15"/>
  <c r="T616" i="15" s="1"/>
  <c r="M480" i="15"/>
  <c r="O481" i="15" s="1"/>
  <c r="E478" i="15"/>
  <c r="F479" i="15"/>
  <c r="G480" i="15"/>
  <c r="B480" i="15"/>
  <c r="Q616" i="15" l="1"/>
  <c r="T617" i="15" s="1"/>
  <c r="E479" i="15"/>
  <c r="D480" i="15"/>
  <c r="R615" i="15"/>
  <c r="R616" i="15" l="1"/>
  <c r="Q617" i="15"/>
  <c r="J481" i="15"/>
  <c r="C481" i="15" s="1"/>
  <c r="L481" i="15"/>
  <c r="M481" i="15"/>
  <c r="O482" i="15" s="1"/>
  <c r="F480" i="15"/>
  <c r="R617" i="15" l="1"/>
  <c r="E480" i="15"/>
  <c r="J482" i="15"/>
  <c r="C482" i="15" s="1"/>
  <c r="B481" i="15"/>
  <c r="T618" i="15" l="1"/>
  <c r="Q618" i="15" s="1"/>
  <c r="L482" i="15"/>
  <c r="G482" i="15"/>
  <c r="B482" i="15"/>
  <c r="M482" i="15"/>
  <c r="O483" i="15" s="1"/>
  <c r="G481" i="15"/>
  <c r="D481" i="15"/>
  <c r="R618" i="15" l="1"/>
  <c r="T619" i="15" s="1"/>
  <c r="Q619" i="15" s="1"/>
  <c r="D482" i="15"/>
  <c r="F481" i="15"/>
  <c r="E481" i="15" l="1"/>
  <c r="F482" i="15"/>
  <c r="R619" i="15"/>
  <c r="T620" i="15" s="1"/>
  <c r="J483" i="15"/>
  <c r="C483" i="15" s="1"/>
  <c r="L483" i="15"/>
  <c r="O484" i="15" s="1"/>
  <c r="M483" i="15"/>
  <c r="J484" i="15" l="1"/>
  <c r="C484" i="15" s="1"/>
  <c r="B483" i="15"/>
  <c r="Q620" i="15"/>
  <c r="T621" i="15" s="1"/>
  <c r="E482" i="15"/>
  <c r="M484" i="15" l="1"/>
  <c r="O485" i="15" s="1"/>
  <c r="J485" i="15" s="1"/>
  <c r="C485" i="15" s="1"/>
  <c r="R620" i="15"/>
  <c r="Q621" i="15"/>
  <c r="T622" i="15" s="1"/>
  <c r="G483" i="15"/>
  <c r="D483" i="15"/>
  <c r="G484" i="15"/>
  <c r="B484" i="15"/>
  <c r="L484" i="15"/>
  <c r="L485" i="15" l="1"/>
  <c r="O486" i="15" s="1"/>
  <c r="Q622" i="15"/>
  <c r="T623" i="15" s="1"/>
  <c r="D484" i="15"/>
  <c r="F483" i="15"/>
  <c r="G485" i="15"/>
  <c r="B485" i="15"/>
  <c r="M485" i="15"/>
  <c r="R621" i="15"/>
  <c r="J486" i="15" l="1"/>
  <c r="R622" i="15"/>
  <c r="Q623" i="15"/>
  <c r="T624" i="15" s="1"/>
  <c r="D485" i="15"/>
  <c r="L486" i="15"/>
  <c r="O487" i="15" s="1"/>
  <c r="E483" i="15"/>
  <c r="F484" i="15"/>
  <c r="M486" i="15"/>
  <c r="R623" i="15" l="1"/>
  <c r="C486" i="15"/>
  <c r="G486" i="15" s="1"/>
  <c r="B486" i="15"/>
  <c r="Q624" i="15"/>
  <c r="T625" i="15" s="1"/>
  <c r="J487" i="15"/>
  <c r="C487" i="15" s="1"/>
  <c r="E484" i="15"/>
  <c r="F485" i="15"/>
  <c r="D486" i="15" l="1"/>
  <c r="M487" i="15"/>
  <c r="O488" i="15" s="1"/>
  <c r="J488" i="15" s="1"/>
  <c r="C488" i="15" s="1"/>
  <c r="Q625" i="15"/>
  <c r="T626" i="15" s="1"/>
  <c r="B487" i="15"/>
  <c r="L487" i="15"/>
  <c r="R624" i="15"/>
  <c r="E485" i="15"/>
  <c r="F486" i="15"/>
  <c r="R625" i="15" l="1"/>
  <c r="L488" i="15"/>
  <c r="Q626" i="15"/>
  <c r="T627" i="15" s="1"/>
  <c r="G488" i="15"/>
  <c r="B488" i="15"/>
  <c r="G487" i="15"/>
  <c r="D487" i="15"/>
  <c r="D488" i="15" s="1"/>
  <c r="M488" i="15"/>
  <c r="O489" i="15" s="1"/>
  <c r="E486" i="15"/>
  <c r="R626" i="15" l="1"/>
  <c r="Q627" i="15"/>
  <c r="F487" i="15"/>
  <c r="R627" i="15" l="1"/>
  <c r="T628" i="15" s="1"/>
  <c r="Q628" i="15" s="1"/>
  <c r="E487" i="15"/>
  <c r="F488" i="15"/>
  <c r="J489" i="15"/>
  <c r="C489" i="15" s="1"/>
  <c r="L489" i="15"/>
  <c r="M489" i="15"/>
  <c r="O490" i="15" s="1"/>
  <c r="B489" i="15" l="1"/>
  <c r="J490" i="15"/>
  <c r="C490" i="15" s="1"/>
  <c r="R628" i="15"/>
  <c r="T629" i="15" s="1"/>
  <c r="E488" i="15"/>
  <c r="G490" i="15" l="1"/>
  <c r="B490" i="15"/>
  <c r="Q629" i="15"/>
  <c r="M490" i="15"/>
  <c r="O491" i="15" s="1"/>
  <c r="G489" i="15"/>
  <c r="D489" i="15"/>
  <c r="L490" i="15"/>
  <c r="D490" i="15" l="1"/>
  <c r="F489" i="15"/>
  <c r="J491" i="15"/>
  <c r="C491" i="15" s="1"/>
  <c r="R629" i="15"/>
  <c r="T630" i="15" s="1"/>
  <c r="Q630" i="15" l="1"/>
  <c r="E489" i="15"/>
  <c r="F490" i="15"/>
  <c r="G491" i="15"/>
  <c r="B491" i="15"/>
  <c r="M491" i="15"/>
  <c r="O492" i="15" s="1"/>
  <c r="D491" i="15"/>
  <c r="L491" i="15"/>
  <c r="J492" i="15" l="1"/>
  <c r="C492" i="15" s="1"/>
  <c r="E490" i="15"/>
  <c r="F491" i="15"/>
  <c r="R630" i="15"/>
  <c r="T631" i="15" s="1"/>
  <c r="L492" i="15" l="1"/>
  <c r="Q631" i="15"/>
  <c r="B492" i="15"/>
  <c r="E491" i="15"/>
  <c r="M492" i="15"/>
  <c r="O493" i="15" s="1"/>
  <c r="G492" i="15" l="1"/>
  <c r="D492" i="15"/>
  <c r="M493" i="15"/>
  <c r="O494" i="15" s="1"/>
  <c r="R631" i="15"/>
  <c r="T632" i="15" s="1"/>
  <c r="J494" i="15" l="1"/>
  <c r="C494" i="15" s="1"/>
  <c r="Q632" i="15"/>
  <c r="T633" i="15" s="1"/>
  <c r="J493" i="15"/>
  <c r="C493" i="15" s="1"/>
  <c r="L493" i="15"/>
  <c r="F492" i="15"/>
  <c r="L494" i="15" l="1"/>
  <c r="B493" i="15"/>
  <c r="E492" i="15"/>
  <c r="G494" i="15"/>
  <c r="B494" i="15"/>
  <c r="Q633" i="15"/>
  <c r="T634" i="15" s="1"/>
  <c r="R632" i="15"/>
  <c r="M494" i="15"/>
  <c r="O495" i="15" s="1"/>
  <c r="R633" i="15" l="1"/>
  <c r="G493" i="15"/>
  <c r="D493" i="15"/>
  <c r="R634" i="15" l="1"/>
  <c r="Q634" i="15"/>
  <c r="T635" i="15" s="1"/>
  <c r="D494" i="15"/>
  <c r="F493" i="15"/>
  <c r="J495" i="15"/>
  <c r="C495" i="15" s="1"/>
  <c r="L495" i="15"/>
  <c r="O496" i="15" s="1"/>
  <c r="M495" i="15"/>
  <c r="E493" i="15" l="1"/>
  <c r="F494" i="15"/>
  <c r="J496" i="15"/>
  <c r="C496" i="15" s="1"/>
  <c r="G495" i="15"/>
  <c r="B495" i="15"/>
  <c r="R635" i="15"/>
  <c r="Q635" i="15" l="1"/>
  <c r="L496" i="15"/>
  <c r="D495" i="15"/>
  <c r="F495" i="15" s="1"/>
  <c r="E494" i="15"/>
  <c r="G496" i="15"/>
  <c r="B496" i="15"/>
  <c r="M496" i="15"/>
  <c r="O497" i="15" s="1"/>
  <c r="T636" i="15" l="1"/>
  <c r="Q636" i="15" s="1"/>
  <c r="D496" i="15"/>
  <c r="F496" i="15" s="1"/>
  <c r="E495" i="15"/>
  <c r="J497" i="15"/>
  <c r="C497" i="15" s="1"/>
  <c r="R636" i="15" l="1"/>
  <c r="T637" i="15"/>
  <c r="Q637" i="15" s="1"/>
  <c r="L497" i="15"/>
  <c r="M497" i="15"/>
  <c r="O498" i="15" s="1"/>
  <c r="E496" i="15"/>
  <c r="G497" i="15"/>
  <c r="B497" i="15"/>
  <c r="R637" i="15" l="1"/>
  <c r="T638" i="15" s="1"/>
  <c r="J498" i="15"/>
  <c r="D497" i="15"/>
  <c r="F497" i="15" s="1"/>
  <c r="L498" i="15"/>
  <c r="M498" i="15"/>
  <c r="O499" i="15" s="1"/>
  <c r="Q638" i="15" l="1"/>
  <c r="R638" i="15"/>
  <c r="T639" i="15" s="1"/>
  <c r="C498" i="15"/>
  <c r="G498" i="15" s="1"/>
  <c r="B498" i="15"/>
  <c r="E497" i="15"/>
  <c r="J499" i="15"/>
  <c r="C499" i="15" s="1"/>
  <c r="D498" i="15" l="1"/>
  <c r="Q639" i="15"/>
  <c r="G499" i="15"/>
  <c r="B499" i="15"/>
  <c r="R639" i="15"/>
  <c r="T640" i="15" s="1"/>
  <c r="M499" i="15"/>
  <c r="O500" i="15" s="1"/>
  <c r="D499" i="15"/>
  <c r="F498" i="15"/>
  <c r="L499" i="15"/>
  <c r="E498" i="15" l="1"/>
  <c r="F499" i="15"/>
  <c r="Q640" i="15"/>
  <c r="J500" i="15"/>
  <c r="C500" i="15" s="1"/>
  <c r="B500" i="15" l="1"/>
  <c r="M500" i="15"/>
  <c r="O501" i="15" s="1"/>
  <c r="L500" i="15"/>
  <c r="R640" i="15"/>
  <c r="T641" i="15" s="1"/>
  <c r="E499" i="15"/>
  <c r="Q641" i="15" l="1"/>
  <c r="T642" i="15" s="1"/>
  <c r="J501" i="15"/>
  <c r="C501" i="15" s="1"/>
  <c r="G500" i="15"/>
  <c r="D500" i="15"/>
  <c r="M501" i="15" l="1"/>
  <c r="O502" i="15" s="1"/>
  <c r="F500" i="15"/>
  <c r="G501" i="15"/>
  <c r="B501" i="15"/>
  <c r="R641" i="15"/>
  <c r="Q642" i="15"/>
  <c r="T643" i="15" s="1"/>
  <c r="L501" i="15"/>
  <c r="Q643" i="15" l="1"/>
  <c r="D501" i="15"/>
  <c r="F501" i="15" s="1"/>
  <c r="R642" i="15"/>
  <c r="E500" i="15"/>
  <c r="J502" i="15"/>
  <c r="C502" i="15" s="1"/>
  <c r="M502" i="15" l="1"/>
  <c r="O503" i="15" s="1"/>
  <c r="L502" i="15"/>
  <c r="E501" i="15"/>
  <c r="R643" i="15"/>
  <c r="T644" i="15" s="1"/>
  <c r="G502" i="15"/>
  <c r="B502" i="15"/>
  <c r="J503" i="15" l="1"/>
  <c r="D502" i="15"/>
  <c r="F502" i="15" s="1"/>
  <c r="L503" i="15"/>
  <c r="O504" i="15" s="1"/>
  <c r="M503" i="15"/>
  <c r="Q644" i="15"/>
  <c r="C503" i="15" l="1"/>
  <c r="G503" i="15" s="1"/>
  <c r="B503" i="15"/>
  <c r="E502" i="15"/>
  <c r="R644" i="15"/>
  <c r="T645" i="15" s="1"/>
  <c r="J504" i="15"/>
  <c r="C504" i="15" s="1"/>
  <c r="D503" i="15" l="1"/>
  <c r="F503" i="15" s="1"/>
  <c r="E503" i="15" s="1"/>
  <c r="L504" i="15"/>
  <c r="M504" i="15"/>
  <c r="O505" i="15" s="1"/>
  <c r="B504" i="15"/>
  <c r="Q645" i="15"/>
  <c r="R645" i="15" l="1"/>
  <c r="T646" i="15" s="1"/>
  <c r="J505" i="15"/>
  <c r="C505" i="15" s="1"/>
  <c r="G504" i="15"/>
  <c r="D504" i="15"/>
  <c r="L505" i="15" l="1"/>
  <c r="O506" i="15" s="1"/>
  <c r="F504" i="15"/>
  <c r="G505" i="15"/>
  <c r="B505" i="15"/>
  <c r="M505" i="15"/>
  <c r="Q646" i="15"/>
  <c r="J506" i="15" l="1"/>
  <c r="R646" i="15"/>
  <c r="T647" i="15" s="1"/>
  <c r="Q647" i="15" s="1"/>
  <c r="T648" i="15" s="1"/>
  <c r="E504" i="15"/>
  <c r="D505" i="15"/>
  <c r="F505" i="15" s="1"/>
  <c r="L506" i="15"/>
  <c r="C506" i="15" l="1"/>
  <c r="G506" i="15" s="1"/>
  <c r="B506" i="15"/>
  <c r="M506" i="15"/>
  <c r="O507" i="15" s="1"/>
  <c r="Q648" i="15"/>
  <c r="T649" i="15" s="1"/>
  <c r="E505" i="15"/>
  <c r="R647" i="15"/>
  <c r="D506" i="15" l="1"/>
  <c r="F506" i="15" s="1"/>
  <c r="E506" i="15" s="1"/>
  <c r="R648" i="15"/>
  <c r="Q649" i="15"/>
  <c r="T650" i="15" s="1"/>
  <c r="M507" i="15" l="1"/>
  <c r="O508" i="15" s="1"/>
  <c r="L507" i="15"/>
  <c r="J507" i="15"/>
  <c r="Q650" i="15"/>
  <c r="R649" i="15"/>
  <c r="C507" i="15" l="1"/>
  <c r="B507" i="15"/>
  <c r="J508" i="15"/>
  <c r="C508" i="15" s="1"/>
  <c r="R650" i="15"/>
  <c r="T651" i="15" l="1"/>
  <c r="Q651" i="15" s="1"/>
  <c r="B508" i="15"/>
  <c r="G507" i="15"/>
  <c r="D507" i="15"/>
  <c r="F507" i="15" s="1"/>
  <c r="E507" i="15" s="1"/>
  <c r="M508" i="15"/>
  <c r="O509" i="15" s="1"/>
  <c r="L508" i="15"/>
  <c r="G508" i="15"/>
  <c r="T652" i="15" l="1"/>
  <c r="Q652" i="15" s="1"/>
  <c r="R651" i="15"/>
  <c r="J509" i="15"/>
  <c r="M509" i="15"/>
  <c r="O510" i="15" s="1"/>
  <c r="L509" i="15"/>
  <c r="D508" i="15"/>
  <c r="R652" i="15" l="1"/>
  <c r="T653" i="15"/>
  <c r="Q653" i="15" s="1"/>
  <c r="M510" i="15"/>
  <c r="F508" i="15"/>
  <c r="E508" i="15" s="1"/>
  <c r="C509" i="15"/>
  <c r="G509" i="15" s="1"/>
  <c r="B509" i="15"/>
  <c r="R653" i="15" l="1"/>
  <c r="T654" i="15"/>
  <c r="Q654" i="15" s="1"/>
  <c r="O511" i="15"/>
  <c r="J511" i="15" s="1"/>
  <c r="J510" i="15"/>
  <c r="L510" i="15"/>
  <c r="D509" i="15"/>
  <c r="F509" i="15" s="1"/>
  <c r="E509" i="15" s="1"/>
  <c r="R654" i="15" l="1"/>
  <c r="L511" i="15"/>
  <c r="O512" i="15" s="1"/>
  <c r="J512" i="15" s="1"/>
  <c r="T655" i="15"/>
  <c r="C511" i="15"/>
  <c r="G511" i="15" s="1"/>
  <c r="B511" i="15"/>
  <c r="M511" i="15"/>
  <c r="C510" i="15"/>
  <c r="G510" i="15" s="1"/>
  <c r="B510" i="15"/>
  <c r="R655" i="15" l="1"/>
  <c r="Q655" i="15"/>
  <c r="T656" i="15" s="1"/>
  <c r="Q656" i="15" s="1"/>
  <c r="T657" i="15" s="1"/>
  <c r="L512" i="15"/>
  <c r="O513" i="15" s="1"/>
  <c r="L513" i="15" s="1"/>
  <c r="M512" i="15"/>
  <c r="C512" i="15"/>
  <c r="G512" i="15" s="1"/>
  <c r="B512" i="15"/>
  <c r="D510" i="15"/>
  <c r="R656" i="15" l="1"/>
  <c r="Q657" i="15"/>
  <c r="T658" i="15" s="1"/>
  <c r="Q658" i="15" s="1"/>
  <c r="J513" i="15"/>
  <c r="C513" i="15" s="1"/>
  <c r="G513" i="15" s="1"/>
  <c r="M513" i="15"/>
  <c r="O514" i="15" s="1"/>
  <c r="J514" i="15" s="1"/>
  <c r="C514" i="15" s="1"/>
  <c r="D511" i="15"/>
  <c r="D512" i="15" s="1"/>
  <c r="F510" i="15"/>
  <c r="R657" i="15"/>
  <c r="M514" i="15" l="1"/>
  <c r="L514" i="15"/>
  <c r="O515" i="15" s="1"/>
  <c r="J515" i="15" s="1"/>
  <c r="C515" i="15" s="1"/>
  <c r="D513" i="15"/>
  <c r="D514" i="15" s="1"/>
  <c r="B513" i="15"/>
  <c r="B514" i="15"/>
  <c r="F511" i="15"/>
  <c r="E510" i="15"/>
  <c r="R658" i="15"/>
  <c r="T659" i="15" s="1"/>
  <c r="Q659" i="15" s="1"/>
  <c r="G514" i="15"/>
  <c r="E511" i="15" l="1"/>
  <c r="F512" i="15"/>
  <c r="M515" i="15"/>
  <c r="R659" i="15"/>
  <c r="T660" i="15" s="1"/>
  <c r="G515" i="15"/>
  <c r="B515" i="15"/>
  <c r="L515" i="15"/>
  <c r="O516" i="15" s="1"/>
  <c r="E512" i="15" l="1"/>
  <c r="F513" i="15"/>
  <c r="Q660" i="15"/>
  <c r="D515" i="15"/>
  <c r="E513" i="15" l="1"/>
  <c r="F514" i="15"/>
  <c r="E514" i="15" s="1"/>
  <c r="J516" i="15"/>
  <c r="C516" i="15" s="1"/>
  <c r="M516" i="15"/>
  <c r="O517" i="15" s="1"/>
  <c r="R660" i="15"/>
  <c r="T661" i="15" s="1"/>
  <c r="L516" i="15"/>
  <c r="F515" i="15"/>
  <c r="Q661" i="15" l="1"/>
  <c r="E515" i="15"/>
  <c r="J517" i="15"/>
  <c r="C517" i="15" s="1"/>
  <c r="B516" i="15"/>
  <c r="G517" i="15" l="1"/>
  <c r="B517" i="15"/>
  <c r="L517" i="15"/>
  <c r="G516" i="15"/>
  <c r="D516" i="15"/>
  <c r="M517" i="15"/>
  <c r="O518" i="15" s="1"/>
  <c r="R661" i="15"/>
  <c r="T662" i="15" s="1"/>
  <c r="Q662" i="15" l="1"/>
  <c r="D517" i="15"/>
  <c r="F516" i="15"/>
  <c r="J518" i="15"/>
  <c r="C518" i="15" s="1"/>
  <c r="E516" i="15" l="1"/>
  <c r="F517" i="15"/>
  <c r="L518" i="15"/>
  <c r="O519" i="15" s="1"/>
  <c r="G518" i="15"/>
  <c r="B518" i="15"/>
  <c r="M518" i="15"/>
  <c r="R662" i="15"/>
  <c r="T663" i="15" s="1"/>
  <c r="J519" i="15" l="1"/>
  <c r="C519" i="15" s="1"/>
  <c r="E517" i="15"/>
  <c r="Q663" i="15"/>
  <c r="T664" i="15" s="1"/>
  <c r="D518" i="15"/>
  <c r="Q664" i="15" l="1"/>
  <c r="T665" i="15" s="1"/>
  <c r="R663" i="15"/>
  <c r="F518" i="15"/>
  <c r="G519" i="15"/>
  <c r="B519" i="15"/>
  <c r="L519" i="15"/>
  <c r="O520" i="15" s="1"/>
  <c r="M519" i="15"/>
  <c r="Q665" i="15" l="1"/>
  <c r="T666" i="15" s="1"/>
  <c r="J520" i="15"/>
  <c r="C520" i="15" s="1"/>
  <c r="E518" i="15"/>
  <c r="D519" i="15"/>
  <c r="F519" i="15" s="1"/>
  <c r="R664" i="15"/>
  <c r="R665" i="15" l="1"/>
  <c r="E519" i="15"/>
  <c r="Q666" i="15"/>
  <c r="T667" i="15" s="1"/>
  <c r="L520" i="15"/>
  <c r="O521" i="15" s="1"/>
  <c r="G520" i="15"/>
  <c r="B520" i="15"/>
  <c r="M520" i="15"/>
  <c r="D520" i="15" l="1"/>
  <c r="F520" i="15" s="1"/>
  <c r="R666" i="15"/>
  <c r="Q667" i="15"/>
  <c r="J521" i="15"/>
  <c r="C521" i="15" s="1"/>
  <c r="M521" i="15" l="1"/>
  <c r="O522" i="15" s="1"/>
  <c r="R667" i="15"/>
  <c r="E520" i="15"/>
  <c r="B521" i="15"/>
  <c r="L521" i="15"/>
  <c r="T668" i="15" l="1"/>
  <c r="Q668" i="15" s="1"/>
  <c r="J522" i="15"/>
  <c r="M522" i="15"/>
  <c r="O523" i="15" s="1"/>
  <c r="G521" i="15"/>
  <c r="D521" i="15"/>
  <c r="L522" i="15"/>
  <c r="R668" i="15" l="1"/>
  <c r="T669" i="15"/>
  <c r="Q669" i="15" s="1"/>
  <c r="T670" i="15" s="1"/>
  <c r="C522" i="15"/>
  <c r="G522" i="15" s="1"/>
  <c r="B522" i="15"/>
  <c r="J523" i="15"/>
  <c r="C523" i="15" s="1"/>
  <c r="F521" i="15"/>
  <c r="D522" i="15" l="1"/>
  <c r="F522" i="15" s="1"/>
  <c r="R669" i="15"/>
  <c r="R670" i="15" s="1"/>
  <c r="Q670" i="15"/>
  <c r="T671" i="15" s="1"/>
  <c r="L523" i="15"/>
  <c r="E521" i="15"/>
  <c r="G523" i="15"/>
  <c r="B523" i="15"/>
  <c r="M523" i="15"/>
  <c r="O524" i="15" s="1"/>
  <c r="Q671" i="15" l="1"/>
  <c r="D523" i="15"/>
  <c r="F523" i="15" s="1"/>
  <c r="E522" i="15"/>
  <c r="R671" i="15"/>
  <c r="T672" i="15" s="1"/>
  <c r="J524" i="15" l="1"/>
  <c r="C524" i="15" s="1"/>
  <c r="L524" i="15"/>
  <c r="M524" i="15"/>
  <c r="O525" i="15" s="1"/>
  <c r="Q672" i="15"/>
  <c r="E523" i="15"/>
  <c r="R672" i="15" l="1"/>
  <c r="T673" i="15" s="1"/>
  <c r="J525" i="15"/>
  <c r="C525" i="15" s="1"/>
  <c r="B524" i="15"/>
  <c r="L525" i="15" l="1"/>
  <c r="G524" i="15"/>
  <c r="D524" i="15"/>
  <c r="G525" i="15"/>
  <c r="B525" i="15"/>
  <c r="M525" i="15"/>
  <c r="Q673" i="15"/>
  <c r="O526" i="15" l="1"/>
  <c r="J526" i="15" s="1"/>
  <c r="D525" i="15"/>
  <c r="F524" i="15"/>
  <c r="R673" i="15"/>
  <c r="T674" i="15" s="1"/>
  <c r="L526" i="15" l="1"/>
  <c r="O527" i="15" s="1"/>
  <c r="M526" i="15"/>
  <c r="C526" i="15"/>
  <c r="G526" i="15" s="1"/>
  <c r="B526" i="15"/>
  <c r="E524" i="15"/>
  <c r="F525" i="15"/>
  <c r="Q674" i="15"/>
  <c r="T675" i="15" s="1"/>
  <c r="D526" i="15" l="1"/>
  <c r="J527" i="15"/>
  <c r="C527" i="15" s="1"/>
  <c r="M527" i="15"/>
  <c r="O528" i="15" s="1"/>
  <c r="Q675" i="15"/>
  <c r="T676" i="15" s="1"/>
  <c r="L527" i="15"/>
  <c r="R674" i="15"/>
  <c r="E525" i="15"/>
  <c r="F526" i="15"/>
  <c r="R675" i="15" l="1"/>
  <c r="Q676" i="15"/>
  <c r="T677" i="15" s="1"/>
  <c r="J528" i="15"/>
  <c r="C528" i="15" s="1"/>
  <c r="E526" i="15"/>
  <c r="B527" i="15"/>
  <c r="R676" i="15" l="1"/>
  <c r="Q677" i="15"/>
  <c r="T678" i="15" s="1"/>
  <c r="L528" i="15"/>
  <c r="G528" i="15"/>
  <c r="B528" i="15"/>
  <c r="M528" i="15"/>
  <c r="O529" i="15" s="1"/>
  <c r="G527" i="15"/>
  <c r="D527" i="15"/>
  <c r="R677" i="15" l="1"/>
  <c r="J529" i="15"/>
  <c r="C529" i="15" s="1"/>
  <c r="D528" i="15"/>
  <c r="F527" i="15"/>
  <c r="R678" i="15" l="1"/>
  <c r="L529" i="15"/>
  <c r="O530" i="15" s="1"/>
  <c r="E527" i="15"/>
  <c r="F528" i="15"/>
  <c r="Q678" i="15"/>
  <c r="T679" i="15" s="1"/>
  <c r="G529" i="15"/>
  <c r="B529" i="15"/>
  <c r="M529" i="15"/>
  <c r="J530" i="15" l="1"/>
  <c r="R679" i="15"/>
  <c r="E528" i="15"/>
  <c r="L530" i="15"/>
  <c r="O531" i="15" s="1"/>
  <c r="M530" i="15"/>
  <c r="D529" i="15"/>
  <c r="F529" i="15" s="1"/>
  <c r="C530" i="15" l="1"/>
  <c r="G530" i="15" s="1"/>
  <c r="B530" i="15"/>
  <c r="J531" i="15"/>
  <c r="C531" i="15" s="1"/>
  <c r="E529" i="15"/>
  <c r="D530" i="15"/>
  <c r="Q679" i="15"/>
  <c r="T680" i="15" s="1"/>
  <c r="R680" i="15" l="1"/>
  <c r="T681" i="15" s="1"/>
  <c r="F530" i="15"/>
  <c r="G531" i="15"/>
  <c r="B531" i="15"/>
  <c r="L531" i="15"/>
  <c r="M531" i="15"/>
  <c r="O532" i="15" s="1"/>
  <c r="E530" i="15" l="1"/>
  <c r="J532" i="15"/>
  <c r="C532" i="15" s="1"/>
  <c r="R681" i="15"/>
  <c r="T682" i="15" s="1"/>
  <c r="Q680" i="15"/>
  <c r="D531" i="15"/>
  <c r="F531" i="15" s="1"/>
  <c r="Q681" i="15" l="1"/>
  <c r="R682" i="15"/>
  <c r="T683" i="15" s="1"/>
  <c r="E531" i="15"/>
  <c r="G532" i="15"/>
  <c r="B532" i="15"/>
  <c r="M532" i="15"/>
  <c r="O533" i="15" s="1"/>
  <c r="L532" i="15"/>
  <c r="Q682" i="15" l="1"/>
  <c r="R683" i="15"/>
  <c r="T684" i="15" s="1"/>
  <c r="J533" i="15"/>
  <c r="C533" i="15" s="1"/>
  <c r="D532" i="15"/>
  <c r="R684" i="15" l="1"/>
  <c r="T685" i="15" s="1"/>
  <c r="F532" i="15"/>
  <c r="L533" i="15"/>
  <c r="G533" i="15"/>
  <c r="B533" i="15"/>
  <c r="M533" i="15"/>
  <c r="O534" i="15" s="1"/>
  <c r="Q683" i="15"/>
  <c r="R685" i="15" l="1"/>
  <c r="T686" i="15" s="1"/>
  <c r="J534" i="15"/>
  <c r="C534" i="15" s="1"/>
  <c r="D533" i="15"/>
  <c r="F533" i="15" s="1"/>
  <c r="E532" i="15"/>
  <c r="Q684" i="15"/>
  <c r="Q685" i="15" s="1"/>
  <c r="L534" i="15" l="1"/>
  <c r="O535" i="15" s="1"/>
  <c r="E533" i="15"/>
  <c r="G534" i="15"/>
  <c r="B534" i="15"/>
  <c r="M534" i="15"/>
  <c r="R686" i="15"/>
  <c r="T687" i="15" s="1"/>
  <c r="J535" i="15" l="1"/>
  <c r="Q686" i="15"/>
  <c r="R687" i="15"/>
  <c r="T688" i="15" s="1"/>
  <c r="D534" i="15"/>
  <c r="C535" i="15" l="1"/>
  <c r="G535" i="15" s="1"/>
  <c r="B535" i="15"/>
  <c r="M535" i="15"/>
  <c r="L535" i="15"/>
  <c r="O536" i="15" s="1"/>
  <c r="Q687" i="15"/>
  <c r="R688" i="15"/>
  <c r="T689" i="15" s="1"/>
  <c r="F534" i="15"/>
  <c r="D535" i="15" l="1"/>
  <c r="F535" i="15" s="1"/>
  <c r="Q688" i="15"/>
  <c r="R689" i="15"/>
  <c r="T690" i="15" s="1"/>
  <c r="E534" i="15"/>
  <c r="J536" i="15"/>
  <c r="C536" i="15" s="1"/>
  <c r="M536" i="15"/>
  <c r="O537" i="15" s="1"/>
  <c r="L536" i="15"/>
  <c r="Q689" i="15" l="1"/>
  <c r="J537" i="15"/>
  <c r="C537" i="15" s="1"/>
  <c r="B536" i="15"/>
  <c r="E535" i="15"/>
  <c r="Q690" i="15" l="1"/>
  <c r="G537" i="15"/>
  <c r="B537" i="15"/>
  <c r="G536" i="15"/>
  <c r="D536" i="15"/>
  <c r="R690" i="15"/>
  <c r="L537" i="15"/>
  <c r="M537" i="15"/>
  <c r="O538" i="15" s="1"/>
  <c r="T691" i="15" l="1"/>
  <c r="Q691" i="15" s="1"/>
  <c r="D537" i="15"/>
  <c r="F536" i="15"/>
  <c r="J538" i="15"/>
  <c r="C538" i="15" s="1"/>
  <c r="R691" i="15" l="1"/>
  <c r="T692" i="15"/>
  <c r="Q692" i="15" s="1"/>
  <c r="T693" i="15" s="1"/>
  <c r="M538" i="15"/>
  <c r="G538" i="15"/>
  <c r="B538" i="15"/>
  <c r="E536" i="15"/>
  <c r="F537" i="15"/>
  <c r="L538" i="15"/>
  <c r="O539" i="15" s="1"/>
  <c r="R692" i="15" l="1"/>
  <c r="R693" i="15" s="1"/>
  <c r="Q693" i="15"/>
  <c r="T694" i="15" s="1"/>
  <c r="E537" i="15"/>
  <c r="D538" i="15"/>
  <c r="J539" i="15"/>
  <c r="C539" i="15" s="1"/>
  <c r="R694" i="15" l="1"/>
  <c r="T695" i="15" s="1"/>
  <c r="R695" i="15" s="1"/>
  <c r="T696" i="15" s="1"/>
  <c r="Q694" i="15"/>
  <c r="L539" i="15"/>
  <c r="O540" i="15" s="1"/>
  <c r="G539" i="15"/>
  <c r="B539" i="15"/>
  <c r="M539" i="15"/>
  <c r="D539" i="15"/>
  <c r="F538" i="15"/>
  <c r="Q695" i="15" l="1"/>
  <c r="R696" i="15"/>
  <c r="T697" i="15" s="1"/>
  <c r="J540" i="15"/>
  <c r="C540" i="15" s="1"/>
  <c r="E538" i="15"/>
  <c r="F539" i="15"/>
  <c r="R697" i="15" l="1"/>
  <c r="B540" i="15"/>
  <c r="L540" i="15"/>
  <c r="M540" i="15"/>
  <c r="O541" i="15" s="1"/>
  <c r="Q696" i="15"/>
  <c r="E539" i="15"/>
  <c r="Q697" i="15" l="1"/>
  <c r="T698" i="15" s="1"/>
  <c r="R698" i="15" s="1"/>
  <c r="J541" i="15"/>
  <c r="C541" i="15" s="1"/>
  <c r="G540" i="15"/>
  <c r="D540" i="15"/>
  <c r="F540" i="15" l="1"/>
  <c r="Q698" i="15"/>
  <c r="T699" i="15" s="1"/>
  <c r="G541" i="15"/>
  <c r="B541" i="15"/>
  <c r="M541" i="15"/>
  <c r="L541" i="15"/>
  <c r="O542" i="15" s="1"/>
  <c r="E540" i="15" l="1"/>
  <c r="J542" i="15"/>
  <c r="C542" i="15" s="1"/>
  <c r="R699" i="15"/>
  <c r="T700" i="15" s="1"/>
  <c r="D541" i="15"/>
  <c r="G542" i="15" l="1"/>
  <c r="B542" i="15"/>
  <c r="R700" i="15"/>
  <c r="Q699" i="15"/>
  <c r="L542" i="15"/>
  <c r="O543" i="15" s="1"/>
  <c r="F541" i="15"/>
  <c r="M542" i="15"/>
  <c r="E541" i="15" l="1"/>
  <c r="J543" i="15"/>
  <c r="C543" i="15" s="1"/>
  <c r="Q700" i="15"/>
  <c r="T701" i="15" s="1"/>
  <c r="D542" i="15"/>
  <c r="M543" i="15" l="1"/>
  <c r="R701" i="15"/>
  <c r="T702" i="15" s="1"/>
  <c r="G543" i="15"/>
  <c r="B543" i="15"/>
  <c r="L543" i="15"/>
  <c r="O544" i="15" s="1"/>
  <c r="F542" i="15"/>
  <c r="Q701" i="15" l="1"/>
  <c r="E542" i="15"/>
  <c r="D543" i="15"/>
  <c r="Q702" i="15" l="1"/>
  <c r="R702" i="15"/>
  <c r="T703" i="15" s="1"/>
  <c r="F543" i="15"/>
  <c r="J544" i="15"/>
  <c r="C544" i="15" s="1"/>
  <c r="M544" i="15"/>
  <c r="L544" i="15"/>
  <c r="O545" i="15" s="1"/>
  <c r="J545" i="15" l="1"/>
  <c r="C545" i="15" s="1"/>
  <c r="B544" i="15"/>
  <c r="E543" i="15"/>
  <c r="Q703" i="15"/>
  <c r="R703" i="15" l="1"/>
  <c r="T704" i="15" s="1"/>
  <c r="G544" i="15"/>
  <c r="D544" i="15"/>
  <c r="G545" i="15"/>
  <c r="B545" i="15"/>
  <c r="M545" i="15"/>
  <c r="O546" i="15" s="1"/>
  <c r="L545" i="15"/>
  <c r="R704" i="15" l="1"/>
  <c r="Q704" i="15"/>
  <c r="T705" i="15" s="1"/>
  <c r="J546" i="15"/>
  <c r="C546" i="15" s="1"/>
  <c r="D545" i="15"/>
  <c r="F544" i="15"/>
  <c r="R705" i="15" l="1"/>
  <c r="L546" i="15"/>
  <c r="Q705" i="15"/>
  <c r="T706" i="15" s="1"/>
  <c r="F545" i="15"/>
  <c r="E544" i="15"/>
  <c r="G546" i="15"/>
  <c r="B546" i="15"/>
  <c r="M546" i="15"/>
  <c r="O547" i="15" s="1"/>
  <c r="E545" i="15" l="1"/>
  <c r="R706" i="15"/>
  <c r="D546" i="15"/>
  <c r="M547" i="15"/>
  <c r="O548" i="15" s="1"/>
  <c r="J548" i="15" l="1"/>
  <c r="C548" i="15" s="1"/>
  <c r="J547" i="15"/>
  <c r="C547" i="15" s="1"/>
  <c r="L547" i="15"/>
  <c r="Q706" i="15"/>
  <c r="T707" i="15" s="1"/>
  <c r="F546" i="15"/>
  <c r="L548" i="15" l="1"/>
  <c r="O549" i="15" s="1"/>
  <c r="J549" i="15" s="1"/>
  <c r="C549" i="15" s="1"/>
  <c r="E546" i="15"/>
  <c r="R707" i="15"/>
  <c r="B547" i="15"/>
  <c r="G548" i="15"/>
  <c r="B548" i="15"/>
  <c r="M548" i="15"/>
  <c r="G549" i="15" l="1"/>
  <c r="B549" i="15"/>
  <c r="L549" i="15"/>
  <c r="O550" i="15" s="1"/>
  <c r="Q707" i="15"/>
  <c r="T708" i="15" s="1"/>
  <c r="G547" i="15"/>
  <c r="D547" i="15"/>
  <c r="M549" i="15"/>
  <c r="D548" i="15" l="1"/>
  <c r="D549" i="15" s="1"/>
  <c r="F547" i="15"/>
  <c r="R708" i="15"/>
  <c r="J550" i="15"/>
  <c r="C550" i="15" s="1"/>
  <c r="G550" i="15" l="1"/>
  <c r="B550" i="15"/>
  <c r="L550" i="15"/>
  <c r="O551" i="15" s="1"/>
  <c r="F548" i="15"/>
  <c r="E547" i="15"/>
  <c r="Q708" i="15"/>
  <c r="T709" i="15" s="1"/>
  <c r="D550" i="15"/>
  <c r="M550" i="15"/>
  <c r="J551" i="15" l="1"/>
  <c r="C551" i="15" s="1"/>
  <c r="F549" i="15"/>
  <c r="E548" i="15"/>
  <c r="R709" i="15"/>
  <c r="M551" i="15" l="1"/>
  <c r="Q709" i="15"/>
  <c r="T710" i="15" s="1"/>
  <c r="E549" i="15"/>
  <c r="F550" i="15"/>
  <c r="B551" i="15"/>
  <c r="L551" i="15"/>
  <c r="O552" i="15" s="1"/>
  <c r="E550" i="15" l="1"/>
  <c r="G551" i="15"/>
  <c r="D551" i="15"/>
  <c r="R710" i="15"/>
  <c r="Q710" i="15" l="1"/>
  <c r="T711" i="15" s="1"/>
  <c r="F551" i="15"/>
  <c r="J552" i="15"/>
  <c r="C552" i="15" s="1"/>
  <c r="M552" i="15"/>
  <c r="L552" i="15"/>
  <c r="O553" i="15" s="1"/>
  <c r="J553" i="15" l="1"/>
  <c r="C553" i="15" s="1"/>
  <c r="B552" i="15"/>
  <c r="E551" i="15"/>
  <c r="R711" i="15"/>
  <c r="Q711" i="15" l="1"/>
  <c r="M553" i="15"/>
  <c r="G553" i="15"/>
  <c r="B553" i="15"/>
  <c r="G552" i="15"/>
  <c r="D552" i="15"/>
  <c r="L553" i="15"/>
  <c r="O554" i="15" s="1"/>
  <c r="T712" i="15" l="1"/>
  <c r="Q712" i="15" s="1"/>
  <c r="D553" i="15"/>
  <c r="F552" i="15"/>
  <c r="J554" i="15"/>
  <c r="C554" i="15" s="1"/>
  <c r="R712" i="15" l="1"/>
  <c r="T713" i="15"/>
  <c r="Q713" i="15" s="1"/>
  <c r="T714" i="15" s="1"/>
  <c r="Q714" i="15" s="1"/>
  <c r="T715" i="15" s="1"/>
  <c r="M554" i="15"/>
  <c r="O555" i="15" s="1"/>
  <c r="F553" i="15"/>
  <c r="E552" i="15"/>
  <c r="G554" i="15"/>
  <c r="B554" i="15"/>
  <c r="L554" i="15"/>
  <c r="R713" i="15" l="1"/>
  <c r="R714" i="15" s="1"/>
  <c r="J555" i="15"/>
  <c r="L555" i="15"/>
  <c r="O556" i="15" s="1"/>
  <c r="J556" i="15" s="1"/>
  <c r="C556" i="15" s="1"/>
  <c r="Q715" i="15"/>
  <c r="T716" i="15" s="1"/>
  <c r="E553" i="15"/>
  <c r="M555" i="15"/>
  <c r="D554" i="15"/>
  <c r="F554" i="15" s="1"/>
  <c r="C555" i="15" l="1"/>
  <c r="G555" i="15" s="1"/>
  <c r="B555" i="15"/>
  <c r="Q716" i="15"/>
  <c r="T717" i="15" s="1"/>
  <c r="G556" i="15"/>
  <c r="B556" i="15"/>
  <c r="M556" i="15"/>
  <c r="E554" i="15"/>
  <c r="D555" i="15"/>
  <c r="D556" i="15" s="1"/>
  <c r="L556" i="15"/>
  <c r="O557" i="15" s="1"/>
  <c r="R715" i="15"/>
  <c r="R716" i="15" l="1"/>
  <c r="R717" i="15" s="1"/>
  <c r="F555" i="15"/>
  <c r="J557" i="15"/>
  <c r="C557" i="15" s="1"/>
  <c r="B557" i="15" l="1"/>
  <c r="Q717" i="15"/>
  <c r="T718" i="15" s="1"/>
  <c r="L557" i="15"/>
  <c r="F556" i="15"/>
  <c r="E555" i="15"/>
  <c r="M557" i="15"/>
  <c r="O558" i="15" s="1"/>
  <c r="J558" i="15" l="1"/>
  <c r="C558" i="15" s="1"/>
  <c r="R718" i="15"/>
  <c r="T719" i="15" s="1"/>
  <c r="E556" i="15"/>
  <c r="G557" i="15"/>
  <c r="D557" i="15"/>
  <c r="F557" i="15" s="1"/>
  <c r="Q718" i="15" l="1"/>
  <c r="G558" i="15"/>
  <c r="B558" i="15"/>
  <c r="R719" i="15"/>
  <c r="M558" i="15"/>
  <c r="O559" i="15" s="1"/>
  <c r="E557" i="15"/>
  <c r="L558" i="15"/>
  <c r="J559" i="15" l="1"/>
  <c r="C559" i="15" s="1"/>
  <c r="D558" i="15"/>
  <c r="Q719" i="15"/>
  <c r="T720" i="15" s="1"/>
  <c r="L559" i="15" l="1"/>
  <c r="R720" i="15"/>
  <c r="F558" i="15"/>
  <c r="G559" i="15"/>
  <c r="B559" i="15"/>
  <c r="M559" i="15"/>
  <c r="O560" i="15" s="1"/>
  <c r="E558" i="15" l="1"/>
  <c r="D559" i="15"/>
  <c r="Q720" i="15"/>
  <c r="T721" i="15" s="1"/>
  <c r="R721" i="15" l="1"/>
  <c r="J560" i="15"/>
  <c r="C560" i="15" s="1"/>
  <c r="L560" i="15"/>
  <c r="F559" i="15"/>
  <c r="M560" i="15"/>
  <c r="O561" i="15" s="1"/>
  <c r="B560" i="15" l="1"/>
  <c r="E559" i="15"/>
  <c r="J561" i="15"/>
  <c r="C561" i="15" s="1"/>
  <c r="Q721" i="15"/>
  <c r="T722" i="15" s="1"/>
  <c r="G561" i="15" l="1"/>
  <c r="B561" i="15"/>
  <c r="M561" i="15"/>
  <c r="G560" i="15"/>
  <c r="D560" i="15"/>
  <c r="R722" i="15"/>
  <c r="L561" i="15"/>
  <c r="O562" i="15" s="1"/>
  <c r="J562" i="15" l="1"/>
  <c r="C562" i="15" s="1"/>
  <c r="Q722" i="15"/>
  <c r="T723" i="15" s="1"/>
  <c r="D561" i="15"/>
  <c r="F560" i="15"/>
  <c r="M562" i="15" l="1"/>
  <c r="F561" i="15"/>
  <c r="E560" i="15"/>
  <c r="R723" i="15"/>
  <c r="G562" i="15"/>
  <c r="B562" i="15"/>
  <c r="L562" i="15"/>
  <c r="O563" i="15" s="1"/>
  <c r="Q723" i="15" l="1"/>
  <c r="T724" i="15" s="1"/>
  <c r="E561" i="15"/>
  <c r="D562" i="15"/>
  <c r="F562" i="15" s="1"/>
  <c r="E562" i="15" l="1"/>
  <c r="J563" i="15"/>
  <c r="C563" i="15" s="1"/>
  <c r="M563" i="15"/>
  <c r="L563" i="15"/>
  <c r="O564" i="15" s="1"/>
  <c r="R724" i="15"/>
  <c r="T725" i="15" s="1"/>
  <c r="Q724" i="15" l="1"/>
  <c r="R725" i="15"/>
  <c r="T726" i="15" s="1"/>
  <c r="J564" i="15"/>
  <c r="C564" i="15" s="1"/>
  <c r="B563" i="15"/>
  <c r="M564" i="15" l="1"/>
  <c r="O565" i="15" s="1"/>
  <c r="J565" i="15" s="1"/>
  <c r="C565" i="15" s="1"/>
  <c r="R726" i="15"/>
  <c r="G563" i="15"/>
  <c r="D563" i="15"/>
  <c r="L564" i="15"/>
  <c r="B564" i="15"/>
  <c r="G564" i="15"/>
  <c r="Q725" i="15"/>
  <c r="L565" i="15" l="1"/>
  <c r="M565" i="15"/>
  <c r="O566" i="15" s="1"/>
  <c r="D564" i="15"/>
  <c r="F563" i="15"/>
  <c r="B565" i="15"/>
  <c r="G565" i="15"/>
  <c r="Q726" i="15"/>
  <c r="T727" i="15" s="1"/>
  <c r="R727" i="15" l="1"/>
  <c r="F564" i="15"/>
  <c r="E563" i="15"/>
  <c r="J566" i="15"/>
  <c r="C566" i="15" s="1"/>
  <c r="D565" i="15"/>
  <c r="L566" i="15" l="1"/>
  <c r="O567" i="15" s="1"/>
  <c r="M566" i="15"/>
  <c r="F565" i="15"/>
  <c r="E564" i="15"/>
  <c r="B566" i="15"/>
  <c r="G566" i="15"/>
  <c r="Q727" i="15"/>
  <c r="T728" i="15" s="1"/>
  <c r="J567" i="15" l="1"/>
  <c r="E565" i="15"/>
  <c r="L567" i="15"/>
  <c r="D566" i="15"/>
  <c r="R728" i="15"/>
  <c r="C567" i="15" l="1"/>
  <c r="G567" i="15" s="1"/>
  <c r="B567" i="15"/>
  <c r="M567" i="15"/>
  <c r="O568" i="15" s="1"/>
  <c r="J568" i="15" s="1"/>
  <c r="C568" i="15" s="1"/>
  <c r="Q728" i="15"/>
  <c r="T729" i="15" s="1"/>
  <c r="F566" i="15"/>
  <c r="D567" i="15" l="1"/>
  <c r="F567" i="15" s="1"/>
  <c r="E566" i="15"/>
  <c r="R729" i="15"/>
  <c r="B568" i="15"/>
  <c r="G568" i="15"/>
  <c r="L568" i="15"/>
  <c r="M568" i="15"/>
  <c r="O569" i="15" s="1"/>
  <c r="J569" i="15" l="1"/>
  <c r="C569" i="15" s="1"/>
  <c r="Q729" i="15"/>
  <c r="T730" i="15" s="1"/>
  <c r="D568" i="15"/>
  <c r="F568" i="15" s="1"/>
  <c r="E567" i="15"/>
  <c r="R730" i="15" l="1"/>
  <c r="E568" i="15"/>
  <c r="L569" i="15"/>
  <c r="O570" i="15" s="1"/>
  <c r="B569" i="15"/>
  <c r="G569" i="15"/>
  <c r="M569" i="15"/>
  <c r="J570" i="15" l="1"/>
  <c r="C570" i="15" s="1"/>
  <c r="D569" i="15"/>
  <c r="Q730" i="15"/>
  <c r="T731" i="15" s="1"/>
  <c r="M570" i="15" l="1"/>
  <c r="R731" i="15"/>
  <c r="T732" i="15" s="1"/>
  <c r="F569" i="15"/>
  <c r="L570" i="15"/>
  <c r="O571" i="15" s="1"/>
  <c r="B570" i="15"/>
  <c r="G570" i="15"/>
  <c r="E569" i="15" l="1"/>
  <c r="J571" i="15"/>
  <c r="C571" i="15" s="1"/>
  <c r="D570" i="15"/>
  <c r="Q731" i="15"/>
  <c r="R732" i="15"/>
  <c r="T733" i="15" s="1"/>
  <c r="M571" i="15" l="1"/>
  <c r="O572" i="15" s="1"/>
  <c r="R733" i="15"/>
  <c r="T734" i="15" s="1"/>
  <c r="Q732" i="15"/>
  <c r="B571" i="15"/>
  <c r="G571" i="15"/>
  <c r="L571" i="15"/>
  <c r="F570" i="15"/>
  <c r="J572" i="15" l="1"/>
  <c r="Q733" i="15"/>
  <c r="L572" i="15"/>
  <c r="M572" i="15"/>
  <c r="O573" i="15" s="1"/>
  <c r="R734" i="15"/>
  <c r="T735" i="15" s="1"/>
  <c r="D571" i="15"/>
  <c r="E570" i="15"/>
  <c r="C572" i="15" l="1"/>
  <c r="G572" i="15" s="1"/>
  <c r="B572" i="15"/>
  <c r="L573" i="15"/>
  <c r="Q734" i="15"/>
  <c r="F571" i="15"/>
  <c r="R735" i="15"/>
  <c r="T736" i="15" s="1"/>
  <c r="D572" i="15" l="1"/>
  <c r="F572" i="15" s="1"/>
  <c r="E572" i="15" s="1"/>
  <c r="E571" i="15"/>
  <c r="J573" i="15"/>
  <c r="M573" i="15"/>
  <c r="O574" i="15" s="1"/>
  <c r="J574" i="15" s="1"/>
  <c r="C574" i="15" s="1"/>
  <c r="Q735" i="15"/>
  <c r="R736" i="15"/>
  <c r="T737" i="15" s="1"/>
  <c r="C573" i="15" l="1"/>
  <c r="B573" i="15"/>
  <c r="R737" i="15"/>
  <c r="T738" i="15" s="1"/>
  <c r="B574" i="15"/>
  <c r="M574" i="15"/>
  <c r="O575" i="15" s="1"/>
  <c r="L574" i="15"/>
  <c r="Q736" i="15"/>
  <c r="G573" i="15" l="1"/>
  <c r="D573" i="15"/>
  <c r="F573" i="15" s="1"/>
  <c r="E573" i="15" s="1"/>
  <c r="Q737" i="15"/>
  <c r="R738" i="15"/>
  <c r="G574" i="15"/>
  <c r="J575" i="15"/>
  <c r="C575" i="15" s="1"/>
  <c r="D574" i="15" l="1"/>
  <c r="F574" i="15" s="1"/>
  <c r="Q738" i="15"/>
  <c r="M575" i="15"/>
  <c r="O576" i="15" s="1"/>
  <c r="B575" i="15"/>
  <c r="G575" i="15"/>
  <c r="L575" i="15"/>
  <c r="T739" i="15" l="1"/>
  <c r="R739" i="15" s="1"/>
  <c r="D575" i="15"/>
  <c r="F575" i="15" s="1"/>
  <c r="E574" i="15"/>
  <c r="J576" i="15"/>
  <c r="C576" i="15" s="1"/>
  <c r="Q739" i="15" l="1"/>
  <c r="T740" i="15" s="1"/>
  <c r="R740" i="15" s="1"/>
  <c r="M576" i="15"/>
  <c r="O577" i="15" s="1"/>
  <c r="J577" i="15" s="1"/>
  <c r="C577" i="15" s="1"/>
  <c r="L576" i="15"/>
  <c r="E575" i="15"/>
  <c r="B576" i="15"/>
  <c r="G576" i="15"/>
  <c r="Q740" i="15" l="1"/>
  <c r="T741" i="15" s="1"/>
  <c r="R741" i="15" s="1"/>
  <c r="T742" i="15" s="1"/>
  <c r="D576" i="15"/>
  <c r="F576" i="15" s="1"/>
  <c r="B577" i="15"/>
  <c r="G577" i="15"/>
  <c r="M577" i="15"/>
  <c r="L577" i="15"/>
  <c r="O578" i="15" s="1"/>
  <c r="R742" i="15" l="1"/>
  <c r="T743" i="15" s="1"/>
  <c r="E576" i="15"/>
  <c r="D577" i="15"/>
  <c r="J578" i="15"/>
  <c r="C578" i="15" s="1"/>
  <c r="Q741" i="15"/>
  <c r="Q742" i="15" l="1"/>
  <c r="M578" i="15"/>
  <c r="F577" i="15"/>
  <c r="L578" i="15"/>
  <c r="O579" i="15" s="1"/>
  <c r="Q743" i="15"/>
  <c r="B578" i="15"/>
  <c r="G578" i="15"/>
  <c r="J579" i="15" l="1"/>
  <c r="C579" i="15" s="1"/>
  <c r="R743" i="15"/>
  <c r="T744" i="15" s="1"/>
  <c r="E577" i="15"/>
  <c r="D578" i="15"/>
  <c r="F578" i="15" s="1"/>
  <c r="M579" i="15" l="1"/>
  <c r="E578" i="15"/>
  <c r="B579" i="15"/>
  <c r="G579" i="15"/>
  <c r="L579" i="15"/>
  <c r="O580" i="15" s="1"/>
  <c r="Q744" i="15"/>
  <c r="R744" i="15" l="1"/>
  <c r="D579" i="15"/>
  <c r="T745" i="15" l="1"/>
  <c r="Q745" i="15" s="1"/>
  <c r="F579" i="15"/>
  <c r="J580" i="15"/>
  <c r="C580" i="15" s="1"/>
  <c r="M580" i="15"/>
  <c r="L580" i="15"/>
  <c r="O581" i="15" s="1"/>
  <c r="R745" i="15" l="1"/>
  <c r="T746" i="15" s="1"/>
  <c r="Q746" i="15" s="1"/>
  <c r="J581" i="15"/>
  <c r="C581" i="15" s="1"/>
  <c r="B580" i="15"/>
  <c r="E579" i="15"/>
  <c r="M581" i="15" l="1"/>
  <c r="G580" i="15"/>
  <c r="D580" i="15"/>
  <c r="B581" i="15"/>
  <c r="G581" i="15"/>
  <c r="R746" i="15"/>
  <c r="T747" i="15" s="1"/>
  <c r="L581" i="15"/>
  <c r="O582" i="15" s="1"/>
  <c r="Q747" i="15" l="1"/>
  <c r="D581" i="15"/>
  <c r="F580" i="15"/>
  <c r="F581" i="15" l="1"/>
  <c r="E580" i="15"/>
  <c r="J582" i="15"/>
  <c r="C582" i="15" s="1"/>
  <c r="M582" i="15"/>
  <c r="O583" i="15" s="1"/>
  <c r="R747" i="15"/>
  <c r="T748" i="15" s="1"/>
  <c r="L582" i="15"/>
  <c r="Q748" i="15" l="1"/>
  <c r="J583" i="15"/>
  <c r="C583" i="15" s="1"/>
  <c r="B582" i="15"/>
  <c r="E581" i="15"/>
  <c r="G582" i="15" l="1"/>
  <c r="D582" i="15"/>
  <c r="M583" i="15"/>
  <c r="O584" i="15" s="1"/>
  <c r="B583" i="15"/>
  <c r="G583" i="15"/>
  <c r="L583" i="15"/>
  <c r="R748" i="15"/>
  <c r="T749" i="15" s="1"/>
  <c r="D583" i="15" l="1"/>
  <c r="F582" i="15"/>
  <c r="Q749" i="15"/>
  <c r="J584" i="15"/>
  <c r="C584" i="15" s="1"/>
  <c r="B584" i="15" l="1"/>
  <c r="G584" i="15"/>
  <c r="R749" i="15"/>
  <c r="T750" i="15" s="1"/>
  <c r="F583" i="15"/>
  <c r="E582" i="15"/>
  <c r="M584" i="15"/>
  <c r="L584" i="15"/>
  <c r="O585" i="15" s="1"/>
  <c r="D584" i="15"/>
  <c r="F584" i="15" l="1"/>
  <c r="E583" i="15"/>
  <c r="Q750" i="15"/>
  <c r="J585" i="15"/>
  <c r="C585" i="15" s="1"/>
  <c r="L585" i="15" l="1"/>
  <c r="B585" i="15"/>
  <c r="R750" i="15"/>
  <c r="T751" i="15" s="1"/>
  <c r="E584" i="15"/>
  <c r="M585" i="15"/>
  <c r="O586" i="15" s="1"/>
  <c r="G585" i="15" l="1"/>
  <c r="D585" i="15"/>
  <c r="J586" i="15"/>
  <c r="C586" i="15" s="1"/>
  <c r="Q751" i="15"/>
  <c r="M586" i="15" l="1"/>
  <c r="O587" i="15" s="1"/>
  <c r="B586" i="15"/>
  <c r="G586" i="15"/>
  <c r="L586" i="15"/>
  <c r="R751" i="15"/>
  <c r="T752" i="15" s="1"/>
  <c r="D586" i="15"/>
  <c r="F585" i="15"/>
  <c r="F586" i="15" l="1"/>
  <c r="E585" i="15"/>
  <c r="Q752" i="15"/>
  <c r="T753" i="15" s="1"/>
  <c r="J587" i="15"/>
  <c r="C587" i="15" s="1"/>
  <c r="Q753" i="15" l="1"/>
  <c r="T754" i="15" s="1"/>
  <c r="B587" i="15"/>
  <c r="M587" i="15"/>
  <c r="O588" i="15" s="1"/>
  <c r="R752" i="15"/>
  <c r="L587" i="15"/>
  <c r="E586" i="15"/>
  <c r="R753" i="15" l="1"/>
  <c r="Q754" i="15"/>
  <c r="T755" i="15" s="1"/>
  <c r="J588" i="15"/>
  <c r="C588" i="15" s="1"/>
  <c r="G587" i="15"/>
  <c r="D587" i="15"/>
  <c r="Q755" i="15" l="1"/>
  <c r="T756" i="15" s="1"/>
  <c r="F587" i="15"/>
  <c r="L588" i="15"/>
  <c r="M588" i="15"/>
  <c r="O589" i="15" s="1"/>
  <c r="R754" i="15"/>
  <c r="B588" i="15"/>
  <c r="G588" i="15"/>
  <c r="R755" i="15" l="1"/>
  <c r="D588" i="15"/>
  <c r="F588" i="15" s="1"/>
  <c r="Q756" i="15"/>
  <c r="T757" i="15" s="1"/>
  <c r="E587" i="15"/>
  <c r="J589" i="15"/>
  <c r="C589" i="15" s="1"/>
  <c r="R756" i="15" l="1"/>
  <c r="M589" i="15"/>
  <c r="L589" i="15"/>
  <c r="O590" i="15" s="1"/>
  <c r="Q757" i="15"/>
  <c r="T758" i="15" s="1"/>
  <c r="E588" i="15"/>
  <c r="B589" i="15"/>
  <c r="J590" i="15" l="1"/>
  <c r="R757" i="15"/>
  <c r="Q758" i="15"/>
  <c r="T759" i="15" s="1"/>
  <c r="L590" i="15"/>
  <c r="O591" i="15" s="1"/>
  <c r="M590" i="15"/>
  <c r="G589" i="15"/>
  <c r="D589" i="15"/>
  <c r="C590" i="15" l="1"/>
  <c r="G590" i="15" s="1"/>
  <c r="B590" i="15"/>
  <c r="Q759" i="15"/>
  <c r="T760" i="15" s="1"/>
  <c r="J591" i="15"/>
  <c r="C591" i="15" s="1"/>
  <c r="R758" i="15"/>
  <c r="F589" i="15"/>
  <c r="D590" i="15" l="1"/>
  <c r="F590" i="15" s="1"/>
  <c r="R759" i="15"/>
  <c r="Q760" i="15"/>
  <c r="M591" i="15"/>
  <c r="E589" i="15"/>
  <c r="B591" i="15"/>
  <c r="G591" i="15"/>
  <c r="L591" i="15"/>
  <c r="O592" i="15" s="1"/>
  <c r="D591" i="15" l="1"/>
  <c r="F591" i="15" s="1"/>
  <c r="E590" i="15"/>
  <c r="R760" i="15"/>
  <c r="T761" i="15" s="1"/>
  <c r="J592" i="15"/>
  <c r="C592" i="15" s="1"/>
  <c r="L592" i="15" l="1"/>
  <c r="O593" i="15" s="1"/>
  <c r="M592" i="15"/>
  <c r="E591" i="15"/>
  <c r="B592" i="15"/>
  <c r="Q761" i="15"/>
  <c r="R761" i="15" l="1"/>
  <c r="T762" i="15" s="1"/>
  <c r="G592" i="15"/>
  <c r="D592" i="15"/>
  <c r="J593" i="15"/>
  <c r="C593" i="15" s="1"/>
  <c r="M593" i="15" l="1"/>
  <c r="F592" i="15"/>
  <c r="B593" i="15"/>
  <c r="G593" i="15"/>
  <c r="L593" i="15"/>
  <c r="O594" i="15" s="1"/>
  <c r="Q762" i="15"/>
  <c r="J594" i="15" l="1"/>
  <c r="C594" i="15" s="1"/>
  <c r="R762" i="15"/>
  <c r="T763" i="15" s="1"/>
  <c r="D593" i="15"/>
  <c r="F593" i="15" s="1"/>
  <c r="E592" i="15"/>
  <c r="M594" i="15" l="1"/>
  <c r="E593" i="15"/>
  <c r="B594" i="15"/>
  <c r="G594" i="15"/>
  <c r="Q763" i="15"/>
  <c r="L594" i="15"/>
  <c r="O595" i="15" s="1"/>
  <c r="R763" i="15" l="1"/>
  <c r="T764" i="15" s="1"/>
  <c r="D594" i="15"/>
  <c r="J595" i="15" l="1"/>
  <c r="C595" i="15" s="1"/>
  <c r="M595" i="15"/>
  <c r="O596" i="15" s="1"/>
  <c r="L595" i="15"/>
  <c r="F594" i="15"/>
  <c r="Q764" i="15"/>
  <c r="E594" i="15" l="1"/>
  <c r="J596" i="15"/>
  <c r="C596" i="15" s="1"/>
  <c r="R764" i="15"/>
  <c r="T765" i="15" s="1"/>
  <c r="B595" i="15"/>
  <c r="L596" i="15" l="1"/>
  <c r="Q765" i="15"/>
  <c r="B596" i="15"/>
  <c r="G596" i="15"/>
  <c r="M596" i="15"/>
  <c r="O597" i="15" s="1"/>
  <c r="G595" i="15"/>
  <c r="D595" i="15"/>
  <c r="D596" i="15" l="1"/>
  <c r="F595" i="15"/>
  <c r="R765" i="15"/>
  <c r="T766" i="15" s="1"/>
  <c r="F596" i="15" l="1"/>
  <c r="E595" i="15"/>
  <c r="Q766" i="15"/>
  <c r="T767" i="15" s="1"/>
  <c r="J597" i="15"/>
  <c r="C597" i="15" s="1"/>
  <c r="L597" i="15"/>
  <c r="M597" i="15"/>
  <c r="O598" i="15" s="1"/>
  <c r="B597" i="15" l="1"/>
  <c r="J598" i="15"/>
  <c r="C598" i="15" s="1"/>
  <c r="Q767" i="15"/>
  <c r="T768" i="15" s="1"/>
  <c r="R766" i="15"/>
  <c r="E596" i="15"/>
  <c r="Q768" i="15" l="1"/>
  <c r="T769" i="15" s="1"/>
  <c r="G597" i="15"/>
  <c r="D597" i="15"/>
  <c r="R767" i="15"/>
  <c r="B598" i="15"/>
  <c r="G598" i="15"/>
  <c r="M598" i="15"/>
  <c r="O599" i="15" s="1"/>
  <c r="L598" i="15"/>
  <c r="R768" i="15" l="1"/>
  <c r="Q769" i="15"/>
  <c r="T770" i="15" s="1"/>
  <c r="D598" i="15"/>
  <c r="F597" i="15"/>
  <c r="J599" i="15"/>
  <c r="C599" i="15" s="1"/>
  <c r="R769" i="15" l="1"/>
  <c r="L599" i="15"/>
  <c r="Q770" i="15"/>
  <c r="T771" i="15" s="1"/>
  <c r="F598" i="15"/>
  <c r="E597" i="15"/>
  <c r="B599" i="15"/>
  <c r="G599" i="15"/>
  <c r="M599" i="15"/>
  <c r="O600" i="15" s="1"/>
  <c r="R770" i="15" l="1"/>
  <c r="D599" i="15"/>
  <c r="F599" i="15" s="1"/>
  <c r="Q771" i="15"/>
  <c r="E598" i="15"/>
  <c r="E599" i="15" l="1"/>
  <c r="R771" i="15"/>
  <c r="T772" i="15" s="1"/>
  <c r="J600" i="15"/>
  <c r="C600" i="15" s="1"/>
  <c r="L600" i="15"/>
  <c r="M600" i="15"/>
  <c r="O601" i="15" s="1"/>
  <c r="J601" i="15" l="1"/>
  <c r="C601" i="15" s="1"/>
  <c r="B600" i="15"/>
  <c r="Q772" i="15"/>
  <c r="T773" i="15" s="1"/>
  <c r="R772" i="15" l="1"/>
  <c r="Q773" i="15"/>
  <c r="G600" i="15"/>
  <c r="D600" i="15"/>
  <c r="B601" i="15"/>
  <c r="G601" i="15"/>
  <c r="M601" i="15"/>
  <c r="L601" i="15"/>
  <c r="O602" i="15" s="1"/>
  <c r="D601" i="15" l="1"/>
  <c r="F600" i="15"/>
  <c r="J602" i="15"/>
  <c r="C602" i="15" s="1"/>
  <c r="R773" i="15"/>
  <c r="T774" i="15" s="1"/>
  <c r="B602" i="15" l="1"/>
  <c r="G602" i="15"/>
  <c r="F601" i="15"/>
  <c r="E600" i="15"/>
  <c r="Q774" i="15"/>
  <c r="T775" i="15" s="1"/>
  <c r="L602" i="15"/>
  <c r="O603" i="15" s="1"/>
  <c r="D602" i="15"/>
  <c r="M602" i="15"/>
  <c r="J603" i="15" l="1"/>
  <c r="C603" i="15" s="1"/>
  <c r="F602" i="15"/>
  <c r="E601" i="15"/>
  <c r="Q775" i="15"/>
  <c r="T776" i="15" s="1"/>
  <c r="R774" i="15"/>
  <c r="M603" i="15" l="1"/>
  <c r="Q776" i="15"/>
  <c r="E602" i="15"/>
  <c r="R775" i="15"/>
  <c r="B603" i="15"/>
  <c r="L603" i="15"/>
  <c r="O604" i="15" s="1"/>
  <c r="G603" i="15" l="1"/>
  <c r="D603" i="15"/>
  <c r="R776" i="15"/>
  <c r="T777" i="15" s="1"/>
  <c r="J604" i="15" l="1"/>
  <c r="C604" i="15" s="1"/>
  <c r="M604" i="15"/>
  <c r="O605" i="15" s="1"/>
  <c r="Q777" i="15"/>
  <c r="T778" i="15" s="1"/>
  <c r="F603" i="15"/>
  <c r="L604" i="15"/>
  <c r="Q778" i="15" l="1"/>
  <c r="T779" i="15" s="1"/>
  <c r="E603" i="15"/>
  <c r="R777" i="15"/>
  <c r="J605" i="15"/>
  <c r="C605" i="15" s="1"/>
  <c r="B604" i="15"/>
  <c r="R778" i="15" l="1"/>
  <c r="M605" i="15"/>
  <c r="Q779" i="15"/>
  <c r="T780" i="15" s="1"/>
  <c r="G604" i="15"/>
  <c r="D604" i="15"/>
  <c r="B605" i="15"/>
  <c r="G605" i="15"/>
  <c r="L605" i="15"/>
  <c r="O606" i="15" l="1"/>
  <c r="J606" i="15" s="1"/>
  <c r="R779" i="15"/>
  <c r="Q780" i="15"/>
  <c r="T781" i="15" s="1"/>
  <c r="D605" i="15"/>
  <c r="F604" i="15"/>
  <c r="L606" i="15" l="1"/>
  <c r="M606" i="15"/>
  <c r="O607" i="15" s="1"/>
  <c r="J607" i="15" s="1"/>
  <c r="C607" i="15" s="1"/>
  <c r="C606" i="15"/>
  <c r="G606" i="15" s="1"/>
  <c r="B606" i="15"/>
  <c r="Q781" i="15"/>
  <c r="T782" i="15" s="1"/>
  <c r="F605" i="15"/>
  <c r="E604" i="15"/>
  <c r="R780" i="15"/>
  <c r="D606" i="15" l="1"/>
  <c r="R781" i="15"/>
  <c r="Q782" i="15"/>
  <c r="T783" i="15" s="1"/>
  <c r="F606" i="15"/>
  <c r="E605" i="15"/>
  <c r="B607" i="15"/>
  <c r="G607" i="15"/>
  <c r="M607" i="15"/>
  <c r="O608" i="15" s="1"/>
  <c r="L607" i="15"/>
  <c r="Q783" i="15" l="1"/>
  <c r="E606" i="15"/>
  <c r="R782" i="15"/>
  <c r="D607" i="15"/>
  <c r="J608" i="15"/>
  <c r="C608" i="15" s="1"/>
  <c r="R783" i="15" l="1"/>
  <c r="T784" i="15" s="1"/>
  <c r="Q784" i="15" s="1"/>
  <c r="M608" i="15"/>
  <c r="L608" i="15"/>
  <c r="O609" i="15" s="1"/>
  <c r="D608" i="15"/>
  <c r="F607" i="15"/>
  <c r="B608" i="15"/>
  <c r="G608" i="15"/>
  <c r="J609" i="15" l="1"/>
  <c r="C609" i="15" s="1"/>
  <c r="G609" i="15" s="1"/>
  <c r="M609" i="15"/>
  <c r="F608" i="15"/>
  <c r="E607" i="15"/>
  <c r="L609" i="15"/>
  <c r="O610" i="15" s="1"/>
  <c r="R784" i="15"/>
  <c r="T785" i="15" s="1"/>
  <c r="B609" i="15" l="1"/>
  <c r="D609" i="15"/>
  <c r="F609" i="15" s="1"/>
  <c r="E608" i="15"/>
  <c r="Q785" i="15"/>
  <c r="R785" i="15" l="1"/>
  <c r="T786" i="15" s="1"/>
  <c r="E609" i="15"/>
  <c r="J610" i="15"/>
  <c r="C610" i="15" s="1"/>
  <c r="M610" i="15"/>
  <c r="L610" i="15"/>
  <c r="O611" i="15" s="1"/>
  <c r="J611" i="15" l="1"/>
  <c r="C611" i="15" s="1"/>
  <c r="B610" i="15"/>
  <c r="Q786" i="15"/>
  <c r="R786" i="15" l="1"/>
  <c r="T787" i="15" s="1"/>
  <c r="G610" i="15"/>
  <c r="D610" i="15"/>
  <c r="B611" i="15"/>
  <c r="G611" i="15"/>
  <c r="M611" i="15"/>
  <c r="O612" i="15" s="1"/>
  <c r="L611" i="15"/>
  <c r="J612" i="15" l="1"/>
  <c r="C612" i="15" s="1"/>
  <c r="D611" i="15"/>
  <c r="F610" i="15"/>
  <c r="Q787" i="15"/>
  <c r="L612" i="15" l="1"/>
  <c r="R787" i="15"/>
  <c r="T788" i="15" s="1"/>
  <c r="F611" i="15"/>
  <c r="E610" i="15"/>
  <c r="B612" i="15"/>
  <c r="G612" i="15"/>
  <c r="M612" i="15"/>
  <c r="O613" i="15" s="1"/>
  <c r="D612" i="15" l="1"/>
  <c r="F612" i="15" s="1"/>
  <c r="E611" i="15"/>
  <c r="Q788" i="15"/>
  <c r="J613" i="15" l="1"/>
  <c r="C613" i="15" s="1"/>
  <c r="L613" i="15"/>
  <c r="M613" i="15"/>
  <c r="O614" i="15" s="1"/>
  <c r="R788" i="15"/>
  <c r="T789" i="15" s="1"/>
  <c r="E612" i="15"/>
  <c r="Q789" i="15" l="1"/>
  <c r="J614" i="15"/>
  <c r="C614" i="15" s="1"/>
  <c r="B613" i="15"/>
  <c r="G613" i="15" l="1"/>
  <c r="D613" i="15"/>
  <c r="M614" i="15"/>
  <c r="B614" i="15"/>
  <c r="G614" i="15"/>
  <c r="L614" i="15"/>
  <c r="O615" i="15" s="1"/>
  <c r="R789" i="15"/>
  <c r="T790" i="15" s="1"/>
  <c r="Q790" i="15" l="1"/>
  <c r="J615" i="15"/>
  <c r="C615" i="15" s="1"/>
  <c r="D614" i="15"/>
  <c r="F613" i="15"/>
  <c r="F614" i="15" l="1"/>
  <c r="E613" i="15"/>
  <c r="M615" i="15"/>
  <c r="L615" i="15"/>
  <c r="O616" i="15" s="1"/>
  <c r="B615" i="15"/>
  <c r="G615" i="15"/>
  <c r="R790" i="15"/>
  <c r="T791" i="15" s="1"/>
  <c r="J616" i="15" l="1"/>
  <c r="C616" i="15" s="1"/>
  <c r="E614" i="15"/>
  <c r="Q791" i="15"/>
  <c r="D615" i="15"/>
  <c r="M616" i="15" l="1"/>
  <c r="R791" i="15"/>
  <c r="T792" i="15" s="1"/>
  <c r="F615" i="15"/>
  <c r="B616" i="15"/>
  <c r="G616" i="15"/>
  <c r="L616" i="15"/>
  <c r="O617" i="15" s="1"/>
  <c r="E615" i="15" l="1"/>
  <c r="Q792" i="15"/>
  <c r="D616" i="15"/>
  <c r="R792" i="15" l="1"/>
  <c r="T793" i="15" s="1"/>
  <c r="F616" i="15"/>
  <c r="J617" i="15"/>
  <c r="C617" i="15" s="1"/>
  <c r="M617" i="15"/>
  <c r="L617" i="15"/>
  <c r="O618" i="15" s="1"/>
  <c r="J618" i="15" l="1"/>
  <c r="C618" i="15" s="1"/>
  <c r="B617" i="15"/>
  <c r="E616" i="15"/>
  <c r="Q793" i="15"/>
  <c r="R793" i="15" l="1"/>
  <c r="T794" i="15" s="1"/>
  <c r="B618" i="15"/>
  <c r="G618" i="15"/>
  <c r="M618" i="15"/>
  <c r="G617" i="15"/>
  <c r="D617" i="15"/>
  <c r="L618" i="15"/>
  <c r="O619" i="15" s="1"/>
  <c r="R794" i="15" l="1"/>
  <c r="T795" i="15" s="1"/>
  <c r="Q794" i="15"/>
  <c r="D618" i="15"/>
  <c r="F617" i="15"/>
  <c r="J619" i="15"/>
  <c r="C619" i="15" s="1"/>
  <c r="R795" i="15" l="1"/>
  <c r="Q795" i="15"/>
  <c r="L619" i="15"/>
  <c r="O620" i="15" s="1"/>
  <c r="M619" i="15"/>
  <c r="F618" i="15"/>
  <c r="E617" i="15"/>
  <c r="B619" i="15"/>
  <c r="G619" i="15"/>
  <c r="T796" i="15" l="1"/>
  <c r="R796" i="15" s="1"/>
  <c r="E618" i="15"/>
  <c r="D619" i="15"/>
  <c r="F619" i="15" s="1"/>
  <c r="J620" i="15"/>
  <c r="C620" i="15" s="1"/>
  <c r="Q796" i="15" l="1"/>
  <c r="T797" i="15" s="1"/>
  <c r="L620" i="15"/>
  <c r="O621" i="15" s="1"/>
  <c r="J621" i="15" s="1"/>
  <c r="C621" i="15" s="1"/>
  <c r="M620" i="15"/>
  <c r="E619" i="15"/>
  <c r="D620" i="15"/>
  <c r="B620" i="15"/>
  <c r="G620" i="15"/>
  <c r="R797" i="15" l="1"/>
  <c r="Q797" i="15"/>
  <c r="T798" i="15" s="1"/>
  <c r="M621" i="15"/>
  <c r="O622" i="15" s="1"/>
  <c r="J622" i="15" s="1"/>
  <c r="C622" i="15" s="1"/>
  <c r="B621" i="15"/>
  <c r="G621" i="15"/>
  <c r="D621" i="15"/>
  <c r="L621" i="15"/>
  <c r="F620" i="15"/>
  <c r="L622" i="15" l="1"/>
  <c r="R798" i="15"/>
  <c r="Q798" i="15"/>
  <c r="T799" i="15" s="1"/>
  <c r="B622" i="15"/>
  <c r="G622" i="15"/>
  <c r="F621" i="15"/>
  <c r="E620" i="15"/>
  <c r="M622" i="15"/>
  <c r="O623" i="15" s="1"/>
  <c r="E621" i="15" l="1"/>
  <c r="R799" i="15"/>
  <c r="D622" i="15"/>
  <c r="J623" i="15" l="1"/>
  <c r="C623" i="15" s="1"/>
  <c r="L623" i="15"/>
  <c r="M623" i="15"/>
  <c r="O624" i="15" s="1"/>
  <c r="Q799" i="15"/>
  <c r="T800" i="15" s="1"/>
  <c r="F622" i="15"/>
  <c r="E622" i="15" l="1"/>
  <c r="R800" i="15"/>
  <c r="J624" i="15"/>
  <c r="C624" i="15" s="1"/>
  <c r="B623" i="15"/>
  <c r="L624" i="15" l="1"/>
  <c r="B624" i="15"/>
  <c r="G624" i="15"/>
  <c r="M624" i="15"/>
  <c r="O625" i="15" s="1"/>
  <c r="Q800" i="15"/>
  <c r="T801" i="15" s="1"/>
  <c r="G623" i="15"/>
  <c r="D623" i="15"/>
  <c r="D624" i="15" l="1"/>
  <c r="F623" i="15"/>
  <c r="J625" i="15"/>
  <c r="C625" i="15" s="1"/>
  <c r="R801" i="15"/>
  <c r="L625" i="15" l="1"/>
  <c r="Q801" i="15"/>
  <c r="T802" i="15" s="1"/>
  <c r="F624" i="15"/>
  <c r="E623" i="15"/>
  <c r="B625" i="15"/>
  <c r="G625" i="15"/>
  <c r="M625" i="15"/>
  <c r="O626" i="15" s="1"/>
  <c r="E624" i="15" l="1"/>
  <c r="R802" i="15"/>
  <c r="D625" i="15"/>
  <c r="Q802" i="15" l="1"/>
  <c r="T803" i="15" s="1"/>
  <c r="F625" i="15"/>
  <c r="J626" i="15"/>
  <c r="C626" i="15" s="1"/>
  <c r="L626" i="15"/>
  <c r="O627" i="15" s="1"/>
  <c r="M626" i="15"/>
  <c r="E625" i="15" l="1"/>
  <c r="R803" i="15"/>
  <c r="J627" i="15"/>
  <c r="C627" i="15" s="1"/>
  <c r="B626" i="15"/>
  <c r="L627" i="15" l="1"/>
  <c r="O628" i="15" s="1"/>
  <c r="Q803" i="15"/>
  <c r="T804" i="15" s="1"/>
  <c r="B627" i="15"/>
  <c r="G627" i="15"/>
  <c r="M627" i="15"/>
  <c r="G626" i="15"/>
  <c r="D626" i="15"/>
  <c r="R804" i="15" l="1"/>
  <c r="D627" i="15"/>
  <c r="F626" i="15"/>
  <c r="J628" i="15"/>
  <c r="C628" i="15" s="1"/>
  <c r="F627" i="15" l="1"/>
  <c r="E626" i="15"/>
  <c r="B628" i="15"/>
  <c r="G628" i="15"/>
  <c r="L628" i="15"/>
  <c r="O629" i="15" s="1"/>
  <c r="Q804" i="15"/>
  <c r="T805" i="15" s="1"/>
  <c r="M628" i="15"/>
  <c r="J629" i="15" l="1"/>
  <c r="C629" i="15" s="1"/>
  <c r="D628" i="15"/>
  <c r="F628" i="15" s="1"/>
  <c r="R805" i="15"/>
  <c r="E627" i="15"/>
  <c r="M629" i="15" l="1"/>
  <c r="O630" i="15" s="1"/>
  <c r="E628" i="15"/>
  <c r="Q805" i="15"/>
  <c r="T806" i="15" s="1"/>
  <c r="B629" i="15"/>
  <c r="G629" i="15"/>
  <c r="L629" i="15"/>
  <c r="J630" i="15" l="1"/>
  <c r="L630" i="15"/>
  <c r="O631" i="15" s="1"/>
  <c r="D629" i="15"/>
  <c r="F629" i="15" s="1"/>
  <c r="E629" i="15" s="1"/>
  <c r="R806" i="15"/>
  <c r="M630" i="15"/>
  <c r="C630" i="15" l="1"/>
  <c r="G630" i="15" s="1"/>
  <c r="B630" i="15"/>
  <c r="J631" i="15"/>
  <c r="M631" i="15"/>
  <c r="L631" i="15"/>
  <c r="O632" i="15" s="1"/>
  <c r="Q806" i="15"/>
  <c r="T807" i="15" s="1"/>
  <c r="D630" i="15" l="1"/>
  <c r="C631" i="15"/>
  <c r="G631" i="15" s="1"/>
  <c r="B631" i="15"/>
  <c r="M632" i="15"/>
  <c r="F630" i="15"/>
  <c r="R807" i="15"/>
  <c r="T808" i="15" s="1"/>
  <c r="D631" i="15" l="1"/>
  <c r="L632" i="15"/>
  <c r="O633" i="15" s="1"/>
  <c r="J632" i="15"/>
  <c r="R808" i="15"/>
  <c r="T809" i="15" s="1"/>
  <c r="F631" i="15"/>
  <c r="E630" i="15"/>
  <c r="Q807" i="15"/>
  <c r="C632" i="15" l="1"/>
  <c r="B632" i="15"/>
  <c r="Q808" i="15"/>
  <c r="R809" i="15"/>
  <c r="J633" i="15"/>
  <c r="C633" i="15" s="1"/>
  <c r="M633" i="15"/>
  <c r="O634" i="15" s="1"/>
  <c r="L633" i="15"/>
  <c r="E631" i="15"/>
  <c r="G632" i="15" l="1"/>
  <c r="D632" i="15"/>
  <c r="F632" i="15" s="1"/>
  <c r="E632" i="15" s="1"/>
  <c r="Q809" i="15"/>
  <c r="J634" i="15"/>
  <c r="C634" i="15" s="1"/>
  <c r="B633" i="15"/>
  <c r="T810" i="15" l="1"/>
  <c r="R810" i="15" s="1"/>
  <c r="M634" i="15"/>
  <c r="B634" i="15"/>
  <c r="G634" i="15"/>
  <c r="L634" i="15"/>
  <c r="O635" i="15" s="1"/>
  <c r="G633" i="15"/>
  <c r="D633" i="15"/>
  <c r="T811" i="15" l="1"/>
  <c r="R811" i="15" s="1"/>
  <c r="T812" i="15" s="1"/>
  <c r="Q810" i="15"/>
  <c r="Q811" i="15" s="1"/>
  <c r="D634" i="15"/>
  <c r="F633" i="15"/>
  <c r="J635" i="15"/>
  <c r="C635" i="15" s="1"/>
  <c r="R812" i="15" l="1"/>
  <c r="T813" i="15" s="1"/>
  <c r="R813" i="15" s="1"/>
  <c r="T814" i="15" s="1"/>
  <c r="Q812" i="15"/>
  <c r="B635" i="15"/>
  <c r="G635" i="15"/>
  <c r="E633" i="15"/>
  <c r="F634" i="15"/>
  <c r="Q813" i="15"/>
  <c r="M635" i="15"/>
  <c r="L635" i="15"/>
  <c r="O636" i="15" s="1"/>
  <c r="R814" i="15" l="1"/>
  <c r="D635" i="15"/>
  <c r="F635" i="15" s="1"/>
  <c r="E634" i="15"/>
  <c r="J636" i="15"/>
  <c r="C636" i="15" s="1"/>
  <c r="L636" i="15" l="1"/>
  <c r="O637" i="15" s="1"/>
  <c r="M636" i="15"/>
  <c r="E635" i="15"/>
  <c r="D636" i="15"/>
  <c r="F636" i="15" s="1"/>
  <c r="Q814" i="15"/>
  <c r="T815" i="15" s="1"/>
  <c r="B636" i="15"/>
  <c r="G636" i="15"/>
  <c r="J637" i="15" l="1"/>
  <c r="R815" i="15"/>
  <c r="T816" i="15" s="1"/>
  <c r="E636" i="15"/>
  <c r="L637" i="15"/>
  <c r="O638" i="15" s="1"/>
  <c r="C637" i="15" l="1"/>
  <c r="G637" i="15" s="1"/>
  <c r="B637" i="15"/>
  <c r="M637" i="15"/>
  <c r="R816" i="15"/>
  <c r="T817" i="15" s="1"/>
  <c r="Q815" i="15"/>
  <c r="D637" i="15" l="1"/>
  <c r="F637" i="15" s="1"/>
  <c r="Q816" i="15"/>
  <c r="R817" i="15"/>
  <c r="T818" i="15" s="1"/>
  <c r="J638" i="15"/>
  <c r="C638" i="15" s="1"/>
  <c r="M638" i="15"/>
  <c r="O639" i="15" s="1"/>
  <c r="L638" i="15"/>
  <c r="Q817" i="15" l="1"/>
  <c r="R818" i="15"/>
  <c r="T819" i="15" s="1"/>
  <c r="J639" i="15"/>
  <c r="C639" i="15" s="1"/>
  <c r="E637" i="15"/>
  <c r="B638" i="15"/>
  <c r="Q818" i="15" l="1"/>
  <c r="R819" i="15"/>
  <c r="T820" i="15" s="1"/>
  <c r="M639" i="15"/>
  <c r="O640" i="15" s="1"/>
  <c r="L639" i="15"/>
  <c r="B639" i="15"/>
  <c r="G639" i="15"/>
  <c r="G638" i="15"/>
  <c r="D638" i="15"/>
  <c r="Q819" i="15" l="1"/>
  <c r="R820" i="15"/>
  <c r="T821" i="15" s="1"/>
  <c r="J640" i="15"/>
  <c r="C640" i="15" s="1"/>
  <c r="D639" i="15"/>
  <c r="F638" i="15"/>
  <c r="Q820" i="15" l="1"/>
  <c r="R821" i="15"/>
  <c r="T822" i="15" s="1"/>
  <c r="E638" i="15"/>
  <c r="F639" i="15"/>
  <c r="L640" i="15"/>
  <c r="O641" i="15" s="1"/>
  <c r="M640" i="15"/>
  <c r="B640" i="15"/>
  <c r="G640" i="15"/>
  <c r="D640" i="15" l="1"/>
  <c r="F640" i="15" s="1"/>
  <c r="R822" i="15"/>
  <c r="T823" i="15" s="1"/>
  <c r="J641" i="15"/>
  <c r="C641" i="15" s="1"/>
  <c r="E639" i="15"/>
  <c r="Q821" i="15"/>
  <c r="R823" i="15" l="1"/>
  <c r="E640" i="15"/>
  <c r="B641" i="15"/>
  <c r="L641" i="15"/>
  <c r="O642" i="15" s="1"/>
  <c r="M641" i="15"/>
  <c r="Q822" i="15"/>
  <c r="G641" i="15" l="1"/>
  <c r="D641" i="15"/>
  <c r="J642" i="15"/>
  <c r="C642" i="15" s="1"/>
  <c r="Q823" i="15"/>
  <c r="T824" i="15" s="1"/>
  <c r="L642" i="15" l="1"/>
  <c r="O643" i="15" s="1"/>
  <c r="R824" i="15"/>
  <c r="B642" i="15"/>
  <c r="G642" i="15"/>
  <c r="M642" i="15"/>
  <c r="D642" i="15"/>
  <c r="F641" i="15"/>
  <c r="J643" i="15" l="1"/>
  <c r="L643" i="15"/>
  <c r="O644" i="15" s="1"/>
  <c r="E641" i="15"/>
  <c r="F642" i="15"/>
  <c r="Q824" i="15"/>
  <c r="T825" i="15" s="1"/>
  <c r="C643" i="15" l="1"/>
  <c r="G643" i="15" s="1"/>
  <c r="B643" i="15"/>
  <c r="M643" i="15"/>
  <c r="E642" i="15"/>
  <c r="R825" i="15"/>
  <c r="T826" i="15" s="1"/>
  <c r="D643" i="15" l="1"/>
  <c r="F643" i="15" s="1"/>
  <c r="R826" i="15"/>
  <c r="Q825" i="15"/>
  <c r="J644" i="15"/>
  <c r="C644" i="15" s="1"/>
  <c r="M644" i="15"/>
  <c r="L644" i="15"/>
  <c r="O645" i="15" s="1"/>
  <c r="J645" i="15" l="1"/>
  <c r="C645" i="15" s="1"/>
  <c r="E643" i="15"/>
  <c r="B644" i="15"/>
  <c r="Q826" i="15"/>
  <c r="T827" i="15" s="1"/>
  <c r="M645" i="15" l="1"/>
  <c r="O646" i="15" s="1"/>
  <c r="G644" i="15"/>
  <c r="D644" i="15"/>
  <c r="B645" i="15"/>
  <c r="G645" i="15"/>
  <c r="L645" i="15"/>
  <c r="R827" i="15"/>
  <c r="T828" i="15" s="1"/>
  <c r="J646" i="15" l="1"/>
  <c r="Q827" i="15"/>
  <c r="D645" i="15"/>
  <c r="F644" i="15"/>
  <c r="R828" i="15"/>
  <c r="T829" i="15" s="1"/>
  <c r="M646" i="15"/>
  <c r="O647" i="15" s="1"/>
  <c r="C646" i="15" l="1"/>
  <c r="G646" i="15" s="1"/>
  <c r="B646" i="15"/>
  <c r="L646" i="15"/>
  <c r="R829" i="15"/>
  <c r="T830" i="15" s="1"/>
  <c r="E644" i="15"/>
  <c r="F645" i="15"/>
  <c r="Q828" i="15"/>
  <c r="M647" i="15"/>
  <c r="D646" i="15" l="1"/>
  <c r="F646" i="15" s="1"/>
  <c r="Q829" i="15"/>
  <c r="R830" i="15"/>
  <c r="T831" i="15" s="1"/>
  <c r="J647" i="15"/>
  <c r="C647" i="15" s="1"/>
  <c r="L647" i="15"/>
  <c r="O648" i="15" s="1"/>
  <c r="E645" i="15"/>
  <c r="Q830" i="15" l="1"/>
  <c r="R831" i="15"/>
  <c r="T832" i="15" s="1"/>
  <c r="B647" i="15"/>
  <c r="E646" i="15"/>
  <c r="L648" i="15"/>
  <c r="O649" i="15" s="1"/>
  <c r="Q831" i="15" l="1"/>
  <c r="R832" i="15"/>
  <c r="T833" i="15" s="1"/>
  <c r="J649" i="15"/>
  <c r="C649" i="15" s="1"/>
  <c r="G647" i="15"/>
  <c r="D647" i="15"/>
  <c r="J648" i="15"/>
  <c r="C648" i="15" s="1"/>
  <c r="M648" i="15"/>
  <c r="Q832" i="15" l="1"/>
  <c r="R833" i="15"/>
  <c r="T834" i="15" s="1"/>
  <c r="F647" i="15"/>
  <c r="B648" i="15"/>
  <c r="G648" i="15"/>
  <c r="B649" i="15"/>
  <c r="G649" i="15"/>
  <c r="L649" i="15"/>
  <c r="M649" i="15"/>
  <c r="O650" i="15" s="1"/>
  <c r="Q833" i="15" l="1"/>
  <c r="R834" i="15"/>
  <c r="T835" i="15" s="1"/>
  <c r="E647" i="15"/>
  <c r="D648" i="15"/>
  <c r="D649" i="15" s="1"/>
  <c r="J650" i="15"/>
  <c r="C650" i="15" s="1"/>
  <c r="Q834" i="15" l="1"/>
  <c r="L650" i="15"/>
  <c r="M650" i="15"/>
  <c r="R835" i="15"/>
  <c r="T836" i="15" s="1"/>
  <c r="F648" i="15"/>
  <c r="D650" i="15"/>
  <c r="B650" i="15"/>
  <c r="G650" i="15"/>
  <c r="O651" i="15" l="1"/>
  <c r="J651" i="15" s="1"/>
  <c r="Q835" i="15"/>
  <c r="R836" i="15"/>
  <c r="E648" i="15"/>
  <c r="F649" i="15"/>
  <c r="L651" i="15" l="1"/>
  <c r="O652" i="15" s="1"/>
  <c r="J652" i="15" s="1"/>
  <c r="C652" i="15" s="1"/>
  <c r="C651" i="15"/>
  <c r="B651" i="15"/>
  <c r="M651" i="15"/>
  <c r="Q836" i="15"/>
  <c r="E649" i="15"/>
  <c r="F650" i="15"/>
  <c r="T837" i="15" l="1"/>
  <c r="R837" i="15" s="1"/>
  <c r="G651" i="15"/>
  <c r="D651" i="15"/>
  <c r="F651" i="15" s="1"/>
  <c r="B652" i="15"/>
  <c r="L652" i="15"/>
  <c r="O653" i="15" s="1"/>
  <c r="M652" i="15"/>
  <c r="E650" i="15"/>
  <c r="Q837" i="15" l="1"/>
  <c r="T838" i="15" s="1"/>
  <c r="E651" i="15"/>
  <c r="G652" i="15"/>
  <c r="D652" i="15"/>
  <c r="R838" i="15"/>
  <c r="J653" i="15"/>
  <c r="C653" i="15" s="1"/>
  <c r="L653" i="15" l="1"/>
  <c r="O654" i="15" s="1"/>
  <c r="Q838" i="15"/>
  <c r="T839" i="15" s="1"/>
  <c r="F652" i="15"/>
  <c r="B653" i="15"/>
  <c r="G653" i="15"/>
  <c r="M653" i="15"/>
  <c r="J654" i="15" l="1"/>
  <c r="E652" i="15"/>
  <c r="D653" i="15"/>
  <c r="R839" i="15"/>
  <c r="T840" i="15" s="1"/>
  <c r="M654" i="15"/>
  <c r="C654" i="15" l="1"/>
  <c r="G654" i="15" s="1"/>
  <c r="B654" i="15"/>
  <c r="L654" i="15"/>
  <c r="O655" i="15" s="1"/>
  <c r="J655" i="15" s="1"/>
  <c r="C655" i="15" s="1"/>
  <c r="Q839" i="15"/>
  <c r="R840" i="15"/>
  <c r="F653" i="15"/>
  <c r="D654" i="15" l="1"/>
  <c r="F654" i="15" s="1"/>
  <c r="E653" i="15"/>
  <c r="B655" i="15"/>
  <c r="G655" i="15"/>
  <c r="L655" i="15"/>
  <c r="O656" i="15" s="1"/>
  <c r="M655" i="15"/>
  <c r="Q840" i="15"/>
  <c r="T841" i="15" s="1"/>
  <c r="D655" i="15" l="1"/>
  <c r="F655" i="15" s="1"/>
  <c r="J656" i="15"/>
  <c r="C656" i="15" s="1"/>
  <c r="E654" i="15"/>
  <c r="R841" i="15"/>
  <c r="T842" i="15" s="1"/>
  <c r="E655" i="15" l="1"/>
  <c r="R842" i="15"/>
  <c r="T843" i="15" s="1"/>
  <c r="L656" i="15"/>
  <c r="O657" i="15" s="1"/>
  <c r="Q841" i="15"/>
  <c r="B656" i="15"/>
  <c r="G656" i="15"/>
  <c r="M656" i="15"/>
  <c r="Q842" i="15" l="1"/>
  <c r="R843" i="15"/>
  <c r="J657" i="15"/>
  <c r="C657" i="15" s="1"/>
  <c r="D656" i="15"/>
  <c r="Q843" i="15" l="1"/>
  <c r="M657" i="15"/>
  <c r="L657" i="15"/>
  <c r="O658" i="15" s="1"/>
  <c r="F656" i="15"/>
  <c r="B657" i="15"/>
  <c r="G657" i="15"/>
  <c r="T844" i="15" l="1"/>
  <c r="R844" i="15" s="1"/>
  <c r="D657" i="15"/>
  <c r="F657" i="15" s="1"/>
  <c r="E656" i="15"/>
  <c r="Q844" i="15" l="1"/>
  <c r="T845" i="15" s="1"/>
  <c r="R845" i="15" s="1"/>
  <c r="T846" i="15" s="1"/>
  <c r="J658" i="15"/>
  <c r="C658" i="15" s="1"/>
  <c r="M658" i="15"/>
  <c r="L658" i="15"/>
  <c r="O659" i="15" s="1"/>
  <c r="E657" i="15"/>
  <c r="J659" i="15" l="1"/>
  <c r="C659" i="15" s="1"/>
  <c r="R846" i="15"/>
  <c r="Q845" i="15"/>
  <c r="B658" i="15"/>
  <c r="M659" i="15" l="1"/>
  <c r="G658" i="15"/>
  <c r="D658" i="15"/>
  <c r="Q846" i="15"/>
  <c r="T847" i="15" s="1"/>
  <c r="B659" i="15"/>
  <c r="G659" i="15"/>
  <c r="L659" i="15"/>
  <c r="O660" i="15" s="1"/>
  <c r="D659" i="15" l="1"/>
  <c r="F658" i="15"/>
  <c r="R847" i="15"/>
  <c r="Q847" i="15" l="1"/>
  <c r="T848" i="15" s="1"/>
  <c r="E658" i="15"/>
  <c r="F659" i="15"/>
  <c r="J660" i="15"/>
  <c r="C660" i="15" s="1"/>
  <c r="M660" i="15"/>
  <c r="O661" i="15" s="1"/>
  <c r="L660" i="15"/>
  <c r="J661" i="15" l="1"/>
  <c r="C661" i="15" s="1"/>
  <c r="B660" i="15"/>
  <c r="E659" i="15"/>
  <c r="R848" i="15"/>
  <c r="T849" i="15" s="1"/>
  <c r="Q848" i="15" l="1"/>
  <c r="Q849" i="15" s="1"/>
  <c r="T850" i="15" s="1"/>
  <c r="M661" i="15"/>
  <c r="O662" i="15" s="1"/>
  <c r="J662" i="15" s="1"/>
  <c r="C662" i="15" s="1"/>
  <c r="G660" i="15"/>
  <c r="D660" i="15"/>
  <c r="B661" i="15"/>
  <c r="G661" i="15"/>
  <c r="L661" i="15"/>
  <c r="R849" i="15" l="1"/>
  <c r="Q850" i="15"/>
  <c r="T851" i="15" s="1"/>
  <c r="D661" i="15"/>
  <c r="F660" i="15"/>
  <c r="B662" i="15"/>
  <c r="G662" i="15"/>
  <c r="M662" i="15"/>
  <c r="L662" i="15"/>
  <c r="O663" i="15" s="1"/>
  <c r="Q851" i="15" l="1"/>
  <c r="T852" i="15" s="1"/>
  <c r="E660" i="15"/>
  <c r="F661" i="15"/>
  <c r="D662" i="15"/>
  <c r="R850" i="15"/>
  <c r="J663" i="15"/>
  <c r="C663" i="15" s="1"/>
  <c r="R851" i="15" l="1"/>
  <c r="L663" i="15"/>
  <c r="O664" i="15" s="1"/>
  <c r="M663" i="15"/>
  <c r="Q852" i="15"/>
  <c r="T853" i="15" s="1"/>
  <c r="E661" i="15"/>
  <c r="F662" i="15"/>
  <c r="B663" i="15"/>
  <c r="G663" i="15"/>
  <c r="J664" i="15" l="1"/>
  <c r="R852" i="15"/>
  <c r="Q853" i="15"/>
  <c r="T854" i="15" s="1"/>
  <c r="L664" i="15"/>
  <c r="D663" i="15"/>
  <c r="E662" i="15"/>
  <c r="M664" i="15"/>
  <c r="O665" i="15" s="1"/>
  <c r="C664" i="15" l="1"/>
  <c r="G664" i="15" s="1"/>
  <c r="B664" i="15"/>
  <c r="R853" i="15"/>
  <c r="Q854" i="15"/>
  <c r="J665" i="15"/>
  <c r="C665" i="15" s="1"/>
  <c r="F663" i="15"/>
  <c r="D664" i="15" l="1"/>
  <c r="F664" i="15" s="1"/>
  <c r="R854" i="15"/>
  <c r="E663" i="15"/>
  <c r="B665" i="15"/>
  <c r="M665" i="15"/>
  <c r="L665" i="15"/>
  <c r="O666" i="15" s="1"/>
  <c r="T855" i="15" l="1"/>
  <c r="Q855" i="15" s="1"/>
  <c r="G665" i="15"/>
  <c r="D665" i="15"/>
  <c r="E664" i="15"/>
  <c r="J666" i="15"/>
  <c r="C666" i="15" s="1"/>
  <c r="R855" i="15" l="1"/>
  <c r="T856" i="15" s="1"/>
  <c r="Q856" i="15" s="1"/>
  <c r="L666" i="15"/>
  <c r="O667" i="15" s="1"/>
  <c r="M666" i="15"/>
  <c r="F665" i="15"/>
  <c r="B666" i="15"/>
  <c r="G666" i="15"/>
  <c r="J667" i="15" l="1"/>
  <c r="C667" i="15" s="1"/>
  <c r="G667" i="15" s="1"/>
  <c r="M667" i="15"/>
  <c r="E665" i="15"/>
  <c r="R856" i="15"/>
  <c r="T857" i="15" s="1"/>
  <c r="L667" i="15"/>
  <c r="O668" i="15" s="1"/>
  <c r="D666" i="15"/>
  <c r="F666" i="15" s="1"/>
  <c r="B667" i="15" l="1"/>
  <c r="Q857" i="15"/>
  <c r="E666" i="15"/>
  <c r="D667" i="15"/>
  <c r="F667" i="15" l="1"/>
  <c r="R857" i="15"/>
  <c r="T858" i="15" s="1"/>
  <c r="J668" i="15"/>
  <c r="C668" i="15" s="1"/>
  <c r="M668" i="15"/>
  <c r="L668" i="15"/>
  <c r="O669" i="15" s="1"/>
  <c r="J669" i="15" l="1"/>
  <c r="C669" i="15" s="1"/>
  <c r="Q858" i="15"/>
  <c r="T859" i="15" s="1"/>
  <c r="B668" i="15"/>
  <c r="E667" i="15"/>
  <c r="G668" i="15" l="1"/>
  <c r="D668" i="15"/>
  <c r="B669" i="15"/>
  <c r="G669" i="15"/>
  <c r="Q859" i="15"/>
  <c r="T860" i="15" s="1"/>
  <c r="R858" i="15"/>
  <c r="M669" i="15"/>
  <c r="L669" i="15"/>
  <c r="O670" i="15" s="1"/>
  <c r="Q860" i="15" l="1"/>
  <c r="T861" i="15" s="1"/>
  <c r="R859" i="15"/>
  <c r="D669" i="15"/>
  <c r="F668" i="15"/>
  <c r="J670" i="15"/>
  <c r="C670" i="15" s="1"/>
  <c r="R860" i="15" l="1"/>
  <c r="Q861" i="15"/>
  <c r="T862" i="15" s="1"/>
  <c r="M670" i="15"/>
  <c r="O671" i="15" s="1"/>
  <c r="B670" i="15"/>
  <c r="G670" i="15"/>
  <c r="L670" i="15"/>
  <c r="E668" i="15"/>
  <c r="F669" i="15"/>
  <c r="Q862" i="15" l="1"/>
  <c r="T863" i="15" s="1"/>
  <c r="D670" i="15"/>
  <c r="J671" i="15"/>
  <c r="C671" i="15" s="1"/>
  <c r="R861" i="15"/>
  <c r="E669" i="15"/>
  <c r="R862" i="15" l="1"/>
  <c r="Q863" i="15"/>
  <c r="T864" i="15" s="1"/>
  <c r="B671" i="15"/>
  <c r="G671" i="15"/>
  <c r="L671" i="15"/>
  <c r="M671" i="15"/>
  <c r="O672" i="15" s="1"/>
  <c r="F670" i="15"/>
  <c r="R863" i="15" l="1"/>
  <c r="Q864" i="15"/>
  <c r="T865" i="15" s="1"/>
  <c r="J672" i="15"/>
  <c r="C672" i="15" s="1"/>
  <c r="D671" i="15"/>
  <c r="E670" i="15"/>
  <c r="R864" i="15" l="1"/>
  <c r="M672" i="15"/>
  <c r="O673" i="15" s="1"/>
  <c r="J673" i="15" s="1"/>
  <c r="C673" i="15" s="1"/>
  <c r="L672" i="15"/>
  <c r="Q865" i="15"/>
  <c r="B672" i="15"/>
  <c r="G672" i="15"/>
  <c r="F671" i="15"/>
  <c r="D672" i="15" l="1"/>
  <c r="M673" i="15"/>
  <c r="O674" i="15" s="1"/>
  <c r="R865" i="15"/>
  <c r="T866" i="15" s="1"/>
  <c r="B673" i="15"/>
  <c r="G673" i="15"/>
  <c r="L673" i="15"/>
  <c r="D673" i="15"/>
  <c r="E671" i="15"/>
  <c r="F672" i="15"/>
  <c r="Q866" i="15" l="1"/>
  <c r="J674" i="15"/>
  <c r="C674" i="15" s="1"/>
  <c r="E672" i="15"/>
  <c r="F673" i="15"/>
  <c r="E673" i="15" l="1"/>
  <c r="B674" i="15"/>
  <c r="M674" i="15"/>
  <c r="O675" i="15" s="1"/>
  <c r="R866" i="15"/>
  <c r="T867" i="15" s="1"/>
  <c r="L674" i="15"/>
  <c r="J675" i="15" l="1"/>
  <c r="C675" i="15" s="1"/>
  <c r="G674" i="15"/>
  <c r="D674" i="15"/>
  <c r="L675" i="15"/>
  <c r="Q867" i="15"/>
  <c r="R867" i="15" l="1"/>
  <c r="T868" i="15" s="1"/>
  <c r="F674" i="15"/>
  <c r="B675" i="15"/>
  <c r="G675" i="15"/>
  <c r="M675" i="15"/>
  <c r="O676" i="15" s="1"/>
  <c r="E674" i="15" l="1"/>
  <c r="D675" i="15"/>
  <c r="Q868" i="15"/>
  <c r="R868" i="15" l="1"/>
  <c r="T869" i="15" s="1"/>
  <c r="F675" i="15"/>
  <c r="J676" i="15"/>
  <c r="C676" i="15" s="1"/>
  <c r="L676" i="15"/>
  <c r="O677" i="15" s="1"/>
  <c r="M676" i="15"/>
  <c r="J677" i="15" l="1"/>
  <c r="C677" i="15" s="1"/>
  <c r="B676" i="15"/>
  <c r="E675" i="15"/>
  <c r="Q869" i="15"/>
  <c r="M677" i="15" l="1"/>
  <c r="R869" i="15"/>
  <c r="T870" i="15" s="1"/>
  <c r="G676" i="15"/>
  <c r="D676" i="15"/>
  <c r="B677" i="15"/>
  <c r="G677" i="15"/>
  <c r="L677" i="15"/>
  <c r="O678" i="15" s="1"/>
  <c r="R870" i="15" l="1"/>
  <c r="T871" i="15" s="1"/>
  <c r="R871" i="15" s="1"/>
  <c r="T872" i="15" s="1"/>
  <c r="Q870" i="15"/>
  <c r="D677" i="15"/>
  <c r="F676" i="15"/>
  <c r="Q871" i="15" l="1"/>
  <c r="R872" i="15"/>
  <c r="J678" i="15"/>
  <c r="C678" i="15" s="1"/>
  <c r="M678" i="15"/>
  <c r="L678" i="15"/>
  <c r="O679" i="15" s="1"/>
  <c r="E676" i="15"/>
  <c r="F677" i="15"/>
  <c r="E677" i="15" l="1"/>
  <c r="J679" i="15"/>
  <c r="C679" i="15" s="1"/>
  <c r="B678" i="15"/>
  <c r="Q872" i="15"/>
  <c r="T873" i="15" s="1"/>
  <c r="G678" i="15" l="1"/>
  <c r="D678" i="15"/>
  <c r="L679" i="15"/>
  <c r="O680" i="15" s="1"/>
  <c r="B679" i="15"/>
  <c r="G679" i="15"/>
  <c r="M679" i="15"/>
  <c r="R873" i="15"/>
  <c r="Q873" i="15" l="1"/>
  <c r="T874" i="15" s="1"/>
  <c r="J680" i="15"/>
  <c r="C680" i="15" s="1"/>
  <c r="D679" i="15"/>
  <c r="F678" i="15"/>
  <c r="M680" i="15" l="1"/>
  <c r="E678" i="15"/>
  <c r="F679" i="15"/>
  <c r="B680" i="15"/>
  <c r="G680" i="15"/>
  <c r="L680" i="15"/>
  <c r="O681" i="15" s="1"/>
  <c r="R874" i="15"/>
  <c r="T875" i="15" s="1"/>
  <c r="Q874" i="15" l="1"/>
  <c r="Q875" i="15" s="1"/>
  <c r="T876" i="15" s="1"/>
  <c r="D680" i="15"/>
  <c r="F680" i="15" s="1"/>
  <c r="E679" i="15"/>
  <c r="Q876" i="15" l="1"/>
  <c r="E680" i="15"/>
  <c r="R875" i="15"/>
  <c r="J681" i="15"/>
  <c r="C681" i="15" s="1"/>
  <c r="M681" i="15"/>
  <c r="O682" i="15" s="1"/>
  <c r="L681" i="15"/>
  <c r="R876" i="15" l="1"/>
  <c r="J682" i="15"/>
  <c r="C682" i="15" s="1"/>
  <c r="B681" i="15"/>
  <c r="T877" i="15" l="1"/>
  <c r="Q877" i="15" s="1"/>
  <c r="L682" i="15"/>
  <c r="O683" i="15" s="1"/>
  <c r="G681" i="15"/>
  <c r="D681" i="15"/>
  <c r="B682" i="15"/>
  <c r="G682" i="15"/>
  <c r="M682" i="15"/>
  <c r="R877" i="15" l="1"/>
  <c r="T878" i="15" s="1"/>
  <c r="J683" i="15"/>
  <c r="D682" i="15"/>
  <c r="F681" i="15"/>
  <c r="L683" i="15"/>
  <c r="O684" i="15" s="1"/>
  <c r="Q878" i="15"/>
  <c r="T879" i="15" s="1"/>
  <c r="C683" i="15" l="1"/>
  <c r="G683" i="15" s="1"/>
  <c r="B683" i="15"/>
  <c r="M683" i="15"/>
  <c r="R878" i="15"/>
  <c r="E681" i="15"/>
  <c r="F682" i="15"/>
  <c r="Q879" i="15"/>
  <c r="L684" i="15"/>
  <c r="D683" i="15" l="1"/>
  <c r="F683" i="15" s="1"/>
  <c r="J684" i="15"/>
  <c r="C684" i="15" s="1"/>
  <c r="M684" i="15"/>
  <c r="O685" i="15" s="1"/>
  <c r="E682" i="15"/>
  <c r="R879" i="15"/>
  <c r="T880" i="15" s="1"/>
  <c r="Q880" i="15" l="1"/>
  <c r="T881" i="15" s="1"/>
  <c r="E683" i="15"/>
  <c r="M685" i="15"/>
  <c r="O686" i="15" s="1"/>
  <c r="B684" i="15"/>
  <c r="J686" i="15" l="1"/>
  <c r="C686" i="15" s="1"/>
  <c r="G684" i="15"/>
  <c r="D684" i="15"/>
  <c r="J685" i="15"/>
  <c r="C685" i="15" s="1"/>
  <c r="L685" i="15"/>
  <c r="Q881" i="15"/>
  <c r="T882" i="15" s="1"/>
  <c r="R880" i="15"/>
  <c r="L686" i="15" l="1"/>
  <c r="O687" i="15" s="1"/>
  <c r="Q882" i="15"/>
  <c r="T883" i="15" s="1"/>
  <c r="B685" i="15"/>
  <c r="G685" i="15"/>
  <c r="J687" i="15"/>
  <c r="C687" i="15" s="1"/>
  <c r="D685" i="15"/>
  <c r="D686" i="15" s="1"/>
  <c r="F684" i="15"/>
  <c r="B686" i="15"/>
  <c r="G686" i="15"/>
  <c r="R881" i="15"/>
  <c r="M686" i="15"/>
  <c r="R882" i="15" l="1"/>
  <c r="L687" i="15"/>
  <c r="M687" i="15"/>
  <c r="Q883" i="15"/>
  <c r="T884" i="15" s="1"/>
  <c r="E684" i="15"/>
  <c r="F685" i="15"/>
  <c r="B687" i="15"/>
  <c r="G687" i="15"/>
  <c r="O688" i="15" l="1"/>
  <c r="J688" i="15" s="1"/>
  <c r="R883" i="15"/>
  <c r="D687" i="15"/>
  <c r="Q884" i="15"/>
  <c r="T885" i="15" s="1"/>
  <c r="E685" i="15"/>
  <c r="F686" i="15"/>
  <c r="L688" i="15" l="1"/>
  <c r="C688" i="15"/>
  <c r="G688" i="15" s="1"/>
  <c r="B688" i="15"/>
  <c r="M688" i="15"/>
  <c r="O689" i="15" s="1"/>
  <c r="J689" i="15" s="1"/>
  <c r="C689" i="15" s="1"/>
  <c r="R884" i="15"/>
  <c r="Q885" i="15"/>
  <c r="T886" i="15" s="1"/>
  <c r="E686" i="15"/>
  <c r="F687" i="15"/>
  <c r="D688" i="15" l="1"/>
  <c r="D689" i="15" s="1"/>
  <c r="M689" i="15"/>
  <c r="O690" i="15" s="1"/>
  <c r="J690" i="15" s="1"/>
  <c r="C690" i="15" s="1"/>
  <c r="R885" i="15"/>
  <c r="L689" i="15"/>
  <c r="Q886" i="15"/>
  <c r="T887" i="15" s="1"/>
  <c r="E687" i="15"/>
  <c r="F688" i="15"/>
  <c r="B689" i="15"/>
  <c r="G689" i="15"/>
  <c r="R886" i="15" l="1"/>
  <c r="L690" i="15"/>
  <c r="Q887" i="15"/>
  <c r="T888" i="15" s="1"/>
  <c r="B690" i="15"/>
  <c r="G690" i="15"/>
  <c r="M690" i="15"/>
  <c r="O691" i="15" s="1"/>
  <c r="E688" i="15"/>
  <c r="F689" i="15"/>
  <c r="R887" i="15" l="1"/>
  <c r="Q888" i="15"/>
  <c r="T889" i="15" s="1"/>
  <c r="D690" i="15"/>
  <c r="F690" i="15" s="1"/>
  <c r="E689" i="15"/>
  <c r="R888" i="15" l="1"/>
  <c r="Q889" i="15"/>
  <c r="T890" i="15" s="1"/>
  <c r="E690" i="15"/>
  <c r="J691" i="15"/>
  <c r="C691" i="15" s="1"/>
  <c r="L691" i="15"/>
  <c r="M691" i="15"/>
  <c r="O692" i="15" s="1"/>
  <c r="R889" i="15" l="1"/>
  <c r="Q890" i="15"/>
  <c r="T891" i="15" s="1"/>
  <c r="B691" i="15"/>
  <c r="J692" i="15"/>
  <c r="C692" i="15" s="1"/>
  <c r="R890" i="15" l="1"/>
  <c r="Q891" i="15"/>
  <c r="T892" i="15" s="1"/>
  <c r="B692" i="15"/>
  <c r="G692" i="15"/>
  <c r="G691" i="15"/>
  <c r="D691" i="15"/>
  <c r="M692" i="15"/>
  <c r="O693" i="15" s="1"/>
  <c r="L692" i="15"/>
  <c r="R891" i="15" l="1"/>
  <c r="J693" i="15"/>
  <c r="C693" i="15" s="1"/>
  <c r="D692" i="15"/>
  <c r="F691" i="15"/>
  <c r="R892" i="15" l="1"/>
  <c r="Q892" i="15"/>
  <c r="T893" i="15" s="1"/>
  <c r="L693" i="15"/>
  <c r="O694" i="15" s="1"/>
  <c r="M693" i="15"/>
  <c r="E691" i="15"/>
  <c r="F692" i="15"/>
  <c r="B693" i="15"/>
  <c r="G693" i="15"/>
  <c r="D693" i="15" l="1"/>
  <c r="F693" i="15" s="1"/>
  <c r="R893" i="15"/>
  <c r="T894" i="15" s="1"/>
  <c r="E692" i="15"/>
  <c r="J694" i="15"/>
  <c r="C694" i="15" s="1"/>
  <c r="E693" i="15" l="1"/>
  <c r="B694" i="15"/>
  <c r="L694" i="15"/>
  <c r="O695" i="15" s="1"/>
  <c r="R894" i="15"/>
  <c r="Q893" i="15"/>
  <c r="M694" i="15"/>
  <c r="Q894" i="15" l="1"/>
  <c r="J695" i="15"/>
  <c r="C695" i="15" s="1"/>
  <c r="G694" i="15"/>
  <c r="D694" i="15"/>
  <c r="T895" i="15" l="1"/>
  <c r="R895" i="15" s="1"/>
  <c r="M695" i="15"/>
  <c r="O696" i="15" s="1"/>
  <c r="J696" i="15" s="1"/>
  <c r="C696" i="15" s="1"/>
  <c r="L695" i="15"/>
  <c r="F694" i="15"/>
  <c r="B695" i="15"/>
  <c r="G695" i="15"/>
  <c r="T896" i="15" l="1"/>
  <c r="R896" i="15" s="1"/>
  <c r="Q895" i="15"/>
  <c r="D695" i="15"/>
  <c r="F695" i="15" s="1"/>
  <c r="B696" i="15"/>
  <c r="G696" i="15"/>
  <c r="M696" i="15"/>
  <c r="O697" i="15" s="1"/>
  <c r="L696" i="15"/>
  <c r="E694" i="15"/>
  <c r="Q896" i="15" l="1"/>
  <c r="T897" i="15" s="1"/>
  <c r="R897" i="15" s="1"/>
  <c r="J697" i="15"/>
  <c r="C697" i="15" s="1"/>
  <c r="E695" i="15"/>
  <c r="D696" i="15"/>
  <c r="Q897" i="15" l="1"/>
  <c r="T898" i="15" s="1"/>
  <c r="R898" i="15" s="1"/>
  <c r="F696" i="15"/>
  <c r="B697" i="15"/>
  <c r="G697" i="15"/>
  <c r="M697" i="15"/>
  <c r="O698" i="15" s="1"/>
  <c r="L697" i="15"/>
  <c r="J698" i="15" l="1"/>
  <c r="C698" i="15" s="1"/>
  <c r="Q898" i="15"/>
  <c r="T899" i="15" s="1"/>
  <c r="E696" i="15"/>
  <c r="D697" i="15"/>
  <c r="F697" i="15" s="1"/>
  <c r="L698" i="15" l="1"/>
  <c r="O699" i="15" s="1"/>
  <c r="E697" i="15"/>
  <c r="R899" i="15"/>
  <c r="B698" i="15"/>
  <c r="G698" i="15"/>
  <c r="M698" i="15"/>
  <c r="J699" i="15" l="1"/>
  <c r="D698" i="15"/>
  <c r="L699" i="15"/>
  <c r="O700" i="15" s="1"/>
  <c r="Q899" i="15"/>
  <c r="T900" i="15" s="1"/>
  <c r="F698" i="15"/>
  <c r="C699" i="15" l="1"/>
  <c r="G699" i="15" s="1"/>
  <c r="B699" i="15"/>
  <c r="M699" i="15"/>
  <c r="E698" i="15"/>
  <c r="R900" i="15"/>
  <c r="J700" i="15"/>
  <c r="C700" i="15" s="1"/>
  <c r="D699" i="15" l="1"/>
  <c r="B700" i="15"/>
  <c r="G700" i="15"/>
  <c r="L700" i="15"/>
  <c r="D700" i="15"/>
  <c r="Q900" i="15"/>
  <c r="T901" i="15" s="1"/>
  <c r="F699" i="15"/>
  <c r="M700" i="15"/>
  <c r="O701" i="15" s="1"/>
  <c r="J701" i="15" l="1"/>
  <c r="C701" i="15" s="1"/>
  <c r="E699" i="15"/>
  <c r="F700" i="15"/>
  <c r="R901" i="15"/>
  <c r="Q901" i="15" l="1"/>
  <c r="T902" i="15" s="1"/>
  <c r="E700" i="15"/>
  <c r="B701" i="15"/>
  <c r="M701" i="15"/>
  <c r="O702" i="15" s="1"/>
  <c r="L701" i="15"/>
  <c r="G701" i="15" l="1"/>
  <c r="D701" i="15"/>
  <c r="J702" i="15"/>
  <c r="C702" i="15" s="1"/>
  <c r="R902" i="15"/>
  <c r="B702" i="15" l="1"/>
  <c r="G702" i="15"/>
  <c r="Q902" i="15"/>
  <c r="T903" i="15" s="1"/>
  <c r="M702" i="15"/>
  <c r="O703" i="15" s="1"/>
  <c r="L702" i="15"/>
  <c r="D702" i="15"/>
  <c r="F701" i="15"/>
  <c r="E701" i="15" l="1"/>
  <c r="F702" i="15"/>
  <c r="R903" i="15"/>
  <c r="T904" i="15" s="1"/>
  <c r="J703" i="15"/>
  <c r="C703" i="15" s="1"/>
  <c r="B703" i="15" l="1"/>
  <c r="L703" i="15"/>
  <c r="M703" i="15"/>
  <c r="O704" i="15" s="1"/>
  <c r="E702" i="15"/>
  <c r="R904" i="15"/>
  <c r="Q903" i="15"/>
  <c r="G703" i="15" l="1"/>
  <c r="D703" i="15"/>
  <c r="J704" i="15"/>
  <c r="C704" i="15" s="1"/>
  <c r="Q904" i="15"/>
  <c r="T905" i="15" s="1"/>
  <c r="R905" i="15" l="1"/>
  <c r="B704" i="15"/>
  <c r="G704" i="15"/>
  <c r="M704" i="15"/>
  <c r="O705" i="15" s="1"/>
  <c r="D704" i="15"/>
  <c r="F703" i="15"/>
  <c r="L704" i="15"/>
  <c r="E703" i="15" l="1"/>
  <c r="F704" i="15"/>
  <c r="J705" i="15"/>
  <c r="C705" i="15" s="1"/>
  <c r="Q905" i="15"/>
  <c r="T906" i="15" s="1"/>
  <c r="R906" i="15" l="1"/>
  <c r="B705" i="15"/>
  <c r="M705" i="15"/>
  <c r="E704" i="15"/>
  <c r="L705" i="15"/>
  <c r="O706" i="15" s="1"/>
  <c r="Q906" i="15" l="1"/>
  <c r="J706" i="15"/>
  <c r="C706" i="15" s="1"/>
  <c r="G705" i="15"/>
  <c r="D705" i="15"/>
  <c r="T907" i="15" l="1"/>
  <c r="Q907" i="15" s="1"/>
  <c r="M706" i="15"/>
  <c r="F705" i="15"/>
  <c r="B706" i="15"/>
  <c r="G706" i="15"/>
  <c r="L706" i="15"/>
  <c r="O707" i="15" s="1"/>
  <c r="T908" i="15" l="1"/>
  <c r="Q908" i="15" s="1"/>
  <c r="T909" i="15" s="1"/>
  <c r="R907" i="15"/>
  <c r="E705" i="15"/>
  <c r="D706" i="15"/>
  <c r="F706" i="15" s="1"/>
  <c r="L707" i="15"/>
  <c r="O708" i="15" s="1"/>
  <c r="R908" i="15" l="1"/>
  <c r="R909" i="15" s="1"/>
  <c r="Q909" i="15"/>
  <c r="T910" i="15" s="1"/>
  <c r="J708" i="15"/>
  <c r="C708" i="15" s="1"/>
  <c r="E706" i="15"/>
  <c r="J707" i="15"/>
  <c r="C707" i="15" s="1"/>
  <c r="M707" i="15"/>
  <c r="M708" i="15" l="1"/>
  <c r="R910" i="15"/>
  <c r="B707" i="15"/>
  <c r="Q910" i="15"/>
  <c r="T911" i="15" s="1"/>
  <c r="B708" i="15"/>
  <c r="G708" i="15"/>
  <c r="L708" i="15"/>
  <c r="O709" i="15" s="1"/>
  <c r="R911" i="15" l="1"/>
  <c r="G707" i="15"/>
  <c r="D707" i="15"/>
  <c r="D708" i="15" l="1"/>
  <c r="F707" i="15"/>
  <c r="Q911" i="15"/>
  <c r="T912" i="15" s="1"/>
  <c r="J709" i="15"/>
  <c r="C709" i="15" s="1"/>
  <c r="M709" i="15"/>
  <c r="O710" i="15" s="1"/>
  <c r="L709" i="15"/>
  <c r="R912" i="15" l="1"/>
  <c r="J710" i="15"/>
  <c r="C710" i="15" s="1"/>
  <c r="E707" i="15"/>
  <c r="F708" i="15"/>
  <c r="B709" i="15"/>
  <c r="G709" i="15"/>
  <c r="D709" i="15"/>
  <c r="B710" i="15" l="1"/>
  <c r="G710" i="15"/>
  <c r="M710" i="15"/>
  <c r="E708" i="15"/>
  <c r="F709" i="15"/>
  <c r="L710" i="15"/>
  <c r="O711" i="15" s="1"/>
  <c r="D710" i="15"/>
  <c r="Q912" i="15"/>
  <c r="T913" i="15" s="1"/>
  <c r="E709" i="15" l="1"/>
  <c r="F710" i="15"/>
  <c r="J711" i="15"/>
  <c r="C711" i="15" s="1"/>
  <c r="R913" i="15"/>
  <c r="T914" i="15" s="1"/>
  <c r="B711" i="15" l="1"/>
  <c r="L711" i="15"/>
  <c r="O712" i="15" s="1"/>
  <c r="R914" i="15"/>
  <c r="E710" i="15"/>
  <c r="Q913" i="15"/>
  <c r="M711" i="15"/>
  <c r="Q914" i="15" l="1"/>
  <c r="J712" i="15"/>
  <c r="C712" i="15" s="1"/>
  <c r="G711" i="15"/>
  <c r="D711" i="15"/>
  <c r="T915" i="15" l="1"/>
  <c r="R915" i="15" s="1"/>
  <c r="M712" i="15"/>
  <c r="B712" i="15"/>
  <c r="G712" i="15"/>
  <c r="F711" i="15"/>
  <c r="L712" i="15"/>
  <c r="O713" i="15" s="1"/>
  <c r="T916" i="15" l="1"/>
  <c r="R916" i="15" s="1"/>
  <c r="Q915" i="15"/>
  <c r="E711" i="15"/>
  <c r="D712" i="15"/>
  <c r="Q916" i="15" l="1"/>
  <c r="T917" i="15"/>
  <c r="R917" i="15" s="1"/>
  <c r="F712" i="15"/>
  <c r="J713" i="15"/>
  <c r="C713" i="15" s="1"/>
  <c r="M713" i="15"/>
  <c r="L713" i="15"/>
  <c r="O714" i="15" s="1"/>
  <c r="Q917" i="15" l="1"/>
  <c r="T918" i="15" s="1"/>
  <c r="R918" i="15" s="1"/>
  <c r="J714" i="15"/>
  <c r="C714" i="15" s="1"/>
  <c r="E712" i="15"/>
  <c r="B713" i="15"/>
  <c r="Q918" i="15" l="1"/>
  <c r="T919" i="15" s="1"/>
  <c r="R919" i="15" s="1"/>
  <c r="M714" i="15"/>
  <c r="B714" i="15"/>
  <c r="G714" i="15"/>
  <c r="L714" i="15"/>
  <c r="O715" i="15" s="1"/>
  <c r="G713" i="15"/>
  <c r="D713" i="15"/>
  <c r="Q919" i="15" l="1"/>
  <c r="T920" i="15" s="1"/>
  <c r="D714" i="15"/>
  <c r="F713" i="15"/>
  <c r="L715" i="15"/>
  <c r="J715" i="15" l="1"/>
  <c r="C715" i="15" s="1"/>
  <c r="M715" i="15"/>
  <c r="O716" i="15" s="1"/>
  <c r="F714" i="15"/>
  <c r="E713" i="15"/>
  <c r="R920" i="15"/>
  <c r="E714" i="15" l="1"/>
  <c r="Q920" i="15"/>
  <c r="T921" i="15" s="1"/>
  <c r="M716" i="15"/>
  <c r="O717" i="15" s="1"/>
  <c r="B715" i="15"/>
  <c r="J717" i="15" l="1"/>
  <c r="C717" i="15" s="1"/>
  <c r="J716" i="15"/>
  <c r="C716" i="15" s="1"/>
  <c r="L716" i="15"/>
  <c r="L717" i="15" s="1"/>
  <c r="O718" i="15" s="1"/>
  <c r="G715" i="15"/>
  <c r="D715" i="15"/>
  <c r="R921" i="15"/>
  <c r="F715" i="15" l="1"/>
  <c r="B717" i="15"/>
  <c r="G717" i="15"/>
  <c r="Q921" i="15"/>
  <c r="T922" i="15" s="1"/>
  <c r="J718" i="15"/>
  <c r="C718" i="15" s="1"/>
  <c r="B716" i="15"/>
  <c r="G716" i="15"/>
  <c r="M717" i="15"/>
  <c r="L718" i="15" l="1"/>
  <c r="O719" i="15" s="1"/>
  <c r="R922" i="15"/>
  <c r="M718" i="15"/>
  <c r="E715" i="15"/>
  <c r="B718" i="15"/>
  <c r="G718" i="15"/>
  <c r="D716" i="15"/>
  <c r="D717" i="15" s="1"/>
  <c r="F716" i="15" l="1"/>
  <c r="E716" i="15" s="1"/>
  <c r="Q922" i="15"/>
  <c r="T923" i="15" s="1"/>
  <c r="D718" i="15"/>
  <c r="J719" i="15"/>
  <c r="C719" i="15" s="1"/>
  <c r="F717" i="15" l="1"/>
  <c r="E717" i="15" s="1"/>
  <c r="B719" i="15"/>
  <c r="G719" i="15"/>
  <c r="L719" i="15"/>
  <c r="O720" i="15" s="1"/>
  <c r="D719" i="15"/>
  <c r="R923" i="15"/>
  <c r="M719" i="15"/>
  <c r="F718" i="15" l="1"/>
  <c r="E718" i="15" s="1"/>
  <c r="Q923" i="15"/>
  <c r="T924" i="15" s="1"/>
  <c r="J720" i="15"/>
  <c r="C720" i="15" s="1"/>
  <c r="F719" i="15" l="1"/>
  <c r="E719" i="15" s="1"/>
  <c r="M720" i="15"/>
  <c r="B720" i="15"/>
  <c r="L720" i="15"/>
  <c r="O721" i="15" s="1"/>
  <c r="R924" i="15"/>
  <c r="L721" i="15" l="1"/>
  <c r="O722" i="15" s="1"/>
  <c r="Q924" i="15"/>
  <c r="T925" i="15" s="1"/>
  <c r="G720" i="15"/>
  <c r="D720" i="15"/>
  <c r="R925" i="15" l="1"/>
  <c r="F720" i="15"/>
  <c r="J721" i="15"/>
  <c r="C721" i="15" s="1"/>
  <c r="M721" i="15"/>
  <c r="J722" i="15"/>
  <c r="C722" i="15" s="1"/>
  <c r="E720" i="15" l="1"/>
  <c r="L722" i="15"/>
  <c r="O723" i="15" s="1"/>
  <c r="B722" i="15"/>
  <c r="G722" i="15"/>
  <c r="M722" i="15"/>
  <c r="B721" i="15"/>
  <c r="Q925" i="15"/>
  <c r="T926" i="15" s="1"/>
  <c r="J723" i="15" l="1"/>
  <c r="C723" i="15" s="1"/>
  <c r="G721" i="15"/>
  <c r="D721" i="15"/>
  <c r="R926" i="15"/>
  <c r="Q926" i="15" l="1"/>
  <c r="T927" i="15" s="1"/>
  <c r="B723" i="15"/>
  <c r="G723" i="15"/>
  <c r="D722" i="15"/>
  <c r="D723" i="15" s="1"/>
  <c r="F721" i="15"/>
  <c r="L723" i="15"/>
  <c r="M723" i="15"/>
  <c r="O724" i="15" s="1"/>
  <c r="J724" i="15" l="1"/>
  <c r="C724" i="15" s="1"/>
  <c r="F722" i="15"/>
  <c r="E721" i="15"/>
  <c r="R927" i="15"/>
  <c r="L724" i="15" l="1"/>
  <c r="Q927" i="15"/>
  <c r="T928" i="15" s="1"/>
  <c r="F723" i="15"/>
  <c r="E722" i="15"/>
  <c r="B724" i="15"/>
  <c r="M724" i="15"/>
  <c r="O725" i="15" s="1"/>
  <c r="G724" i="15" l="1"/>
  <c r="D724" i="15"/>
  <c r="F724" i="15" s="1"/>
  <c r="E723" i="15"/>
  <c r="R928" i="15"/>
  <c r="E724" i="15" l="1"/>
  <c r="Q928" i="15"/>
  <c r="T929" i="15" s="1"/>
  <c r="J725" i="15"/>
  <c r="C725" i="15" s="1"/>
  <c r="L725" i="15"/>
  <c r="M725" i="15"/>
  <c r="O726" i="15" s="1"/>
  <c r="B725" i="15" l="1"/>
  <c r="J726" i="15"/>
  <c r="C726" i="15" s="1"/>
  <c r="R929" i="15"/>
  <c r="G726" i="15" l="1"/>
  <c r="B726" i="15"/>
  <c r="Q929" i="15"/>
  <c r="T930" i="15" s="1"/>
  <c r="L726" i="15"/>
  <c r="M726" i="15"/>
  <c r="O727" i="15" s="1"/>
  <c r="G725" i="15"/>
  <c r="D725" i="15"/>
  <c r="R930" i="15" l="1"/>
  <c r="D726" i="15"/>
  <c r="F725" i="15"/>
  <c r="J727" i="15"/>
  <c r="C727" i="15" s="1"/>
  <c r="F726" i="15" l="1"/>
  <c r="E725" i="15"/>
  <c r="M727" i="15"/>
  <c r="Q930" i="15"/>
  <c r="T931" i="15" s="1"/>
  <c r="G727" i="15"/>
  <c r="B727" i="15"/>
  <c r="L727" i="15"/>
  <c r="O728" i="15" s="1"/>
  <c r="D727" i="15" l="1"/>
  <c r="F727" i="15" s="1"/>
  <c r="R931" i="15"/>
  <c r="J728" i="15"/>
  <c r="C728" i="15" s="1"/>
  <c r="E726" i="15"/>
  <c r="E727" i="15" l="1"/>
  <c r="G728" i="15"/>
  <c r="B728" i="15"/>
  <c r="L728" i="15"/>
  <c r="O729" i="15" s="1"/>
  <c r="M728" i="15"/>
  <c r="Q931" i="15"/>
  <c r="T932" i="15" s="1"/>
  <c r="J729" i="15" l="1"/>
  <c r="C729" i="15" s="1"/>
  <c r="R932" i="15"/>
  <c r="T933" i="15" s="1"/>
  <c r="D728" i="15"/>
  <c r="Q932" i="15" l="1"/>
  <c r="Q933" i="15" s="1"/>
  <c r="F728" i="15"/>
  <c r="G729" i="15"/>
  <c r="B729" i="15"/>
  <c r="L729" i="15"/>
  <c r="O730" i="15" s="1"/>
  <c r="M729" i="15"/>
  <c r="J730" i="15" l="1"/>
  <c r="C730" i="15" s="1"/>
  <c r="D729" i="15"/>
  <c r="F729" i="15" s="1"/>
  <c r="E728" i="15"/>
  <c r="R933" i="15"/>
  <c r="T934" i="15" s="1"/>
  <c r="M730" i="15" l="1"/>
  <c r="O731" i="15" s="1"/>
  <c r="E729" i="15"/>
  <c r="G730" i="15"/>
  <c r="B730" i="15"/>
  <c r="Q934" i="15"/>
  <c r="L730" i="15"/>
  <c r="J731" i="15" l="1"/>
  <c r="L731" i="15"/>
  <c r="R934" i="15"/>
  <c r="T935" i="15" s="1"/>
  <c r="D730" i="15"/>
  <c r="M731" i="15"/>
  <c r="O732" i="15" s="1"/>
  <c r="C731" i="15" l="1"/>
  <c r="G731" i="15" s="1"/>
  <c r="B731" i="15"/>
  <c r="F730" i="15"/>
  <c r="Q935" i="15"/>
  <c r="D731" i="15" l="1"/>
  <c r="F731" i="15" s="1"/>
  <c r="E730" i="15"/>
  <c r="J732" i="15"/>
  <c r="C732" i="15" s="1"/>
  <c r="L732" i="15"/>
  <c r="R935" i="15"/>
  <c r="T936" i="15" s="1"/>
  <c r="M732" i="15"/>
  <c r="O733" i="15" s="1"/>
  <c r="J733" i="15" l="1"/>
  <c r="C733" i="15" s="1"/>
  <c r="Q936" i="15"/>
  <c r="B732" i="15"/>
  <c r="E731" i="15"/>
  <c r="L733" i="15" l="1"/>
  <c r="G732" i="15"/>
  <c r="D732" i="15"/>
  <c r="R936" i="15"/>
  <c r="T937" i="15" s="1"/>
  <c r="G733" i="15"/>
  <c r="B733" i="15"/>
  <c r="M733" i="15"/>
  <c r="O734" i="15" s="1"/>
  <c r="Q937" i="15" l="1"/>
  <c r="D733" i="15"/>
  <c r="F732" i="15"/>
  <c r="F733" i="15" l="1"/>
  <c r="E732" i="15"/>
  <c r="J734" i="15"/>
  <c r="C734" i="15" s="1"/>
  <c r="L734" i="15"/>
  <c r="R937" i="15"/>
  <c r="T938" i="15" s="1"/>
  <c r="M734" i="15"/>
  <c r="O735" i="15" s="1"/>
  <c r="J735" i="15" l="1"/>
  <c r="C735" i="15" s="1"/>
  <c r="Q938" i="15"/>
  <c r="B734" i="15"/>
  <c r="L735" i="15"/>
  <c r="O736" i="15" s="1"/>
  <c r="E733" i="15"/>
  <c r="G734" i="15" l="1"/>
  <c r="D734" i="15"/>
  <c r="J736" i="15"/>
  <c r="C736" i="15" s="1"/>
  <c r="G735" i="15"/>
  <c r="B735" i="15"/>
  <c r="R938" i="15"/>
  <c r="T939" i="15" s="1"/>
  <c r="M735" i="15"/>
  <c r="Q939" i="15" l="1"/>
  <c r="T940" i="15" s="1"/>
  <c r="D735" i="15"/>
  <c r="F734" i="15"/>
  <c r="G736" i="15"/>
  <c r="B736" i="15"/>
  <c r="L736" i="15"/>
  <c r="O737" i="15" s="1"/>
  <c r="M736" i="15"/>
  <c r="D736" i="15" l="1"/>
  <c r="J737" i="15"/>
  <c r="C737" i="15" s="1"/>
  <c r="F735" i="15"/>
  <c r="E734" i="15"/>
  <c r="Q940" i="15"/>
  <c r="R939" i="15"/>
  <c r="B737" i="15" l="1"/>
  <c r="F736" i="15"/>
  <c r="E735" i="15"/>
  <c r="L737" i="15"/>
  <c r="O738" i="15" s="1"/>
  <c r="R940" i="15"/>
  <c r="T941" i="15" s="1"/>
  <c r="M737" i="15"/>
  <c r="Q941" i="15" l="1"/>
  <c r="T942" i="15" s="1"/>
  <c r="J738" i="15"/>
  <c r="C738" i="15" s="1"/>
  <c r="E736" i="15"/>
  <c r="G737" i="15"/>
  <c r="D737" i="15"/>
  <c r="F737" i="15" s="1"/>
  <c r="E737" i="15" l="1"/>
  <c r="G738" i="15"/>
  <c r="B738" i="15"/>
  <c r="L738" i="15"/>
  <c r="M738" i="15"/>
  <c r="O739" i="15" s="1"/>
  <c r="Q942" i="15"/>
  <c r="R941" i="15"/>
  <c r="R942" i="15" l="1"/>
  <c r="T943" i="15" s="1"/>
  <c r="J739" i="15"/>
  <c r="C739" i="15" s="1"/>
  <c r="D738" i="15"/>
  <c r="G739" i="15" l="1"/>
  <c r="B739" i="15"/>
  <c r="M739" i="15"/>
  <c r="O740" i="15" s="1"/>
  <c r="L739" i="15"/>
  <c r="D739" i="15"/>
  <c r="F738" i="15"/>
  <c r="Q943" i="15"/>
  <c r="T944" i="15" s="1"/>
  <c r="R943" i="15" l="1"/>
  <c r="Q944" i="15"/>
  <c r="T945" i="15" s="1"/>
  <c r="E738" i="15"/>
  <c r="F739" i="15"/>
  <c r="J740" i="15"/>
  <c r="C740" i="15" s="1"/>
  <c r="R944" i="15" l="1"/>
  <c r="M740" i="15"/>
  <c r="E739" i="15"/>
  <c r="L740" i="15"/>
  <c r="O741" i="15" s="1"/>
  <c r="B740" i="15"/>
  <c r="R945" i="15" l="1"/>
  <c r="Q945" i="15"/>
  <c r="G740" i="15"/>
  <c r="D740" i="15"/>
  <c r="J741" i="15"/>
  <c r="C741" i="15" s="1"/>
  <c r="T946" i="15" l="1"/>
  <c r="Q946" i="15" s="1"/>
  <c r="M741" i="15"/>
  <c r="G741" i="15"/>
  <c r="B741" i="15"/>
  <c r="D741" i="15"/>
  <c r="F740" i="15"/>
  <c r="L741" i="15"/>
  <c r="O742" i="15" s="1"/>
  <c r="R946" i="15" l="1"/>
  <c r="T947" i="15" s="1"/>
  <c r="Q947" i="15" s="1"/>
  <c r="E740" i="15"/>
  <c r="F741" i="15"/>
  <c r="R947" i="15" l="1"/>
  <c r="T948" i="15" s="1"/>
  <c r="R948" i="15" s="1"/>
  <c r="T949" i="15" s="1"/>
  <c r="R949" i="15" s="1"/>
  <c r="T950" i="15" s="1"/>
  <c r="J742" i="15"/>
  <c r="C742" i="15" s="1"/>
  <c r="M742" i="15"/>
  <c r="O743" i="15" s="1"/>
  <c r="L742" i="15"/>
  <c r="E741" i="15"/>
  <c r="Q948" i="15" l="1"/>
  <c r="Q949" i="15" s="1"/>
  <c r="R950" i="15"/>
  <c r="T951" i="15" s="1"/>
  <c r="J743" i="15"/>
  <c r="C743" i="15" s="1"/>
  <c r="B742" i="15"/>
  <c r="Q950" i="15" l="1"/>
  <c r="R951" i="15"/>
  <c r="T952" i="15" s="1"/>
  <c r="G742" i="15"/>
  <c r="D742" i="15"/>
  <c r="L743" i="15"/>
  <c r="G743" i="15"/>
  <c r="B743" i="15"/>
  <c r="M743" i="15"/>
  <c r="O744" i="15" s="1"/>
  <c r="R952" i="15" l="1"/>
  <c r="T953" i="15" s="1"/>
  <c r="J744" i="15"/>
  <c r="C744" i="15" s="1"/>
  <c r="D743" i="15"/>
  <c r="F742" i="15"/>
  <c r="Q951" i="15"/>
  <c r="Q952" i="15" l="1"/>
  <c r="R953" i="15"/>
  <c r="T954" i="15" s="1"/>
  <c r="G744" i="15"/>
  <c r="B744" i="15"/>
  <c r="E742" i="15"/>
  <c r="F743" i="15"/>
  <c r="D744" i="15"/>
  <c r="M744" i="15"/>
  <c r="O745" i="15" s="1"/>
  <c r="L744" i="15"/>
  <c r="Q953" i="15" l="1"/>
  <c r="R954" i="15"/>
  <c r="T955" i="15" s="1"/>
  <c r="E743" i="15"/>
  <c r="F744" i="15"/>
  <c r="J745" i="15"/>
  <c r="C745" i="15" s="1"/>
  <c r="M745" i="15" l="1"/>
  <c r="O746" i="15" s="1"/>
  <c r="L745" i="15"/>
  <c r="R955" i="15"/>
  <c r="T956" i="15" s="1"/>
  <c r="E744" i="15"/>
  <c r="Q954" i="15"/>
  <c r="B745" i="15"/>
  <c r="J746" i="15" l="1"/>
  <c r="Q955" i="15"/>
  <c r="R956" i="15"/>
  <c r="M746" i="15"/>
  <c r="L746" i="15"/>
  <c r="O747" i="15" s="1"/>
  <c r="G745" i="15"/>
  <c r="D745" i="15"/>
  <c r="C746" i="15" l="1"/>
  <c r="G746" i="15" s="1"/>
  <c r="B746" i="15"/>
  <c r="J747" i="15"/>
  <c r="C747" i="15" s="1"/>
  <c r="Q956" i="15"/>
  <c r="T957" i="15" s="1"/>
  <c r="F745" i="15"/>
  <c r="D746" i="15" l="1"/>
  <c r="F746" i="15" s="1"/>
  <c r="R957" i="15"/>
  <c r="E745" i="15"/>
  <c r="G747" i="15"/>
  <c r="B747" i="15"/>
  <c r="L747" i="15"/>
  <c r="O748" i="15" s="1"/>
  <c r="M747" i="15"/>
  <c r="J748" i="15" l="1"/>
  <c r="C748" i="15" s="1"/>
  <c r="E746" i="15"/>
  <c r="Q957" i="15"/>
  <c r="T958" i="15" s="1"/>
  <c r="D747" i="15"/>
  <c r="M748" i="15" l="1"/>
  <c r="R958" i="15"/>
  <c r="F747" i="15"/>
  <c r="G748" i="15"/>
  <c r="B748" i="15"/>
  <c r="L748" i="15"/>
  <c r="O749" i="15" s="1"/>
  <c r="E747" i="15" l="1"/>
  <c r="D748" i="15"/>
  <c r="F748" i="15" s="1"/>
  <c r="Q958" i="15"/>
  <c r="T959" i="15" s="1"/>
  <c r="E748" i="15" l="1"/>
  <c r="R959" i="15"/>
  <c r="J749" i="15"/>
  <c r="C749" i="15" s="1"/>
  <c r="M749" i="15"/>
  <c r="L749" i="15"/>
  <c r="O750" i="15" s="1"/>
  <c r="B749" i="15" l="1"/>
  <c r="Q959" i="15"/>
  <c r="T960" i="15" s="1"/>
  <c r="J750" i="15"/>
  <c r="C750" i="15" s="1"/>
  <c r="L750" i="15" l="1"/>
  <c r="O751" i="15" s="1"/>
  <c r="M750" i="15"/>
  <c r="R960" i="15"/>
  <c r="B750" i="15"/>
  <c r="G750" i="15"/>
  <c r="G749" i="15"/>
  <c r="D749" i="15"/>
  <c r="D750" i="15" l="1"/>
  <c r="F749" i="15"/>
  <c r="Q960" i="15"/>
  <c r="T961" i="15" s="1"/>
  <c r="J751" i="15"/>
  <c r="C751" i="15" s="1"/>
  <c r="G751" i="15" l="1"/>
  <c r="B751" i="15"/>
  <c r="L751" i="15"/>
  <c r="O752" i="15" s="1"/>
  <c r="M751" i="15"/>
  <c r="E749" i="15"/>
  <c r="F750" i="15"/>
  <c r="R961" i="15"/>
  <c r="T962" i="15" s="1"/>
  <c r="D751" i="15"/>
  <c r="Q961" i="15" l="1"/>
  <c r="Q962" i="15" s="1"/>
  <c r="J752" i="15"/>
  <c r="C752" i="15" s="1"/>
  <c r="E750" i="15"/>
  <c r="F751" i="15"/>
  <c r="B752" i="15" l="1"/>
  <c r="E751" i="15"/>
  <c r="M752" i="15"/>
  <c r="O753" i="15" s="1"/>
  <c r="R962" i="15"/>
  <c r="T963" i="15" s="1"/>
  <c r="L752" i="15"/>
  <c r="Q963" i="15" l="1"/>
  <c r="G752" i="15"/>
  <c r="D752" i="15"/>
  <c r="J753" i="15"/>
  <c r="C753" i="15" s="1"/>
  <c r="L753" i="15" l="1"/>
  <c r="F752" i="15"/>
  <c r="G753" i="15"/>
  <c r="B753" i="15"/>
  <c r="M753" i="15"/>
  <c r="O754" i="15" s="1"/>
  <c r="R963" i="15"/>
  <c r="T964" i="15" s="1"/>
  <c r="Q964" i="15" l="1"/>
  <c r="J754" i="15"/>
  <c r="C754" i="15" s="1"/>
  <c r="E752" i="15"/>
  <c r="D753" i="15"/>
  <c r="L754" i="15" l="1"/>
  <c r="B754" i="15"/>
  <c r="G754" i="15"/>
  <c r="M754" i="15"/>
  <c r="O755" i="15" s="1"/>
  <c r="F753" i="15"/>
  <c r="R964" i="15"/>
  <c r="T965" i="15" s="1"/>
  <c r="Q965" i="15" l="1"/>
  <c r="E753" i="15"/>
  <c r="D754" i="15"/>
  <c r="F754" i="15" s="1"/>
  <c r="E754" i="15" l="1"/>
  <c r="J755" i="15"/>
  <c r="C755" i="15" s="1"/>
  <c r="L755" i="15"/>
  <c r="M755" i="15"/>
  <c r="O756" i="15" s="1"/>
  <c r="R965" i="15"/>
  <c r="T966" i="15" s="1"/>
  <c r="Q966" i="15" l="1"/>
  <c r="J756" i="15"/>
  <c r="C756" i="15" s="1"/>
  <c r="B755" i="15"/>
  <c r="B756" i="15" l="1"/>
  <c r="G756" i="15"/>
  <c r="G755" i="15"/>
  <c r="D755" i="15"/>
  <c r="L756" i="15"/>
  <c r="O757" i="15" s="1"/>
  <c r="M756" i="15"/>
  <c r="R966" i="15"/>
  <c r="T967" i="15" s="1"/>
  <c r="J757" i="15" l="1"/>
  <c r="C757" i="15" s="1"/>
  <c r="D756" i="15"/>
  <c r="F755" i="15"/>
  <c r="Q967" i="15"/>
  <c r="T968" i="15" s="1"/>
  <c r="M757" i="15" l="1"/>
  <c r="Q968" i="15"/>
  <c r="T969" i="15" s="1"/>
  <c r="R967" i="15"/>
  <c r="E755" i="15"/>
  <c r="F756" i="15"/>
  <c r="G757" i="15"/>
  <c r="B757" i="15"/>
  <c r="L757" i="15"/>
  <c r="O758" i="15" s="1"/>
  <c r="R968" i="15" l="1"/>
  <c r="D757" i="15"/>
  <c r="F757" i="15" s="1"/>
  <c r="E756" i="15"/>
  <c r="Q969" i="15"/>
  <c r="T970" i="15" s="1"/>
  <c r="Q970" i="15" l="1"/>
  <c r="T971" i="15" s="1"/>
  <c r="J758" i="15"/>
  <c r="C758" i="15" s="1"/>
  <c r="M758" i="15"/>
  <c r="L758" i="15"/>
  <c r="O759" i="15" s="1"/>
  <c r="R969" i="15"/>
  <c r="R970" i="15" s="1"/>
  <c r="E757" i="15"/>
  <c r="R971" i="15" l="1"/>
  <c r="T972" i="15" s="1"/>
  <c r="J759" i="15"/>
  <c r="C759" i="15" s="1"/>
  <c r="B758" i="15"/>
  <c r="Q971" i="15" l="1"/>
  <c r="M759" i="15"/>
  <c r="R972" i="15"/>
  <c r="T973" i="15" s="1"/>
  <c r="G758" i="15"/>
  <c r="D758" i="15"/>
  <c r="G759" i="15"/>
  <c r="B759" i="15"/>
  <c r="L759" i="15"/>
  <c r="O760" i="15" s="1"/>
  <c r="Q972" i="15" l="1"/>
  <c r="R973" i="15"/>
  <c r="D759" i="15"/>
  <c r="F758" i="15"/>
  <c r="Q973" i="15" l="1"/>
  <c r="E758" i="15"/>
  <c r="F759" i="15"/>
  <c r="J760" i="15"/>
  <c r="C760" i="15" s="1"/>
  <c r="M760" i="15"/>
  <c r="O761" i="15" s="1"/>
  <c r="L760" i="15"/>
  <c r="T974" i="15" l="1"/>
  <c r="R974" i="15" s="1"/>
  <c r="J761" i="15"/>
  <c r="C761" i="15" s="1"/>
  <c r="B760" i="15"/>
  <c r="E759" i="15"/>
  <c r="Q974" i="15" l="1"/>
  <c r="T975" i="15"/>
  <c r="G760" i="15"/>
  <c r="D760" i="15"/>
  <c r="G761" i="15"/>
  <c r="B761" i="15"/>
  <c r="M761" i="15"/>
  <c r="O762" i="15" s="1"/>
  <c r="L761" i="15"/>
  <c r="Q975" i="15" l="1"/>
  <c r="T976" i="15" s="1"/>
  <c r="Q976" i="15" s="1"/>
  <c r="T977" i="15" s="1"/>
  <c r="R975" i="15"/>
  <c r="J762" i="15"/>
  <c r="C762" i="15" s="1"/>
  <c r="D761" i="15"/>
  <c r="F760" i="15"/>
  <c r="R976" i="15" l="1"/>
  <c r="R977" i="15" s="1"/>
  <c r="E760" i="15"/>
  <c r="F761" i="15"/>
  <c r="B762" i="15"/>
  <c r="G762" i="15"/>
  <c r="M762" i="15"/>
  <c r="L762" i="15"/>
  <c r="O763" i="15" s="1"/>
  <c r="E761" i="15" l="1"/>
  <c r="D762" i="15"/>
  <c r="J763" i="15"/>
  <c r="C763" i="15" s="1"/>
  <c r="Q977" i="15"/>
  <c r="T978" i="15" s="1"/>
  <c r="R978" i="15" l="1"/>
  <c r="L763" i="15"/>
  <c r="G763" i="15"/>
  <c r="B763" i="15"/>
  <c r="F762" i="15"/>
  <c r="M763" i="15"/>
  <c r="O764" i="15" s="1"/>
  <c r="Q978" i="15" l="1"/>
  <c r="E762" i="15"/>
  <c r="J764" i="15"/>
  <c r="C764" i="15" s="1"/>
  <c r="D763" i="15"/>
  <c r="T979" i="15" l="1"/>
  <c r="R979" i="15" s="1"/>
  <c r="F763" i="15"/>
  <c r="B764" i="15"/>
  <c r="G764" i="15"/>
  <c r="M764" i="15"/>
  <c r="O765" i="15" s="1"/>
  <c r="L764" i="15"/>
  <c r="T980" i="15" l="1"/>
  <c r="R980" i="15" s="1"/>
  <c r="Q979" i="15"/>
  <c r="E763" i="15"/>
  <c r="J765" i="15"/>
  <c r="C765" i="15" s="1"/>
  <c r="D764" i="15"/>
  <c r="F764" i="15" s="1"/>
  <c r="Q980" i="15" l="1"/>
  <c r="T981" i="15"/>
  <c r="R981" i="15" s="1"/>
  <c r="T982" i="15" s="1"/>
  <c r="E764" i="15"/>
  <c r="G765" i="15"/>
  <c r="B765" i="15"/>
  <c r="M765" i="15"/>
  <c r="O766" i="15" s="1"/>
  <c r="L765" i="15"/>
  <c r="Q981" i="15" l="1"/>
  <c r="Q982" i="15" s="1"/>
  <c r="R982" i="15"/>
  <c r="T983" i="15" s="1"/>
  <c r="D765" i="15"/>
  <c r="J766" i="15"/>
  <c r="C766" i="15" s="1"/>
  <c r="M766" i="15" l="1"/>
  <c r="O767" i="15" s="1"/>
  <c r="L766" i="15"/>
  <c r="B766" i="15"/>
  <c r="G766" i="15"/>
  <c r="F765" i="15"/>
  <c r="E765" i="15" l="1"/>
  <c r="D766" i="15"/>
  <c r="F766" i="15" s="1"/>
  <c r="J767" i="15"/>
  <c r="C767" i="15" s="1"/>
  <c r="E766" i="15" l="1"/>
  <c r="M767" i="15"/>
  <c r="L767" i="15"/>
  <c r="O768" i="15" s="1"/>
  <c r="G767" i="15"/>
  <c r="B767" i="15"/>
  <c r="D767" i="15"/>
  <c r="F767" i="15" l="1"/>
  <c r="J768" i="15"/>
  <c r="C768" i="15" s="1"/>
  <c r="B768" i="15" l="1"/>
  <c r="M768" i="15"/>
  <c r="L768" i="15"/>
  <c r="O769" i="15" s="1"/>
  <c r="E767" i="15"/>
  <c r="J769" i="15" l="1"/>
  <c r="C769" i="15" s="1"/>
  <c r="G768" i="15"/>
  <c r="D768" i="15"/>
  <c r="M769" i="15" l="1"/>
  <c r="F768" i="15"/>
  <c r="G769" i="15"/>
  <c r="B769" i="15"/>
  <c r="L769" i="15"/>
  <c r="O770" i="15" s="1"/>
  <c r="E768" i="15" l="1"/>
  <c r="D769" i="15"/>
  <c r="F769" i="15" l="1"/>
  <c r="J770" i="15"/>
  <c r="C770" i="15" s="1"/>
  <c r="M770" i="15"/>
  <c r="L770" i="15"/>
  <c r="O771" i="15" s="1"/>
  <c r="B770" i="15" l="1"/>
  <c r="J771" i="15"/>
  <c r="C771" i="15" s="1"/>
  <c r="E769" i="15"/>
  <c r="L771" i="15" l="1"/>
  <c r="O772" i="15" s="1"/>
  <c r="G771" i="15"/>
  <c r="B771" i="15"/>
  <c r="M771" i="15"/>
  <c r="G770" i="15"/>
  <c r="D770" i="15"/>
  <c r="D771" i="15" l="1"/>
  <c r="F770" i="15"/>
  <c r="J772" i="15"/>
  <c r="C772" i="15" s="1"/>
  <c r="E770" i="15" l="1"/>
  <c r="F771" i="15"/>
  <c r="B772" i="15"/>
  <c r="G772" i="15"/>
  <c r="L772" i="15"/>
  <c r="O773" i="15" s="1"/>
  <c r="D772" i="15"/>
  <c r="M772" i="15"/>
  <c r="J773" i="15" l="1"/>
  <c r="C773" i="15" s="1"/>
  <c r="E771" i="15"/>
  <c r="F772" i="15"/>
  <c r="E772" i="15" l="1"/>
  <c r="B773" i="15"/>
  <c r="L773" i="15"/>
  <c r="O774" i="15" s="1"/>
  <c r="M773" i="15"/>
  <c r="J774" i="15" l="1"/>
  <c r="C774" i="15" s="1"/>
  <c r="G773" i="15"/>
  <c r="D773" i="15"/>
  <c r="F773" i="15" l="1"/>
  <c r="B774" i="15"/>
  <c r="G774" i="15"/>
  <c r="L774" i="15"/>
  <c r="M774" i="15"/>
  <c r="O775" i="15" s="1"/>
  <c r="J775" i="15" l="1"/>
  <c r="C775" i="15" s="1"/>
  <c r="E773" i="15"/>
  <c r="D774" i="15"/>
  <c r="F774" i="15" s="1"/>
  <c r="E774" i="15" l="1"/>
  <c r="G775" i="15"/>
  <c r="B775" i="15"/>
  <c r="M775" i="15"/>
  <c r="O776" i="15" s="1"/>
  <c r="L775" i="15"/>
  <c r="D775" i="15" l="1"/>
  <c r="J776" i="15"/>
  <c r="C776" i="15" s="1"/>
  <c r="M776" i="15" l="1"/>
  <c r="O777" i="15" s="1"/>
  <c r="B776" i="15"/>
  <c r="G776" i="15"/>
  <c r="F775" i="15"/>
  <c r="L776" i="15"/>
  <c r="E775" i="15" l="1"/>
  <c r="D776" i="15"/>
  <c r="J777" i="15"/>
  <c r="C777" i="15" s="1"/>
  <c r="B777" i="15" l="1"/>
  <c r="G777" i="15"/>
  <c r="M777" i="15"/>
  <c r="D777" i="15"/>
  <c r="L777" i="15"/>
  <c r="O778" i="15" s="1"/>
  <c r="F776" i="15"/>
  <c r="E776" i="15" l="1"/>
  <c r="F777" i="15"/>
  <c r="J778" i="15"/>
  <c r="C778" i="15" s="1"/>
  <c r="B778" i="15" l="1"/>
  <c r="L778" i="15"/>
  <c r="O779" i="15" s="1"/>
  <c r="E777" i="15"/>
  <c r="M778" i="15"/>
  <c r="J779" i="15" l="1"/>
  <c r="C779" i="15" s="1"/>
  <c r="G778" i="15"/>
  <c r="D778" i="15"/>
  <c r="F778" i="15" l="1"/>
  <c r="B779" i="15"/>
  <c r="G779" i="15"/>
  <c r="L779" i="15"/>
  <c r="O780" i="15" s="1"/>
  <c r="M779" i="15"/>
  <c r="J780" i="15" l="1"/>
  <c r="C780" i="15" s="1"/>
  <c r="E778" i="15"/>
  <c r="D779" i="15"/>
  <c r="M780" i="15" l="1"/>
  <c r="F779" i="15"/>
  <c r="B780" i="15"/>
  <c r="G780" i="15"/>
  <c r="L780" i="15"/>
  <c r="O781" i="15" s="1"/>
  <c r="E779" i="15" l="1"/>
  <c r="D780" i="15"/>
  <c r="F780" i="15" l="1"/>
  <c r="J781" i="15"/>
  <c r="C781" i="15" s="1"/>
  <c r="M781" i="15"/>
  <c r="L781" i="15"/>
  <c r="O782" i="15" s="1"/>
  <c r="J782" i="15" l="1"/>
  <c r="C782" i="15" s="1"/>
  <c r="B781" i="15"/>
  <c r="E780" i="15"/>
  <c r="M782" i="15" l="1"/>
  <c r="O783" i="15" s="1"/>
  <c r="G781" i="15"/>
  <c r="D781" i="15"/>
  <c r="B782" i="15"/>
  <c r="G782" i="15"/>
  <c r="L782" i="15"/>
  <c r="J783" i="15" l="1"/>
  <c r="L783" i="15"/>
  <c r="M783" i="15"/>
  <c r="D782" i="15"/>
  <c r="F781" i="15"/>
  <c r="O784" i="15" l="1"/>
  <c r="J784" i="15" s="1"/>
  <c r="C783" i="15"/>
  <c r="G783" i="15" s="1"/>
  <c r="B783" i="15"/>
  <c r="E781" i="15"/>
  <c r="F782" i="15"/>
  <c r="D783" i="15" l="1"/>
  <c r="M784" i="15"/>
  <c r="C784" i="15"/>
  <c r="G784" i="15" s="1"/>
  <c r="B784" i="15"/>
  <c r="L784" i="15"/>
  <c r="O785" i="15" s="1"/>
  <c r="D784" i="15"/>
  <c r="E782" i="15"/>
  <c r="F783" i="15"/>
  <c r="E783" i="15" l="1"/>
  <c r="F784" i="15"/>
  <c r="J785" i="15"/>
  <c r="C785" i="15" s="1"/>
  <c r="M785" i="15"/>
  <c r="O786" i="15" s="1"/>
  <c r="L785" i="15"/>
  <c r="J786" i="15" l="1"/>
  <c r="C786" i="15" s="1"/>
  <c r="B785" i="15"/>
  <c r="E784" i="15"/>
  <c r="L786" i="15" l="1"/>
  <c r="O787" i="15" s="1"/>
  <c r="G785" i="15"/>
  <c r="D785" i="15"/>
  <c r="B786" i="15"/>
  <c r="G786" i="15"/>
  <c r="M786" i="15"/>
  <c r="J787" i="15" l="1"/>
  <c r="L787" i="15"/>
  <c r="O788" i="15" s="1"/>
  <c r="D786" i="15"/>
  <c r="F785" i="15"/>
  <c r="C787" i="15" l="1"/>
  <c r="G787" i="15" s="1"/>
  <c r="B787" i="15"/>
  <c r="M787" i="15"/>
  <c r="E785" i="15"/>
  <c r="F786" i="15"/>
  <c r="D787" i="15" l="1"/>
  <c r="F787" i="15" s="1"/>
  <c r="J788" i="15"/>
  <c r="C788" i="15" s="1"/>
  <c r="M788" i="15"/>
  <c r="L788" i="15"/>
  <c r="O789" i="15" s="1"/>
  <c r="E786" i="15"/>
  <c r="E787" i="15" l="1"/>
  <c r="J789" i="15"/>
  <c r="C789" i="15" s="1"/>
  <c r="B788" i="15"/>
  <c r="M789" i="15" l="1"/>
  <c r="L789" i="15"/>
  <c r="O790" i="15" s="1"/>
  <c r="G788" i="15"/>
  <c r="D788" i="15"/>
  <c r="B789" i="15"/>
  <c r="G789" i="15"/>
  <c r="D789" i="15" l="1"/>
  <c r="F788" i="15"/>
  <c r="L790" i="15"/>
  <c r="O791" i="15" s="1"/>
  <c r="J791" i="15" l="1"/>
  <c r="C791" i="15" s="1"/>
  <c r="J790" i="15"/>
  <c r="C790" i="15" s="1"/>
  <c r="M790" i="15"/>
  <c r="E788" i="15"/>
  <c r="F789" i="15"/>
  <c r="M791" i="15" l="1"/>
  <c r="E789" i="15"/>
  <c r="B790" i="15"/>
  <c r="B791" i="15"/>
  <c r="G791" i="15"/>
  <c r="L791" i="15"/>
  <c r="O792" i="15" s="1"/>
  <c r="G790" i="15" l="1"/>
  <c r="D790" i="15"/>
  <c r="D791" i="15" l="1"/>
  <c r="F790" i="15"/>
  <c r="J792" i="15"/>
  <c r="C792" i="15" s="1"/>
  <c r="M792" i="15"/>
  <c r="O793" i="15" s="1"/>
  <c r="L792" i="15"/>
  <c r="E790" i="15" l="1"/>
  <c r="F791" i="15"/>
  <c r="J793" i="15"/>
  <c r="C793" i="15" s="1"/>
  <c r="B792" i="15"/>
  <c r="G792" i="15"/>
  <c r="M793" i="15" l="1"/>
  <c r="O794" i="15" s="1"/>
  <c r="D792" i="15"/>
  <c r="B793" i="15"/>
  <c r="G793" i="15"/>
  <c r="L793" i="15"/>
  <c r="E791" i="15"/>
  <c r="F792" i="15"/>
  <c r="E792" i="15" l="1"/>
  <c r="D793" i="15"/>
  <c r="J794" i="15"/>
  <c r="C794" i="15" s="1"/>
  <c r="B794" i="15" l="1"/>
  <c r="G794" i="15"/>
  <c r="M794" i="15"/>
  <c r="O795" i="15" s="1"/>
  <c r="F793" i="15"/>
  <c r="L794" i="15"/>
  <c r="E793" i="15" l="1"/>
  <c r="J795" i="15"/>
  <c r="C795" i="15" s="1"/>
  <c r="D794" i="15"/>
  <c r="M795" i="15" l="1"/>
  <c r="O796" i="15" s="1"/>
  <c r="B795" i="15"/>
  <c r="G795" i="15"/>
  <c r="F794" i="15"/>
  <c r="L795" i="15"/>
  <c r="E794" i="15" l="1"/>
  <c r="J796" i="15"/>
  <c r="C796" i="15" s="1"/>
  <c r="D795" i="15"/>
  <c r="B796" i="15" l="1"/>
  <c r="G796" i="15"/>
  <c r="M796" i="15"/>
  <c r="O797" i="15" s="1"/>
  <c r="F795" i="15"/>
  <c r="L796" i="15"/>
  <c r="E795" i="15" l="1"/>
  <c r="J797" i="15"/>
  <c r="C797" i="15" s="1"/>
  <c r="D796" i="15"/>
  <c r="L797" i="15" l="1"/>
  <c r="B797" i="15"/>
  <c r="G797" i="15"/>
  <c r="M797" i="15"/>
  <c r="O798" i="15" s="1"/>
  <c r="F796" i="15"/>
  <c r="E796" i="15" l="1"/>
  <c r="D797" i="15"/>
  <c r="J798" i="15" l="1"/>
  <c r="C798" i="15" s="1"/>
  <c r="L798" i="15"/>
  <c r="M798" i="15"/>
  <c r="O799" i="15" s="1"/>
  <c r="F797" i="15"/>
  <c r="E797" i="15" l="1"/>
  <c r="J799" i="15"/>
  <c r="C799" i="15" s="1"/>
  <c r="B798" i="15"/>
  <c r="G798" i="15" l="1"/>
  <c r="D798" i="15"/>
  <c r="B799" i="15"/>
  <c r="G799" i="15"/>
  <c r="L799" i="15"/>
  <c r="O800" i="15" s="1"/>
  <c r="M799" i="15"/>
  <c r="J800" i="15" l="1"/>
  <c r="C800" i="15" s="1"/>
  <c r="D799" i="15"/>
  <c r="F798" i="15"/>
  <c r="E798" i="15" l="1"/>
  <c r="F799" i="15"/>
  <c r="B800" i="15"/>
  <c r="G800" i="15"/>
  <c r="L800" i="15"/>
  <c r="O801" i="15" s="1"/>
  <c r="M800" i="15"/>
  <c r="J801" i="15" l="1"/>
  <c r="C801" i="15" s="1"/>
  <c r="E799" i="15"/>
  <c r="D800" i="15"/>
  <c r="F800" i="15" l="1"/>
  <c r="B801" i="15"/>
  <c r="G801" i="15"/>
  <c r="L801" i="15"/>
  <c r="O802" i="15" s="1"/>
  <c r="M801" i="15"/>
  <c r="J802" i="15" l="1"/>
  <c r="C802" i="15" s="1"/>
  <c r="E800" i="15"/>
  <c r="D801" i="15"/>
  <c r="M802" i="15" l="1"/>
  <c r="F801" i="15"/>
  <c r="B802" i="15"/>
  <c r="G802" i="15"/>
  <c r="L802" i="15"/>
  <c r="O803" i="15" s="1"/>
  <c r="E801" i="15" l="1"/>
  <c r="D802" i="15"/>
  <c r="F802" i="15" s="1"/>
  <c r="E802" i="15" l="1"/>
  <c r="J803" i="15"/>
  <c r="C803" i="15" s="1"/>
  <c r="M803" i="15"/>
  <c r="L803" i="15"/>
  <c r="O804" i="15" s="1"/>
  <c r="J804" i="15" l="1"/>
  <c r="C804" i="15" s="1"/>
  <c r="B803" i="15"/>
  <c r="M804" i="15" l="1"/>
  <c r="G803" i="15"/>
  <c r="D803" i="15"/>
  <c r="B804" i="15"/>
  <c r="G804" i="15"/>
  <c r="L804" i="15"/>
  <c r="O805" i="15" s="1"/>
  <c r="D804" i="15" l="1"/>
  <c r="F803" i="15"/>
  <c r="E803" i="15" l="1"/>
  <c r="F804" i="15"/>
  <c r="J805" i="15"/>
  <c r="C805" i="15" s="1"/>
  <c r="M805" i="15"/>
  <c r="L805" i="15"/>
  <c r="O806" i="15" s="1"/>
  <c r="J806" i="15" l="1"/>
  <c r="C806" i="15" s="1"/>
  <c r="B805" i="15"/>
  <c r="E804" i="15"/>
  <c r="M806" i="15" l="1"/>
  <c r="O807" i="15" s="1"/>
  <c r="G805" i="15"/>
  <c r="D805" i="15"/>
  <c r="B806" i="15"/>
  <c r="G806" i="15"/>
  <c r="L806" i="15"/>
  <c r="J807" i="15" l="1"/>
  <c r="L807" i="15"/>
  <c r="M807" i="15"/>
  <c r="O808" i="15" s="1"/>
  <c r="D806" i="15"/>
  <c r="F805" i="15"/>
  <c r="C807" i="15" l="1"/>
  <c r="G807" i="15" s="1"/>
  <c r="B807" i="15"/>
  <c r="E805" i="15"/>
  <c r="F806" i="15"/>
  <c r="D807" i="15" l="1"/>
  <c r="J808" i="15"/>
  <c r="C808" i="15" s="1"/>
  <c r="L808" i="15"/>
  <c r="M808" i="15"/>
  <c r="O809" i="15" s="1"/>
  <c r="E806" i="15"/>
  <c r="F807" i="15"/>
  <c r="J809" i="15" l="1"/>
  <c r="C809" i="15" s="1"/>
  <c r="E807" i="15"/>
  <c r="B808" i="15"/>
  <c r="L809" i="15" l="1"/>
  <c r="O810" i="15" s="1"/>
  <c r="G808" i="15"/>
  <c r="D808" i="15"/>
  <c r="B809" i="15"/>
  <c r="G809" i="15"/>
  <c r="M809" i="15"/>
  <c r="J810" i="15" l="1"/>
  <c r="D809" i="15"/>
  <c r="F808" i="15"/>
  <c r="C810" i="15" l="1"/>
  <c r="G810" i="15" s="1"/>
  <c r="B810" i="15"/>
  <c r="L810" i="15"/>
  <c r="M810" i="15"/>
  <c r="E808" i="15"/>
  <c r="F809" i="15"/>
  <c r="D810" i="15" l="1"/>
  <c r="F810" i="15" s="1"/>
  <c r="O811" i="15"/>
  <c r="L811" i="15" s="1"/>
  <c r="O812" i="15" s="1"/>
  <c r="J812" i="15" s="1"/>
  <c r="C812" i="15" s="1"/>
  <c r="E809" i="15"/>
  <c r="M811" i="15" l="1"/>
  <c r="M812" i="15" s="1"/>
  <c r="J811" i="15"/>
  <c r="C811" i="15" s="1"/>
  <c r="E810" i="15"/>
  <c r="B812" i="15"/>
  <c r="G812" i="15"/>
  <c r="L812" i="15"/>
  <c r="O813" i="15" s="1"/>
  <c r="B811" i="15" l="1"/>
  <c r="G811" i="15"/>
  <c r="D811" i="15"/>
  <c r="D812" i="15" l="1"/>
  <c r="F811" i="15"/>
  <c r="J813" i="15"/>
  <c r="C813" i="15" s="1"/>
  <c r="M813" i="15"/>
  <c r="L813" i="15"/>
  <c r="O814" i="15" s="1"/>
  <c r="E811" i="15" l="1"/>
  <c r="F812" i="15"/>
  <c r="J814" i="15"/>
  <c r="C814" i="15" s="1"/>
  <c r="B813" i="15"/>
  <c r="G813" i="15"/>
  <c r="D813" i="15"/>
  <c r="M814" i="15" l="1"/>
  <c r="O815" i="15" s="1"/>
  <c r="L814" i="15"/>
  <c r="B814" i="15"/>
  <c r="G814" i="15"/>
  <c r="E812" i="15"/>
  <c r="F813" i="15"/>
  <c r="J815" i="15" l="1"/>
  <c r="L815" i="15"/>
  <c r="E813" i="15"/>
  <c r="M815" i="15"/>
  <c r="O816" i="15" s="1"/>
  <c r="D814" i="15"/>
  <c r="C815" i="15" l="1"/>
  <c r="G815" i="15" s="1"/>
  <c r="B815" i="15"/>
  <c r="F814" i="15"/>
  <c r="D815" i="15" l="1"/>
  <c r="F815" i="15" s="1"/>
  <c r="E814" i="15"/>
  <c r="J816" i="15"/>
  <c r="C816" i="15" s="1"/>
  <c r="L816" i="15"/>
  <c r="M816" i="15"/>
  <c r="O817" i="15" s="1"/>
  <c r="J817" i="15" l="1"/>
  <c r="C817" i="15" s="1"/>
  <c r="B816" i="15"/>
  <c r="E815" i="15"/>
  <c r="L817" i="15" l="1"/>
  <c r="O818" i="15" s="1"/>
  <c r="G816" i="15"/>
  <c r="D816" i="15"/>
  <c r="B817" i="15"/>
  <c r="G817" i="15"/>
  <c r="M817" i="15"/>
  <c r="J818" i="15" l="1"/>
  <c r="M818" i="15"/>
  <c r="O819" i="15" s="1"/>
  <c r="L818" i="15"/>
  <c r="D817" i="15"/>
  <c r="F816" i="15"/>
  <c r="C818" i="15" l="1"/>
  <c r="G818" i="15" s="1"/>
  <c r="B818" i="15"/>
  <c r="M819" i="15"/>
  <c r="O820" i="15" s="1"/>
  <c r="E816" i="15"/>
  <c r="F817" i="15"/>
  <c r="D818" i="15" l="1"/>
  <c r="L819" i="15"/>
  <c r="J819" i="15"/>
  <c r="J820" i="15"/>
  <c r="C820" i="15" s="1"/>
  <c r="E817" i="15"/>
  <c r="F818" i="15"/>
  <c r="C819" i="15" l="1"/>
  <c r="B819" i="15"/>
  <c r="L820" i="15"/>
  <c r="O821" i="15" s="1"/>
  <c r="E818" i="15"/>
  <c r="B820" i="15"/>
  <c r="G820" i="15"/>
  <c r="M820" i="15"/>
  <c r="J821" i="15" l="1"/>
  <c r="G819" i="15"/>
  <c r="D819" i="15"/>
  <c r="F819" i="15" s="1"/>
  <c r="E819" i="15" s="1"/>
  <c r="M821" i="15"/>
  <c r="C821" i="15" l="1"/>
  <c r="G821" i="15" s="1"/>
  <c r="B821" i="15"/>
  <c r="D820" i="15"/>
  <c r="D821" i="15" s="1"/>
  <c r="L821" i="15"/>
  <c r="O822" i="15" s="1"/>
  <c r="F820" i="15" l="1"/>
  <c r="E820" i="15" s="1"/>
  <c r="J822" i="15"/>
  <c r="C822" i="15" s="1"/>
  <c r="M822" i="15"/>
  <c r="L822" i="15"/>
  <c r="O823" i="15" s="1"/>
  <c r="F821" i="15" l="1"/>
  <c r="E821" i="15" s="1"/>
  <c r="J823" i="15"/>
  <c r="C823" i="15" s="1"/>
  <c r="B822" i="15"/>
  <c r="M823" i="15" l="1"/>
  <c r="G822" i="15"/>
  <c r="D822" i="15"/>
  <c r="B823" i="15"/>
  <c r="G823" i="15"/>
  <c r="L823" i="15"/>
  <c r="O824" i="15" s="1"/>
  <c r="D823" i="15" l="1"/>
  <c r="F822" i="15"/>
  <c r="L824" i="15"/>
  <c r="J824" i="15" l="1"/>
  <c r="C824" i="15" s="1"/>
  <c r="M824" i="15"/>
  <c r="O825" i="15" s="1"/>
  <c r="E822" i="15"/>
  <c r="F823" i="15"/>
  <c r="E823" i="15" l="1"/>
  <c r="B824" i="15"/>
  <c r="G824" i="15" l="1"/>
  <c r="D824" i="15"/>
  <c r="J825" i="15"/>
  <c r="C825" i="15" s="1"/>
  <c r="L825" i="15"/>
  <c r="M825" i="15"/>
  <c r="O826" i="15" s="1"/>
  <c r="F824" i="15" l="1"/>
  <c r="J826" i="15"/>
  <c r="C826" i="15" s="1"/>
  <c r="B825" i="15"/>
  <c r="G825" i="15"/>
  <c r="L826" i="15" l="1"/>
  <c r="M826" i="15"/>
  <c r="O827" i="15" s="1"/>
  <c r="B826" i="15"/>
  <c r="G826" i="15"/>
  <c r="E824" i="15"/>
  <c r="D825" i="15"/>
  <c r="D826" i="15" s="1"/>
  <c r="F825" i="15" l="1"/>
  <c r="J827" i="15" l="1"/>
  <c r="C827" i="15" s="1"/>
  <c r="L827" i="15"/>
  <c r="M827" i="15"/>
  <c r="O828" i="15" s="1"/>
  <c r="E825" i="15"/>
  <c r="F826" i="15"/>
  <c r="E826" i="15" l="1"/>
  <c r="J828" i="15"/>
  <c r="C828" i="15" s="1"/>
  <c r="B827" i="15"/>
  <c r="B828" i="15" l="1"/>
  <c r="G828" i="15"/>
  <c r="G827" i="15"/>
  <c r="D827" i="15"/>
  <c r="M828" i="15"/>
  <c r="L828" i="15"/>
  <c r="O829" i="15" s="1"/>
  <c r="D828" i="15" l="1"/>
  <c r="F827" i="15"/>
  <c r="J829" i="15"/>
  <c r="C829" i="15" s="1"/>
  <c r="M829" i="15" l="1"/>
  <c r="B829" i="15"/>
  <c r="G829" i="15"/>
  <c r="E827" i="15"/>
  <c r="F828" i="15"/>
  <c r="L829" i="15"/>
  <c r="O830" i="15" s="1"/>
  <c r="D829" i="15"/>
  <c r="E828" i="15" l="1"/>
  <c r="F829" i="15"/>
  <c r="J830" i="15"/>
  <c r="C830" i="15" s="1"/>
  <c r="M830" i="15" l="1"/>
  <c r="L830" i="15"/>
  <c r="O831" i="15" s="1"/>
  <c r="B830" i="15"/>
  <c r="E829" i="15"/>
  <c r="G830" i="15" l="1"/>
  <c r="D830" i="15"/>
  <c r="J831" i="15"/>
  <c r="C831" i="15" s="1"/>
  <c r="B831" i="15" l="1"/>
  <c r="G831" i="15"/>
  <c r="M831" i="15"/>
  <c r="O832" i="15" s="1"/>
  <c r="L831" i="15"/>
  <c r="D831" i="15"/>
  <c r="F830" i="15"/>
  <c r="E830" i="15" l="1"/>
  <c r="F831" i="15"/>
  <c r="J832" i="15"/>
  <c r="C832" i="15" s="1"/>
  <c r="B832" i="15" l="1"/>
  <c r="M832" i="15"/>
  <c r="O833" i="15" s="1"/>
  <c r="L832" i="15"/>
  <c r="E831" i="15"/>
  <c r="G832" i="15" l="1"/>
  <c r="D832" i="15"/>
  <c r="J833" i="15"/>
  <c r="C833" i="15" s="1"/>
  <c r="F832" i="15" l="1"/>
  <c r="B833" i="15"/>
  <c r="G833" i="15"/>
  <c r="M833" i="15"/>
  <c r="O834" i="15" s="1"/>
  <c r="L833" i="15"/>
  <c r="D833" i="15" l="1"/>
  <c r="F833" i="15" s="1"/>
  <c r="J834" i="15"/>
  <c r="C834" i="15" s="1"/>
  <c r="E832" i="15"/>
  <c r="L834" i="15" l="1"/>
  <c r="E833" i="15"/>
  <c r="B834" i="15"/>
  <c r="M834" i="15"/>
  <c r="O835" i="15" s="1"/>
  <c r="G834" i="15" l="1"/>
  <c r="D834" i="15"/>
  <c r="F834" i="15" l="1"/>
  <c r="J835" i="15"/>
  <c r="C835" i="15" s="1"/>
  <c r="L835" i="15"/>
  <c r="M835" i="15"/>
  <c r="O836" i="15" s="1"/>
  <c r="J836" i="15" l="1"/>
  <c r="C836" i="15" s="1"/>
  <c r="B835" i="15"/>
  <c r="E834" i="15"/>
  <c r="L836" i="15" l="1"/>
  <c r="O837" i="15" s="1"/>
  <c r="G835" i="15"/>
  <c r="D835" i="15"/>
  <c r="B836" i="15"/>
  <c r="G836" i="15"/>
  <c r="M836" i="15"/>
  <c r="J837" i="15" l="1"/>
  <c r="L837" i="15"/>
  <c r="D836" i="15"/>
  <c r="F835" i="15"/>
  <c r="C837" i="15" l="1"/>
  <c r="G837" i="15" s="1"/>
  <c r="B837" i="15"/>
  <c r="M837" i="15"/>
  <c r="E835" i="15"/>
  <c r="F836" i="15"/>
  <c r="D837" i="15" l="1"/>
  <c r="F837" i="15" s="1"/>
  <c r="O838" i="15"/>
  <c r="J838" i="15" s="1"/>
  <c r="E836" i="15"/>
  <c r="M838" i="15" l="1"/>
  <c r="L838" i="15"/>
  <c r="O839" i="15" s="1"/>
  <c r="C838" i="15"/>
  <c r="B838" i="15"/>
  <c r="E837" i="15"/>
  <c r="G838" i="15" l="1"/>
  <c r="D838" i="15"/>
  <c r="F838" i="15" s="1"/>
  <c r="E838" i="15" s="1"/>
  <c r="L839" i="15"/>
  <c r="O840" i="15" s="1"/>
  <c r="M839" i="15"/>
  <c r="J839" i="15"/>
  <c r="M840" i="15" l="1"/>
  <c r="O841" i="15" s="1"/>
  <c r="J841" i="15" s="1"/>
  <c r="C841" i="15" s="1"/>
  <c r="J840" i="15"/>
  <c r="C840" i="15" s="1"/>
  <c r="L840" i="15"/>
  <c r="C839" i="15"/>
  <c r="B839" i="15"/>
  <c r="B840" i="15"/>
  <c r="G839" i="15" l="1"/>
  <c r="D839" i="15"/>
  <c r="F839" i="15" s="1"/>
  <c r="E839" i="15" s="1"/>
  <c r="L841" i="15"/>
  <c r="B841" i="15"/>
  <c r="G841" i="15"/>
  <c r="M841" i="15"/>
  <c r="O842" i="15" s="1"/>
  <c r="G840" i="15"/>
  <c r="D840" i="15"/>
  <c r="J842" i="15" l="1"/>
  <c r="C842" i="15" s="1"/>
  <c r="D841" i="15"/>
  <c r="F840" i="15"/>
  <c r="L842" i="15" l="1"/>
  <c r="O843" i="15" s="1"/>
  <c r="E840" i="15"/>
  <c r="F841" i="15"/>
  <c r="B842" i="15"/>
  <c r="G842" i="15"/>
  <c r="M842" i="15"/>
  <c r="J843" i="15" l="1"/>
  <c r="E841" i="15"/>
  <c r="L843" i="15"/>
  <c r="O844" i="15" s="1"/>
  <c r="D842" i="15"/>
  <c r="C843" i="15" l="1"/>
  <c r="G843" i="15" s="1"/>
  <c r="B843" i="15"/>
  <c r="M843" i="15"/>
  <c r="F842" i="15"/>
  <c r="D843" i="15" l="1"/>
  <c r="F843" i="15" s="1"/>
  <c r="E842" i="15"/>
  <c r="J844" i="15"/>
  <c r="C844" i="15" s="1"/>
  <c r="M844" i="15"/>
  <c r="O845" i="15" s="1"/>
  <c r="L844" i="15"/>
  <c r="B844" i="15" l="1"/>
  <c r="J845" i="15"/>
  <c r="C845" i="15" s="1"/>
  <c r="E843" i="15"/>
  <c r="M845" i="15" l="1"/>
  <c r="O846" i="15" s="1"/>
  <c r="G844" i="15"/>
  <c r="D844" i="15"/>
  <c r="B845" i="15"/>
  <c r="G845" i="15"/>
  <c r="L845" i="15"/>
  <c r="J846" i="15" l="1"/>
  <c r="L846" i="15"/>
  <c r="O847" i="15" s="1"/>
  <c r="D845" i="15"/>
  <c r="F844" i="15"/>
  <c r="M846" i="15"/>
  <c r="C846" i="15" l="1"/>
  <c r="G846" i="15" s="1"/>
  <c r="B846" i="15"/>
  <c r="J847" i="15"/>
  <c r="L847" i="15"/>
  <c r="O848" i="15" s="1"/>
  <c r="E844" i="15"/>
  <c r="F845" i="15"/>
  <c r="D846" i="15" l="1"/>
  <c r="C847" i="15"/>
  <c r="G847" i="15" s="1"/>
  <c r="B847" i="15"/>
  <c r="M847" i="15"/>
  <c r="E845" i="15"/>
  <c r="F846" i="15"/>
  <c r="D847" i="15" l="1"/>
  <c r="F847" i="15" s="1"/>
  <c r="E846" i="15"/>
  <c r="J848" i="15"/>
  <c r="C848" i="15" s="1"/>
  <c r="M848" i="15"/>
  <c r="O849" i="15" s="1"/>
  <c r="L848" i="15"/>
  <c r="B848" i="15" l="1"/>
  <c r="J849" i="15"/>
  <c r="C849" i="15" s="1"/>
  <c r="E847" i="15"/>
  <c r="B849" i="15" l="1"/>
  <c r="G849" i="15"/>
  <c r="G848" i="15"/>
  <c r="D848" i="15"/>
  <c r="M849" i="15"/>
  <c r="O850" i="15" s="1"/>
  <c r="L849" i="15"/>
  <c r="D849" i="15" l="1"/>
  <c r="F848" i="15"/>
  <c r="J850" i="15"/>
  <c r="C850" i="15" s="1"/>
  <c r="B850" i="15" l="1"/>
  <c r="G850" i="15"/>
  <c r="L850" i="15"/>
  <c r="M850" i="15"/>
  <c r="O851" i="15" s="1"/>
  <c r="E848" i="15"/>
  <c r="F849" i="15"/>
  <c r="D850" i="15"/>
  <c r="J851" i="15" l="1"/>
  <c r="C851" i="15" s="1"/>
  <c r="E849" i="15"/>
  <c r="F850" i="15"/>
  <c r="L851" i="15" l="1"/>
  <c r="O852" i="15" s="1"/>
  <c r="E850" i="15"/>
  <c r="B851" i="15"/>
  <c r="M851" i="15"/>
  <c r="J852" i="15" l="1"/>
  <c r="L852" i="15"/>
  <c r="G851" i="15"/>
  <c r="D851" i="15"/>
  <c r="O853" i="15" l="1"/>
  <c r="J853" i="15" s="1"/>
  <c r="C852" i="15"/>
  <c r="G852" i="15" s="1"/>
  <c r="B852" i="15"/>
  <c r="M852" i="15"/>
  <c r="F851" i="15"/>
  <c r="L853" i="15" l="1"/>
  <c r="O854" i="15" s="1"/>
  <c r="M853" i="15"/>
  <c r="C853" i="15"/>
  <c r="G853" i="15" s="1"/>
  <c r="B853" i="15"/>
  <c r="D852" i="15"/>
  <c r="D853" i="15" s="1"/>
  <c r="J854" i="15"/>
  <c r="E851" i="15"/>
  <c r="L854" i="15"/>
  <c r="O855" i="15" s="1"/>
  <c r="F852" i="15" l="1"/>
  <c r="E852" i="15" s="1"/>
  <c r="C854" i="15"/>
  <c r="G854" i="15" s="1"/>
  <c r="B854" i="15"/>
  <c r="M854" i="15"/>
  <c r="L855" i="15"/>
  <c r="D854" i="15"/>
  <c r="F853" i="15" l="1"/>
  <c r="J855" i="15"/>
  <c r="C855" i="15" s="1"/>
  <c r="M855" i="15"/>
  <c r="O856" i="15" s="1"/>
  <c r="E853" i="15"/>
  <c r="F854" i="15"/>
  <c r="E854" i="15" l="1"/>
  <c r="B855" i="15"/>
  <c r="G855" i="15" l="1"/>
  <c r="D855" i="15"/>
  <c r="J856" i="15"/>
  <c r="C856" i="15" s="1"/>
  <c r="L856" i="15"/>
  <c r="M856" i="15"/>
  <c r="O857" i="15" s="1"/>
  <c r="J857" i="15" l="1"/>
  <c r="C857" i="15" s="1"/>
  <c r="B856" i="15"/>
  <c r="G856" i="15"/>
  <c r="F855" i="15"/>
  <c r="L857" i="15" l="1"/>
  <c r="O858" i="15" s="1"/>
  <c r="J858" i="15" s="1"/>
  <c r="C858" i="15" s="1"/>
  <c r="D856" i="15"/>
  <c r="F856" i="15" s="1"/>
  <c r="E855" i="15"/>
  <c r="B857" i="15"/>
  <c r="G857" i="15"/>
  <c r="M857" i="15"/>
  <c r="M858" i="15" l="1"/>
  <c r="L858" i="15"/>
  <c r="O859" i="15" s="1"/>
  <c r="B858" i="15"/>
  <c r="G858" i="15"/>
  <c r="E856" i="15"/>
  <c r="D857" i="15"/>
  <c r="D858" i="15" s="1"/>
  <c r="F857" i="15" l="1"/>
  <c r="L859" i="15"/>
  <c r="J859" i="15" l="1"/>
  <c r="C859" i="15" s="1"/>
  <c r="M859" i="15"/>
  <c r="O860" i="15" s="1"/>
  <c r="E857" i="15"/>
  <c r="F858" i="15"/>
  <c r="E858" i="15" l="1"/>
  <c r="B859" i="15"/>
  <c r="G859" i="15" l="1"/>
  <c r="D859" i="15"/>
  <c r="J860" i="15"/>
  <c r="C860" i="15" s="1"/>
  <c r="L860" i="15"/>
  <c r="M860" i="15"/>
  <c r="O861" i="15" s="1"/>
  <c r="J861" i="15" l="1"/>
  <c r="C861" i="15" s="1"/>
  <c r="B860" i="15"/>
  <c r="G860" i="15"/>
  <c r="D860" i="15"/>
  <c r="F859" i="15"/>
  <c r="L861" i="15" l="1"/>
  <c r="E859" i="15"/>
  <c r="F860" i="15"/>
  <c r="B861" i="15"/>
  <c r="G861" i="15"/>
  <c r="M861" i="15"/>
  <c r="O862" i="15" s="1"/>
  <c r="E860" i="15" l="1"/>
  <c r="D861" i="15"/>
  <c r="F861" i="15" l="1"/>
  <c r="J862" i="15"/>
  <c r="C862" i="15" s="1"/>
  <c r="L862" i="15"/>
  <c r="M862" i="15"/>
  <c r="O863" i="15" s="1"/>
  <c r="J863" i="15" l="1"/>
  <c r="C863" i="15" s="1"/>
  <c r="B862" i="15"/>
  <c r="E861" i="15"/>
  <c r="L863" i="15" l="1"/>
  <c r="G862" i="15"/>
  <c r="D862" i="15"/>
  <c r="B863" i="15"/>
  <c r="G863" i="15"/>
  <c r="M863" i="15"/>
  <c r="O864" i="15" s="1"/>
  <c r="D863" i="15" l="1"/>
  <c r="F862" i="15"/>
  <c r="E862" i="15" l="1"/>
  <c r="F863" i="15"/>
  <c r="J864" i="15"/>
  <c r="C864" i="15" s="1"/>
  <c r="L864" i="15"/>
  <c r="O865" i="15" s="1"/>
  <c r="M864" i="15"/>
  <c r="B864" i="15" l="1"/>
  <c r="J865" i="15"/>
  <c r="C865" i="15" s="1"/>
  <c r="E863" i="15"/>
  <c r="B865" i="15" l="1"/>
  <c r="G865" i="15"/>
  <c r="M865" i="15"/>
  <c r="L865" i="15"/>
  <c r="O866" i="15" s="1"/>
  <c r="G864" i="15"/>
  <c r="D864" i="15"/>
  <c r="J866" i="15" l="1"/>
  <c r="C866" i="15" s="1"/>
  <c r="D865" i="15"/>
  <c r="F864" i="15"/>
  <c r="M866" i="15" l="1"/>
  <c r="L866" i="15"/>
  <c r="O867" i="15" s="1"/>
  <c r="E864" i="15"/>
  <c r="F865" i="15"/>
  <c r="B866" i="15"/>
  <c r="G866" i="15"/>
  <c r="J867" i="15" l="1"/>
  <c r="E865" i="15"/>
  <c r="L867" i="15"/>
  <c r="O868" i="15" s="1"/>
  <c r="D866" i="15"/>
  <c r="M867" i="15"/>
  <c r="C867" i="15" l="1"/>
  <c r="G867" i="15" s="1"/>
  <c r="B867" i="15"/>
  <c r="J868" i="15"/>
  <c r="C868" i="15" s="1"/>
  <c r="F866" i="15"/>
  <c r="D867" i="15" l="1"/>
  <c r="E866" i="15"/>
  <c r="F867" i="15"/>
  <c r="B868" i="15"/>
  <c r="L868" i="15"/>
  <c r="O869" i="15" s="1"/>
  <c r="M868" i="15"/>
  <c r="J869" i="15" l="1"/>
  <c r="C869" i="15" s="1"/>
  <c r="G868" i="15"/>
  <c r="D868" i="15"/>
  <c r="E867" i="15"/>
  <c r="M869" i="15" l="1"/>
  <c r="F868" i="15"/>
  <c r="B869" i="15"/>
  <c r="G869" i="15"/>
  <c r="L869" i="15"/>
  <c r="O870" i="15" s="1"/>
  <c r="E868" i="15" l="1"/>
  <c r="D869" i="15"/>
  <c r="F869" i="15" l="1"/>
  <c r="J870" i="15"/>
  <c r="C870" i="15" s="1"/>
  <c r="M870" i="15"/>
  <c r="O871" i="15" s="1"/>
  <c r="L870" i="15"/>
  <c r="J871" i="15" l="1"/>
  <c r="C871" i="15" s="1"/>
  <c r="B870" i="15"/>
  <c r="E869" i="15"/>
  <c r="G870" i="15" l="1"/>
  <c r="D870" i="15"/>
  <c r="B871" i="15"/>
  <c r="G871" i="15"/>
  <c r="M871" i="15"/>
  <c r="O872" i="15" s="1"/>
  <c r="L871" i="15"/>
  <c r="J872" i="15" l="1"/>
  <c r="C872" i="15" s="1"/>
  <c r="D871" i="15"/>
  <c r="F870" i="15"/>
  <c r="E870" i="15" l="1"/>
  <c r="F871" i="15"/>
  <c r="B872" i="15"/>
  <c r="G872" i="15"/>
  <c r="M872" i="15"/>
  <c r="O873" i="15" s="1"/>
  <c r="L872" i="15"/>
  <c r="J873" i="15" l="1"/>
  <c r="C873" i="15" s="1"/>
  <c r="E871" i="15"/>
  <c r="D872" i="15"/>
  <c r="L873" i="15" l="1"/>
  <c r="F872" i="15"/>
  <c r="B873" i="15"/>
  <c r="G873" i="15"/>
  <c r="M873" i="15"/>
  <c r="O874" i="15" s="1"/>
  <c r="D873" i="15" l="1"/>
  <c r="F873" i="15" s="1"/>
  <c r="E872" i="15"/>
  <c r="E873" i="15" l="1"/>
  <c r="J874" i="15"/>
  <c r="C874" i="15" s="1"/>
  <c r="L874" i="15"/>
  <c r="M874" i="15"/>
  <c r="O875" i="15" s="1"/>
  <c r="J875" i="15" l="1"/>
  <c r="C875" i="15" s="1"/>
  <c r="B874" i="15"/>
  <c r="L875" i="15" l="1"/>
  <c r="O876" i="15" s="1"/>
  <c r="G874" i="15"/>
  <c r="D874" i="15"/>
  <c r="B875" i="15"/>
  <c r="G875" i="15"/>
  <c r="M875" i="15"/>
  <c r="J876" i="15" l="1"/>
  <c r="D875" i="15"/>
  <c r="F874" i="15"/>
  <c r="L876" i="15"/>
  <c r="O877" i="15" s="1"/>
  <c r="C876" i="15" l="1"/>
  <c r="G876" i="15" s="1"/>
  <c r="B876" i="15"/>
  <c r="M876" i="15"/>
  <c r="E874" i="15"/>
  <c r="F875" i="15"/>
  <c r="D876" i="15" l="1"/>
  <c r="F876" i="15" s="1"/>
  <c r="J877" i="15"/>
  <c r="C877" i="15" s="1"/>
  <c r="M877" i="15"/>
  <c r="O878" i="15" s="1"/>
  <c r="E875" i="15"/>
  <c r="L877" i="15"/>
  <c r="J878" i="15" l="1"/>
  <c r="C878" i="15" s="1"/>
  <c r="E876" i="15"/>
  <c r="B877" i="15"/>
  <c r="G877" i="15" l="1"/>
  <c r="D877" i="15"/>
  <c r="M878" i="15"/>
  <c r="O879" i="15" s="1"/>
  <c r="B878" i="15"/>
  <c r="G878" i="15"/>
  <c r="L878" i="15"/>
  <c r="D878" i="15" l="1"/>
  <c r="F877" i="15"/>
  <c r="J879" i="15"/>
  <c r="C879" i="15" s="1"/>
  <c r="E877" i="15" l="1"/>
  <c r="F878" i="15"/>
  <c r="B879" i="15"/>
  <c r="G879" i="15"/>
  <c r="M879" i="15"/>
  <c r="L879" i="15"/>
  <c r="O880" i="15" s="1"/>
  <c r="D879" i="15" l="1"/>
  <c r="F879" i="15" s="1"/>
  <c r="J880" i="15"/>
  <c r="C880" i="15" s="1"/>
  <c r="E878" i="15"/>
  <c r="M880" i="15" l="1"/>
  <c r="E879" i="15"/>
  <c r="B880" i="15"/>
  <c r="L880" i="15"/>
  <c r="O881" i="15" s="1"/>
  <c r="G880" i="15" l="1"/>
  <c r="D880" i="15"/>
  <c r="J881" i="15" l="1"/>
  <c r="C881" i="15" s="1"/>
  <c r="M881" i="15"/>
  <c r="F880" i="15"/>
  <c r="L881" i="15"/>
  <c r="O882" i="15" s="1"/>
  <c r="J882" i="15" l="1"/>
  <c r="C882" i="15" s="1"/>
  <c r="E880" i="15"/>
  <c r="B881" i="15"/>
  <c r="M882" i="15" l="1"/>
  <c r="G881" i="15"/>
  <c r="D881" i="15"/>
  <c r="B882" i="15"/>
  <c r="G882" i="15"/>
  <c r="L882" i="15"/>
  <c r="O883" i="15" s="1"/>
  <c r="J883" i="15" l="1"/>
  <c r="C883" i="15" s="1"/>
  <c r="D882" i="15"/>
  <c r="F881" i="15"/>
  <c r="M883" i="15" l="1"/>
  <c r="E881" i="15"/>
  <c r="F882" i="15"/>
  <c r="B883" i="15"/>
  <c r="G883" i="15"/>
  <c r="L883" i="15"/>
  <c r="O884" i="15" s="1"/>
  <c r="E882" i="15" l="1"/>
  <c r="D883" i="15"/>
  <c r="F883" i="15" l="1"/>
  <c r="J884" i="15"/>
  <c r="C884" i="15" s="1"/>
  <c r="M884" i="15"/>
  <c r="O885" i="15" s="1"/>
  <c r="L884" i="15"/>
  <c r="B884" i="15" l="1"/>
  <c r="J885" i="15"/>
  <c r="C885" i="15" s="1"/>
  <c r="E883" i="15"/>
  <c r="M885" i="15" l="1"/>
  <c r="O886" i="15" s="1"/>
  <c r="B885" i="15"/>
  <c r="G885" i="15"/>
  <c r="G884" i="15"/>
  <c r="D884" i="15"/>
  <c r="L885" i="15"/>
  <c r="D885" i="15" l="1"/>
  <c r="F884" i="15"/>
  <c r="J886" i="15"/>
  <c r="C886" i="15" s="1"/>
  <c r="B886" i="15" l="1"/>
  <c r="G886" i="15"/>
  <c r="M886" i="15"/>
  <c r="O887" i="15" s="1"/>
  <c r="L886" i="15"/>
  <c r="E884" i="15"/>
  <c r="F885" i="15"/>
  <c r="D886" i="15"/>
  <c r="E885" i="15" l="1"/>
  <c r="F886" i="15"/>
  <c r="J887" i="15"/>
  <c r="C887" i="15" s="1"/>
  <c r="B887" i="15" l="1"/>
  <c r="M887" i="15"/>
  <c r="O888" i="15" s="1"/>
  <c r="L887" i="15"/>
  <c r="E886" i="15"/>
  <c r="J888" i="15" l="1"/>
  <c r="C888" i="15" s="1"/>
  <c r="G887" i="15"/>
  <c r="D887" i="15"/>
  <c r="L888" i="15"/>
  <c r="O889" i="15" s="1"/>
  <c r="M888" i="15" l="1"/>
  <c r="J889" i="15"/>
  <c r="C889" i="15" s="1"/>
  <c r="F887" i="15"/>
  <c r="B888" i="15"/>
  <c r="G888" i="15"/>
  <c r="M889" i="15" l="1"/>
  <c r="D888" i="15"/>
  <c r="F888" i="15" s="1"/>
  <c r="E887" i="15"/>
  <c r="B889" i="15"/>
  <c r="G889" i="15"/>
  <c r="L889" i="15"/>
  <c r="O890" i="15" s="1"/>
  <c r="E888" i="15" l="1"/>
  <c r="D889" i="15"/>
  <c r="F889" i="15" l="1"/>
  <c r="J890" i="15"/>
  <c r="C890" i="15" s="1"/>
  <c r="M890" i="15"/>
  <c r="O891" i="15" s="1"/>
  <c r="L890" i="15"/>
  <c r="J891" i="15" l="1"/>
  <c r="C891" i="15" s="1"/>
  <c r="B890" i="15"/>
  <c r="E889" i="15"/>
  <c r="L891" i="15" l="1"/>
  <c r="G890" i="15"/>
  <c r="D890" i="15"/>
  <c r="B891" i="15"/>
  <c r="G891" i="15"/>
  <c r="M891" i="15"/>
  <c r="O892" i="15" s="1"/>
  <c r="D891" i="15" l="1"/>
  <c r="F890" i="15"/>
  <c r="E890" i="15" l="1"/>
  <c r="F891" i="15"/>
  <c r="J892" i="15"/>
  <c r="C892" i="15" s="1"/>
  <c r="L892" i="15"/>
  <c r="O893" i="15" s="1"/>
  <c r="M892" i="15"/>
  <c r="E891" i="15" l="1"/>
  <c r="J893" i="15"/>
  <c r="C893" i="15" s="1"/>
  <c r="B892" i="15"/>
  <c r="G892" i="15" l="1"/>
  <c r="D892" i="15"/>
  <c r="B893" i="15"/>
  <c r="G893" i="15"/>
  <c r="L893" i="15"/>
  <c r="M893" i="15"/>
  <c r="O894" i="15" s="1"/>
  <c r="J894" i="15" l="1"/>
  <c r="C894" i="15" s="1"/>
  <c r="D893" i="15"/>
  <c r="F892" i="15"/>
  <c r="B894" i="15" l="1"/>
  <c r="G894" i="15"/>
  <c r="M894" i="15"/>
  <c r="O895" i="15" s="1"/>
  <c r="E892" i="15"/>
  <c r="F893" i="15"/>
  <c r="L894" i="15"/>
  <c r="E893" i="15" l="1"/>
  <c r="J895" i="15"/>
  <c r="C895" i="15" s="1"/>
  <c r="D894" i="15"/>
  <c r="L895" i="15" l="1"/>
  <c r="M895" i="15"/>
  <c r="O896" i="15" s="1"/>
  <c r="B895" i="15"/>
  <c r="G895" i="15"/>
  <c r="F894" i="15"/>
  <c r="E894" i="15" l="1"/>
  <c r="D895" i="15"/>
  <c r="J896" i="15"/>
  <c r="C896" i="15" s="1"/>
  <c r="B896" i="15" l="1"/>
  <c r="G896" i="15"/>
  <c r="L896" i="15"/>
  <c r="O897" i="15" s="1"/>
  <c r="M896" i="15"/>
  <c r="F895" i="15"/>
  <c r="E895" i="15" l="1"/>
  <c r="J897" i="15"/>
  <c r="C897" i="15" s="1"/>
  <c r="D896" i="15"/>
  <c r="B897" i="15" l="1"/>
  <c r="G897" i="15"/>
  <c r="L897" i="15"/>
  <c r="O898" i="15" s="1"/>
  <c r="D897" i="15"/>
  <c r="M897" i="15"/>
  <c r="F896" i="15"/>
  <c r="E896" i="15" l="1"/>
  <c r="F897" i="15"/>
  <c r="J898" i="15"/>
  <c r="C898" i="15" s="1"/>
  <c r="B898" i="15" l="1"/>
  <c r="M898" i="15"/>
  <c r="L898" i="15"/>
  <c r="O899" i="15" s="1"/>
  <c r="E897" i="15"/>
  <c r="J899" i="15" l="1"/>
  <c r="C899" i="15" s="1"/>
  <c r="G898" i="15"/>
  <c r="D898" i="15"/>
  <c r="F898" i="15" l="1"/>
  <c r="M899" i="15"/>
  <c r="B899" i="15"/>
  <c r="G899" i="15"/>
  <c r="L899" i="15"/>
  <c r="O900" i="15" s="1"/>
  <c r="J900" i="15" l="1"/>
  <c r="C900" i="15" s="1"/>
  <c r="E898" i="15"/>
  <c r="D899" i="15"/>
  <c r="F899" i="15" s="1"/>
  <c r="M900" i="15" l="1"/>
  <c r="O901" i="15" s="1"/>
  <c r="E899" i="15"/>
  <c r="B900" i="15"/>
  <c r="G900" i="15"/>
  <c r="L900" i="15"/>
  <c r="J901" i="15" l="1"/>
  <c r="D900" i="15"/>
  <c r="C901" i="15" l="1"/>
  <c r="G901" i="15" s="1"/>
  <c r="B901" i="15"/>
  <c r="L901" i="15"/>
  <c r="M901" i="15"/>
  <c r="F900" i="15"/>
  <c r="D901" i="15" l="1"/>
  <c r="F901" i="15" s="1"/>
  <c r="O902" i="15"/>
  <c r="M902" i="15" s="1"/>
  <c r="O903" i="15" s="1"/>
  <c r="J903" i="15" s="1"/>
  <c r="C903" i="15" s="1"/>
  <c r="E900" i="15"/>
  <c r="L902" i="15" l="1"/>
  <c r="L903" i="15" s="1"/>
  <c r="J902" i="15"/>
  <c r="C902" i="15" s="1"/>
  <c r="E901" i="15"/>
  <c r="B903" i="15"/>
  <c r="G903" i="15"/>
  <c r="M903" i="15"/>
  <c r="O904" i="15" s="1"/>
  <c r="B902" i="15" l="1"/>
  <c r="G902" i="15"/>
  <c r="D902" i="15"/>
  <c r="D903" i="15" l="1"/>
  <c r="F902" i="15"/>
  <c r="J904" i="15"/>
  <c r="C904" i="15" s="1"/>
  <c r="L904" i="15"/>
  <c r="M904" i="15"/>
  <c r="O905" i="15" s="1"/>
  <c r="B904" i="15" l="1"/>
  <c r="G904" i="15"/>
  <c r="J905" i="15"/>
  <c r="C905" i="15" s="1"/>
  <c r="E902" i="15"/>
  <c r="F903" i="15"/>
  <c r="D904" i="15"/>
  <c r="L905" i="15" l="1"/>
  <c r="B905" i="15"/>
  <c r="G905" i="15"/>
  <c r="M905" i="15"/>
  <c r="O906" i="15" s="1"/>
  <c r="E903" i="15"/>
  <c r="F904" i="15"/>
  <c r="E904" i="15" l="1"/>
  <c r="D905" i="15"/>
  <c r="F905" i="15" l="1"/>
  <c r="J906" i="15"/>
  <c r="C906" i="15" s="1"/>
  <c r="L906" i="15"/>
  <c r="M906" i="15"/>
  <c r="O907" i="15" s="1"/>
  <c r="J907" i="15" l="1"/>
  <c r="C907" i="15" s="1"/>
  <c r="B906" i="15"/>
  <c r="E905" i="15"/>
  <c r="G906" i="15" l="1"/>
  <c r="D906" i="15"/>
  <c r="B907" i="15"/>
  <c r="G907" i="15"/>
  <c r="M907" i="15"/>
  <c r="L907" i="15"/>
  <c r="O908" i="15" s="1"/>
  <c r="J908" i="15" l="1"/>
  <c r="C908" i="15" s="1"/>
  <c r="D907" i="15"/>
  <c r="F906" i="15"/>
  <c r="M908" i="15" l="1"/>
  <c r="E906" i="15"/>
  <c r="F907" i="15"/>
  <c r="B908" i="15"/>
  <c r="G908" i="15"/>
  <c r="L908" i="15"/>
  <c r="O909" i="15" s="1"/>
  <c r="E907" i="15" l="1"/>
  <c r="D908" i="15"/>
  <c r="F908" i="15" s="1"/>
  <c r="J909" i="15" l="1"/>
  <c r="C909" i="15" s="1"/>
  <c r="M909" i="15"/>
  <c r="E908" i="15"/>
  <c r="L909" i="15"/>
  <c r="O910" i="15" s="1"/>
  <c r="J910" i="15" l="1"/>
  <c r="C910" i="15" s="1"/>
  <c r="B909" i="15"/>
  <c r="B910" i="15" l="1"/>
  <c r="G910" i="15"/>
  <c r="G909" i="15"/>
  <c r="D909" i="15"/>
  <c r="M910" i="15"/>
  <c r="L910" i="15"/>
  <c r="O911" i="15" s="1"/>
  <c r="J911" i="15" l="1"/>
  <c r="C911" i="15" s="1"/>
  <c r="D910" i="15"/>
  <c r="F909" i="15"/>
  <c r="E909" i="15" l="1"/>
  <c r="F910" i="15"/>
  <c r="B911" i="15"/>
  <c r="G911" i="15"/>
  <c r="L911" i="15"/>
  <c r="O912" i="15" s="1"/>
  <c r="M911" i="15"/>
  <c r="J912" i="15" l="1"/>
  <c r="C912" i="15" s="1"/>
  <c r="D911" i="15"/>
  <c r="F911" i="15" s="1"/>
  <c r="E910" i="15"/>
  <c r="M912" i="15" l="1"/>
  <c r="O913" i="15" s="1"/>
  <c r="J913" i="15" s="1"/>
  <c r="C913" i="15" s="1"/>
  <c r="E911" i="15"/>
  <c r="B912" i="15"/>
  <c r="G912" i="15"/>
  <c r="L912" i="15"/>
  <c r="L913" i="15" l="1"/>
  <c r="D912" i="15"/>
  <c r="B913" i="15"/>
  <c r="G913" i="15"/>
  <c r="M913" i="15"/>
  <c r="O914" i="15" s="1"/>
  <c r="D913" i="15" l="1"/>
  <c r="F912" i="15"/>
  <c r="E912" i="15" l="1"/>
  <c r="F913" i="15"/>
  <c r="J914" i="15"/>
  <c r="C914" i="15" s="1"/>
  <c r="L914" i="15"/>
  <c r="O915" i="15" s="1"/>
  <c r="M914" i="15"/>
  <c r="J915" i="15" l="1"/>
  <c r="C915" i="15" s="1"/>
  <c r="B914" i="15"/>
  <c r="E913" i="15"/>
  <c r="G914" i="15" l="1"/>
  <c r="D914" i="15"/>
  <c r="B915" i="15"/>
  <c r="G915" i="15"/>
  <c r="L915" i="15"/>
  <c r="O916" i="15" s="1"/>
  <c r="M915" i="15"/>
  <c r="J916" i="15" l="1"/>
  <c r="C916" i="15" s="1"/>
  <c r="D915" i="15"/>
  <c r="F914" i="15"/>
  <c r="E914" i="15" l="1"/>
  <c r="F915" i="15"/>
  <c r="G916" i="15"/>
  <c r="B916" i="15"/>
  <c r="L916" i="15"/>
  <c r="O917" i="15" s="1"/>
  <c r="M916" i="15"/>
  <c r="J917" i="15" l="1"/>
  <c r="C917" i="15" s="1"/>
  <c r="E915" i="15"/>
  <c r="D916" i="15"/>
  <c r="M917" i="15" l="1"/>
  <c r="F916" i="15"/>
  <c r="B917" i="15"/>
  <c r="G917" i="15"/>
  <c r="L917" i="15"/>
  <c r="O918" i="15" s="1"/>
  <c r="E916" i="15" l="1"/>
  <c r="D917" i="15"/>
  <c r="F917" i="15" l="1"/>
  <c r="J918" i="15"/>
  <c r="C918" i="15" s="1"/>
  <c r="M918" i="15"/>
  <c r="O919" i="15" s="1"/>
  <c r="L918" i="15"/>
  <c r="B918" i="15" l="1"/>
  <c r="J919" i="15"/>
  <c r="C919" i="15" s="1"/>
  <c r="E917" i="15"/>
  <c r="M919" i="15" l="1"/>
  <c r="O920" i="15" s="1"/>
  <c r="B919" i="15"/>
  <c r="G919" i="15"/>
  <c r="G918" i="15"/>
  <c r="D918" i="15"/>
  <c r="L919" i="15"/>
  <c r="D919" i="15" l="1"/>
  <c r="F918" i="15"/>
  <c r="J920" i="15"/>
  <c r="C920" i="15" s="1"/>
  <c r="G920" i="15" l="1"/>
  <c r="B920" i="15"/>
  <c r="L920" i="15"/>
  <c r="M920" i="15"/>
  <c r="O921" i="15" s="1"/>
  <c r="E918" i="15"/>
  <c r="F919" i="15"/>
  <c r="D920" i="15"/>
  <c r="E919" i="15" l="1"/>
  <c r="F920" i="15"/>
  <c r="J921" i="15"/>
  <c r="C921" i="15" s="1"/>
  <c r="M921" i="15" l="1"/>
  <c r="O922" i="15" s="1"/>
  <c r="B921" i="15"/>
  <c r="E920" i="15"/>
  <c r="L921" i="15"/>
  <c r="G921" i="15" l="1"/>
  <c r="D921" i="15"/>
  <c r="J922" i="15"/>
  <c r="C922" i="15" s="1"/>
  <c r="M922" i="15" l="1"/>
  <c r="O923" i="15" s="1"/>
  <c r="G922" i="15"/>
  <c r="B922" i="15"/>
  <c r="D922" i="15"/>
  <c r="F921" i="15"/>
  <c r="L922" i="15"/>
  <c r="E921" i="15" l="1"/>
  <c r="F922" i="15"/>
  <c r="J923" i="15"/>
  <c r="C923" i="15" s="1"/>
  <c r="B923" i="15" l="1"/>
  <c r="M923" i="15"/>
  <c r="L923" i="15"/>
  <c r="O924" i="15" s="1"/>
  <c r="E922" i="15"/>
  <c r="G923" i="15" l="1"/>
  <c r="D923" i="15"/>
  <c r="J924" i="15"/>
  <c r="C924" i="15" s="1"/>
  <c r="M924" i="15" l="1"/>
  <c r="O925" i="15" s="1"/>
  <c r="L924" i="15"/>
  <c r="B924" i="15"/>
  <c r="G924" i="15"/>
  <c r="F923" i="15"/>
  <c r="J925" i="15" l="1"/>
  <c r="L925" i="15"/>
  <c r="E923" i="15"/>
  <c r="D924" i="15"/>
  <c r="M925" i="15"/>
  <c r="O926" i="15" s="1"/>
  <c r="C925" i="15" l="1"/>
  <c r="G925" i="15" s="1"/>
  <c r="B925" i="15"/>
  <c r="F924" i="15"/>
  <c r="D925" i="15" l="1"/>
  <c r="F925" i="15" s="1"/>
  <c r="E924" i="15"/>
  <c r="J926" i="15"/>
  <c r="C926" i="15" s="1"/>
  <c r="L926" i="15"/>
  <c r="M926" i="15"/>
  <c r="O927" i="15" s="1"/>
  <c r="B926" i="15" l="1"/>
  <c r="J927" i="15"/>
  <c r="C927" i="15" s="1"/>
  <c r="E925" i="15"/>
  <c r="G926" i="15" l="1"/>
  <c r="D926" i="15"/>
  <c r="G927" i="15"/>
  <c r="B927" i="15"/>
  <c r="M927" i="15"/>
  <c r="O928" i="15" s="1"/>
  <c r="L927" i="15"/>
  <c r="J928" i="15" l="1"/>
  <c r="C928" i="15" s="1"/>
  <c r="D927" i="15"/>
  <c r="F926" i="15"/>
  <c r="L928" i="15" l="1"/>
  <c r="O929" i="15" s="1"/>
  <c r="E926" i="15"/>
  <c r="F927" i="15"/>
  <c r="B928" i="15"/>
  <c r="G928" i="15"/>
  <c r="M928" i="15"/>
  <c r="J929" i="15" l="1"/>
  <c r="D928" i="15"/>
  <c r="F928" i="15" s="1"/>
  <c r="L929" i="15"/>
  <c r="O930" i="15" s="1"/>
  <c r="E927" i="15"/>
  <c r="C929" i="15" l="1"/>
  <c r="G929" i="15" s="1"/>
  <c r="B929" i="15"/>
  <c r="M929" i="15"/>
  <c r="E928" i="15"/>
  <c r="D929" i="15" l="1"/>
  <c r="F929" i="15" s="1"/>
  <c r="J930" i="15"/>
  <c r="C930" i="15" s="1"/>
  <c r="M930" i="15"/>
  <c r="L930" i="15"/>
  <c r="O931" i="15" s="1"/>
  <c r="B930" i="15" l="1"/>
  <c r="J931" i="15"/>
  <c r="C931" i="15" s="1"/>
  <c r="E929" i="15"/>
  <c r="M931" i="15" l="1"/>
  <c r="O932" i="15" s="1"/>
  <c r="J932" i="15" s="1"/>
  <c r="C932" i="15" s="1"/>
  <c r="L931" i="15"/>
  <c r="G931" i="15"/>
  <c r="B931" i="15"/>
  <c r="G930" i="15"/>
  <c r="D930" i="15"/>
  <c r="D931" i="15" l="1"/>
  <c r="F930" i="15"/>
  <c r="B932" i="15"/>
  <c r="G932" i="15"/>
  <c r="M932" i="15"/>
  <c r="O933" i="15" s="1"/>
  <c r="L932" i="15"/>
  <c r="J933" i="15" l="1"/>
  <c r="C933" i="15" s="1"/>
  <c r="E930" i="15"/>
  <c r="F931" i="15"/>
  <c r="D932" i="15"/>
  <c r="E931" i="15" l="1"/>
  <c r="F932" i="15"/>
  <c r="B933" i="15"/>
  <c r="G933" i="15"/>
  <c r="M933" i="15"/>
  <c r="O934" i="15" s="1"/>
  <c r="L933" i="15"/>
  <c r="J934" i="15" l="1"/>
  <c r="C934" i="15" s="1"/>
  <c r="D933" i="15"/>
  <c r="F933" i="15" s="1"/>
  <c r="E932" i="15"/>
  <c r="L934" i="15" l="1"/>
  <c r="E933" i="15"/>
  <c r="B934" i="15"/>
  <c r="G934" i="15"/>
  <c r="M934" i="15"/>
  <c r="O935" i="15" s="1"/>
  <c r="D934" i="15" l="1"/>
  <c r="F934" i="15" l="1"/>
  <c r="J935" i="15"/>
  <c r="C935" i="15" s="1"/>
  <c r="L935" i="15"/>
  <c r="O936" i="15" s="1"/>
  <c r="M935" i="15"/>
  <c r="B935" i="15" l="1"/>
  <c r="J936" i="15"/>
  <c r="C936" i="15" s="1"/>
  <c r="E934" i="15"/>
  <c r="B936" i="15" l="1"/>
  <c r="G936" i="15"/>
  <c r="L936" i="15"/>
  <c r="O937" i="15" s="1"/>
  <c r="G935" i="15"/>
  <c r="D935" i="15"/>
  <c r="M936" i="15"/>
  <c r="D936" i="15" l="1"/>
  <c r="F935" i="15"/>
  <c r="J937" i="15"/>
  <c r="C937" i="15" s="1"/>
  <c r="M937" i="15" l="1"/>
  <c r="E935" i="15"/>
  <c r="F936" i="15"/>
  <c r="B937" i="15"/>
  <c r="G937" i="15"/>
  <c r="L937" i="15"/>
  <c r="O938" i="15" s="1"/>
  <c r="D937" i="15"/>
  <c r="E936" i="15" l="1"/>
  <c r="F937" i="15"/>
  <c r="E937" i="15" l="1"/>
  <c r="J938" i="15"/>
  <c r="C938" i="15" s="1"/>
  <c r="M938" i="15"/>
  <c r="L938" i="15"/>
  <c r="O939" i="15" s="1"/>
  <c r="J939" i="15" l="1"/>
  <c r="C939" i="15" s="1"/>
  <c r="B938" i="15"/>
  <c r="M939" i="15" l="1"/>
  <c r="O940" i="15" s="1"/>
  <c r="G938" i="15"/>
  <c r="D938" i="15"/>
  <c r="G939" i="15"/>
  <c r="B939" i="15"/>
  <c r="L939" i="15"/>
  <c r="D939" i="15" l="1"/>
  <c r="F938" i="15"/>
  <c r="J940" i="15"/>
  <c r="C940" i="15" s="1"/>
  <c r="M940" i="15" l="1"/>
  <c r="O941" i="15" s="1"/>
  <c r="B940" i="15"/>
  <c r="G940" i="15"/>
  <c r="L940" i="15"/>
  <c r="E938" i="15"/>
  <c r="F939" i="15"/>
  <c r="D940" i="15"/>
  <c r="E939" i="15" l="1"/>
  <c r="F940" i="15"/>
  <c r="J941" i="15"/>
  <c r="C941" i="15" s="1"/>
  <c r="M941" i="15" l="1"/>
  <c r="O942" i="15" s="1"/>
  <c r="B941" i="15"/>
  <c r="E940" i="15"/>
  <c r="L941" i="15"/>
  <c r="J942" i="15" l="1"/>
  <c r="G941" i="15"/>
  <c r="D941" i="15"/>
  <c r="M942" i="15"/>
  <c r="O943" i="15" s="1"/>
  <c r="C942" i="15" l="1"/>
  <c r="G942" i="15" s="1"/>
  <c r="B942" i="15"/>
  <c r="L942" i="15"/>
  <c r="F941" i="15"/>
  <c r="D942" i="15" l="1"/>
  <c r="F942" i="15" s="1"/>
  <c r="E941" i="15"/>
  <c r="J943" i="15"/>
  <c r="C943" i="15" s="1"/>
  <c r="L943" i="15"/>
  <c r="M943" i="15"/>
  <c r="O944" i="15" s="1"/>
  <c r="J944" i="15" l="1"/>
  <c r="C944" i="15" s="1"/>
  <c r="B943" i="15"/>
  <c r="E942" i="15"/>
  <c r="L944" i="15" l="1"/>
  <c r="G943" i="15"/>
  <c r="D943" i="15"/>
  <c r="B944" i="15"/>
  <c r="G944" i="15"/>
  <c r="M944" i="15"/>
  <c r="O945" i="15" s="1"/>
  <c r="D944" i="15" l="1"/>
  <c r="F943" i="15"/>
  <c r="E943" i="15" l="1"/>
  <c r="F944" i="15"/>
  <c r="J945" i="15"/>
  <c r="C945" i="15" s="1"/>
  <c r="L945" i="15"/>
  <c r="M945" i="15"/>
  <c r="O946" i="15" s="1"/>
  <c r="J946" i="15" l="1"/>
  <c r="C946" i="15" s="1"/>
  <c r="B945" i="15"/>
  <c r="E944" i="15"/>
  <c r="G945" i="15" l="1"/>
  <c r="D945" i="15"/>
  <c r="B946" i="15"/>
  <c r="G946" i="15"/>
  <c r="M946" i="15"/>
  <c r="L946" i="15"/>
  <c r="O947" i="15" s="1"/>
  <c r="J947" i="15" l="1"/>
  <c r="C947" i="15" s="1"/>
  <c r="D946" i="15"/>
  <c r="F945" i="15"/>
  <c r="F946" i="15" l="1"/>
  <c r="E945" i="15"/>
  <c r="B947" i="15"/>
  <c r="G947" i="15"/>
  <c r="L947" i="15"/>
  <c r="O948" i="15" s="1"/>
  <c r="M947" i="15"/>
  <c r="J948" i="15" l="1"/>
  <c r="C948" i="15" s="1"/>
  <c r="D947" i="15"/>
  <c r="F947" i="15" s="1"/>
  <c r="E946" i="15"/>
  <c r="M948" i="15" l="1"/>
  <c r="O949" i="15" s="1"/>
  <c r="E947" i="15"/>
  <c r="B948" i="15"/>
  <c r="G948" i="15"/>
  <c r="L948" i="15"/>
  <c r="J949" i="15" l="1"/>
  <c r="D948" i="15"/>
  <c r="M949" i="15"/>
  <c r="O950" i="15" s="1"/>
  <c r="C949" i="15" l="1"/>
  <c r="G949" i="15" s="1"/>
  <c r="B949" i="15"/>
  <c r="L949" i="15"/>
  <c r="F948" i="15"/>
  <c r="D949" i="15" l="1"/>
  <c r="F949" i="15" s="1"/>
  <c r="E948" i="15"/>
  <c r="J950" i="15"/>
  <c r="C950" i="15" s="1"/>
  <c r="L950" i="15"/>
  <c r="M950" i="15"/>
  <c r="O951" i="15" s="1"/>
  <c r="J951" i="15" l="1"/>
  <c r="C951" i="15" s="1"/>
  <c r="B950" i="15"/>
  <c r="E949" i="15"/>
  <c r="G950" i="15" l="1"/>
  <c r="D950" i="15"/>
  <c r="B951" i="15"/>
  <c r="G951" i="15"/>
  <c r="M951" i="15"/>
  <c r="L951" i="15"/>
  <c r="O952" i="15" s="1"/>
  <c r="J952" i="15" l="1"/>
  <c r="C952" i="15" s="1"/>
  <c r="D951" i="15"/>
  <c r="F950" i="15"/>
  <c r="M952" i="15" l="1"/>
  <c r="F951" i="15"/>
  <c r="E950" i="15"/>
  <c r="B952" i="15"/>
  <c r="G952" i="15"/>
  <c r="L952" i="15"/>
  <c r="O953" i="15" s="1"/>
  <c r="D952" i="15" l="1"/>
  <c r="E951" i="15"/>
  <c r="F952" i="15" l="1"/>
  <c r="J953" i="15"/>
  <c r="C953" i="15" s="1"/>
  <c r="M953" i="15"/>
  <c r="L953" i="15"/>
  <c r="O954" i="15" s="1"/>
  <c r="J954" i="15" l="1"/>
  <c r="C954" i="15" s="1"/>
  <c r="B953" i="15"/>
  <c r="E952" i="15"/>
  <c r="M954" i="15" l="1"/>
  <c r="O955" i="15" s="1"/>
  <c r="G953" i="15"/>
  <c r="D953" i="15"/>
  <c r="B954" i="15"/>
  <c r="G954" i="15"/>
  <c r="L954" i="15"/>
  <c r="J955" i="15" l="1"/>
  <c r="D954" i="15"/>
  <c r="F953" i="15"/>
  <c r="M955" i="15"/>
  <c r="O956" i="15" s="1"/>
  <c r="C955" i="15" l="1"/>
  <c r="G955" i="15" s="1"/>
  <c r="B955" i="15"/>
  <c r="L955" i="15"/>
  <c r="M956" i="15"/>
  <c r="O957" i="15" s="1"/>
  <c r="F954" i="15"/>
  <c r="E953" i="15"/>
  <c r="D955" i="15" l="1"/>
  <c r="F955" i="15" s="1"/>
  <c r="E954" i="15"/>
  <c r="J957" i="15"/>
  <c r="C957" i="15" s="1"/>
  <c r="J956" i="15"/>
  <c r="C956" i="15" s="1"/>
  <c r="L956" i="15"/>
  <c r="L957" i="15" l="1"/>
  <c r="B956" i="15"/>
  <c r="B957" i="15"/>
  <c r="G957" i="15"/>
  <c r="M957" i="15"/>
  <c r="O958" i="15" s="1"/>
  <c r="E955" i="15"/>
  <c r="G956" i="15" l="1"/>
  <c r="D956" i="15"/>
  <c r="D957" i="15" l="1"/>
  <c r="F956" i="15"/>
  <c r="J958" i="15"/>
  <c r="C958" i="15" s="1"/>
  <c r="L958" i="15"/>
  <c r="O959" i="15" s="1"/>
  <c r="M958" i="15"/>
  <c r="B958" i="15" l="1"/>
  <c r="G958" i="15"/>
  <c r="J959" i="15"/>
  <c r="C959" i="15" s="1"/>
  <c r="E956" i="15"/>
  <c r="F957" i="15"/>
  <c r="D958" i="15"/>
  <c r="F958" i="15" l="1"/>
  <c r="E957" i="15"/>
  <c r="B959" i="15"/>
  <c r="G959" i="15"/>
  <c r="L959" i="15"/>
  <c r="M959" i="15"/>
  <c r="O960" i="15" s="1"/>
  <c r="J960" i="15" l="1"/>
  <c r="C960" i="15" s="1"/>
  <c r="E958" i="15"/>
  <c r="D959" i="15"/>
  <c r="L960" i="15" l="1"/>
  <c r="F959" i="15"/>
  <c r="B960" i="15"/>
  <c r="G960" i="15"/>
  <c r="M960" i="15"/>
  <c r="O961" i="15" s="1"/>
  <c r="E959" i="15" l="1"/>
  <c r="D960" i="15"/>
  <c r="F960" i="15" l="1"/>
  <c r="J961" i="15"/>
  <c r="C961" i="15" s="1"/>
  <c r="L961" i="15"/>
  <c r="M961" i="15"/>
  <c r="O962" i="15" s="1"/>
  <c r="J962" i="15" l="1"/>
  <c r="C962" i="15" s="1"/>
  <c r="B961" i="15"/>
  <c r="E960" i="15"/>
  <c r="L962" i="15" l="1"/>
  <c r="M962" i="15"/>
  <c r="O963" i="15" s="1"/>
  <c r="J963" i="15" s="1"/>
  <c r="C963" i="15" s="1"/>
  <c r="G961" i="15"/>
  <c r="D961" i="15"/>
  <c r="B962" i="15"/>
  <c r="G962" i="15"/>
  <c r="B963" i="15" l="1"/>
  <c r="G963" i="15"/>
  <c r="L963" i="15"/>
  <c r="M963" i="15"/>
  <c r="O964" i="15" s="1"/>
  <c r="D962" i="15"/>
  <c r="D963" i="15" s="1"/>
  <c r="F961" i="15"/>
  <c r="E961" i="15" l="1"/>
  <c r="F962" i="15"/>
  <c r="J964" i="15"/>
  <c r="C964" i="15" s="1"/>
  <c r="B964" i="15" l="1"/>
  <c r="M964" i="15"/>
  <c r="O965" i="15" s="1"/>
  <c r="F963" i="15"/>
  <c r="E962" i="15"/>
  <c r="L964" i="15"/>
  <c r="G964" i="15" l="1"/>
  <c r="D964" i="15"/>
  <c r="F964" i="15" s="1"/>
  <c r="E963" i="15"/>
  <c r="J965" i="15"/>
  <c r="C965" i="15" s="1"/>
  <c r="B965" i="15" l="1"/>
  <c r="G965" i="15"/>
  <c r="M965" i="15"/>
  <c r="L965" i="15"/>
  <c r="O966" i="15" s="1"/>
  <c r="E964" i="15"/>
  <c r="D965" i="15"/>
  <c r="F965" i="15" l="1"/>
  <c r="J966" i="15"/>
  <c r="C966" i="15" s="1"/>
  <c r="L966" i="15" l="1"/>
  <c r="O967" i="15" s="1"/>
  <c r="B966" i="15"/>
  <c r="E965" i="15"/>
  <c r="M966" i="15"/>
  <c r="G966" i="15" l="1"/>
  <c r="D966" i="15"/>
  <c r="J967" i="15"/>
  <c r="C967" i="15" s="1"/>
  <c r="F966" i="15" l="1"/>
  <c r="B967" i="15"/>
  <c r="G967" i="15"/>
  <c r="L967" i="15"/>
  <c r="O968" i="15" s="1"/>
  <c r="M967" i="15"/>
  <c r="J968" i="15" l="1"/>
  <c r="C968" i="15" s="1"/>
  <c r="E966" i="15"/>
  <c r="D967" i="15"/>
  <c r="B968" i="15" l="1"/>
  <c r="G968" i="15"/>
  <c r="F967" i="15"/>
  <c r="M968" i="15"/>
  <c r="L968" i="15"/>
  <c r="O969" i="15" s="1"/>
  <c r="E967" i="15" l="1"/>
  <c r="J969" i="15"/>
  <c r="C969" i="15" s="1"/>
  <c r="D968" i="15"/>
  <c r="B969" i="15" l="1"/>
  <c r="G969" i="15"/>
  <c r="D969" i="15"/>
  <c r="L969" i="15"/>
  <c r="F968" i="15"/>
  <c r="M969" i="15"/>
  <c r="O970" i="15" s="1"/>
  <c r="F969" i="15" l="1"/>
  <c r="E968" i="15"/>
  <c r="J970" i="15"/>
  <c r="C970" i="15" s="1"/>
  <c r="L970" i="15" l="1"/>
  <c r="M970" i="15"/>
  <c r="O971" i="15" s="1"/>
  <c r="B970" i="15"/>
  <c r="E969" i="15"/>
  <c r="J971" i="15" l="1"/>
  <c r="G970" i="15"/>
  <c r="D970" i="15"/>
  <c r="M971" i="15"/>
  <c r="L971" i="15"/>
  <c r="O972" i="15" s="1"/>
  <c r="C971" i="15" l="1"/>
  <c r="G971" i="15" s="1"/>
  <c r="B971" i="15"/>
  <c r="J972" i="15"/>
  <c r="C972" i="15" s="1"/>
  <c r="F970" i="15"/>
  <c r="D971" i="15" l="1"/>
  <c r="F971" i="15" s="1"/>
  <c r="E970" i="15"/>
  <c r="B972" i="15"/>
  <c r="G972" i="15"/>
  <c r="L972" i="15"/>
  <c r="O973" i="15" s="1"/>
  <c r="M972" i="15"/>
  <c r="J973" i="15" l="1"/>
  <c r="C973" i="15" s="1"/>
  <c r="E971" i="15"/>
  <c r="D972" i="15"/>
  <c r="M973" i="15" l="1"/>
  <c r="O974" i="15" s="1"/>
  <c r="J974" i="15" s="1"/>
  <c r="C974" i="15" s="1"/>
  <c r="F972" i="15"/>
  <c r="B973" i="15"/>
  <c r="G973" i="15"/>
  <c r="L973" i="15"/>
  <c r="L974" i="15" l="1"/>
  <c r="B974" i="15"/>
  <c r="G974" i="15"/>
  <c r="M974" i="15"/>
  <c r="O975" i="15" s="1"/>
  <c r="E972" i="15"/>
  <c r="D973" i="15"/>
  <c r="D974" i="15" s="1"/>
  <c r="F973" i="15" l="1"/>
  <c r="J975" i="15" l="1"/>
  <c r="C975" i="15" s="1"/>
  <c r="L975" i="15"/>
  <c r="O976" i="15" s="1"/>
  <c r="M975" i="15"/>
  <c r="F974" i="15"/>
  <c r="E973" i="15"/>
  <c r="E974" i="15" l="1"/>
  <c r="J976" i="15"/>
  <c r="C976" i="15" s="1"/>
  <c r="B975" i="15"/>
  <c r="G975" i="15" l="1"/>
  <c r="D975" i="15"/>
  <c r="B976" i="15"/>
  <c r="G976" i="15"/>
  <c r="L976" i="15"/>
  <c r="M976" i="15"/>
  <c r="O977" i="15" s="1"/>
  <c r="J977" i="15" l="1"/>
  <c r="C977" i="15" s="1"/>
  <c r="D976" i="15"/>
  <c r="F975" i="15"/>
  <c r="L977" i="15" l="1"/>
  <c r="E975" i="15"/>
  <c r="F976" i="15"/>
  <c r="B977" i="15"/>
  <c r="G977" i="15"/>
  <c r="M977" i="15"/>
  <c r="O978" i="15" s="1"/>
  <c r="M978" i="15" l="1"/>
  <c r="D977" i="15"/>
  <c r="E976" i="15"/>
  <c r="F977" i="15" l="1"/>
  <c r="J978" i="15"/>
  <c r="C978" i="15" s="1"/>
  <c r="L978" i="15"/>
  <c r="O979" i="15" s="1"/>
  <c r="B978" i="15" l="1"/>
  <c r="E977" i="15"/>
  <c r="G978" i="15" l="1"/>
  <c r="D978" i="15"/>
  <c r="J979" i="15"/>
  <c r="C979" i="15" s="1"/>
  <c r="M979" i="15"/>
  <c r="L979" i="15"/>
  <c r="O980" i="15" s="1"/>
  <c r="J980" i="15" l="1"/>
  <c r="C980" i="15" s="1"/>
  <c r="B979" i="15"/>
  <c r="G979" i="15"/>
  <c r="F978" i="15"/>
  <c r="M980" i="15" l="1"/>
  <c r="E978" i="15"/>
  <c r="D979" i="15"/>
  <c r="B980" i="15"/>
  <c r="G980" i="15"/>
  <c r="L980" i="15"/>
  <c r="O981" i="15" s="1"/>
  <c r="D980" i="15" l="1"/>
  <c r="F979" i="15"/>
  <c r="F980" i="15" l="1"/>
  <c r="E979" i="15"/>
  <c r="J981" i="15"/>
  <c r="C981" i="15" s="1"/>
  <c r="M981" i="15"/>
  <c r="L981" i="15"/>
  <c r="O982" i="15" s="1"/>
  <c r="J982" i="15" l="1"/>
  <c r="C982" i="15" s="1"/>
  <c r="G982" i="15" s="1"/>
  <c r="B981" i="15"/>
  <c r="E980" i="15"/>
  <c r="M982" i="15" l="1"/>
  <c r="G981" i="15"/>
  <c r="D981" i="15"/>
  <c r="B982" i="15"/>
  <c r="G2" i="15"/>
  <c r="L982" i="15"/>
  <c r="O983" i="15" s="1"/>
  <c r="J983" i="15" s="1"/>
  <c r="D982" i="15" l="1"/>
  <c r="H2" i="15" s="1"/>
  <c r="C983" i="15"/>
  <c r="B983" i="15"/>
  <c r="F981" i="15"/>
  <c r="F982" i="15" s="1"/>
  <c r="E982" i="15" s="1"/>
  <c r="E981" i="15" l="1"/>
  <c r="E2" i="15"/>
</calcChain>
</file>

<file path=xl/sharedStrings.xml><?xml version="1.0" encoding="utf-8"?>
<sst xmlns="http://schemas.openxmlformats.org/spreadsheetml/2006/main" count="35" uniqueCount="30">
  <si>
    <t>Datum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</si>
  <si>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</si>
  <si>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</si>
  <si>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</si>
  <si>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</si>
  <si>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</si>
  <si>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</si>
  <si>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</si>
  <si>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</si>
  <si>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</si>
  <si>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</si>
  <si>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</si>
  <si>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</si>
  <si>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S&amp;P 500</t>
  </si>
  <si>
    <t>EURUSD</t>
  </si>
  <si>
    <t>DAX</t>
  </si>
  <si>
    <t>Nikkei 225</t>
  </si>
  <si>
    <t>In Sample</t>
  </si>
  <si>
    <t>Total</t>
  </si>
  <si>
    <t>YENUSD</t>
  </si>
  <si>
    <t>Bond</t>
  </si>
  <si>
    <t>EURUSD=X</t>
  </si>
  <si>
    <t>JPY=X</t>
  </si>
  <si>
    <t>USD</t>
  </si>
  <si>
    <t>EUR</t>
  </si>
  <si>
    <t>YEN</t>
  </si>
  <si>
    <t>^GSPC</t>
  </si>
  <si>
    <t>^GDAXI</t>
  </si>
  <si>
    <t>^N225</t>
  </si>
  <si>
    <t>Contrarian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</si>
</sst>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&quot;CHF&quot;\ * #,##0.00_ ;_ &quot;CHF&quot;\ * \-#,##0.00_ ;_ &quot;CHF&quot;\ * &quot;-&quot;??_ ;_ @_ "/>
    <numFmt numFmtId="164" formatCode="0.0000"/>
    <numFmt numFmtId="165" formatCode="0.00000000"/>
    <numFmt numFmtId="166" formatCode="0.0000000"/>
    <numFmt numFmtId="167" formatCode="0.0000%"/>
    <numFmt numFmtId="169" formatCode="0.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">
    <xf numFmtId="0" fontId="0" fillId="0" borderId="0" xfId="0"/>
    <xf numFmtId="164" fontId="6" fillId="0" borderId="0" xfId="0" applyNumberFormat="1" applyFont="1" applyAlignment="1">
      <alignment horizontal="right" vertical="center"/>
    </xf>
    <xf numFmtId="2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4" fontId="6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2" fontId="6" fillId="0" borderId="0" xfId="0" applyNumberFormat="1" applyFont="1" applyAlignment="1">
      <alignment horizontal="right" vertical="center"/>
    </xf>
    <xf numFmtId="0" fontId="3" fillId="0" borderId="0" xfId="0" applyFont="1"/>
    <xf numFmtId="0" fontId="5" fillId="0" borderId="0" xfId="0" applyFont="1"/>
    <xf numFmtId="10" fontId="3" fillId="0" borderId="0" xfId="1" applyNumberFormat="1" applyFont="1" applyFill="1" applyBorder="1" applyAlignment="1">
      <alignment vertical="center"/>
    </xf>
    <xf numFmtId="1" fontId="6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right" vertical="center"/>
    </xf>
    <xf numFmtId="166" fontId="6" fillId="0" borderId="0" xfId="0" applyNumberFormat="1" applyFont="1" applyAlignment="1">
      <alignment horizontal="right" vertical="center"/>
    </xf>
    <xf numFmtId="164" fontId="5" fillId="0" borderId="0" xfId="0" applyNumberFormat="1" applyFont="1"/>
    <xf numFmtId="165" fontId="5" fillId="0" borderId="0" xfId="0" applyNumberFormat="1" applyFont="1"/>
    <xf numFmtId="2" fontId="3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14" fontId="6" fillId="0" borderId="0" xfId="2" applyNumberFormat="1" applyFont="1" applyFill="1" applyBorder="1" applyAlignment="1">
      <alignment horizontal="right" vertical="center"/>
    </xf>
    <xf numFmtId="164" fontId="3" fillId="0" borderId="0" xfId="0" applyNumberFormat="1" applyFont="1"/>
    <xf numFmtId="2" fontId="3" fillId="0" borderId="0" xfId="0" applyNumberFormat="1" applyFont="1"/>
    <xf numFmtId="167" fontId="3" fillId="0" borderId="0" xfId="1" applyNumberFormat="1" applyFont="1" applyFill="1" applyBorder="1" applyAlignment="1">
      <alignment vertical="center"/>
    </xf>
    <xf numFmtId="169" fontId="3" fillId="0" borderId="0" xfId="1" applyNumberFormat="1" applyFont="1" applyFill="1" applyBorder="1" applyAlignment="1">
      <alignment vertical="center"/>
    </xf>
    <xf numFmtId="0" fontId="2" fillId="0" borderId="0" xfId="0" applyFont="1" applyAlignment="1">
      <alignment horizontal="center"/>
    </xf>
    <xf numFmtId="2" fontId="7" fillId="0" borderId="0" xfId="0" applyNumberFormat="1" applyFont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415E6C"/>
      <color rgb="FF9A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5F3D8-98CC-4AE4-B0DA-6F3DFCCA4A4C}">
  <dimension ref="A1:AE983"/>
  <sheetViews>
    <sheetView tabSelected="1" workbookViewId="0">
      <pane ySplit="1320" topLeftCell="A950" activePane="bottomLeft"/>
      <selection activeCell="H3" sqref="H3"/>
      <selection pane="bottomLeft" activeCell="D981" sqref="D981:D982"/>
    </sheetView>
  </sheetViews>
  <sheetFormatPr defaultColWidth="8.85546875" defaultRowHeight="12.75" x14ac:dyDescent="0.2"/>
  <cols>
    <col min="1" max="1" width="9.7109375" style="4" customWidth="1"/>
    <col min="2" max="3" width="9.140625" style="10" customWidth="1"/>
    <col min="4" max="5" width="10.5703125" style="10" customWidth="1"/>
    <col min="6" max="6" width="1.7109375" style="10" customWidth="1"/>
    <col min="7" max="12" width="9.140625" style="10" customWidth="1"/>
    <col min="13" max="16" width="8.85546875" style="11"/>
    <col min="17" max="17" width="9.140625" style="10" customWidth="1"/>
    <col min="18" max="22" width="8.85546875" style="11"/>
    <col min="23" max="23" width="9.140625" style="10" customWidth="1"/>
    <col min="24" max="26" width="8.85546875" style="11"/>
    <col min="27" max="27" width="17" style="11" bestFit="1" customWidth="1"/>
    <col min="28" max="28" width="10.5703125" style="11" bestFit="1" customWidth="1"/>
    <col min="29" max="29" width="9.28515625" style="11" customWidth="1"/>
    <col min="30" max="30" width="10.5703125" style="11" bestFit="1" customWidth="1"/>
    <col min="31" max="256" width="8.85546875" style="11"/>
    <col min="257" max="257" width="9.7109375" style="11" customWidth="1"/>
    <col min="258" max="259" width="9.140625" style="11" customWidth="1"/>
    <col min="260" max="261" width="10.5703125" style="11" customWidth="1"/>
    <col min="262" max="262" width="1.7109375" style="11" customWidth="1"/>
    <col min="263" max="268" width="9.140625" style="11" customWidth="1"/>
    <col min="269" max="272" width="8.85546875" style="11"/>
    <col min="273" max="273" width="9.140625" style="11" customWidth="1"/>
    <col min="274" max="512" width="8.85546875" style="11"/>
    <col min="513" max="513" width="9.7109375" style="11" customWidth="1"/>
    <col min="514" max="515" width="9.140625" style="11" customWidth="1"/>
    <col min="516" max="517" width="10.5703125" style="11" customWidth="1"/>
    <col min="518" max="518" width="1.7109375" style="11" customWidth="1"/>
    <col min="519" max="524" width="9.140625" style="11" customWidth="1"/>
    <col min="525" max="528" width="8.85546875" style="11"/>
    <col min="529" max="529" width="9.140625" style="11" customWidth="1"/>
    <col min="530" max="768" width="8.85546875" style="11"/>
    <col min="769" max="769" width="9.7109375" style="11" customWidth="1"/>
    <col min="770" max="771" width="9.140625" style="11" customWidth="1"/>
    <col min="772" max="773" width="10.5703125" style="11" customWidth="1"/>
    <col min="774" max="774" width="1.7109375" style="11" customWidth="1"/>
    <col min="775" max="780" width="9.140625" style="11" customWidth="1"/>
    <col min="781" max="784" width="8.85546875" style="11"/>
    <col min="785" max="785" width="9.140625" style="11" customWidth="1"/>
    <col min="786" max="1024" width="8.85546875" style="11"/>
    <col min="1025" max="1025" width="9.7109375" style="11" customWidth="1"/>
    <col min="1026" max="1027" width="9.140625" style="11" customWidth="1"/>
    <col min="1028" max="1029" width="10.5703125" style="11" customWidth="1"/>
    <col min="1030" max="1030" width="1.7109375" style="11" customWidth="1"/>
    <col min="1031" max="1036" width="9.140625" style="11" customWidth="1"/>
    <col min="1037" max="1040" width="8.85546875" style="11"/>
    <col min="1041" max="1041" width="9.140625" style="11" customWidth="1"/>
    <col min="1042" max="1280" width="8.85546875" style="11"/>
    <col min="1281" max="1281" width="9.7109375" style="11" customWidth="1"/>
    <col min="1282" max="1283" width="9.140625" style="11" customWidth="1"/>
    <col min="1284" max="1285" width="10.5703125" style="11" customWidth="1"/>
    <col min="1286" max="1286" width="1.7109375" style="11" customWidth="1"/>
    <col min="1287" max="1292" width="9.140625" style="11" customWidth="1"/>
    <col min="1293" max="1296" width="8.85546875" style="11"/>
    <col min="1297" max="1297" width="9.140625" style="11" customWidth="1"/>
    <col min="1298" max="1536" width="8.85546875" style="11"/>
    <col min="1537" max="1537" width="9.7109375" style="11" customWidth="1"/>
    <col min="1538" max="1539" width="9.140625" style="11" customWidth="1"/>
    <col min="1540" max="1541" width="10.5703125" style="11" customWidth="1"/>
    <col min="1542" max="1542" width="1.7109375" style="11" customWidth="1"/>
    <col min="1543" max="1548" width="9.140625" style="11" customWidth="1"/>
    <col min="1549" max="1552" width="8.85546875" style="11"/>
    <col min="1553" max="1553" width="9.140625" style="11" customWidth="1"/>
    <col min="1554" max="1792" width="8.85546875" style="11"/>
    <col min="1793" max="1793" width="9.7109375" style="11" customWidth="1"/>
    <col min="1794" max="1795" width="9.140625" style="11" customWidth="1"/>
    <col min="1796" max="1797" width="10.5703125" style="11" customWidth="1"/>
    <col min="1798" max="1798" width="1.7109375" style="11" customWidth="1"/>
    <col min="1799" max="1804" width="9.140625" style="11" customWidth="1"/>
    <col min="1805" max="1808" width="8.85546875" style="11"/>
    <col min="1809" max="1809" width="9.140625" style="11" customWidth="1"/>
    <col min="1810" max="2048" width="8.85546875" style="11"/>
    <col min="2049" max="2049" width="9.7109375" style="11" customWidth="1"/>
    <col min="2050" max="2051" width="9.140625" style="11" customWidth="1"/>
    <col min="2052" max="2053" width="10.5703125" style="11" customWidth="1"/>
    <col min="2054" max="2054" width="1.7109375" style="11" customWidth="1"/>
    <col min="2055" max="2060" width="9.140625" style="11" customWidth="1"/>
    <col min="2061" max="2064" width="8.85546875" style="11"/>
    <col min="2065" max="2065" width="9.140625" style="11" customWidth="1"/>
    <col min="2066" max="2304" width="8.85546875" style="11"/>
    <col min="2305" max="2305" width="9.7109375" style="11" customWidth="1"/>
    <col min="2306" max="2307" width="9.140625" style="11" customWidth="1"/>
    <col min="2308" max="2309" width="10.5703125" style="11" customWidth="1"/>
    <col min="2310" max="2310" width="1.7109375" style="11" customWidth="1"/>
    <col min="2311" max="2316" width="9.140625" style="11" customWidth="1"/>
    <col min="2317" max="2320" width="8.85546875" style="11"/>
    <col min="2321" max="2321" width="9.140625" style="11" customWidth="1"/>
    <col min="2322" max="2560" width="8.85546875" style="11"/>
    <col min="2561" max="2561" width="9.7109375" style="11" customWidth="1"/>
    <col min="2562" max="2563" width="9.140625" style="11" customWidth="1"/>
    <col min="2564" max="2565" width="10.5703125" style="11" customWidth="1"/>
    <col min="2566" max="2566" width="1.7109375" style="11" customWidth="1"/>
    <col min="2567" max="2572" width="9.140625" style="11" customWidth="1"/>
    <col min="2573" max="2576" width="8.85546875" style="11"/>
    <col min="2577" max="2577" width="9.140625" style="11" customWidth="1"/>
    <col min="2578" max="2816" width="8.85546875" style="11"/>
    <col min="2817" max="2817" width="9.7109375" style="11" customWidth="1"/>
    <col min="2818" max="2819" width="9.140625" style="11" customWidth="1"/>
    <col min="2820" max="2821" width="10.5703125" style="11" customWidth="1"/>
    <col min="2822" max="2822" width="1.7109375" style="11" customWidth="1"/>
    <col min="2823" max="2828" width="9.140625" style="11" customWidth="1"/>
    <col min="2829" max="2832" width="8.85546875" style="11"/>
    <col min="2833" max="2833" width="9.140625" style="11" customWidth="1"/>
    <col min="2834" max="3072" width="8.85546875" style="11"/>
    <col min="3073" max="3073" width="9.7109375" style="11" customWidth="1"/>
    <col min="3074" max="3075" width="9.140625" style="11" customWidth="1"/>
    <col min="3076" max="3077" width="10.5703125" style="11" customWidth="1"/>
    <col min="3078" max="3078" width="1.7109375" style="11" customWidth="1"/>
    <col min="3079" max="3084" width="9.140625" style="11" customWidth="1"/>
    <col min="3085" max="3088" width="8.85546875" style="11"/>
    <col min="3089" max="3089" width="9.140625" style="11" customWidth="1"/>
    <col min="3090" max="3328" width="8.85546875" style="11"/>
    <col min="3329" max="3329" width="9.7109375" style="11" customWidth="1"/>
    <col min="3330" max="3331" width="9.140625" style="11" customWidth="1"/>
    <col min="3332" max="3333" width="10.5703125" style="11" customWidth="1"/>
    <col min="3334" max="3334" width="1.7109375" style="11" customWidth="1"/>
    <col min="3335" max="3340" width="9.140625" style="11" customWidth="1"/>
    <col min="3341" max="3344" width="8.85546875" style="11"/>
    <col min="3345" max="3345" width="9.140625" style="11" customWidth="1"/>
    <col min="3346" max="3584" width="8.85546875" style="11"/>
    <col min="3585" max="3585" width="9.7109375" style="11" customWidth="1"/>
    <col min="3586" max="3587" width="9.140625" style="11" customWidth="1"/>
    <col min="3588" max="3589" width="10.5703125" style="11" customWidth="1"/>
    <col min="3590" max="3590" width="1.7109375" style="11" customWidth="1"/>
    <col min="3591" max="3596" width="9.140625" style="11" customWidth="1"/>
    <col min="3597" max="3600" width="8.85546875" style="11"/>
    <col min="3601" max="3601" width="9.140625" style="11" customWidth="1"/>
    <col min="3602" max="3840" width="8.85546875" style="11"/>
    <col min="3841" max="3841" width="9.7109375" style="11" customWidth="1"/>
    <col min="3842" max="3843" width="9.140625" style="11" customWidth="1"/>
    <col min="3844" max="3845" width="10.5703125" style="11" customWidth="1"/>
    <col min="3846" max="3846" width="1.7109375" style="11" customWidth="1"/>
    <col min="3847" max="3852" width="9.140625" style="11" customWidth="1"/>
    <col min="3853" max="3856" width="8.85546875" style="11"/>
    <col min="3857" max="3857" width="9.140625" style="11" customWidth="1"/>
    <col min="3858" max="4096" width="8.85546875" style="11"/>
    <col min="4097" max="4097" width="9.7109375" style="11" customWidth="1"/>
    <col min="4098" max="4099" width="9.140625" style="11" customWidth="1"/>
    <col min="4100" max="4101" width="10.5703125" style="11" customWidth="1"/>
    <col min="4102" max="4102" width="1.7109375" style="11" customWidth="1"/>
    <col min="4103" max="4108" width="9.140625" style="11" customWidth="1"/>
    <col min="4109" max="4112" width="8.85546875" style="11"/>
    <col min="4113" max="4113" width="9.140625" style="11" customWidth="1"/>
    <col min="4114" max="4352" width="8.85546875" style="11"/>
    <col min="4353" max="4353" width="9.7109375" style="11" customWidth="1"/>
    <col min="4354" max="4355" width="9.140625" style="11" customWidth="1"/>
    <col min="4356" max="4357" width="10.5703125" style="11" customWidth="1"/>
    <col min="4358" max="4358" width="1.7109375" style="11" customWidth="1"/>
    <col min="4359" max="4364" width="9.140625" style="11" customWidth="1"/>
    <col min="4365" max="4368" width="8.85546875" style="11"/>
    <col min="4369" max="4369" width="9.140625" style="11" customWidth="1"/>
    <col min="4370" max="4608" width="8.85546875" style="11"/>
    <col min="4609" max="4609" width="9.7109375" style="11" customWidth="1"/>
    <col min="4610" max="4611" width="9.140625" style="11" customWidth="1"/>
    <col min="4612" max="4613" width="10.5703125" style="11" customWidth="1"/>
    <col min="4614" max="4614" width="1.7109375" style="11" customWidth="1"/>
    <col min="4615" max="4620" width="9.140625" style="11" customWidth="1"/>
    <col min="4621" max="4624" width="8.85546875" style="11"/>
    <col min="4625" max="4625" width="9.140625" style="11" customWidth="1"/>
    <col min="4626" max="4864" width="8.85546875" style="11"/>
    <col min="4865" max="4865" width="9.7109375" style="11" customWidth="1"/>
    <col min="4866" max="4867" width="9.140625" style="11" customWidth="1"/>
    <col min="4868" max="4869" width="10.5703125" style="11" customWidth="1"/>
    <col min="4870" max="4870" width="1.7109375" style="11" customWidth="1"/>
    <col min="4871" max="4876" width="9.140625" style="11" customWidth="1"/>
    <col min="4877" max="4880" width="8.85546875" style="11"/>
    <col min="4881" max="4881" width="9.140625" style="11" customWidth="1"/>
    <col min="4882" max="5120" width="8.85546875" style="11"/>
    <col min="5121" max="5121" width="9.7109375" style="11" customWidth="1"/>
    <col min="5122" max="5123" width="9.140625" style="11" customWidth="1"/>
    <col min="5124" max="5125" width="10.5703125" style="11" customWidth="1"/>
    <col min="5126" max="5126" width="1.7109375" style="11" customWidth="1"/>
    <col min="5127" max="5132" width="9.140625" style="11" customWidth="1"/>
    <col min="5133" max="5136" width="8.85546875" style="11"/>
    <col min="5137" max="5137" width="9.140625" style="11" customWidth="1"/>
    <col min="5138" max="5376" width="8.85546875" style="11"/>
    <col min="5377" max="5377" width="9.7109375" style="11" customWidth="1"/>
    <col min="5378" max="5379" width="9.140625" style="11" customWidth="1"/>
    <col min="5380" max="5381" width="10.5703125" style="11" customWidth="1"/>
    <col min="5382" max="5382" width="1.7109375" style="11" customWidth="1"/>
    <col min="5383" max="5388" width="9.140625" style="11" customWidth="1"/>
    <col min="5389" max="5392" width="8.85546875" style="11"/>
    <col min="5393" max="5393" width="9.140625" style="11" customWidth="1"/>
    <col min="5394" max="5632" width="8.85546875" style="11"/>
    <col min="5633" max="5633" width="9.7109375" style="11" customWidth="1"/>
    <col min="5634" max="5635" width="9.140625" style="11" customWidth="1"/>
    <col min="5636" max="5637" width="10.5703125" style="11" customWidth="1"/>
    <col min="5638" max="5638" width="1.7109375" style="11" customWidth="1"/>
    <col min="5639" max="5644" width="9.140625" style="11" customWidth="1"/>
    <col min="5645" max="5648" width="8.85546875" style="11"/>
    <col min="5649" max="5649" width="9.140625" style="11" customWidth="1"/>
    <col min="5650" max="5888" width="8.85546875" style="11"/>
    <col min="5889" max="5889" width="9.7109375" style="11" customWidth="1"/>
    <col min="5890" max="5891" width="9.140625" style="11" customWidth="1"/>
    <col min="5892" max="5893" width="10.5703125" style="11" customWidth="1"/>
    <col min="5894" max="5894" width="1.7109375" style="11" customWidth="1"/>
    <col min="5895" max="5900" width="9.140625" style="11" customWidth="1"/>
    <col min="5901" max="5904" width="8.85546875" style="11"/>
    <col min="5905" max="5905" width="9.140625" style="11" customWidth="1"/>
    <col min="5906" max="6144" width="8.85546875" style="11"/>
    <col min="6145" max="6145" width="9.7109375" style="11" customWidth="1"/>
    <col min="6146" max="6147" width="9.140625" style="11" customWidth="1"/>
    <col min="6148" max="6149" width="10.5703125" style="11" customWidth="1"/>
    <col min="6150" max="6150" width="1.7109375" style="11" customWidth="1"/>
    <col min="6151" max="6156" width="9.140625" style="11" customWidth="1"/>
    <col min="6157" max="6160" width="8.85546875" style="11"/>
    <col min="6161" max="6161" width="9.140625" style="11" customWidth="1"/>
    <col min="6162" max="6400" width="8.85546875" style="11"/>
    <col min="6401" max="6401" width="9.7109375" style="11" customWidth="1"/>
    <col min="6402" max="6403" width="9.140625" style="11" customWidth="1"/>
    <col min="6404" max="6405" width="10.5703125" style="11" customWidth="1"/>
    <col min="6406" max="6406" width="1.7109375" style="11" customWidth="1"/>
    <col min="6407" max="6412" width="9.140625" style="11" customWidth="1"/>
    <col min="6413" max="6416" width="8.85546875" style="11"/>
    <col min="6417" max="6417" width="9.140625" style="11" customWidth="1"/>
    <col min="6418" max="6656" width="8.85546875" style="11"/>
    <col min="6657" max="6657" width="9.7109375" style="11" customWidth="1"/>
    <col min="6658" max="6659" width="9.140625" style="11" customWidth="1"/>
    <col min="6660" max="6661" width="10.5703125" style="11" customWidth="1"/>
    <col min="6662" max="6662" width="1.7109375" style="11" customWidth="1"/>
    <col min="6663" max="6668" width="9.140625" style="11" customWidth="1"/>
    <col min="6669" max="6672" width="8.85546875" style="11"/>
    <col min="6673" max="6673" width="9.140625" style="11" customWidth="1"/>
    <col min="6674" max="6912" width="8.85546875" style="11"/>
    <col min="6913" max="6913" width="9.7109375" style="11" customWidth="1"/>
    <col min="6914" max="6915" width="9.140625" style="11" customWidth="1"/>
    <col min="6916" max="6917" width="10.5703125" style="11" customWidth="1"/>
    <col min="6918" max="6918" width="1.7109375" style="11" customWidth="1"/>
    <col min="6919" max="6924" width="9.140625" style="11" customWidth="1"/>
    <col min="6925" max="6928" width="8.85546875" style="11"/>
    <col min="6929" max="6929" width="9.140625" style="11" customWidth="1"/>
    <col min="6930" max="7168" width="8.85546875" style="11"/>
    <col min="7169" max="7169" width="9.7109375" style="11" customWidth="1"/>
    <col min="7170" max="7171" width="9.140625" style="11" customWidth="1"/>
    <col min="7172" max="7173" width="10.5703125" style="11" customWidth="1"/>
    <col min="7174" max="7174" width="1.7109375" style="11" customWidth="1"/>
    <col min="7175" max="7180" width="9.140625" style="11" customWidth="1"/>
    <col min="7181" max="7184" width="8.85546875" style="11"/>
    <col min="7185" max="7185" width="9.140625" style="11" customWidth="1"/>
    <col min="7186" max="7424" width="8.85546875" style="11"/>
    <col min="7425" max="7425" width="9.7109375" style="11" customWidth="1"/>
    <col min="7426" max="7427" width="9.140625" style="11" customWidth="1"/>
    <col min="7428" max="7429" width="10.5703125" style="11" customWidth="1"/>
    <col min="7430" max="7430" width="1.7109375" style="11" customWidth="1"/>
    <col min="7431" max="7436" width="9.140625" style="11" customWidth="1"/>
    <col min="7437" max="7440" width="8.85546875" style="11"/>
    <col min="7441" max="7441" width="9.140625" style="11" customWidth="1"/>
    <col min="7442" max="7680" width="8.85546875" style="11"/>
    <col min="7681" max="7681" width="9.7109375" style="11" customWidth="1"/>
    <col min="7682" max="7683" width="9.140625" style="11" customWidth="1"/>
    <col min="7684" max="7685" width="10.5703125" style="11" customWidth="1"/>
    <col min="7686" max="7686" width="1.7109375" style="11" customWidth="1"/>
    <col min="7687" max="7692" width="9.140625" style="11" customWidth="1"/>
    <col min="7693" max="7696" width="8.85546875" style="11"/>
    <col min="7697" max="7697" width="9.140625" style="11" customWidth="1"/>
    <col min="7698" max="7936" width="8.85546875" style="11"/>
    <col min="7937" max="7937" width="9.7109375" style="11" customWidth="1"/>
    <col min="7938" max="7939" width="9.140625" style="11" customWidth="1"/>
    <col min="7940" max="7941" width="10.5703125" style="11" customWidth="1"/>
    <col min="7942" max="7942" width="1.7109375" style="11" customWidth="1"/>
    <col min="7943" max="7948" width="9.140625" style="11" customWidth="1"/>
    <col min="7949" max="7952" width="8.85546875" style="11"/>
    <col min="7953" max="7953" width="9.140625" style="11" customWidth="1"/>
    <col min="7954" max="8192" width="8.85546875" style="11"/>
    <col min="8193" max="8193" width="9.7109375" style="11" customWidth="1"/>
    <col min="8194" max="8195" width="9.140625" style="11" customWidth="1"/>
    <col min="8196" max="8197" width="10.5703125" style="11" customWidth="1"/>
    <col min="8198" max="8198" width="1.7109375" style="11" customWidth="1"/>
    <col min="8199" max="8204" width="9.140625" style="11" customWidth="1"/>
    <col min="8205" max="8208" width="8.85546875" style="11"/>
    <col min="8209" max="8209" width="9.140625" style="11" customWidth="1"/>
    <col min="8210" max="8448" width="8.85546875" style="11"/>
    <col min="8449" max="8449" width="9.7109375" style="11" customWidth="1"/>
    <col min="8450" max="8451" width="9.140625" style="11" customWidth="1"/>
    <col min="8452" max="8453" width="10.5703125" style="11" customWidth="1"/>
    <col min="8454" max="8454" width="1.7109375" style="11" customWidth="1"/>
    <col min="8455" max="8460" width="9.140625" style="11" customWidth="1"/>
    <col min="8461" max="8464" width="8.85546875" style="11"/>
    <col min="8465" max="8465" width="9.140625" style="11" customWidth="1"/>
    <col min="8466" max="8704" width="8.85546875" style="11"/>
    <col min="8705" max="8705" width="9.7109375" style="11" customWidth="1"/>
    <col min="8706" max="8707" width="9.140625" style="11" customWidth="1"/>
    <col min="8708" max="8709" width="10.5703125" style="11" customWidth="1"/>
    <col min="8710" max="8710" width="1.7109375" style="11" customWidth="1"/>
    <col min="8711" max="8716" width="9.140625" style="11" customWidth="1"/>
    <col min="8717" max="8720" width="8.85546875" style="11"/>
    <col min="8721" max="8721" width="9.140625" style="11" customWidth="1"/>
    <col min="8722" max="8960" width="8.85546875" style="11"/>
    <col min="8961" max="8961" width="9.7109375" style="11" customWidth="1"/>
    <col min="8962" max="8963" width="9.140625" style="11" customWidth="1"/>
    <col min="8964" max="8965" width="10.5703125" style="11" customWidth="1"/>
    <col min="8966" max="8966" width="1.7109375" style="11" customWidth="1"/>
    <col min="8967" max="8972" width="9.140625" style="11" customWidth="1"/>
    <col min="8973" max="8976" width="8.85546875" style="11"/>
    <col min="8977" max="8977" width="9.140625" style="11" customWidth="1"/>
    <col min="8978" max="9216" width="8.85546875" style="11"/>
    <col min="9217" max="9217" width="9.7109375" style="11" customWidth="1"/>
    <col min="9218" max="9219" width="9.140625" style="11" customWidth="1"/>
    <col min="9220" max="9221" width="10.5703125" style="11" customWidth="1"/>
    <col min="9222" max="9222" width="1.7109375" style="11" customWidth="1"/>
    <col min="9223" max="9228" width="9.140625" style="11" customWidth="1"/>
    <col min="9229" max="9232" width="8.85546875" style="11"/>
    <col min="9233" max="9233" width="9.140625" style="11" customWidth="1"/>
    <col min="9234" max="9472" width="8.85546875" style="11"/>
    <col min="9473" max="9473" width="9.7109375" style="11" customWidth="1"/>
    <col min="9474" max="9475" width="9.140625" style="11" customWidth="1"/>
    <col min="9476" max="9477" width="10.5703125" style="11" customWidth="1"/>
    <col min="9478" max="9478" width="1.7109375" style="11" customWidth="1"/>
    <col min="9479" max="9484" width="9.140625" style="11" customWidth="1"/>
    <col min="9485" max="9488" width="8.85546875" style="11"/>
    <col min="9489" max="9489" width="9.140625" style="11" customWidth="1"/>
    <col min="9490" max="9728" width="8.85546875" style="11"/>
    <col min="9729" max="9729" width="9.7109375" style="11" customWidth="1"/>
    <col min="9730" max="9731" width="9.140625" style="11" customWidth="1"/>
    <col min="9732" max="9733" width="10.5703125" style="11" customWidth="1"/>
    <col min="9734" max="9734" width="1.7109375" style="11" customWidth="1"/>
    <col min="9735" max="9740" width="9.140625" style="11" customWidth="1"/>
    <col min="9741" max="9744" width="8.85546875" style="11"/>
    <col min="9745" max="9745" width="9.140625" style="11" customWidth="1"/>
    <col min="9746" max="9984" width="8.85546875" style="11"/>
    <col min="9985" max="9985" width="9.7109375" style="11" customWidth="1"/>
    <col min="9986" max="9987" width="9.140625" style="11" customWidth="1"/>
    <col min="9988" max="9989" width="10.5703125" style="11" customWidth="1"/>
    <col min="9990" max="9990" width="1.7109375" style="11" customWidth="1"/>
    <col min="9991" max="9996" width="9.140625" style="11" customWidth="1"/>
    <col min="9997" max="10000" width="8.85546875" style="11"/>
    <col min="10001" max="10001" width="9.140625" style="11" customWidth="1"/>
    <col min="10002" max="10240" width="8.85546875" style="11"/>
    <col min="10241" max="10241" width="9.7109375" style="11" customWidth="1"/>
    <col min="10242" max="10243" width="9.140625" style="11" customWidth="1"/>
    <col min="10244" max="10245" width="10.5703125" style="11" customWidth="1"/>
    <col min="10246" max="10246" width="1.7109375" style="11" customWidth="1"/>
    <col min="10247" max="10252" width="9.140625" style="11" customWidth="1"/>
    <col min="10253" max="10256" width="8.85546875" style="11"/>
    <col min="10257" max="10257" width="9.140625" style="11" customWidth="1"/>
    <col min="10258" max="10496" width="8.85546875" style="11"/>
    <col min="10497" max="10497" width="9.7109375" style="11" customWidth="1"/>
    <col min="10498" max="10499" width="9.140625" style="11" customWidth="1"/>
    <col min="10500" max="10501" width="10.5703125" style="11" customWidth="1"/>
    <col min="10502" max="10502" width="1.7109375" style="11" customWidth="1"/>
    <col min="10503" max="10508" width="9.140625" style="11" customWidth="1"/>
    <col min="10509" max="10512" width="8.85546875" style="11"/>
    <col min="10513" max="10513" width="9.140625" style="11" customWidth="1"/>
    <col min="10514" max="10752" width="8.85546875" style="11"/>
    <col min="10753" max="10753" width="9.7109375" style="11" customWidth="1"/>
    <col min="10754" max="10755" width="9.140625" style="11" customWidth="1"/>
    <col min="10756" max="10757" width="10.5703125" style="11" customWidth="1"/>
    <col min="10758" max="10758" width="1.7109375" style="11" customWidth="1"/>
    <col min="10759" max="10764" width="9.140625" style="11" customWidth="1"/>
    <col min="10765" max="10768" width="8.85546875" style="11"/>
    <col min="10769" max="10769" width="9.140625" style="11" customWidth="1"/>
    <col min="10770" max="11008" width="8.85546875" style="11"/>
    <col min="11009" max="11009" width="9.7109375" style="11" customWidth="1"/>
    <col min="11010" max="11011" width="9.140625" style="11" customWidth="1"/>
    <col min="11012" max="11013" width="10.5703125" style="11" customWidth="1"/>
    <col min="11014" max="11014" width="1.7109375" style="11" customWidth="1"/>
    <col min="11015" max="11020" width="9.140625" style="11" customWidth="1"/>
    <col min="11021" max="11024" width="8.85546875" style="11"/>
    <col min="11025" max="11025" width="9.140625" style="11" customWidth="1"/>
    <col min="11026" max="11264" width="8.85546875" style="11"/>
    <col min="11265" max="11265" width="9.7109375" style="11" customWidth="1"/>
    <col min="11266" max="11267" width="9.140625" style="11" customWidth="1"/>
    <col min="11268" max="11269" width="10.5703125" style="11" customWidth="1"/>
    <col min="11270" max="11270" width="1.7109375" style="11" customWidth="1"/>
    <col min="11271" max="11276" width="9.140625" style="11" customWidth="1"/>
    <col min="11277" max="11280" width="8.85546875" style="11"/>
    <col min="11281" max="11281" width="9.140625" style="11" customWidth="1"/>
    <col min="11282" max="11520" width="8.85546875" style="11"/>
    <col min="11521" max="11521" width="9.7109375" style="11" customWidth="1"/>
    <col min="11522" max="11523" width="9.140625" style="11" customWidth="1"/>
    <col min="11524" max="11525" width="10.5703125" style="11" customWidth="1"/>
    <col min="11526" max="11526" width="1.7109375" style="11" customWidth="1"/>
    <col min="11527" max="11532" width="9.140625" style="11" customWidth="1"/>
    <col min="11533" max="11536" width="8.85546875" style="11"/>
    <col min="11537" max="11537" width="9.140625" style="11" customWidth="1"/>
    <col min="11538" max="11776" width="8.85546875" style="11"/>
    <col min="11777" max="11777" width="9.7109375" style="11" customWidth="1"/>
    <col min="11778" max="11779" width="9.140625" style="11" customWidth="1"/>
    <col min="11780" max="11781" width="10.5703125" style="11" customWidth="1"/>
    <col min="11782" max="11782" width="1.7109375" style="11" customWidth="1"/>
    <col min="11783" max="11788" width="9.140625" style="11" customWidth="1"/>
    <col min="11789" max="11792" width="8.85546875" style="11"/>
    <col min="11793" max="11793" width="9.140625" style="11" customWidth="1"/>
    <col min="11794" max="12032" width="8.85546875" style="11"/>
    <col min="12033" max="12033" width="9.7109375" style="11" customWidth="1"/>
    <col min="12034" max="12035" width="9.140625" style="11" customWidth="1"/>
    <col min="12036" max="12037" width="10.5703125" style="11" customWidth="1"/>
    <col min="12038" max="12038" width="1.7109375" style="11" customWidth="1"/>
    <col min="12039" max="12044" width="9.140625" style="11" customWidth="1"/>
    <col min="12045" max="12048" width="8.85546875" style="11"/>
    <col min="12049" max="12049" width="9.140625" style="11" customWidth="1"/>
    <col min="12050" max="12288" width="8.85546875" style="11"/>
    <col min="12289" max="12289" width="9.7109375" style="11" customWidth="1"/>
    <col min="12290" max="12291" width="9.140625" style="11" customWidth="1"/>
    <col min="12292" max="12293" width="10.5703125" style="11" customWidth="1"/>
    <col min="12294" max="12294" width="1.7109375" style="11" customWidth="1"/>
    <col min="12295" max="12300" width="9.140625" style="11" customWidth="1"/>
    <col min="12301" max="12304" width="8.85546875" style="11"/>
    <col min="12305" max="12305" width="9.140625" style="11" customWidth="1"/>
    <col min="12306" max="12544" width="8.85546875" style="11"/>
    <col min="12545" max="12545" width="9.7109375" style="11" customWidth="1"/>
    <col min="12546" max="12547" width="9.140625" style="11" customWidth="1"/>
    <col min="12548" max="12549" width="10.5703125" style="11" customWidth="1"/>
    <col min="12550" max="12550" width="1.7109375" style="11" customWidth="1"/>
    <col min="12551" max="12556" width="9.140625" style="11" customWidth="1"/>
    <col min="12557" max="12560" width="8.85546875" style="11"/>
    <col min="12561" max="12561" width="9.140625" style="11" customWidth="1"/>
    <col min="12562" max="12800" width="8.85546875" style="11"/>
    <col min="12801" max="12801" width="9.7109375" style="11" customWidth="1"/>
    <col min="12802" max="12803" width="9.140625" style="11" customWidth="1"/>
    <col min="12804" max="12805" width="10.5703125" style="11" customWidth="1"/>
    <col min="12806" max="12806" width="1.7109375" style="11" customWidth="1"/>
    <col min="12807" max="12812" width="9.140625" style="11" customWidth="1"/>
    <col min="12813" max="12816" width="8.85546875" style="11"/>
    <col min="12817" max="12817" width="9.140625" style="11" customWidth="1"/>
    <col min="12818" max="13056" width="8.85546875" style="11"/>
    <col min="13057" max="13057" width="9.7109375" style="11" customWidth="1"/>
    <col min="13058" max="13059" width="9.140625" style="11" customWidth="1"/>
    <col min="13060" max="13061" width="10.5703125" style="11" customWidth="1"/>
    <col min="13062" max="13062" width="1.7109375" style="11" customWidth="1"/>
    <col min="13063" max="13068" width="9.140625" style="11" customWidth="1"/>
    <col min="13069" max="13072" width="8.85546875" style="11"/>
    <col min="13073" max="13073" width="9.140625" style="11" customWidth="1"/>
    <col min="13074" max="13312" width="8.85546875" style="11"/>
    <col min="13313" max="13313" width="9.7109375" style="11" customWidth="1"/>
    <col min="13314" max="13315" width="9.140625" style="11" customWidth="1"/>
    <col min="13316" max="13317" width="10.5703125" style="11" customWidth="1"/>
    <col min="13318" max="13318" width="1.7109375" style="11" customWidth="1"/>
    <col min="13319" max="13324" width="9.140625" style="11" customWidth="1"/>
    <col min="13325" max="13328" width="8.85546875" style="11"/>
    <col min="13329" max="13329" width="9.140625" style="11" customWidth="1"/>
    <col min="13330" max="13568" width="8.85546875" style="11"/>
    <col min="13569" max="13569" width="9.7109375" style="11" customWidth="1"/>
    <col min="13570" max="13571" width="9.140625" style="11" customWidth="1"/>
    <col min="13572" max="13573" width="10.5703125" style="11" customWidth="1"/>
    <col min="13574" max="13574" width="1.7109375" style="11" customWidth="1"/>
    <col min="13575" max="13580" width="9.140625" style="11" customWidth="1"/>
    <col min="13581" max="13584" width="8.85546875" style="11"/>
    <col min="13585" max="13585" width="9.140625" style="11" customWidth="1"/>
    <col min="13586" max="13824" width="8.85546875" style="11"/>
    <col min="13825" max="13825" width="9.7109375" style="11" customWidth="1"/>
    <col min="13826" max="13827" width="9.140625" style="11" customWidth="1"/>
    <col min="13828" max="13829" width="10.5703125" style="11" customWidth="1"/>
    <col min="13830" max="13830" width="1.7109375" style="11" customWidth="1"/>
    <col min="13831" max="13836" width="9.140625" style="11" customWidth="1"/>
    <col min="13837" max="13840" width="8.85546875" style="11"/>
    <col min="13841" max="13841" width="9.140625" style="11" customWidth="1"/>
    <col min="13842" max="14080" width="8.85546875" style="11"/>
    <col min="14081" max="14081" width="9.7109375" style="11" customWidth="1"/>
    <col min="14082" max="14083" width="9.140625" style="11" customWidth="1"/>
    <col min="14084" max="14085" width="10.5703125" style="11" customWidth="1"/>
    <col min="14086" max="14086" width="1.7109375" style="11" customWidth="1"/>
    <col min="14087" max="14092" width="9.140625" style="11" customWidth="1"/>
    <col min="14093" max="14096" width="8.85546875" style="11"/>
    <col min="14097" max="14097" width="9.140625" style="11" customWidth="1"/>
    <col min="14098" max="14336" width="8.85546875" style="11"/>
    <col min="14337" max="14337" width="9.7109375" style="11" customWidth="1"/>
    <col min="14338" max="14339" width="9.140625" style="11" customWidth="1"/>
    <col min="14340" max="14341" width="10.5703125" style="11" customWidth="1"/>
    <col min="14342" max="14342" width="1.7109375" style="11" customWidth="1"/>
    <col min="14343" max="14348" width="9.140625" style="11" customWidth="1"/>
    <col min="14349" max="14352" width="8.85546875" style="11"/>
    <col min="14353" max="14353" width="9.140625" style="11" customWidth="1"/>
    <col min="14354" max="14592" width="8.85546875" style="11"/>
    <col min="14593" max="14593" width="9.7109375" style="11" customWidth="1"/>
    <col min="14594" max="14595" width="9.140625" style="11" customWidth="1"/>
    <col min="14596" max="14597" width="10.5703125" style="11" customWidth="1"/>
    <col min="14598" max="14598" width="1.7109375" style="11" customWidth="1"/>
    <col min="14599" max="14604" width="9.140625" style="11" customWidth="1"/>
    <col min="14605" max="14608" width="8.85546875" style="11"/>
    <col min="14609" max="14609" width="9.140625" style="11" customWidth="1"/>
    <col min="14610" max="14848" width="8.85546875" style="11"/>
    <col min="14849" max="14849" width="9.7109375" style="11" customWidth="1"/>
    <col min="14850" max="14851" width="9.140625" style="11" customWidth="1"/>
    <col min="14852" max="14853" width="10.5703125" style="11" customWidth="1"/>
    <col min="14854" max="14854" width="1.7109375" style="11" customWidth="1"/>
    <col min="14855" max="14860" width="9.140625" style="11" customWidth="1"/>
    <col min="14861" max="14864" width="8.85546875" style="11"/>
    <col min="14865" max="14865" width="9.140625" style="11" customWidth="1"/>
    <col min="14866" max="15104" width="8.85546875" style="11"/>
    <col min="15105" max="15105" width="9.7109375" style="11" customWidth="1"/>
    <col min="15106" max="15107" width="9.140625" style="11" customWidth="1"/>
    <col min="15108" max="15109" width="10.5703125" style="11" customWidth="1"/>
    <col min="15110" max="15110" width="1.7109375" style="11" customWidth="1"/>
    <col min="15111" max="15116" width="9.140625" style="11" customWidth="1"/>
    <col min="15117" max="15120" width="8.85546875" style="11"/>
    <col min="15121" max="15121" width="9.140625" style="11" customWidth="1"/>
    <col min="15122" max="15360" width="8.85546875" style="11"/>
    <col min="15361" max="15361" width="9.7109375" style="11" customWidth="1"/>
    <col min="15362" max="15363" width="9.140625" style="11" customWidth="1"/>
    <col min="15364" max="15365" width="10.5703125" style="11" customWidth="1"/>
    <col min="15366" max="15366" width="1.7109375" style="11" customWidth="1"/>
    <col min="15367" max="15372" width="9.140625" style="11" customWidth="1"/>
    <col min="15373" max="15376" width="8.85546875" style="11"/>
    <col min="15377" max="15377" width="9.140625" style="11" customWidth="1"/>
    <col min="15378" max="15616" width="8.85546875" style="11"/>
    <col min="15617" max="15617" width="9.7109375" style="11" customWidth="1"/>
    <col min="15618" max="15619" width="9.140625" style="11" customWidth="1"/>
    <col min="15620" max="15621" width="10.5703125" style="11" customWidth="1"/>
    <col min="15622" max="15622" width="1.7109375" style="11" customWidth="1"/>
    <col min="15623" max="15628" width="9.140625" style="11" customWidth="1"/>
    <col min="15629" max="15632" width="8.85546875" style="11"/>
    <col min="15633" max="15633" width="9.140625" style="11" customWidth="1"/>
    <col min="15634" max="15872" width="8.85546875" style="11"/>
    <col min="15873" max="15873" width="9.7109375" style="11" customWidth="1"/>
    <col min="15874" max="15875" width="9.140625" style="11" customWidth="1"/>
    <col min="15876" max="15877" width="10.5703125" style="11" customWidth="1"/>
    <col min="15878" max="15878" width="1.7109375" style="11" customWidth="1"/>
    <col min="15879" max="15884" width="9.140625" style="11" customWidth="1"/>
    <col min="15885" max="15888" width="8.85546875" style="11"/>
    <col min="15889" max="15889" width="9.140625" style="11" customWidth="1"/>
    <col min="15890" max="16128" width="8.85546875" style="11"/>
    <col min="16129" max="16129" width="9.7109375" style="11" customWidth="1"/>
    <col min="16130" max="16131" width="9.140625" style="11" customWidth="1"/>
    <col min="16132" max="16133" width="10.5703125" style="11" customWidth="1"/>
    <col min="16134" max="16134" width="1.7109375" style="11" customWidth="1"/>
    <col min="16135" max="16140" width="9.140625" style="11" customWidth="1"/>
    <col min="16141" max="16144" width="8.85546875" style="11"/>
    <col min="16145" max="16145" width="9.140625" style="11" customWidth="1"/>
    <col min="16146" max="16384" width="8.85546875" style="11"/>
  </cols>
  <sheetData>
    <row r="1" spans="1:31" x14ac:dyDescent="0.2">
      <c r="A1" s="2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/>
      <c r="G1" s="19" t="s">
        <v>5</v>
      </c>
      <c r="H1" s="19" t="s">
        <v>6</v>
      </c>
      <c r="I1" s="19"/>
      <c r="J1" s="19" t="s">
        <v>7</v>
      </c>
      <c r="K1" s="19"/>
      <c r="L1" s="25" t="s">
        <v>8</v>
      </c>
      <c r="M1" s="25"/>
      <c r="N1" s="25"/>
      <c r="O1" s="25"/>
      <c r="Q1" s="25" t="s">
        <v>29</v>
      </c>
      <c r="R1" s="25"/>
      <c r="S1" s="25"/>
      <c r="T1" s="25"/>
      <c r="W1" s="25"/>
      <c r="X1" s="25"/>
      <c r="Y1" s="25"/>
      <c r="Z1" s="25"/>
    </row>
    <row r="2" spans="1:31" x14ac:dyDescent="0.2">
      <c r="B2" s="3"/>
      <c r="C2" s="3"/>
      <c r="D2" s="3" t="s">
        <v>18</v>
      </c>
      <c r="E2" s="23">
        <f ca="1">MAX(E4:E2000)</f>
        <v>9.0714554619915844E-2</v>
      </c>
      <c r="F2" s="3"/>
      <c r="G2" s="24">
        <f ca="1">SUM(G4:G2000)/COUNT(G4:G2000)</f>
        <v>0.51007423117709438</v>
      </c>
      <c r="H2" s="23">
        <f ca="1">D982/SUM(H4:H2000)</f>
        <v>0.10276240385376789</v>
      </c>
      <c r="I2" s="3"/>
      <c r="J2" s="3"/>
      <c r="K2" s="3"/>
      <c r="L2" s="7" t="s">
        <v>9</v>
      </c>
      <c r="M2" s="7" t="s">
        <v>10</v>
      </c>
      <c r="N2" s="7" t="s">
        <v>11</v>
      </c>
      <c r="O2" s="7" t="s">
        <v>12</v>
      </c>
      <c r="Q2" s="7" t="s">
        <v>9</v>
      </c>
      <c r="R2" s="7" t="s">
        <v>10</v>
      </c>
      <c r="S2" s="7" t="s">
        <v>11</v>
      </c>
      <c r="T2" s="7" t="s">
        <v>12</v>
      </c>
      <c r="W2" s="7"/>
      <c r="X2" s="7"/>
      <c r="Y2" s="7"/>
      <c r="Z2" s="7"/>
    </row>
    <row r="3" spans="1:31" x14ac:dyDescent="0.2">
      <c r="B3" s="8"/>
      <c r="C3" s="8"/>
      <c r="D3" s="3" t="s">
        <v>17</v>
      </c>
      <c r="E3" s="12">
        <f ca="1">MAX(E4:E352)</f>
        <v>5.127056873222291E-2</v>
      </c>
      <c r="F3" s="3"/>
      <c r="G3" s="12">
        <f ca="1">SUM(G4:G352)/COUNT(G4:G352)</f>
        <v>0.50798722044728439</v>
      </c>
      <c r="H3" s="12">
        <f ca="1">D352/SUM(H4:H352)</f>
        <v>7.6718594431437789E-2</v>
      </c>
      <c r="I3" s="8"/>
      <c r="J3" s="8"/>
      <c r="K3" s="8"/>
      <c r="L3" s="9"/>
      <c r="M3" s="9"/>
      <c r="N3" s="9">
        <v>2</v>
      </c>
      <c r="O3" s="9">
        <v>0.1</v>
      </c>
      <c r="P3" s="9"/>
      <c r="Q3" s="9"/>
      <c r="R3" s="9"/>
      <c r="S3" s="9">
        <v>4</v>
      </c>
      <c r="T3" s="9">
        <v>0.02</v>
      </c>
      <c r="W3" s="9"/>
      <c r="X3" s="9"/>
      <c r="Y3" s="9"/>
      <c r="Z3" s="1"/>
    </row>
    <row r="4" spans="1:31" x14ac:dyDescent="0.2">
      <c r="A4" s="4">
        <v>33512</v>
      </c>
      <c r="B4" s="9"/>
      <c r="C4" s="9"/>
      <c r="D4" s="9"/>
      <c r="E4" s="9"/>
      <c r="F4" s="9"/>
      <c r="G4" s="9"/>
      <c r="H4" s="9"/>
      <c r="I4" s="13"/>
      <c r="J4" s="9"/>
      <c r="K4" s="9"/>
      <c r="L4" s="9">
        <v>1</v>
      </c>
      <c r="M4" s="1">
        <v>0.01</v>
      </c>
      <c r="N4" s="9"/>
      <c r="O4" s="9"/>
      <c r="P4" s="9"/>
      <c r="Q4" s="9">
        <v>1</v>
      </c>
      <c r="R4" s="1">
        <v>0.01</v>
      </c>
      <c r="S4" s="9"/>
      <c r="T4" s="9"/>
      <c r="W4" s="1"/>
      <c r="X4" s="1"/>
      <c r="Y4" s="9"/>
      <c r="Z4" s="9"/>
    </row>
    <row r="5" spans="1:31" x14ac:dyDescent="0.2">
      <c r="A5" s="4">
        <v>33513</v>
      </c>
      <c r="B5" s="9"/>
      <c r="C5" s="9"/>
      <c r="D5" s="9"/>
      <c r="E5" s="9"/>
      <c r="F5" s="9"/>
      <c r="G5" s="9"/>
      <c r="H5" s="9"/>
      <c r="I5" s="13"/>
      <c r="J5" s="9"/>
      <c r="K5" s="9"/>
      <c r="L5" s="9">
        <f>L4-O5*Prices!C5</f>
        <v>1</v>
      </c>
      <c r="M5" s="1">
        <f>M4+O5</f>
        <v>0.01</v>
      </c>
      <c r="N5" s="13"/>
      <c r="O5" s="9"/>
      <c r="P5" s="9"/>
      <c r="Q5" s="9">
        <f>Q4-T5*Prices!C5</f>
        <v>1</v>
      </c>
      <c r="R5" s="1">
        <f t="shared" ref="R5:R17" si="0">R4+T5</f>
        <v>0.01</v>
      </c>
      <c r="S5" s="9"/>
      <c r="T5" s="9"/>
      <c r="W5" s="1"/>
      <c r="X5" s="1"/>
      <c r="Y5" s="13"/>
      <c r="Z5" s="9"/>
    </row>
    <row r="6" spans="1:31" x14ac:dyDescent="0.2">
      <c r="A6" s="4">
        <v>33514</v>
      </c>
      <c r="B6" s="9"/>
      <c r="C6" s="9"/>
      <c r="D6" s="9"/>
      <c r="E6" s="9"/>
      <c r="F6" s="9"/>
      <c r="G6" s="9"/>
      <c r="H6" s="9"/>
      <c r="I6" s="13"/>
      <c r="J6" s="9"/>
      <c r="K6" s="9"/>
      <c r="L6" s="9">
        <f>L5-O6*Prices!C6</f>
        <v>1</v>
      </c>
      <c r="M6" s="1">
        <f>M5+O6</f>
        <v>0.01</v>
      </c>
      <c r="N6" s="13"/>
      <c r="O6" s="9"/>
      <c r="P6" s="9"/>
      <c r="Q6" s="9">
        <f>Q5-T6*Prices!C6</f>
        <v>1</v>
      </c>
      <c r="R6" s="1">
        <f t="shared" si="0"/>
        <v>0.01</v>
      </c>
      <c r="S6" s="9"/>
      <c r="T6" s="9"/>
      <c r="W6" s="1"/>
      <c r="X6" s="1"/>
      <c r="Y6" s="13"/>
      <c r="Z6" s="9"/>
    </row>
    <row r="7" spans="1:31" x14ac:dyDescent="0.2">
      <c r="A7" s="4">
        <v>33515</v>
      </c>
      <c r="B7" s="9"/>
      <c r="C7" s="9"/>
      <c r="D7" s="9"/>
      <c r="E7" s="9"/>
      <c r="F7" s="9"/>
      <c r="G7" s="9"/>
      <c r="H7" s="9"/>
      <c r="I7" s="13"/>
      <c r="J7" s="9"/>
      <c r="K7" s="9"/>
      <c r="L7" s="9">
        <f>L6-O7*Prices!C7</f>
        <v>1</v>
      </c>
      <c r="M7" s="1">
        <f>M6+O7</f>
        <v>0.01</v>
      </c>
      <c r="N7" s="9"/>
      <c r="O7" s="9"/>
      <c r="P7" s="14"/>
      <c r="Q7" s="9">
        <f>Q6-T7*Prices!C7</f>
        <v>1</v>
      </c>
      <c r="R7" s="1">
        <f t="shared" si="0"/>
        <v>0.01</v>
      </c>
      <c r="S7" s="9"/>
      <c r="T7" s="9"/>
      <c r="U7" s="15"/>
      <c r="W7" s="1"/>
      <c r="X7" s="1"/>
      <c r="Y7" s="9"/>
      <c r="Z7" s="9"/>
    </row>
    <row r="8" spans="1:31" x14ac:dyDescent="0.2">
      <c r="A8" s="4">
        <v>33518</v>
      </c>
      <c r="B8" s="9"/>
      <c r="C8" s="9"/>
      <c r="D8" s="9"/>
      <c r="E8" s="9"/>
      <c r="F8" s="9"/>
      <c r="G8" s="13"/>
      <c r="H8" s="9"/>
      <c r="I8" s="13"/>
      <c r="J8" s="1"/>
      <c r="K8" s="9"/>
      <c r="L8" s="9">
        <f>L7-O8*Prices!C8</f>
        <v>1</v>
      </c>
      <c r="M8" s="1">
        <f>M7+O8</f>
        <v>0.01</v>
      </c>
      <c r="N8" s="9"/>
      <c r="O8" s="1"/>
      <c r="P8" s="14"/>
      <c r="Q8" s="9">
        <f>Q7-T8*Prices!C8</f>
        <v>1</v>
      </c>
      <c r="R8" s="1">
        <f t="shared" si="0"/>
        <v>0.01</v>
      </c>
      <c r="S8" s="9"/>
      <c r="T8" s="1"/>
      <c r="U8" s="15"/>
      <c r="V8" s="9"/>
      <c r="W8" s="1"/>
      <c r="X8" s="1"/>
      <c r="Y8" s="9"/>
      <c r="Z8" s="1"/>
    </row>
    <row r="9" spans="1:31" x14ac:dyDescent="0.2">
      <c r="A9" s="4">
        <v>33519</v>
      </c>
      <c r="B9" s="9"/>
      <c r="C9" s="9"/>
      <c r="D9" s="9"/>
      <c r="E9" s="9"/>
      <c r="F9" s="9"/>
      <c r="G9" s="13"/>
      <c r="H9" s="9"/>
      <c r="I9" s="13"/>
      <c r="J9" s="1"/>
      <c r="K9" s="9"/>
      <c r="L9" s="9">
        <f>L8-O9*Prices!C9</f>
        <v>1</v>
      </c>
      <c r="M9" s="1">
        <f t="shared" ref="M9:M17" si="1">M8+O9</f>
        <v>0.01</v>
      </c>
      <c r="N9" s="9"/>
      <c r="O9" s="1"/>
      <c r="P9" s="14"/>
      <c r="Q9" s="9">
        <f>Q8-T9*Prices!C9</f>
        <v>1</v>
      </c>
      <c r="R9" s="1">
        <f t="shared" si="0"/>
        <v>0.01</v>
      </c>
      <c r="S9" s="9"/>
      <c r="T9" s="1"/>
      <c r="V9" s="9"/>
      <c r="W9" s="1"/>
      <c r="X9" s="1"/>
      <c r="Y9" s="9"/>
      <c r="Z9" s="1"/>
    </row>
    <row r="10" spans="1:31" x14ac:dyDescent="0.2">
      <c r="A10" s="4">
        <v>33520</v>
      </c>
      <c r="B10" s="9"/>
      <c r="C10" s="9"/>
      <c r="D10" s="9"/>
      <c r="E10" s="9"/>
      <c r="F10" s="9"/>
      <c r="G10" s="13"/>
      <c r="H10" s="9"/>
      <c r="I10" s="13"/>
      <c r="J10" s="1"/>
      <c r="K10" s="9"/>
      <c r="L10" s="9">
        <f>L9-O10*Prices!C10</f>
        <v>1</v>
      </c>
      <c r="M10" s="1">
        <f t="shared" si="1"/>
        <v>0.01</v>
      </c>
      <c r="N10" s="9"/>
      <c r="O10" s="1"/>
      <c r="P10" s="14"/>
      <c r="Q10" s="9">
        <f>Q9-T10*Prices!C10</f>
        <v>1</v>
      </c>
      <c r="R10" s="1">
        <f t="shared" si="0"/>
        <v>0.01</v>
      </c>
      <c r="S10" s="9"/>
      <c r="T10" s="1"/>
      <c r="V10" s="9"/>
      <c r="W10" s="1"/>
      <c r="X10" s="1"/>
      <c r="Y10" s="9"/>
      <c r="Z10" s="1"/>
    </row>
    <row r="11" spans="1:31" x14ac:dyDescent="0.2">
      <c r="A11" s="4">
        <v>33521</v>
      </c>
      <c r="B11" s="9"/>
      <c r="C11" s="9"/>
      <c r="D11" s="9"/>
      <c r="E11" s="9"/>
      <c r="F11" s="9"/>
      <c r="G11" s="13"/>
      <c r="H11" s="9"/>
      <c r="I11" s="13"/>
      <c r="J11" s="1"/>
      <c r="K11" s="9"/>
      <c r="L11" s="9">
        <f>L10-O11*Prices!C11</f>
        <v>1</v>
      </c>
      <c r="M11" s="1">
        <f t="shared" si="1"/>
        <v>0.01</v>
      </c>
      <c r="N11" s="9"/>
      <c r="O11" s="1"/>
      <c r="P11" s="14"/>
      <c r="Q11" s="9">
        <f>Q10-T11*Prices!C11</f>
        <v>1</v>
      </c>
      <c r="R11" s="1">
        <f t="shared" si="0"/>
        <v>0.01</v>
      </c>
      <c r="S11" s="9"/>
      <c r="T11" s="1"/>
      <c r="V11" s="9"/>
      <c r="W11" s="1"/>
      <c r="X11" s="1"/>
      <c r="Y11" s="9"/>
      <c r="Z11" s="1"/>
    </row>
    <row r="12" spans="1:31" x14ac:dyDescent="0.2">
      <c r="A12" s="4">
        <v>33522</v>
      </c>
      <c r="B12" s="9"/>
      <c r="C12" s="9"/>
      <c r="D12" s="9"/>
      <c r="E12" s="9"/>
      <c r="F12" s="9"/>
      <c r="G12" s="13"/>
      <c r="H12" s="9"/>
      <c r="I12" s="13"/>
      <c r="J12" s="1"/>
      <c r="K12" s="9"/>
      <c r="L12" s="9">
        <f>L11-O12*Prices!C12</f>
        <v>1</v>
      </c>
      <c r="M12" s="1">
        <f t="shared" si="1"/>
        <v>0.01</v>
      </c>
      <c r="N12" s="9"/>
      <c r="O12" s="1"/>
      <c r="P12" s="14"/>
      <c r="Q12" s="9">
        <f>Q11-T12*Prices!C12</f>
        <v>1</v>
      </c>
      <c r="R12" s="1">
        <f t="shared" si="0"/>
        <v>0.01</v>
      </c>
      <c r="S12" s="9"/>
      <c r="T12" s="1"/>
      <c r="V12" s="9"/>
      <c r="W12" s="1"/>
      <c r="X12" s="1"/>
      <c r="Y12" s="9"/>
      <c r="Z12" s="1"/>
    </row>
    <row r="13" spans="1:31" x14ac:dyDescent="0.2">
      <c r="A13" s="4">
        <v>33525</v>
      </c>
      <c r="B13" s="9"/>
      <c r="C13" s="9"/>
      <c r="D13" s="9"/>
      <c r="E13" s="9"/>
      <c r="F13" s="9"/>
      <c r="G13" s="13"/>
      <c r="H13" s="9"/>
      <c r="I13" s="13"/>
      <c r="J13" s="1"/>
      <c r="K13" s="9"/>
      <c r="L13" s="9">
        <f>L12-O13*Prices!C13</f>
        <v>1</v>
      </c>
      <c r="M13" s="1">
        <f t="shared" si="1"/>
        <v>0.01</v>
      </c>
      <c r="N13" s="9"/>
      <c r="O13" s="1"/>
      <c r="P13" s="14"/>
      <c r="Q13" s="9">
        <f>Q12-T13*Prices!C13</f>
        <v>1</v>
      </c>
      <c r="R13" s="1">
        <f t="shared" si="0"/>
        <v>0.01</v>
      </c>
      <c r="S13" s="9"/>
      <c r="T13" s="1"/>
      <c r="V13" s="9"/>
      <c r="W13" s="1"/>
      <c r="X13" s="1"/>
      <c r="Y13" s="9"/>
      <c r="Z13" s="1"/>
    </row>
    <row r="14" spans="1:31" x14ac:dyDescent="0.2">
      <c r="A14" s="4">
        <v>33526</v>
      </c>
      <c r="B14" s="9"/>
      <c r="C14" s="9"/>
      <c r="D14" s="9"/>
      <c r="E14" s="9"/>
      <c r="F14" s="9"/>
      <c r="G14" s="13"/>
      <c r="H14" s="9"/>
      <c r="I14" s="13"/>
      <c r="J14" s="1"/>
      <c r="K14" s="9"/>
      <c r="L14" s="9">
        <f>L13-O14*Prices!C14</f>
        <v>1</v>
      </c>
      <c r="M14" s="1">
        <f t="shared" si="1"/>
        <v>0.01</v>
      </c>
      <c r="N14" s="9"/>
      <c r="O14" s="1"/>
      <c r="P14" s="14"/>
      <c r="Q14" s="9">
        <f>Q13-T14*Prices!C14</f>
        <v>1</v>
      </c>
      <c r="R14" s="1">
        <f t="shared" si="0"/>
        <v>0.01</v>
      </c>
      <c r="S14" s="9"/>
      <c r="T14" s="1"/>
      <c r="V14" s="9"/>
      <c r="W14" s="1"/>
      <c r="X14" s="1"/>
      <c r="Y14" s="1"/>
      <c r="Z14" s="1"/>
      <c r="AA14" s="9"/>
      <c r="AB14" s="1"/>
      <c r="AC14" s="1"/>
      <c r="AD14" s="1"/>
      <c r="AE14" s="16"/>
    </row>
    <row r="15" spans="1:31" x14ac:dyDescent="0.2">
      <c r="A15" s="4">
        <v>33527</v>
      </c>
      <c r="B15" s="9"/>
      <c r="C15" s="9"/>
      <c r="D15" s="9"/>
      <c r="E15" s="9"/>
      <c r="F15" s="9"/>
      <c r="G15" s="13"/>
      <c r="H15" s="9"/>
      <c r="I15" s="13"/>
      <c r="J15" s="1"/>
      <c r="K15" s="9"/>
      <c r="L15" s="9">
        <f>L14-O15*Prices!C15</f>
        <v>1</v>
      </c>
      <c r="M15" s="1">
        <f t="shared" si="1"/>
        <v>0.01</v>
      </c>
      <c r="N15" s="9"/>
      <c r="O15" s="1"/>
      <c r="P15" s="14"/>
      <c r="Q15" s="9">
        <f>Q14-T15*Prices!C15</f>
        <v>1</v>
      </c>
      <c r="R15" s="1">
        <f t="shared" si="0"/>
        <v>0.01</v>
      </c>
      <c r="S15" s="9"/>
      <c r="T15" s="1"/>
      <c r="V15" s="1"/>
      <c r="W15" s="1"/>
      <c r="X15" s="1"/>
      <c r="Y15" s="1"/>
      <c r="Z15" s="1"/>
      <c r="AA15" s="1"/>
      <c r="AB15" s="1"/>
      <c r="AC15" s="1"/>
      <c r="AD15" s="1"/>
      <c r="AE15" s="16"/>
    </row>
    <row r="16" spans="1:31" x14ac:dyDescent="0.2">
      <c r="A16" s="4">
        <v>33528</v>
      </c>
      <c r="B16" s="9"/>
      <c r="C16" s="9"/>
      <c r="D16" s="9"/>
      <c r="E16" s="9"/>
      <c r="F16" s="9"/>
      <c r="G16" s="13"/>
      <c r="H16" s="9"/>
      <c r="I16" s="13"/>
      <c r="J16" s="1"/>
      <c r="K16" s="9"/>
      <c r="L16" s="9">
        <f>L15-O16*Prices!C16</f>
        <v>1</v>
      </c>
      <c r="M16" s="1">
        <f t="shared" si="1"/>
        <v>0.01</v>
      </c>
      <c r="N16" s="9"/>
      <c r="O16" s="1"/>
      <c r="P16" s="14"/>
      <c r="Q16" s="9">
        <f>Q15-T16*Prices!C16</f>
        <v>1</v>
      </c>
      <c r="R16" s="1">
        <f t="shared" si="0"/>
        <v>0.01</v>
      </c>
      <c r="S16" s="9"/>
      <c r="T16" s="1"/>
      <c r="V16" s="1"/>
      <c r="W16" s="1"/>
      <c r="X16" s="1"/>
      <c r="Y16" s="1"/>
      <c r="Z16" s="1"/>
      <c r="AA16" s="1"/>
      <c r="AB16" s="1"/>
      <c r="AC16" s="1"/>
      <c r="AD16" s="1"/>
      <c r="AE16" s="16"/>
    </row>
    <row r="17" spans="1:31" x14ac:dyDescent="0.2">
      <c r="A17" s="4">
        <v>33529</v>
      </c>
      <c r="B17" s="9"/>
      <c r="C17" s="13"/>
      <c r="D17" s="9"/>
      <c r="E17" s="9"/>
      <c r="F17" s="9"/>
      <c r="G17" s="13"/>
      <c r="H17" s="9"/>
      <c r="I17" s="13"/>
      <c r="J17" s="1"/>
      <c r="K17" s="9"/>
      <c r="L17" s="9">
        <f>L16-O17*Prices!C17</f>
        <v>1</v>
      </c>
      <c r="M17" s="1">
        <f t="shared" si="1"/>
        <v>0.01</v>
      </c>
      <c r="N17" s="9"/>
      <c r="O17" s="1"/>
      <c r="P17" s="14"/>
      <c r="Q17" s="9">
        <f>Q16-T17*Prices!C17</f>
        <v>1</v>
      </c>
      <c r="R17" s="1">
        <f t="shared" si="0"/>
        <v>0.01</v>
      </c>
      <c r="S17" s="9"/>
      <c r="T17" s="1"/>
      <c r="V17" s="1"/>
      <c r="W17" s="1"/>
      <c r="X17" s="1"/>
      <c r="Y17" s="1"/>
      <c r="Z17" s="1"/>
      <c r="AA17" s="1"/>
      <c r="AB17" s="1"/>
      <c r="AC17" s="1"/>
      <c r="AD17" s="1"/>
      <c r="AE17" s="16"/>
    </row>
    <row r="18" spans="1:31" x14ac:dyDescent="0.2">
      <c r="A18" s="4">
        <v>33532</v>
      </c>
      <c r="B18" s="9"/>
      <c r="C18" s="13"/>
      <c r="D18" s="9"/>
      <c r="E18" s="9"/>
      <c r="F18" s="9"/>
      <c r="G18" s="13"/>
      <c r="H18" s="9"/>
      <c r="I18" s="13"/>
      <c r="J18" s="1"/>
      <c r="K18" s="9"/>
      <c r="L18" s="9">
        <f>L17-O18*Prices!C18</f>
        <v>1</v>
      </c>
      <c r="M18" s="1">
        <f t="shared" ref="M18:M81" si="2">M17+O18</f>
        <v>0.01</v>
      </c>
      <c r="N18" s="9"/>
      <c r="O18" s="1"/>
      <c r="P18" s="14"/>
      <c r="Q18" s="9">
        <f>Q17-T18*Prices!C18</f>
        <v>1</v>
      </c>
      <c r="R18" s="1">
        <f t="shared" ref="R18:R81" si="3">R17+T18</f>
        <v>0.01</v>
      </c>
      <c r="S18" s="9"/>
      <c r="T18" s="1"/>
      <c r="V18" s="1"/>
      <c r="W18" s="1"/>
      <c r="X18" s="1"/>
      <c r="Y18" s="1"/>
      <c r="Z18" s="1"/>
      <c r="AA18" s="1"/>
      <c r="AB18" s="1"/>
      <c r="AC18" s="1"/>
      <c r="AD18" s="1"/>
      <c r="AE18" s="16"/>
    </row>
    <row r="19" spans="1:31" x14ac:dyDescent="0.2">
      <c r="A19" s="4">
        <v>33533</v>
      </c>
      <c r="B19" s="9"/>
      <c r="C19" s="13"/>
      <c r="D19" s="9"/>
      <c r="E19" s="9"/>
      <c r="F19" s="9"/>
      <c r="G19" s="13"/>
      <c r="H19" s="9"/>
      <c r="I19" s="13"/>
      <c r="J19" s="1"/>
      <c r="K19" s="9"/>
      <c r="L19" s="9">
        <f>L18-O19*Prices!C19</f>
        <v>1</v>
      </c>
      <c r="M19" s="1">
        <f t="shared" si="2"/>
        <v>0.01</v>
      </c>
      <c r="N19" s="9"/>
      <c r="O19" s="1"/>
      <c r="P19" s="14"/>
      <c r="Q19" s="9">
        <f>Q18-T19*Prices!C19</f>
        <v>1</v>
      </c>
      <c r="R19" s="1">
        <f t="shared" si="3"/>
        <v>0.01</v>
      </c>
      <c r="S19" s="9"/>
      <c r="T19" s="1"/>
      <c r="V19" s="1"/>
      <c r="W19" s="1"/>
      <c r="X19" s="1"/>
      <c r="Y19" s="1"/>
      <c r="Z19" s="1"/>
      <c r="AA19" s="1"/>
      <c r="AB19" s="1"/>
      <c r="AC19" s="1"/>
      <c r="AD19" s="1"/>
      <c r="AE19" s="16"/>
    </row>
    <row r="20" spans="1:31" x14ac:dyDescent="0.2">
      <c r="A20" s="4">
        <v>33534</v>
      </c>
      <c r="B20" s="9"/>
      <c r="C20" s="13"/>
      <c r="D20" s="9"/>
      <c r="E20" s="9"/>
      <c r="F20" s="9"/>
      <c r="G20" s="13"/>
      <c r="H20" s="9"/>
      <c r="I20" s="13"/>
      <c r="J20" s="1"/>
      <c r="K20" s="9"/>
      <c r="L20" s="9">
        <f>L19-O20*Prices!C20</f>
        <v>1</v>
      </c>
      <c r="M20" s="1">
        <f t="shared" si="2"/>
        <v>0.01</v>
      </c>
      <c r="N20" s="9"/>
      <c r="O20" s="1"/>
      <c r="P20" s="14"/>
      <c r="Q20" s="9">
        <f>Q19-T20*Prices!C20</f>
        <v>1</v>
      </c>
      <c r="R20" s="1">
        <f t="shared" si="3"/>
        <v>0.01</v>
      </c>
      <c r="S20" s="9"/>
      <c r="T20" s="1"/>
      <c r="V20" s="1"/>
      <c r="W20" s="1"/>
      <c r="X20" s="1"/>
      <c r="Y20" s="1"/>
      <c r="Z20" s="1"/>
      <c r="AA20" s="1"/>
      <c r="AB20" s="1"/>
      <c r="AC20" s="1"/>
      <c r="AD20" s="1"/>
      <c r="AE20" s="16"/>
    </row>
    <row r="21" spans="1:31" x14ac:dyDescent="0.2">
      <c r="A21" s="4">
        <v>33535</v>
      </c>
      <c r="B21" s="9"/>
      <c r="C21" s="13"/>
      <c r="D21" s="9"/>
      <c r="E21" s="9"/>
      <c r="F21" s="9"/>
      <c r="G21" s="13"/>
      <c r="H21" s="9"/>
      <c r="I21" s="13"/>
      <c r="J21" s="1"/>
      <c r="K21" s="9"/>
      <c r="L21" s="9">
        <f>L20-O21*Prices!C21</f>
        <v>1</v>
      </c>
      <c r="M21" s="1">
        <f t="shared" si="2"/>
        <v>0.01</v>
      </c>
      <c r="N21" s="9"/>
      <c r="O21" s="1"/>
      <c r="P21" s="14"/>
      <c r="Q21" s="9">
        <f>Q20-T21*Prices!C21</f>
        <v>1</v>
      </c>
      <c r="R21" s="1">
        <f t="shared" si="3"/>
        <v>0.01</v>
      </c>
      <c r="S21" s="9"/>
      <c r="T21" s="1"/>
      <c r="V21" s="1"/>
      <c r="W21" s="1"/>
      <c r="X21" s="1"/>
      <c r="Y21" s="1"/>
      <c r="Z21" s="1"/>
      <c r="AA21" s="1"/>
      <c r="AB21" s="1"/>
      <c r="AC21" s="1"/>
      <c r="AD21" s="1"/>
      <c r="AE21" s="16"/>
    </row>
    <row r="22" spans="1:31" x14ac:dyDescent="0.2">
      <c r="A22" s="4">
        <v>33536</v>
      </c>
      <c r="B22" s="9"/>
      <c r="C22" s="13"/>
      <c r="D22" s="9"/>
      <c r="E22" s="9"/>
      <c r="F22" s="9"/>
      <c r="G22" s="13"/>
      <c r="H22" s="9"/>
      <c r="I22" s="13"/>
      <c r="J22" s="1"/>
      <c r="K22" s="9"/>
      <c r="L22" s="9">
        <f>L21-O22*Prices!C22</f>
        <v>1</v>
      </c>
      <c r="M22" s="1">
        <f t="shared" si="2"/>
        <v>0.01</v>
      </c>
      <c r="N22" s="9"/>
      <c r="O22" s="1"/>
      <c r="P22" s="14"/>
      <c r="Q22" s="9">
        <f>Q21-T22*Prices!C22</f>
        <v>1</v>
      </c>
      <c r="R22" s="1">
        <f t="shared" si="3"/>
        <v>0.01</v>
      </c>
      <c r="S22" s="9"/>
      <c r="T22" s="1"/>
      <c r="V22" s="1"/>
      <c r="W22" s="1"/>
      <c r="X22" s="1"/>
      <c r="Y22" s="1"/>
      <c r="Z22" s="1"/>
      <c r="AA22" s="1"/>
      <c r="AB22" s="1"/>
      <c r="AC22" s="1"/>
      <c r="AD22" s="1"/>
      <c r="AE22" s="16"/>
    </row>
    <row r="23" spans="1:31" x14ac:dyDescent="0.2">
      <c r="A23" s="4">
        <v>33539</v>
      </c>
      <c r="B23" s="9"/>
      <c r="C23" s="13"/>
      <c r="D23" s="9"/>
      <c r="E23" s="9"/>
      <c r="F23" s="9"/>
      <c r="G23" s="13"/>
      <c r="H23" s="9"/>
      <c r="I23" s="13"/>
      <c r="J23" s="1"/>
      <c r="K23" s="9"/>
      <c r="L23" s="9">
        <f>L22-O23*Prices!C23</f>
        <v>1</v>
      </c>
      <c r="M23" s="1">
        <f t="shared" si="2"/>
        <v>0.01</v>
      </c>
      <c r="N23" s="9"/>
      <c r="O23" s="1"/>
      <c r="P23" s="14"/>
      <c r="Q23" s="9">
        <f>Q22-T23*Prices!C23</f>
        <v>1</v>
      </c>
      <c r="R23" s="1">
        <f t="shared" si="3"/>
        <v>0.01</v>
      </c>
      <c r="S23" s="9"/>
      <c r="T23" s="1"/>
      <c r="V23" s="1"/>
      <c r="W23" s="1"/>
      <c r="X23" s="1"/>
      <c r="Y23" s="1"/>
      <c r="Z23" s="1"/>
      <c r="AA23" s="1"/>
      <c r="AB23" s="1"/>
      <c r="AC23" s="1"/>
      <c r="AD23" s="1"/>
      <c r="AE23" s="16"/>
    </row>
    <row r="24" spans="1:31" x14ac:dyDescent="0.2">
      <c r="A24" s="4">
        <v>33540</v>
      </c>
      <c r="B24" s="9"/>
      <c r="C24" s="13"/>
      <c r="D24" s="9"/>
      <c r="E24" s="9"/>
      <c r="F24" s="9"/>
      <c r="G24" s="13"/>
      <c r="H24" s="9"/>
      <c r="I24" s="13"/>
      <c r="J24" s="1"/>
      <c r="K24" s="9"/>
      <c r="L24" s="9">
        <f>L23-O24*Prices!C24</f>
        <v>1</v>
      </c>
      <c r="M24" s="1">
        <f t="shared" si="2"/>
        <v>0.01</v>
      </c>
      <c r="N24" s="9"/>
      <c r="O24" s="1"/>
      <c r="P24" s="14"/>
      <c r="Q24" s="9">
        <f>Q23-T24*Prices!C24</f>
        <v>1</v>
      </c>
      <c r="R24" s="1">
        <f t="shared" si="3"/>
        <v>0.01</v>
      </c>
      <c r="S24" s="9"/>
      <c r="T24" s="1"/>
      <c r="V24" s="1"/>
      <c r="W24" s="1"/>
      <c r="X24" s="1"/>
      <c r="Y24" s="1"/>
      <c r="Z24" s="1"/>
      <c r="AA24" s="1"/>
      <c r="AB24" s="1"/>
      <c r="AC24" s="1"/>
      <c r="AD24" s="1"/>
      <c r="AE24" s="16"/>
    </row>
    <row r="25" spans="1:31" x14ac:dyDescent="0.2">
      <c r="A25" s="4">
        <v>33541</v>
      </c>
      <c r="B25" s="9"/>
      <c r="C25" s="13"/>
      <c r="D25" s="9"/>
      <c r="E25" s="9"/>
      <c r="F25" s="9"/>
      <c r="G25" s="13"/>
      <c r="H25" s="9"/>
      <c r="I25" s="13"/>
      <c r="J25" s="1"/>
      <c r="K25" s="9"/>
      <c r="L25" s="9">
        <f>L24-O25*Prices!C25</f>
        <v>1</v>
      </c>
      <c r="M25" s="1">
        <f t="shared" si="2"/>
        <v>0.01</v>
      </c>
      <c r="N25" s="9"/>
      <c r="O25" s="1"/>
      <c r="P25" s="14"/>
      <c r="Q25" s="9">
        <f>Q24-T25*Prices!C25</f>
        <v>1</v>
      </c>
      <c r="R25" s="1">
        <f t="shared" si="3"/>
        <v>0.01</v>
      </c>
      <c r="S25" s="9"/>
      <c r="T25" s="1"/>
      <c r="V25" s="1"/>
      <c r="W25" s="1"/>
      <c r="X25" s="1"/>
      <c r="Y25" s="1"/>
      <c r="Z25" s="1"/>
      <c r="AA25" s="1"/>
      <c r="AB25" s="1"/>
      <c r="AC25" s="1"/>
      <c r="AD25" s="1"/>
      <c r="AE25" s="16"/>
    </row>
    <row r="26" spans="1:31" x14ac:dyDescent="0.2">
      <c r="A26" s="4">
        <v>33542</v>
      </c>
      <c r="B26" s="9"/>
      <c r="C26" s="13"/>
      <c r="D26" s="9"/>
      <c r="E26" s="9"/>
      <c r="F26" s="9"/>
      <c r="G26" s="13"/>
      <c r="H26" s="9"/>
      <c r="I26" s="13"/>
      <c r="J26" s="1"/>
      <c r="K26" s="9"/>
      <c r="L26" s="9">
        <f>L25-O26*Prices!C26</f>
        <v>1</v>
      </c>
      <c r="M26" s="1">
        <f t="shared" si="2"/>
        <v>0.01</v>
      </c>
      <c r="N26" s="9"/>
      <c r="O26" s="1"/>
      <c r="P26" s="14"/>
      <c r="Q26" s="9">
        <f>Q25-T26*Prices!C26</f>
        <v>1</v>
      </c>
      <c r="R26" s="1">
        <f t="shared" si="3"/>
        <v>0.01</v>
      </c>
      <c r="S26" s="9"/>
      <c r="T26" s="1"/>
      <c r="V26" s="1"/>
      <c r="W26" s="1"/>
      <c r="X26" s="1"/>
      <c r="Y26" s="1"/>
      <c r="Z26" s="1"/>
      <c r="AA26" s="1"/>
      <c r="AB26" s="1"/>
      <c r="AC26" s="1"/>
      <c r="AD26" s="1"/>
      <c r="AE26" s="16"/>
    </row>
    <row r="27" spans="1:31" x14ac:dyDescent="0.2">
      <c r="A27" s="4">
        <v>33543</v>
      </c>
      <c r="B27" s="9"/>
      <c r="C27" s="13"/>
      <c r="D27" s="9"/>
      <c r="E27" s="9"/>
      <c r="F27" s="9"/>
      <c r="G27" s="13"/>
      <c r="H27" s="9"/>
      <c r="I27" s="13"/>
      <c r="J27" s="1"/>
      <c r="K27" s="9"/>
      <c r="L27" s="9">
        <f>L26-O27*Prices!C27</f>
        <v>1</v>
      </c>
      <c r="M27" s="1">
        <f t="shared" si="2"/>
        <v>0.01</v>
      </c>
      <c r="N27" s="9"/>
      <c r="O27" s="1"/>
      <c r="P27" s="14"/>
      <c r="Q27" s="9">
        <f>Q26-T27*Prices!C27</f>
        <v>1</v>
      </c>
      <c r="R27" s="1">
        <f t="shared" si="3"/>
        <v>0.01</v>
      </c>
      <c r="S27" s="9"/>
      <c r="T27" s="1"/>
      <c r="V27" s="1"/>
      <c r="W27" s="1"/>
      <c r="X27" s="1"/>
      <c r="Y27" s="1"/>
      <c r="Z27" s="1"/>
      <c r="AA27" s="1"/>
      <c r="AB27" s="1"/>
      <c r="AC27" s="1"/>
      <c r="AD27" s="1"/>
      <c r="AE27" s="16"/>
    </row>
    <row r="28" spans="1:31" x14ac:dyDescent="0.2">
      <c r="A28" s="4">
        <v>33546</v>
      </c>
      <c r="B28" s="9"/>
      <c r="C28" s="13"/>
      <c r="D28" s="9"/>
      <c r="E28" s="9"/>
      <c r="F28" s="9"/>
      <c r="G28" s="13"/>
      <c r="H28" s="9"/>
      <c r="I28" s="13"/>
      <c r="J28" s="1"/>
      <c r="K28" s="9"/>
      <c r="L28" s="9">
        <f>L27-O28*Prices!C28</f>
        <v>1</v>
      </c>
      <c r="M28" s="1">
        <f t="shared" si="2"/>
        <v>0.01</v>
      </c>
      <c r="N28" s="9"/>
      <c r="O28" s="1"/>
      <c r="P28" s="14"/>
      <c r="Q28" s="9">
        <f>Q27-T28*Prices!C28</f>
        <v>1</v>
      </c>
      <c r="R28" s="1">
        <f t="shared" si="3"/>
        <v>0.01</v>
      </c>
      <c r="S28" s="9"/>
      <c r="T28" s="1"/>
      <c r="V28" s="1"/>
      <c r="W28" s="1"/>
      <c r="X28" s="1"/>
      <c r="Y28" s="1"/>
      <c r="Z28" s="1"/>
      <c r="AA28" s="1"/>
      <c r="AB28" s="1"/>
      <c r="AC28" s="1"/>
      <c r="AD28" s="1"/>
      <c r="AE28" s="16"/>
    </row>
    <row r="29" spans="1:31" x14ac:dyDescent="0.2">
      <c r="A29" s="4">
        <v>33547</v>
      </c>
      <c r="B29" s="9"/>
      <c r="C29" s="13"/>
      <c r="D29" s="9"/>
      <c r="E29" s="9"/>
      <c r="F29" s="9"/>
      <c r="G29" s="13"/>
      <c r="H29" s="9"/>
      <c r="I29" s="13"/>
      <c r="J29" s="1"/>
      <c r="K29" s="9"/>
      <c r="L29" s="9">
        <f>L28-O29*Prices!C29</f>
        <v>1</v>
      </c>
      <c r="M29" s="1">
        <f t="shared" si="2"/>
        <v>0.01</v>
      </c>
      <c r="N29" s="9"/>
      <c r="O29" s="1"/>
      <c r="P29" s="14"/>
      <c r="Q29" s="9">
        <f>Q28-T29*Prices!C29</f>
        <v>1</v>
      </c>
      <c r="R29" s="1">
        <f t="shared" si="3"/>
        <v>0.01</v>
      </c>
      <c r="S29" s="9"/>
      <c r="T29" s="1"/>
      <c r="V29" s="1"/>
      <c r="W29" s="1"/>
      <c r="X29" s="1"/>
      <c r="Y29" s="1"/>
      <c r="Z29" s="1"/>
      <c r="AA29" s="1"/>
      <c r="AB29" s="1"/>
      <c r="AC29" s="1"/>
      <c r="AD29" s="1"/>
      <c r="AE29" s="16"/>
    </row>
    <row r="30" spans="1:31" x14ac:dyDescent="0.2">
      <c r="A30" s="4">
        <v>33548</v>
      </c>
      <c r="B30" s="9"/>
      <c r="C30" s="13"/>
      <c r="D30" s="9"/>
      <c r="E30" s="9"/>
      <c r="F30" s="9"/>
      <c r="G30" s="13"/>
      <c r="H30" s="9"/>
      <c r="I30" s="13"/>
      <c r="J30" s="1"/>
      <c r="K30" s="9"/>
      <c r="L30" s="9">
        <f>L29-O30*Prices!C30</f>
        <v>1</v>
      </c>
      <c r="M30" s="1">
        <f t="shared" si="2"/>
        <v>0.01</v>
      </c>
      <c r="N30" s="9"/>
      <c r="O30" s="1"/>
      <c r="P30" s="14"/>
      <c r="Q30" s="9">
        <f>Q29-T30*Prices!C30</f>
        <v>1</v>
      </c>
      <c r="R30" s="1">
        <f t="shared" si="3"/>
        <v>0.01</v>
      </c>
      <c r="S30" s="9"/>
      <c r="T30" s="1"/>
      <c r="V30" s="1"/>
      <c r="W30" s="1"/>
      <c r="X30" s="1"/>
      <c r="Y30" s="1"/>
      <c r="Z30" s="1"/>
      <c r="AA30" s="1"/>
      <c r="AB30" s="1"/>
      <c r="AC30" s="1"/>
      <c r="AD30" s="1"/>
      <c r="AE30" s="16"/>
    </row>
    <row r="31" spans="1:31" x14ac:dyDescent="0.2">
      <c r="A31" s="4">
        <v>33549</v>
      </c>
      <c r="B31" s="9"/>
      <c r="C31" s="13"/>
      <c r="D31" s="9"/>
      <c r="E31" s="9"/>
      <c r="F31" s="9"/>
      <c r="G31" s="13"/>
      <c r="H31" s="9"/>
      <c r="I31" s="13"/>
      <c r="J31" s="1"/>
      <c r="K31" s="9"/>
      <c r="L31" s="9">
        <f>L30-O31*Prices!C31</f>
        <v>1</v>
      </c>
      <c r="M31" s="1">
        <f t="shared" si="2"/>
        <v>0.01</v>
      </c>
      <c r="N31" s="9"/>
      <c r="O31" s="1"/>
      <c r="P31" s="14"/>
      <c r="Q31" s="9">
        <f>Q30-T31*Prices!C31</f>
        <v>1</v>
      </c>
      <c r="R31" s="1">
        <f t="shared" si="3"/>
        <v>0.01</v>
      </c>
      <c r="S31" s="9"/>
      <c r="T31" s="1"/>
      <c r="V31" s="1"/>
      <c r="W31" s="1"/>
      <c r="X31" s="1"/>
      <c r="Y31" s="1"/>
      <c r="Z31" s="1"/>
      <c r="AA31" s="1"/>
      <c r="AB31" s="1"/>
      <c r="AC31" s="1"/>
      <c r="AD31" s="1"/>
      <c r="AE31" s="16"/>
    </row>
    <row r="32" spans="1:31" x14ac:dyDescent="0.2">
      <c r="A32" s="4">
        <v>33550</v>
      </c>
      <c r="B32" s="9"/>
      <c r="C32" s="13"/>
      <c r="D32" s="9"/>
      <c r="E32" s="9"/>
      <c r="F32" s="9"/>
      <c r="G32" s="13"/>
      <c r="H32" s="9"/>
      <c r="I32" s="13"/>
      <c r="J32" s="1"/>
      <c r="K32" s="9"/>
      <c r="L32" s="9">
        <f>L31-O32*Prices!C32</f>
        <v>1</v>
      </c>
      <c r="M32" s="1">
        <f t="shared" si="2"/>
        <v>0.01</v>
      </c>
      <c r="N32" s="9"/>
      <c r="O32" s="1"/>
      <c r="P32" s="14"/>
      <c r="Q32" s="9">
        <f>Q31-T32*Prices!C32</f>
        <v>1</v>
      </c>
      <c r="R32" s="1">
        <f t="shared" si="3"/>
        <v>0.01</v>
      </c>
      <c r="S32" s="9"/>
      <c r="T32" s="1"/>
      <c r="V32" s="1"/>
      <c r="W32" s="1"/>
      <c r="X32" s="1"/>
      <c r="Y32" s="1"/>
      <c r="Z32" s="1"/>
      <c r="AA32" s="1"/>
      <c r="AB32" s="1"/>
      <c r="AC32" s="1"/>
      <c r="AD32" s="1"/>
      <c r="AE32" s="16"/>
    </row>
    <row r="33" spans="1:31" x14ac:dyDescent="0.2">
      <c r="A33" s="4">
        <v>33553</v>
      </c>
      <c r="B33" s="9"/>
      <c r="C33" s="13"/>
      <c r="D33" s="9"/>
      <c r="E33" s="9"/>
      <c r="F33" s="9"/>
      <c r="G33" s="13"/>
      <c r="H33" s="9"/>
      <c r="I33" s="13"/>
      <c r="J33" s="1"/>
      <c r="K33" s="9"/>
      <c r="L33" s="9">
        <f>L32-O33*Prices!C33</f>
        <v>1</v>
      </c>
      <c r="M33" s="1">
        <f t="shared" si="2"/>
        <v>0.01</v>
      </c>
      <c r="N33" s="9"/>
      <c r="O33" s="1"/>
      <c r="P33" s="14"/>
      <c r="Q33" s="9">
        <f>Q32-T33*Prices!C33</f>
        <v>1</v>
      </c>
      <c r="R33" s="1">
        <f t="shared" si="3"/>
        <v>0.01</v>
      </c>
      <c r="S33" s="9"/>
      <c r="T33" s="1"/>
      <c r="V33" s="9"/>
      <c r="W33" s="1"/>
      <c r="X33" s="1"/>
      <c r="Y33" s="1"/>
      <c r="Z33" s="1"/>
      <c r="AA33" s="1"/>
      <c r="AB33" s="1"/>
      <c r="AC33" s="1"/>
      <c r="AD33" s="1"/>
      <c r="AE33" s="16"/>
    </row>
    <row r="34" spans="1:31" x14ac:dyDescent="0.2">
      <c r="A34" s="4">
        <v>33554</v>
      </c>
      <c r="B34" s="9"/>
      <c r="C34" s="13"/>
      <c r="D34" s="9"/>
      <c r="E34" s="9"/>
      <c r="F34" s="9"/>
      <c r="G34" s="13"/>
      <c r="H34" s="9"/>
      <c r="I34" s="13"/>
      <c r="J34" s="1"/>
      <c r="K34" s="9"/>
      <c r="L34" s="9">
        <f>L33-O34*Prices!C34</f>
        <v>1</v>
      </c>
      <c r="M34" s="1">
        <f t="shared" si="2"/>
        <v>0.01</v>
      </c>
      <c r="N34" s="9"/>
      <c r="O34" s="1"/>
      <c r="P34" s="14"/>
      <c r="Q34" s="9">
        <f>Q33-T34*Prices!C34</f>
        <v>1</v>
      </c>
      <c r="R34" s="1">
        <f t="shared" si="3"/>
        <v>0.01</v>
      </c>
      <c r="S34" s="9"/>
      <c r="T34" s="1"/>
      <c r="V34" s="9"/>
      <c r="W34" s="1"/>
      <c r="X34" s="1"/>
      <c r="Y34" s="1"/>
      <c r="Z34" s="1"/>
      <c r="AA34" s="1"/>
      <c r="AB34" s="1"/>
      <c r="AC34" s="1"/>
      <c r="AD34" s="1"/>
      <c r="AE34" s="16"/>
    </row>
    <row r="35" spans="1:31" x14ac:dyDescent="0.2">
      <c r="A35" s="4">
        <v>33555</v>
      </c>
      <c r="B35" s="9"/>
      <c r="C35" s="13"/>
      <c r="D35" s="9"/>
      <c r="E35" s="9"/>
      <c r="F35" s="9"/>
      <c r="G35" s="13"/>
      <c r="H35" s="9"/>
      <c r="I35" s="13"/>
      <c r="J35" s="1"/>
      <c r="K35" s="9"/>
      <c r="L35" s="9">
        <f>L34-O35*Prices!C35</f>
        <v>1</v>
      </c>
      <c r="M35" s="1">
        <f t="shared" si="2"/>
        <v>0.01</v>
      </c>
      <c r="N35" s="9"/>
      <c r="O35" s="1"/>
      <c r="P35" s="14"/>
      <c r="Q35" s="9">
        <f>Q34-T35*Prices!C35</f>
        <v>1</v>
      </c>
      <c r="R35" s="1">
        <f t="shared" si="3"/>
        <v>0.01</v>
      </c>
      <c r="S35" s="9"/>
      <c r="T35" s="1"/>
      <c r="V35" s="9"/>
      <c r="W35" s="1"/>
      <c r="X35" s="1"/>
      <c r="Y35" s="1"/>
      <c r="Z35" s="1"/>
      <c r="AA35" s="1"/>
      <c r="AB35" s="1"/>
      <c r="AC35" s="1"/>
      <c r="AD35" s="1"/>
      <c r="AE35" s="16"/>
    </row>
    <row r="36" spans="1:31" x14ac:dyDescent="0.2">
      <c r="A36" s="4">
        <v>33556</v>
      </c>
      <c r="B36" s="9"/>
      <c r="C36" s="13"/>
      <c r="D36" s="9"/>
      <c r="E36" s="9"/>
      <c r="F36" s="9"/>
      <c r="G36" s="13"/>
      <c r="H36" s="9"/>
      <c r="I36" s="13"/>
      <c r="J36" s="1"/>
      <c r="K36" s="9"/>
      <c r="L36" s="9">
        <f>L35-O36*Prices!C36</f>
        <v>1</v>
      </c>
      <c r="M36" s="1">
        <f t="shared" si="2"/>
        <v>0.01</v>
      </c>
      <c r="N36" s="9"/>
      <c r="O36" s="1"/>
      <c r="P36" s="14"/>
      <c r="Q36" s="9">
        <f>Q35-T36*Prices!C36</f>
        <v>1</v>
      </c>
      <c r="R36" s="1">
        <f t="shared" si="3"/>
        <v>0.01</v>
      </c>
      <c r="S36" s="9"/>
      <c r="T36" s="1"/>
      <c r="V36" s="9"/>
      <c r="W36" s="1"/>
      <c r="X36" s="1"/>
      <c r="Y36" s="1"/>
      <c r="Z36" s="1"/>
      <c r="AA36" s="1"/>
      <c r="AB36" s="1"/>
      <c r="AC36" s="1"/>
      <c r="AD36" s="1"/>
      <c r="AE36" s="16"/>
    </row>
    <row r="37" spans="1:31" x14ac:dyDescent="0.2">
      <c r="A37" s="4">
        <v>33557</v>
      </c>
      <c r="B37" s="9"/>
      <c r="C37" s="13"/>
      <c r="D37" s="9"/>
      <c r="E37" s="9"/>
      <c r="F37" s="9"/>
      <c r="G37" s="13"/>
      <c r="H37" s="9"/>
      <c r="I37" s="13"/>
      <c r="J37" s="1"/>
      <c r="K37" s="9"/>
      <c r="L37" s="9">
        <f>L36-O37*Prices!C37</f>
        <v>1</v>
      </c>
      <c r="M37" s="1">
        <f t="shared" si="2"/>
        <v>0.01</v>
      </c>
      <c r="N37" s="9"/>
      <c r="O37" s="1"/>
      <c r="P37" s="14"/>
      <c r="Q37" s="9">
        <f>Q36-T37*Prices!C37</f>
        <v>1</v>
      </c>
      <c r="R37" s="1">
        <f t="shared" si="3"/>
        <v>0.01</v>
      </c>
      <c r="S37" s="9"/>
      <c r="T37" s="1"/>
      <c r="V37" s="9"/>
      <c r="W37" s="1"/>
      <c r="X37" s="1"/>
      <c r="Y37" s="1"/>
      <c r="Z37" s="1"/>
      <c r="AA37" s="1"/>
      <c r="AB37" s="1"/>
      <c r="AC37" s="1"/>
      <c r="AD37" s="1"/>
      <c r="AE37" s="16"/>
    </row>
    <row r="38" spans="1:31" x14ac:dyDescent="0.2">
      <c r="A38" s="4">
        <v>33560</v>
      </c>
      <c r="B38" s="9"/>
      <c r="C38" s="13"/>
      <c r="D38" s="9"/>
      <c r="E38" s="9"/>
      <c r="F38" s="9"/>
      <c r="G38" s="13"/>
      <c r="H38" s="9"/>
      <c r="I38" s="13"/>
      <c r="J38" s="1"/>
      <c r="K38" s="9"/>
      <c r="L38" s="9">
        <f>L37-O38*Prices!C38</f>
        <v>1</v>
      </c>
      <c r="M38" s="1">
        <f t="shared" si="2"/>
        <v>0.01</v>
      </c>
      <c r="N38" s="9"/>
      <c r="O38" s="1"/>
      <c r="P38" s="14"/>
      <c r="Q38" s="9">
        <f>Q37-T38*Prices!C38</f>
        <v>1</v>
      </c>
      <c r="R38" s="1">
        <f t="shared" si="3"/>
        <v>0.01</v>
      </c>
      <c r="S38" s="9"/>
      <c r="T38" s="1"/>
      <c r="V38" s="9"/>
      <c r="W38" s="1"/>
      <c r="X38" s="1"/>
      <c r="Y38" s="1"/>
      <c r="Z38" s="1"/>
      <c r="AA38" s="1"/>
      <c r="AB38" s="1"/>
      <c r="AC38" s="1"/>
      <c r="AD38" s="1"/>
      <c r="AE38" s="16"/>
    </row>
    <row r="39" spans="1:31" x14ac:dyDescent="0.2">
      <c r="A39" s="4">
        <v>33561</v>
      </c>
      <c r="B39" s="9"/>
      <c r="C39" s="13"/>
      <c r="D39" s="9"/>
      <c r="E39" s="9"/>
      <c r="F39" s="9">
        <v>0</v>
      </c>
      <c r="G39" s="13"/>
      <c r="H39" s="9"/>
      <c r="I39" s="13"/>
      <c r="J39" s="1"/>
      <c r="K39" s="9"/>
      <c r="L39" s="9">
        <f>L38-O39*Prices!C39</f>
        <v>1</v>
      </c>
      <c r="M39" s="1">
        <f t="shared" si="2"/>
        <v>0.01</v>
      </c>
      <c r="N39" s="9"/>
      <c r="O39" s="1"/>
      <c r="P39" s="14"/>
      <c r="Q39" s="9">
        <f>Q38-T39*Prices!C39</f>
        <v>1</v>
      </c>
      <c r="R39" s="1">
        <f t="shared" si="3"/>
        <v>0.01</v>
      </c>
      <c r="S39" s="9"/>
      <c r="T39" s="1"/>
      <c r="V39" s="9"/>
      <c r="W39" s="1"/>
      <c r="X39" s="1"/>
      <c r="Y39" s="1"/>
      <c r="Z39" s="1"/>
      <c r="AA39" s="1"/>
      <c r="AB39" s="1"/>
      <c r="AC39" s="1"/>
      <c r="AD39" s="1"/>
      <c r="AE39" s="16"/>
    </row>
    <row r="40" spans="1:31" x14ac:dyDescent="0.2">
      <c r="A40" s="4">
        <v>33562</v>
      </c>
      <c r="B40" s="9">
        <f ca="1">Prices!C39*(1+J40/(50*(ABS(O40)+ABS(T40)+0.0001)))</f>
        <v>132.29505056581073</v>
      </c>
      <c r="C40" s="13">
        <f t="shared" ref="C40" ca="1" si="4">IF(J40&gt;0,1,IF(J40&lt;0,-1,0))</f>
        <v>1</v>
      </c>
      <c r="D40" s="1">
        <f ca="1">D39+C40*(Prices!C40-Prices!C39)/Prices!C39</f>
        <v>-1.3851481338974867E-3</v>
      </c>
      <c r="E40" s="9">
        <f t="shared" ref="E40" ca="1" si="5">F40-D40</f>
        <v>1.3851481338974867E-3</v>
      </c>
      <c r="F40" s="9">
        <f t="shared" ref="F40" ca="1" si="6">MAX(F39,D40)</f>
        <v>0</v>
      </c>
      <c r="G40" s="13">
        <f ca="1">IF((Prices!C40-Prices!C39)*C40&gt;0,1,0)</f>
        <v>0</v>
      </c>
      <c r="H40" s="9">
        <f>ABS(Prices!C40-Prices!C39)/Prices!C39</f>
        <v>1.3851481338974867E-3</v>
      </c>
      <c r="I40" s="13"/>
      <c r="J40" s="1">
        <f t="shared" ref="J40" ca="1" si="7">O40+T40</f>
        <v>9.2343208926510211E-4</v>
      </c>
      <c r="K40" s="9"/>
      <c r="L40" s="9">
        <f ca="1">L39-O40*Prices!C40</f>
        <v>0.90013851481338969</v>
      </c>
      <c r="M40" s="1">
        <f t="shared" ca="1" si="2"/>
        <v>1.0769526741054252E-2</v>
      </c>
      <c r="N40" s="9">
        <f ca="1">IF(Prices!D39&gt;OFFSET(Prices!D39,-$N$3,0),1,IF(Prices!D39&lt;OFFSET(Prices!D39,-$N$3,0),-1,0))</f>
        <v>1</v>
      </c>
      <c r="O40" s="1">
        <f ca="1">IF(N40=1,O$3*L39/Prices!C39,O$3*M39*N40)</f>
        <v>7.6952674105425179E-4</v>
      </c>
      <c r="P40" s="14"/>
      <c r="Q40" s="9">
        <f ca="1">Q39-T40*Prices!C40</f>
        <v>0.98002770296267794</v>
      </c>
      <c r="R40" s="1">
        <f t="shared" ca="1" si="3"/>
        <v>1.015390534821085E-2</v>
      </c>
      <c r="S40" s="9">
        <f ca="1">IF(Prices!C39&lt;OFFSET(Prices!C39,-S$3,0),1,IF(Prices!C39&gt;OFFSET(Prices!C39,-S$3,0),-1,0))</f>
        <v>1</v>
      </c>
      <c r="T40" s="1">
        <f ca="1">IF(S40=1,T$3*Q39/Prices!C39,T$3*R39*S40)</f>
        <v>1.5390534821085034E-4</v>
      </c>
      <c r="V40" s="9"/>
      <c r="W40" s="1"/>
      <c r="X40" s="1"/>
      <c r="Y40" s="1"/>
      <c r="Z40" s="1"/>
      <c r="AA40" s="1"/>
      <c r="AB40" s="1"/>
      <c r="AC40" s="1"/>
      <c r="AD40" s="1"/>
      <c r="AE40" s="16"/>
    </row>
    <row r="41" spans="1:31" x14ac:dyDescent="0.2">
      <c r="A41" s="4">
        <v>33563</v>
      </c>
      <c r="B41" s="9">
        <f ca="1">Prices!C40*(1+J41/(50*(ABS(O41)+ABS(T41)+0.0001)))</f>
        <v>132.09066209605413</v>
      </c>
      <c r="C41" s="13">
        <f t="shared" ref="C41:C81" ca="1" si="8">IF(J41&gt;0,1,IF(J41&lt;0,-1,0))</f>
        <v>1</v>
      </c>
      <c r="D41" s="1">
        <f ca="1">D40+C41*(Prices!C41-Prices!C40)/Prices!C40</f>
        <v>-2.5410393260066463E-3</v>
      </c>
      <c r="E41" s="9">
        <f t="shared" ref="E41:E81" ca="1" si="9">F41-D41</f>
        <v>2.5410393260066463E-3</v>
      </c>
      <c r="F41" s="9">
        <f t="shared" ref="F41:F81" ca="1" si="10">MAX(F40,D41)</f>
        <v>0</v>
      </c>
      <c r="G41" s="13">
        <f ca="1">IF((Prices!C41-Prices!C40)*C41&gt;0,1,0)</f>
        <v>0</v>
      </c>
      <c r="H41" s="9">
        <f>ABS(Prices!C41-Prices!C40)/Prices!C40</f>
        <v>1.1558911921091598E-3</v>
      </c>
      <c r="I41" s="13"/>
      <c r="J41" s="1">
        <f t="shared" ref="J41:J81" ca="1" si="11">O41+T41</f>
        <v>8.4468217261765067E-4</v>
      </c>
      <c r="K41" s="9"/>
      <c r="L41" s="9">
        <f ca="1">L40-O41*Prices!C41</f>
        <v>0.81022870955014581</v>
      </c>
      <c r="M41" s="1">
        <f t="shared" ca="1" si="2"/>
        <v>1.1463168195021571E-2</v>
      </c>
      <c r="N41" s="9">
        <f ca="1">IF(Prices!D40&gt;OFFSET(Prices!D40,-$N$3,0),1,IF(Prices!D40&lt;OFFSET(Prices!D40,-$N$3,0),-1,0))</f>
        <v>1</v>
      </c>
      <c r="O41" s="1">
        <f ca="1">IF(N41=1,O$3*L40/Prices!C40,O$3*M40*N41)</f>
        <v>6.9364145396731886E-4</v>
      </c>
      <c r="P41" s="14"/>
      <c r="Q41" s="9">
        <f ca="1">Q40-T41*Prices!C41</f>
        <v>0.9604498050112219</v>
      </c>
      <c r="R41" s="1">
        <f t="shared" ca="1" si="3"/>
        <v>1.0304946066861182E-2</v>
      </c>
      <c r="S41" s="9">
        <f ca="1">IF(Prices!C40&lt;OFFSET(Prices!C40,-S$3,0),1,IF(Prices!C40&gt;OFFSET(Prices!C40,-S$3,0),-1,0))</f>
        <v>1</v>
      </c>
      <c r="T41" s="1">
        <f ca="1">IF(S41=1,T$3*Q40/Prices!C40,T$3*R40*S41)</f>
        <v>1.5104071865033181E-4</v>
      </c>
      <c r="V41" s="9"/>
      <c r="W41" s="1"/>
      <c r="X41" s="1"/>
      <c r="Y41" s="1"/>
      <c r="Z41" s="1"/>
      <c r="AA41" s="1"/>
      <c r="AB41" s="1"/>
      <c r="AC41" s="1"/>
      <c r="AD41" s="1"/>
      <c r="AE41" s="16"/>
    </row>
    <row r="42" spans="1:31" x14ac:dyDescent="0.2">
      <c r="A42" s="4">
        <v>33564</v>
      </c>
      <c r="B42" s="9">
        <f ca="1">Prices!C41*(1+J42/(50*(ABS(O42)+ABS(T42)+0.0001)))</f>
        <v>131.91554037611596</v>
      </c>
      <c r="C42" s="13">
        <f t="shared" ca="1" si="8"/>
        <v>1</v>
      </c>
      <c r="D42" s="1">
        <f ca="1">D41+C42*(Prices!C42-Prices!C41)/Prices!C41</f>
        <v>-3.2353766196341993E-3</v>
      </c>
      <c r="E42" s="9">
        <f t="shared" ca="1" si="9"/>
        <v>3.2353766196341993E-3</v>
      </c>
      <c r="F42" s="9">
        <f t="shared" ca="1" si="10"/>
        <v>0</v>
      </c>
      <c r="G42" s="13">
        <f ca="1">IF((Prices!C42-Prices!C41)*C42&gt;0,1,0)</f>
        <v>0</v>
      </c>
      <c r="H42" s="9">
        <f>ABS(Prices!C42-Prices!C41)/Prices!C41</f>
        <v>6.9433729362755289E-4</v>
      </c>
      <c r="I42" s="13"/>
      <c r="J42" s="1">
        <f t="shared" ca="1" si="11"/>
        <v>7.7327470340409681E-4</v>
      </c>
      <c r="K42" s="9"/>
      <c r="L42" s="9">
        <f ca="1">L41-O42*Prices!C42</f>
        <v>0.72926209579607204</v>
      </c>
      <c r="M42" s="1">
        <f t="shared" ca="1" si="2"/>
        <v>1.2088248205475317E-2</v>
      </c>
      <c r="N42" s="9">
        <f ca="1">IF(Prices!D41&gt;OFFSET(Prices!D41,-$N$3,0),1,IF(Prices!D41&lt;OFFSET(Prices!D41,-$N$3,0),-1,0))</f>
        <v>1</v>
      </c>
      <c r="O42" s="1">
        <f ca="1">IF(N42=1,O$3*L41/Prices!C41,O$3*M41*N42)</f>
        <v>6.2508001045374624E-4</v>
      </c>
      <c r="P42" s="14"/>
      <c r="Q42" s="9">
        <f ca="1">Q41-T42*Prices!C42</f>
        <v>0.94125414643336303</v>
      </c>
      <c r="R42" s="1">
        <f t="shared" ca="1" si="3"/>
        <v>1.0453140759811533E-2</v>
      </c>
      <c r="S42" s="9">
        <f ca="1">IF(Prices!C41&lt;OFFSET(Prices!C41,-S$3,0),1,IF(Prices!C41&gt;OFFSET(Prices!C41,-S$3,0),-1,0))</f>
        <v>1</v>
      </c>
      <c r="T42" s="1">
        <f ca="1">IF(S42=1,T$3*Q41/Prices!C41,T$3*R41*S42)</f>
        <v>1.4819469295035054E-4</v>
      </c>
      <c r="V42" s="9"/>
      <c r="W42" s="1"/>
      <c r="X42" s="1"/>
      <c r="Y42" s="1"/>
      <c r="Z42" s="1"/>
      <c r="AA42" s="1"/>
      <c r="AB42" s="1"/>
      <c r="AC42" s="1"/>
      <c r="AD42" s="1"/>
      <c r="AE42" s="16"/>
    </row>
    <row r="43" spans="1:31" x14ac:dyDescent="0.2">
      <c r="A43" s="4">
        <v>33567</v>
      </c>
      <c r="B43" s="9">
        <f ca="1">Prices!C42*(1+J43/(50*(ABS(O43)+ABS(T43)+0.0001)))</f>
        <v>130.58143734347041</v>
      </c>
      <c r="C43" s="13">
        <f t="shared" ca="1" si="8"/>
        <v>1</v>
      </c>
      <c r="D43" s="1">
        <f ca="1">D42+C43*(Prices!C43-Prices!C42)/Prices!C42</f>
        <v>-1.6822962507073443E-2</v>
      </c>
      <c r="E43" s="9">
        <f t="shared" ca="1" si="9"/>
        <v>1.6822962507073443E-2</v>
      </c>
      <c r="F43" s="9">
        <f t="shared" ca="1" si="10"/>
        <v>0</v>
      </c>
      <c r="G43" s="13">
        <f ca="1">IF((Prices!C43-Prices!C42)*C43&gt;0,1,0)</f>
        <v>0</v>
      </c>
      <c r="H43" s="9">
        <f>ABS(Prices!C43-Prices!C42)/Prices!C42</f>
        <v>1.3587585887439243E-2</v>
      </c>
      <c r="I43" s="13"/>
      <c r="J43" s="1">
        <f t="shared" ca="1" si="11"/>
        <v>3.5394351213803322E-4</v>
      </c>
      <c r="K43" s="9"/>
      <c r="L43" s="9">
        <f ca="1">L42-O43*Prices!C43</f>
        <v>0.65732677735257317</v>
      </c>
      <c r="M43" s="1">
        <f t="shared" ca="1" si="2"/>
        <v>1.265125453280958E-2</v>
      </c>
      <c r="N43" s="9">
        <f ca="1">IF(Prices!D42&gt;OFFSET(Prices!D42,-$N$3,0),1,IF(Prices!D42&lt;OFFSET(Prices!D42,-$N$3,0),-1,0))</f>
        <v>1</v>
      </c>
      <c r="O43" s="1">
        <f ca="1">IF(N43=1,O$3*L42/Prices!C42,O$3*M42*N43)</f>
        <v>5.6300632733426387E-4</v>
      </c>
      <c r="P43" s="14"/>
      <c r="Q43" s="9">
        <f ca="1">Q42-T43*Prices!C43</f>
        <v>0.96796610233098546</v>
      </c>
      <c r="R43" s="1">
        <f t="shared" ca="1" si="3"/>
        <v>1.0244077944615302E-2</v>
      </c>
      <c r="S43" s="9">
        <f ca="1">IF(Prices!C42&lt;OFFSET(Prices!C42,-S$3,0),1,IF(Prices!C42&gt;OFFSET(Prices!C42,-S$3,0),-1,0))</f>
        <v>-1</v>
      </c>
      <c r="T43" s="1">
        <f ca="1">IF(S43=1,T$3*Q42/Prices!C42,T$3*R42*S43)</f>
        <v>-2.0906281519623065E-4</v>
      </c>
      <c r="V43" s="9"/>
      <c r="W43" s="1"/>
      <c r="X43" s="1"/>
      <c r="Y43" s="1"/>
      <c r="Z43" s="1"/>
      <c r="AA43" s="1"/>
      <c r="AB43" s="1"/>
      <c r="AC43" s="1"/>
      <c r="AD43" s="1"/>
      <c r="AE43" s="16"/>
    </row>
    <row r="44" spans="1:31" x14ac:dyDescent="0.2">
      <c r="A44" s="4">
        <v>33568</v>
      </c>
      <c r="B44" s="9">
        <f ca="1">Prices!C43*(1+J44/(50*(ABS(O44)+ABS(T44)+0.0001)))</f>
        <v>129.99178725364754</v>
      </c>
      <c r="C44" s="13">
        <f t="shared" ca="1" si="8"/>
        <v>1</v>
      </c>
      <c r="D44" s="1">
        <f ca="1">D43+C44*(Prices!C44-Prices!C43)/Prices!C43</f>
        <v>-1.4240196599583435E-2</v>
      </c>
      <c r="E44" s="9">
        <f t="shared" ca="1" si="9"/>
        <v>1.4240196599583435E-2</v>
      </c>
      <c r="F44" s="9">
        <f t="shared" ca="1" si="10"/>
        <v>0</v>
      </c>
      <c r="G44" s="13">
        <f ca="1">IF((Prices!C44-Prices!C43)*C44&gt;0,1,0)</f>
        <v>1</v>
      </c>
      <c r="H44" s="9">
        <f>ABS(Prices!C44-Prices!C43)/Prices!C43</f>
        <v>2.5827659074900079E-3</v>
      </c>
      <c r="I44" s="13"/>
      <c r="J44" s="1">
        <f t="shared" ca="1" si="11"/>
        <v>6.6597792738418279E-4</v>
      </c>
      <c r="K44" s="9"/>
      <c r="L44" s="9">
        <f ca="1">L43-O44*Prices!C44</f>
        <v>0.59142432749825324</v>
      </c>
      <c r="M44" s="1">
        <f t="shared" ca="1" si="2"/>
        <v>1.3165715499666098E-2</v>
      </c>
      <c r="N44" s="9">
        <f ca="1">IF(Prices!D43&gt;OFFSET(Prices!D43,-$N$3,0),1,IF(Prices!D43&lt;OFFSET(Prices!D43,-$N$3,0),-1,0))</f>
        <v>1</v>
      </c>
      <c r="O44" s="1">
        <f ca="1">IF(N44=1,O$3*L43/Prices!C43,O$3*M43*N44)</f>
        <v>5.1446096685651814E-4</v>
      </c>
      <c r="P44" s="14"/>
      <c r="Q44" s="9">
        <f ca="1">Q43-T44*Prices!C44</f>
        <v>0.9485567796873916</v>
      </c>
      <c r="R44" s="1">
        <f t="shared" ca="1" si="3"/>
        <v>1.0395594905142967E-2</v>
      </c>
      <c r="S44" s="9">
        <f ca="1">IF(Prices!C43&lt;OFFSET(Prices!C43,-S$3,0),1,IF(Prices!C43&gt;OFFSET(Prices!C43,-S$3,0),-1,0))</f>
        <v>1</v>
      </c>
      <c r="T44" s="1">
        <f ca="1">IF(S44=1,T$3*Q43/Prices!C43,T$3*R43*S44)</f>
        <v>1.5151696052766463E-4</v>
      </c>
      <c r="V44" s="9"/>
      <c r="W44" s="1"/>
      <c r="X44" s="1"/>
      <c r="Y44" s="1"/>
      <c r="Z44" s="1"/>
      <c r="AA44" s="1"/>
      <c r="AB44" s="1"/>
      <c r="AC44" s="1"/>
      <c r="AD44" s="1"/>
      <c r="AE44" s="16"/>
    </row>
    <row r="45" spans="1:31" x14ac:dyDescent="0.2">
      <c r="A45" s="4">
        <v>33569</v>
      </c>
      <c r="B45" s="9">
        <f ca="1">Prices!C44*(1+J45/(50*(ABS(O45)+ABS(T45)+0.0001)))</f>
        <v>126.18672901042919</v>
      </c>
      <c r="C45" s="13">
        <f t="shared" ca="1" si="8"/>
        <v>-1</v>
      </c>
      <c r="D45" s="1">
        <f ca="1">D44+C45*(Prices!C45-Prices!C44)/Prices!C44</f>
        <v>-3.125815132245624E-2</v>
      </c>
      <c r="E45" s="9">
        <f t="shared" ca="1" si="9"/>
        <v>3.125815132245624E-2</v>
      </c>
      <c r="F45" s="9">
        <f t="shared" ca="1" si="10"/>
        <v>0</v>
      </c>
      <c r="G45" s="13">
        <f ca="1">IF((Prices!C45-Prices!C44)*C45&gt;0,1,0)</f>
        <v>0</v>
      </c>
      <c r="H45" s="9">
        <f>ABS(Prices!C45-Prices!C44)/Prices!C44</f>
        <v>1.7017954722872809E-2</v>
      </c>
      <c r="I45" s="13"/>
      <c r="J45" s="1">
        <f t="shared" ca="1" si="11"/>
        <v>-1.1684752533721694E-3</v>
      </c>
      <c r="K45" s="9"/>
      <c r="L45" s="9">
        <f ca="1">L44-O45*Prices!C45</f>
        <v>0.76294726902790322</v>
      </c>
      <c r="M45" s="1">
        <f t="shared" ca="1" si="2"/>
        <v>1.1849143949699489E-2</v>
      </c>
      <c r="N45" s="9">
        <f ca="1">IF(Prices!D44&gt;OFFSET(Prices!D44,-$N$3,0),1,IF(Prices!D44&lt;OFFSET(Prices!D44,-$N$3,0),-1,0))</f>
        <v>-1</v>
      </c>
      <c r="O45" s="1">
        <f ca="1">IF(N45=1,O$3*L44/Prices!C44,O$3*M44*N45)</f>
        <v>-1.3165715499666099E-3</v>
      </c>
      <c r="P45" s="14"/>
      <c r="Q45" s="9">
        <f ca="1">Q44-T45*Prices!C45</f>
        <v>0.92926279416706792</v>
      </c>
      <c r="R45" s="1">
        <f t="shared" ca="1" si="3"/>
        <v>1.0543691201737407E-2</v>
      </c>
      <c r="S45" s="9">
        <f ca="1">IF(Prices!C44&lt;OFFSET(Prices!C44,-S$3,0),1,IF(Prices!C44&gt;OFFSET(Prices!C44,-S$3,0),-1,0))</f>
        <v>1</v>
      </c>
      <c r="T45" s="1">
        <f ca="1">IF(S45=1,T$3*Q44/Prices!C44,T$3*R44*S45)</f>
        <v>1.4809629659444054E-4</v>
      </c>
      <c r="V45" s="9"/>
      <c r="W45" s="1"/>
      <c r="X45" s="1"/>
      <c r="Y45" s="1"/>
      <c r="Z45" s="1"/>
      <c r="AA45" s="1"/>
      <c r="AB45" s="1"/>
      <c r="AC45" s="1"/>
      <c r="AD45" s="1"/>
      <c r="AE45" s="16"/>
    </row>
    <row r="46" spans="1:31" x14ac:dyDescent="0.2">
      <c r="A46" s="4">
        <v>33570</v>
      </c>
      <c r="B46" s="9">
        <f ca="1">Prices!C45*(1+J46/(50*(ABS(O46)+ABS(T46)+0.0001)))</f>
        <v>127.84859578299218</v>
      </c>
      <c r="C46" s="13">
        <f t="shared" ca="1" si="8"/>
        <v>-1</v>
      </c>
      <c r="D46" s="1">
        <f ca="1">D45+C46*(Prices!C46-Prices!C45)/Prices!C45</f>
        <v>-2.8341356726202055E-2</v>
      </c>
      <c r="E46" s="9">
        <f t="shared" ca="1" si="9"/>
        <v>2.8341356726202055E-2</v>
      </c>
      <c r="F46" s="9">
        <f t="shared" ca="1" si="10"/>
        <v>0</v>
      </c>
      <c r="G46" s="13">
        <f ca="1">IF((Prices!C46-Prices!C45)*C46&gt;0,1,0)</f>
        <v>1</v>
      </c>
      <c r="H46" s="9">
        <f>ABS(Prices!C46-Prices!C45)/Prices!C45</f>
        <v>2.9167945962541865E-3</v>
      </c>
      <c r="I46" s="13"/>
      <c r="J46" s="1">
        <f t="shared" ca="1" si="11"/>
        <v>-1.395788219004697E-3</v>
      </c>
      <c r="K46" s="9"/>
      <c r="L46" s="9">
        <f ca="1">L45-O46*Prices!C46</f>
        <v>0.91686764893449957</v>
      </c>
      <c r="M46" s="1">
        <f t="shared" ca="1" si="2"/>
        <v>1.0664229554729539E-2</v>
      </c>
      <c r="N46" s="9">
        <f ca="1">IF(Prices!D45&gt;OFFSET(Prices!D45,-$N$3,0),1,IF(Prices!D45&lt;OFFSET(Prices!D45,-$N$3,0),-1,0))</f>
        <v>-1</v>
      </c>
      <c r="O46" s="1">
        <f ca="1">IF(N46=1,O$3*L45/Prices!C45,O$3*M45*N46)</f>
        <v>-1.1849143949699489E-3</v>
      </c>
      <c r="P46" s="14"/>
      <c r="Q46" s="9">
        <f ca="1">Q45-T46*Prices!C46</f>
        <v>0.95665530390918174</v>
      </c>
      <c r="R46" s="1">
        <f t="shared" ca="1" si="3"/>
        <v>1.0332817377702658E-2</v>
      </c>
      <c r="S46" s="9">
        <f ca="1">IF(Prices!C45&lt;OFFSET(Prices!C45,-S$3,0),1,IF(Prices!C45&gt;OFFSET(Prices!C45,-S$3,0),-1,0))</f>
        <v>-1</v>
      </c>
      <c r="T46" s="1">
        <f ca="1">IF(S46=1,T$3*Q45/Prices!C45,T$3*R45*S46)</f>
        <v>-2.1087382403474814E-4</v>
      </c>
      <c r="V46" s="9"/>
      <c r="W46" s="1"/>
      <c r="X46" s="1"/>
      <c r="Y46" s="1"/>
      <c r="Z46" s="1"/>
      <c r="AA46" s="1"/>
      <c r="AB46" s="1"/>
      <c r="AC46" s="1"/>
      <c r="AD46" s="1"/>
      <c r="AE46" s="16"/>
    </row>
    <row r="47" spans="1:31" x14ac:dyDescent="0.2">
      <c r="A47" s="4">
        <v>33571</v>
      </c>
      <c r="B47" s="9">
        <f ca="1">Prices!C46*(1+J47/(50*(ABS(O47)+ABS(T47)+0.0001)))</f>
        <v>128.14920242079518</v>
      </c>
      <c r="C47" s="13">
        <f t="shared" ca="1" si="8"/>
        <v>-1</v>
      </c>
      <c r="D47" s="9">
        <f ca="1">D46+C47*(Prices!C47-Prices!C46)/Prices!C46</f>
        <v>-2.9727038019504649E-2</v>
      </c>
      <c r="E47" s="9">
        <f t="shared" ca="1" si="9"/>
        <v>2.9727038019504649E-2</v>
      </c>
      <c r="F47" s="9">
        <f t="shared" ca="1" si="10"/>
        <v>0</v>
      </c>
      <c r="G47" s="13">
        <f ca="1">IF((Prices!C47-Prices!C46)*C47&gt;0,1,0)</f>
        <v>0</v>
      </c>
      <c r="H47" s="9">
        <f>ABS(Prices!C47-Prices!C46)/Prices!C46</f>
        <v>1.3856812933025929E-3</v>
      </c>
      <c r="I47" s="13"/>
      <c r="J47" s="1">
        <f t="shared" ca="1" si="11"/>
        <v>-2.0665634755405319E-4</v>
      </c>
      <c r="K47" s="9"/>
      <c r="L47" s="9">
        <f ca="1">L46-O47*Prices!C47</f>
        <v>0.91686764893449957</v>
      </c>
      <c r="M47" s="1">
        <f t="shared" ca="1" si="2"/>
        <v>1.0664229554729539E-2</v>
      </c>
      <c r="N47" s="9">
        <f ca="1">IF(Prices!D46&gt;OFFSET(Prices!D46,-$N$3,0),1,IF(Prices!D46&lt;OFFSET(Prices!D46,-$N$3,0),-1,0))</f>
        <v>0</v>
      </c>
      <c r="O47" s="1">
        <f ca="1">IF(N47=1,O$3*L46/Prices!C46,O$3*M46*N47)</f>
        <v>0</v>
      </c>
      <c r="P47" s="14"/>
      <c r="Q47" s="9">
        <f ca="1">Q46-T47*Prices!C47</f>
        <v>0.98353716159901294</v>
      </c>
      <c r="R47" s="1">
        <f t="shared" ca="1" si="3"/>
        <v>1.0126161030148606E-2</v>
      </c>
      <c r="S47" s="9">
        <f ca="1">IF(Prices!C46&lt;OFFSET(Prices!C46,-S$3,0),1,IF(Prices!C46&gt;OFFSET(Prices!C46,-S$3,0),-1,0))</f>
        <v>-1</v>
      </c>
      <c r="T47" s="1">
        <f ca="1">IF(S47=1,T$3*Q46/Prices!C46,T$3*R46*S47)</f>
        <v>-2.0665634755405319E-4</v>
      </c>
      <c r="V47" s="9"/>
      <c r="W47" s="1"/>
      <c r="X47" s="1"/>
      <c r="Y47" s="1"/>
      <c r="Z47" s="1"/>
      <c r="AA47" s="1"/>
      <c r="AB47" s="1"/>
      <c r="AC47" s="1"/>
      <c r="AD47" s="1"/>
      <c r="AE47" s="16"/>
    </row>
    <row r="48" spans="1:31" x14ac:dyDescent="0.2">
      <c r="A48" s="4">
        <v>33574</v>
      </c>
      <c r="B48" s="9">
        <f ca="1">Prices!C47*(1+J48/(50*(ABS(O48)+ABS(T48)+0.0001)))</f>
        <v>127.66844399482365</v>
      </c>
      <c r="C48" s="13">
        <f t="shared" ca="1" si="8"/>
        <v>-1</v>
      </c>
      <c r="D48" s="9">
        <f ca="1">D47+C48*(Prices!C48-Prices!C47)/Prices!C47</f>
        <v>-2.8727653025654526E-2</v>
      </c>
      <c r="E48" s="9">
        <f t="shared" ca="1" si="9"/>
        <v>2.8727653025654526E-2</v>
      </c>
      <c r="F48" s="9">
        <f t="shared" ca="1" si="10"/>
        <v>0</v>
      </c>
      <c r="G48" s="13">
        <f ca="1">IF((Prices!C48-Prices!C47)*C48&gt;0,1,0)</f>
        <v>1</v>
      </c>
      <c r="H48" s="9">
        <f>ABS(Prices!C48-Prices!C47)/Prices!C47</f>
        <v>9.9938499385012185E-4</v>
      </c>
      <c r="I48" s="13"/>
      <c r="J48" s="1">
        <f t="shared" ca="1" si="11"/>
        <v>-1.2689461760759262E-3</v>
      </c>
      <c r="K48" s="9"/>
      <c r="L48" s="9">
        <f ca="1">L47-O48*Prices!C48</f>
        <v>1.05544931199821</v>
      </c>
      <c r="M48" s="1">
        <f t="shared" ca="1" si="2"/>
        <v>9.5978065992565857E-3</v>
      </c>
      <c r="N48" s="9">
        <f ca="1">IF(Prices!D47&gt;OFFSET(Prices!D47,-$N$3,0),1,IF(Prices!D47&lt;OFFSET(Prices!D47,-$N$3,0),-1,0))</f>
        <v>-1</v>
      </c>
      <c r="O48" s="1">
        <f ca="1">IF(N48=1,O$3*L47/Prices!C47,O$3*M47*N48)</f>
        <v>-1.066422955472954E-3</v>
      </c>
      <c r="P48" s="14"/>
      <c r="Q48" s="9">
        <f ca="1">Q47-T48*Prices!C48</f>
        <v>1.0098550541163691</v>
      </c>
      <c r="R48" s="1">
        <f t="shared" ca="1" si="3"/>
        <v>9.9236378095456344E-3</v>
      </c>
      <c r="S48" s="9">
        <f ca="1">IF(Prices!C47&lt;OFFSET(Prices!C47,-S$3,0),1,IF(Prices!C47&gt;OFFSET(Prices!C47,-S$3,0),-1,0))</f>
        <v>-1</v>
      </c>
      <c r="T48" s="1">
        <f ca="1">IF(S48=1,T$3*Q47/Prices!C47,T$3*R47*S48)</f>
        <v>-2.0252322060297211E-4</v>
      </c>
      <c r="V48" s="9"/>
      <c r="W48" s="1"/>
      <c r="X48" s="1"/>
      <c r="Y48" s="1"/>
      <c r="Z48" s="1"/>
      <c r="AA48" s="1"/>
      <c r="AB48" s="1"/>
      <c r="AC48" s="1"/>
      <c r="AD48" s="1"/>
      <c r="AE48" s="16"/>
    </row>
    <row r="49" spans="1:31" x14ac:dyDescent="0.2">
      <c r="A49" s="4">
        <v>33575</v>
      </c>
      <c r="B49" s="9">
        <f ca="1">Prices!C48*(1+J49/(50*(ABS(O49)+ABS(T49)+0.0001)))</f>
        <v>127.55755616481625</v>
      </c>
      <c r="C49" s="13">
        <f t="shared" ca="1" si="8"/>
        <v>-1</v>
      </c>
      <c r="D49" s="9">
        <f ca="1">D48+C49*(Prices!C49-Prices!C48)/Prices!C48</f>
        <v>-2.5649546061437694E-2</v>
      </c>
      <c r="E49" s="9">
        <f t="shared" ca="1" si="9"/>
        <v>2.5649546061437694E-2</v>
      </c>
      <c r="F49" s="9">
        <f t="shared" ca="1" si="10"/>
        <v>0</v>
      </c>
      <c r="G49" s="13">
        <f ca="1">IF((Prices!C49-Prices!C48)*C49&gt;0,1,0)</f>
        <v>1</v>
      </c>
      <c r="H49" s="9">
        <f>ABS(Prices!C49-Prices!C48)/Prices!C48</f>
        <v>3.078106964216832E-3</v>
      </c>
      <c r="I49" s="13"/>
      <c r="J49" s="1">
        <f t="shared" ca="1" si="11"/>
        <v>-1.1582534161165713E-3</v>
      </c>
      <c r="K49" s="9"/>
      <c r="L49" s="9">
        <f ca="1">L48-O49*Prices!C49</f>
        <v>1.179788896491579</v>
      </c>
      <c r="M49" s="1">
        <f t="shared" ca="1" si="2"/>
        <v>8.6380259393309278E-3</v>
      </c>
      <c r="N49" s="9">
        <f ca="1">IF(Prices!D48&gt;OFFSET(Prices!D48,-$N$3,0),1,IF(Prices!D48&lt;OFFSET(Prices!D48,-$N$3,0),-1,0))</f>
        <v>-1</v>
      </c>
      <c r="O49" s="1">
        <f ca="1">IF(N49=1,O$3*L48/Prices!C48,O$3*M48*N49)</f>
        <v>-9.5978065992565864E-4</v>
      </c>
      <c r="P49" s="14"/>
      <c r="Q49" s="9">
        <f ca="1">Q48-T49*Prices!C49</f>
        <v>1.0355671996809019</v>
      </c>
      <c r="R49" s="1">
        <f t="shared" ca="1" si="3"/>
        <v>9.7251650533547226E-3</v>
      </c>
      <c r="S49" s="9">
        <f ca="1">IF(Prices!C48&lt;OFFSET(Prices!C48,-S$3,0),1,IF(Prices!C48&gt;OFFSET(Prices!C48,-S$3,0),-1,0))</f>
        <v>-1</v>
      </c>
      <c r="T49" s="1">
        <f ca="1">IF(S49=1,T$3*Q48/Prices!C48,T$3*R48*S49)</f>
        <v>-1.984727561909127E-4</v>
      </c>
      <c r="V49" s="9"/>
      <c r="W49" s="1"/>
      <c r="X49" s="1"/>
      <c r="Y49" s="1"/>
      <c r="Z49" s="1"/>
      <c r="AA49" s="1"/>
      <c r="AB49" s="1"/>
      <c r="AC49" s="1"/>
      <c r="AD49" s="1"/>
      <c r="AE49" s="16"/>
    </row>
    <row r="50" spans="1:31" x14ac:dyDescent="0.2">
      <c r="A50" s="4">
        <v>33576</v>
      </c>
      <c r="B50" s="9">
        <f ca="1">Prices!C49*(1+J50/(50*(ABS(O50)+ABS(T50)+0.0001)))</f>
        <v>127.92685520961548</v>
      </c>
      <c r="C50" s="13">
        <f t="shared" ca="1" si="8"/>
        <v>-1</v>
      </c>
      <c r="D50" s="9">
        <f ca="1">D49+C50*(Prices!C50-Prices!C49)/Prices!C49</f>
        <v>-2.5649546061437694E-2</v>
      </c>
      <c r="E50" s="9">
        <f t="shared" ca="1" si="9"/>
        <v>2.5649546061437694E-2</v>
      </c>
      <c r="F50" s="9">
        <f t="shared" ca="1" si="10"/>
        <v>0</v>
      </c>
      <c r="G50" s="13">
        <f ca="1">IF((Prices!C50-Prices!C49)*C50&gt;0,1,0)</f>
        <v>0</v>
      </c>
      <c r="H50" s="9">
        <f>ABS(Prices!C50-Prices!C49)/Prices!C49</f>
        <v>0</v>
      </c>
      <c r="I50" s="13"/>
      <c r="J50" s="1">
        <f t="shared" ca="1" si="11"/>
        <v>-7.0393116210277216E-4</v>
      </c>
      <c r="K50" s="9"/>
      <c r="L50" s="9">
        <f ca="1">L49-O50*Prices!C50</f>
        <v>1.2916945225356111</v>
      </c>
      <c r="M50" s="1">
        <f t="shared" ca="1" si="2"/>
        <v>7.7742233453978347E-3</v>
      </c>
      <c r="N50" s="9">
        <f ca="1">IF(Prices!D49&gt;OFFSET(Prices!D49,-$N$3,0),1,IF(Prices!D49&lt;OFFSET(Prices!D49,-$N$3,0),-1,0))</f>
        <v>-1</v>
      </c>
      <c r="O50" s="1">
        <f ca="1">IF(N50=1,O$3*L49/Prices!C49,O$3*M49*N50)</f>
        <v>-8.6380259393309281E-4</v>
      </c>
      <c r="P50" s="14"/>
      <c r="Q50" s="9">
        <f ca="1">Q49-T50*Prices!C50</f>
        <v>1.014855855687284</v>
      </c>
      <c r="R50" s="1">
        <f t="shared" ca="1" si="3"/>
        <v>9.885036485185043E-3</v>
      </c>
      <c r="S50" s="9">
        <f ca="1">IF(Prices!C49&lt;OFFSET(Prices!C49,-S$3,0),1,IF(Prices!C49&gt;OFFSET(Prices!C49,-S$3,0),-1,0))</f>
        <v>1</v>
      </c>
      <c r="T50" s="1">
        <f ca="1">IF(S50=1,T$3*Q49/Prices!C49,T$3*R49*S50)</f>
        <v>1.5987143183032062E-4</v>
      </c>
      <c r="V50" s="9"/>
      <c r="W50" s="1"/>
      <c r="X50" s="1"/>
      <c r="Y50" s="1"/>
      <c r="Z50" s="1"/>
      <c r="AA50" s="1"/>
      <c r="AB50" s="1"/>
      <c r="AC50" s="1"/>
      <c r="AD50" s="1"/>
      <c r="AE50" s="16"/>
    </row>
    <row r="51" spans="1:31" x14ac:dyDescent="0.2">
      <c r="A51" s="4">
        <v>33577</v>
      </c>
      <c r="B51" s="9">
        <f ca="1">Prices!C50*(1+J51/(50*(ABS(O51)+ABS(T51)+0.0001)))</f>
        <v>127.99467206020398</v>
      </c>
      <c r="C51" s="13">
        <f t="shared" ca="1" si="8"/>
        <v>-1</v>
      </c>
      <c r="D51" s="9">
        <f ca="1">D50+C51*(Prices!C51-Prices!C50)/Prices!C50</f>
        <v>-1.9628704687450808E-2</v>
      </c>
      <c r="E51" s="9">
        <f t="shared" ca="1" si="9"/>
        <v>1.9628704687450808E-2</v>
      </c>
      <c r="F51" s="9">
        <f t="shared" ca="1" si="10"/>
        <v>0</v>
      </c>
      <c r="G51" s="13">
        <f ca="1">IF((Prices!C51-Prices!C50)*C51&gt;0,1,0)</f>
        <v>1</v>
      </c>
      <c r="H51" s="9">
        <f>ABS(Prices!C51-Prices!C50)/Prices!C50</f>
        <v>6.0208413739868856E-3</v>
      </c>
      <c r="I51" s="13"/>
      <c r="J51" s="1">
        <f t="shared" ca="1" si="11"/>
        <v>-6.2074833134606925E-4</v>
      </c>
      <c r="K51" s="9"/>
      <c r="L51" s="9">
        <f ca="1">L50-O51*Prices!C51</f>
        <v>1.391803196554299</v>
      </c>
      <c r="M51" s="1">
        <f t="shared" ca="1" si="2"/>
        <v>6.996801010858051E-3</v>
      </c>
      <c r="N51" s="9">
        <f ca="1">IF(Prices!D50&gt;OFFSET(Prices!D50,-$N$3,0),1,IF(Prices!D50&lt;OFFSET(Prices!D50,-$N$3,0),-1,0))</f>
        <v>-1</v>
      </c>
      <c r="O51" s="1">
        <f ca="1">IF(N51=1,O$3*L50/Prices!C50,O$3*M50*N51)</f>
        <v>-7.7742233453978351E-4</v>
      </c>
      <c r="P51" s="14"/>
      <c r="Q51" s="9">
        <f ca="1">Q50-T51*Prices!C51</f>
        <v>0.99468094429602938</v>
      </c>
      <c r="R51" s="1">
        <f t="shared" ca="1" si="3"/>
        <v>1.0041710488378756E-2</v>
      </c>
      <c r="S51" s="9">
        <f ca="1">IF(Prices!C50&lt;OFFSET(Prices!C50,-S$3,0),1,IF(Prices!C50&gt;OFFSET(Prices!C50,-S$3,0),-1,0))</f>
        <v>1</v>
      </c>
      <c r="T51" s="1">
        <f ca="1">IF(S51=1,T$3*Q50/Prices!C50,T$3*R50*S51)</f>
        <v>1.5667400319371421E-4</v>
      </c>
      <c r="V51" s="9"/>
      <c r="W51" s="1"/>
      <c r="X51" s="1"/>
      <c r="Y51" s="1"/>
      <c r="Z51" s="1"/>
      <c r="AA51" s="1"/>
      <c r="AB51" s="1"/>
      <c r="AC51" s="1"/>
      <c r="AD51" s="1"/>
      <c r="AE51" s="16"/>
    </row>
    <row r="52" spans="1:31" x14ac:dyDescent="0.2">
      <c r="A52" s="4">
        <v>33578</v>
      </c>
      <c r="B52" s="9">
        <f ca="1">Prices!C51*(1+J52/(50*(ABS(O52)+ABS(T52)+0.0001)))</f>
        <v>127.29847577119703</v>
      </c>
      <c r="C52" s="13">
        <f t="shared" ca="1" si="8"/>
        <v>-1</v>
      </c>
      <c r="D52" s="9">
        <f ca="1">D51+C52*(Prices!C52-Prices!C51)/Prices!C51</f>
        <v>-1.5202207832593143E-2</v>
      </c>
      <c r="E52" s="9">
        <f t="shared" ca="1" si="9"/>
        <v>1.5202207832593143E-2</v>
      </c>
      <c r="F52" s="9">
        <f t="shared" ca="1" si="10"/>
        <v>0</v>
      </c>
      <c r="G52" s="13">
        <f ca="1">IF((Prices!C52-Prices!C51)*C52&gt;0,1,0)</f>
        <v>1</v>
      </c>
      <c r="H52" s="9">
        <f>ABS(Prices!C52-Prices!C51)/Prices!C51</f>
        <v>4.4264968548576649E-3</v>
      </c>
      <c r="I52" s="13"/>
      <c r="J52" s="1">
        <f t="shared" ca="1" si="11"/>
        <v>-5.4519055471692591E-4</v>
      </c>
      <c r="K52" s="9"/>
      <c r="L52" s="9">
        <f ca="1">L51-O52*Prices!C52</f>
        <v>1.4815021855134991</v>
      </c>
      <c r="M52" s="1">
        <f t="shared" ca="1" si="2"/>
        <v>6.2971209097722461E-3</v>
      </c>
      <c r="N52" s="9">
        <f ca="1">IF(Prices!D51&gt;OFFSET(Prices!D51,-$N$3,0),1,IF(Prices!D51&lt;OFFSET(Prices!D51,-$N$3,0),-1,0))</f>
        <v>-1</v>
      </c>
      <c r="O52" s="1">
        <f ca="1">IF(N52=1,O$3*L51/Prices!C51,O$3*M51*N52)</f>
        <v>-6.9968010108580514E-4</v>
      </c>
      <c r="P52" s="14"/>
      <c r="Q52" s="9">
        <f ca="1">Q51-T52*Prices!C52</f>
        <v>0.9748753844515391</v>
      </c>
      <c r="R52" s="1">
        <f t="shared" ca="1" si="3"/>
        <v>1.0196200034747636E-2</v>
      </c>
      <c r="S52" s="9">
        <f ca="1">IF(Prices!C51&lt;OFFSET(Prices!C51,-S$3,0),1,IF(Prices!C51&gt;OFFSET(Prices!C51,-S$3,0),-1,0))</f>
        <v>1</v>
      </c>
      <c r="T52" s="1">
        <f ca="1">IF(S52=1,T$3*Q51/Prices!C51,T$3*R51*S52)</f>
        <v>1.5448954636887929E-4</v>
      </c>
      <c r="V52" s="9"/>
      <c r="W52" s="1"/>
      <c r="X52" s="1"/>
      <c r="Y52" s="1"/>
      <c r="Z52" s="1"/>
      <c r="AA52" s="1"/>
      <c r="AB52" s="1"/>
      <c r="AC52" s="1"/>
      <c r="AD52" s="1"/>
      <c r="AE52" s="16"/>
    </row>
    <row r="53" spans="1:31" x14ac:dyDescent="0.2">
      <c r="A53" s="4">
        <v>33581</v>
      </c>
      <c r="B53" s="9">
        <f ca="1">Prices!C52*(1+J53/(50*(ABS(O53)+ABS(T53)+0.0001)))</f>
        <v>130.58185951047989</v>
      </c>
      <c r="C53" s="13">
        <f t="shared" ca="1" si="8"/>
        <v>1</v>
      </c>
      <c r="D53" s="9">
        <f ca="1">D52+C53*(Prices!C53-Prices!C52)/Prices!C52</f>
        <v>-1.3642145430096909E-2</v>
      </c>
      <c r="E53" s="9">
        <f t="shared" ca="1" si="9"/>
        <v>1.3642145430096909E-2</v>
      </c>
      <c r="F53" s="9">
        <f t="shared" ca="1" si="10"/>
        <v>0</v>
      </c>
      <c r="G53" s="13">
        <f ca="1">IF((Prices!C53-Prices!C52)*C53&gt;0,1,0)</f>
        <v>1</v>
      </c>
      <c r="H53" s="9">
        <f>ABS(Prices!C53-Prices!C52)/Prices!C52</f>
        <v>1.560062402496233E-3</v>
      </c>
      <c r="I53" s="13"/>
      <c r="J53" s="1">
        <f t="shared" ca="1" si="11"/>
        <v>1.3077045728578838E-3</v>
      </c>
      <c r="K53" s="9"/>
      <c r="L53" s="9">
        <f ca="1">L52-O53*Prices!C53</f>
        <v>1.3331208433762656</v>
      </c>
      <c r="M53" s="1">
        <f t="shared" ca="1" si="2"/>
        <v>7.4527388391899523E-3</v>
      </c>
      <c r="N53" s="9">
        <f ca="1">IF(Prices!D52&gt;OFFSET(Prices!D52,-$N$3,0),1,IF(Prices!D52&lt;OFFSET(Prices!D52,-$N$3,0),-1,0))</f>
        <v>1</v>
      </c>
      <c r="O53" s="1">
        <f ca="1">IF(N53=1,O$3*L52/Prices!C52,O$3*M52*N53)</f>
        <v>1.1556179294177061E-3</v>
      </c>
      <c r="P53" s="14"/>
      <c r="Q53" s="9">
        <f ca="1">Q52-T53*Prices!C53</f>
        <v>0.95534745943382027</v>
      </c>
      <c r="R53" s="1">
        <f t="shared" ca="1" si="3"/>
        <v>1.0348286678187813E-2</v>
      </c>
      <c r="S53" s="9">
        <f ca="1">IF(Prices!C52&lt;OFFSET(Prices!C52,-S$3,0),1,IF(Prices!C52&gt;OFFSET(Prices!C52,-S$3,0),-1,0))</f>
        <v>1</v>
      </c>
      <c r="T53" s="1">
        <f ca="1">IF(S53=1,T$3*Q52/Prices!C52,T$3*R52*S53)</f>
        <v>1.5208664344017772E-4</v>
      </c>
      <c r="V53" s="9"/>
      <c r="W53" s="1"/>
      <c r="X53" s="1"/>
      <c r="Y53" s="1"/>
      <c r="Z53" s="1"/>
      <c r="AA53" s="1"/>
      <c r="AB53" s="1"/>
      <c r="AC53" s="1"/>
      <c r="AD53" s="1"/>
      <c r="AE53" s="16"/>
    </row>
    <row r="54" spans="1:31" x14ac:dyDescent="0.2">
      <c r="A54" s="4">
        <v>33582</v>
      </c>
      <c r="B54" s="9">
        <f ca="1">Prices!C53*(1+J54/(50*(ABS(O54)+ABS(T54)+0.0001)))</f>
        <v>130.76847614162799</v>
      </c>
      <c r="C54" s="13">
        <f t="shared" ca="1" si="8"/>
        <v>1</v>
      </c>
      <c r="D54" s="9">
        <f ca="1">D53+C54*(Prices!C54-Prices!C53)/Prices!C53</f>
        <v>-1.1305696831966201E-2</v>
      </c>
      <c r="E54" s="9">
        <f t="shared" ca="1" si="9"/>
        <v>1.1305696831966201E-2</v>
      </c>
      <c r="F54" s="9">
        <f t="shared" ca="1" si="10"/>
        <v>0</v>
      </c>
      <c r="G54" s="13">
        <f ca="1">IF((Prices!C54-Prices!C53)*C54&gt;0,1,0)</f>
        <v>1</v>
      </c>
      <c r="H54" s="9">
        <f>ABS(Prices!C54-Prices!C53)/Prices!C53</f>
        <v>2.3364485981307082E-3</v>
      </c>
      <c r="I54" s="13"/>
      <c r="J54" s="1">
        <f t="shared" ca="1" si="11"/>
        <v>1.1870641240366276E-3</v>
      </c>
      <c r="K54" s="9"/>
      <c r="L54" s="9">
        <f ca="1">L53-O54*Prices!C54</f>
        <v>1.1994972822060745</v>
      </c>
      <c r="M54" s="1">
        <f t="shared" ca="1" si="2"/>
        <v>8.490994947738445E-3</v>
      </c>
      <c r="N54" s="9">
        <f ca="1">IF(Prices!D53&gt;OFFSET(Prices!D53,-$N$3,0),1,IF(Prices!D53&lt;OFFSET(Prices!D53,-$N$3,0),-1,0))</f>
        <v>1</v>
      </c>
      <c r="O54" s="1">
        <f ca="1">IF(N54=1,O$3*L53/Prices!C53,O$3*M53*N54)</f>
        <v>1.0382561085484935E-3</v>
      </c>
      <c r="P54" s="14"/>
      <c r="Q54" s="9">
        <f ca="1">Q53-T54*Prices!C54</f>
        <v>0.93619586784049746</v>
      </c>
      <c r="R54" s="1">
        <f t="shared" ca="1" si="3"/>
        <v>1.0497094693675947E-2</v>
      </c>
      <c r="S54" s="9">
        <f ca="1">IF(Prices!C53&lt;OFFSET(Prices!C53,-S$3,0),1,IF(Prices!C53&gt;OFFSET(Prices!C53,-S$3,0),-1,0))</f>
        <v>1</v>
      </c>
      <c r="T54" s="1">
        <f ca="1">IF(S54=1,T$3*Q53/Prices!C53,T$3*R53*S54)</f>
        <v>1.48808015488134E-4</v>
      </c>
      <c r="V54" s="9"/>
      <c r="W54" s="1"/>
      <c r="X54" s="1"/>
      <c r="Y54" s="1"/>
      <c r="Z54" s="1"/>
      <c r="AA54" s="1"/>
      <c r="AB54" s="1"/>
      <c r="AC54" s="1"/>
      <c r="AD54" s="1"/>
      <c r="AE54" s="16"/>
    </row>
    <row r="55" spans="1:31" x14ac:dyDescent="0.2">
      <c r="A55" s="4">
        <v>33583</v>
      </c>
      <c r="B55" s="9">
        <f ca="1">Prices!C54*(1+J55/(50*(ABS(O55)+ABS(T55)+0.0001)))</f>
        <v>127.04539609448848</v>
      </c>
      <c r="C55" s="13">
        <f t="shared" ca="1" si="8"/>
        <v>-1</v>
      </c>
      <c r="D55" s="9">
        <f ca="1">D54+C55*(Prices!C55-Prices!C54)/Prices!C54</f>
        <v>-1.4802200328469831E-2</v>
      </c>
      <c r="E55" s="9">
        <f t="shared" ca="1" si="9"/>
        <v>1.4802200328469831E-2</v>
      </c>
      <c r="F55" s="9">
        <f t="shared" ca="1" si="10"/>
        <v>0</v>
      </c>
      <c r="G55" s="13">
        <f ca="1">IF((Prices!C55-Prices!C54)*C55&gt;0,1,0)</f>
        <v>0</v>
      </c>
      <c r="H55" s="9">
        <f>ABS(Prices!C55-Prices!C54)/Prices!C54</f>
        <v>3.4965034965036292E-3</v>
      </c>
      <c r="I55" s="13"/>
      <c r="J55" s="1">
        <f t="shared" ca="1" si="11"/>
        <v>-7.0361451142644793E-4</v>
      </c>
      <c r="K55" s="9"/>
      <c r="L55" s="9">
        <f ca="1">L54-O55*Prices!C55</f>
        <v>1.3091584819561166</v>
      </c>
      <c r="M55" s="1">
        <f t="shared" ca="1" si="2"/>
        <v>7.6418954529646008E-3</v>
      </c>
      <c r="N55" s="9">
        <f ca="1">IF(Prices!D54&gt;OFFSET(Prices!D54,-$N$3,0),1,IF(Prices!D54&lt;OFFSET(Prices!D54,-$N$3,0),-1,0))</f>
        <v>-1</v>
      </c>
      <c r="O55" s="1">
        <f ca="1">IF(N55=1,O$3*L54/Prices!C54,O$3*M54*N55)</f>
        <v>-8.4909949477384459E-4</v>
      </c>
      <c r="P55" s="14"/>
      <c r="Q55" s="9">
        <f ca="1">Q54-T55*Prices!C55</f>
        <v>0.91740648224118115</v>
      </c>
      <c r="R55" s="1">
        <f t="shared" ca="1" si="3"/>
        <v>1.0642579677023343E-2</v>
      </c>
      <c r="S55" s="9">
        <f ca="1">IF(Prices!C54&lt;OFFSET(Prices!C54,-S$3,0),1,IF(Prices!C54&gt;OFFSET(Prices!C54,-S$3,0),-1,0))</f>
        <v>1</v>
      </c>
      <c r="T55" s="1">
        <f ca="1">IF(S55=1,T$3*Q54/Prices!C54,T$3*R54*S55)</f>
        <v>1.4548498334739668E-4</v>
      </c>
      <c r="V55" s="9"/>
      <c r="W55" s="1"/>
      <c r="X55" s="1"/>
      <c r="Y55" s="1"/>
      <c r="Z55" s="1"/>
      <c r="AA55" s="1"/>
      <c r="AB55" s="1"/>
      <c r="AC55" s="1"/>
      <c r="AD55" s="1"/>
      <c r="AE55" s="16"/>
    </row>
    <row r="56" spans="1:31" x14ac:dyDescent="0.2">
      <c r="A56" s="4">
        <v>33584</v>
      </c>
      <c r="B56" s="9">
        <f ca="1">Prices!C55*(1+J56/(50*(ABS(O56)+ABS(T56)+0.0001)))</f>
        <v>127.39263108302208</v>
      </c>
      <c r="C56" s="13">
        <f t="shared" ca="1" si="8"/>
        <v>-1</v>
      </c>
      <c r="D56" s="9">
        <f ca="1">D55+C56*(Prices!C56-Prices!C55)/Prices!C55</f>
        <v>-1.5499064439968116E-2</v>
      </c>
      <c r="E56" s="9">
        <f t="shared" ca="1" si="9"/>
        <v>1.5499064439968116E-2</v>
      </c>
      <c r="F56" s="9">
        <f t="shared" ca="1" si="10"/>
        <v>0</v>
      </c>
      <c r="G56" s="13">
        <f ca="1">IF((Prices!C56-Prices!C55)*C56&gt;0,1,0)</f>
        <v>0</v>
      </c>
      <c r="H56" s="9">
        <f>ABS(Prices!C56-Prices!C55)/Prices!C55</f>
        <v>6.9686411149828419E-4</v>
      </c>
      <c r="I56" s="13"/>
      <c r="J56" s="1">
        <f t="shared" ca="1" si="11"/>
        <v>-2.1285159354046687E-4</v>
      </c>
      <c r="K56" s="9"/>
      <c r="L56" s="9">
        <f ca="1">L55-O56*Prices!C56</f>
        <v>1.3091584819561166</v>
      </c>
      <c r="M56" s="1">
        <f t="shared" ca="1" si="2"/>
        <v>7.6418954529646008E-3</v>
      </c>
      <c r="N56" s="9">
        <f ca="1">IF(Prices!D55&gt;OFFSET(Prices!D55,-$N$3,0),1,IF(Prices!D55&lt;OFFSET(Prices!D55,-$N$3,0),-1,0))</f>
        <v>0</v>
      </c>
      <c r="O56" s="1">
        <f ca="1">IF(N56=1,O$3*L55/Prices!C55,O$3*M55*N56)</f>
        <v>0</v>
      </c>
      <c r="P56" s="14"/>
      <c r="Q56" s="9">
        <f ca="1">Q55-T56*Prices!C56</f>
        <v>0.94491542219035107</v>
      </c>
      <c r="R56" s="1">
        <f t="shared" ca="1" si="3"/>
        <v>1.0429728083482876E-2</v>
      </c>
      <c r="S56" s="9">
        <f ca="1">IF(Prices!C55&lt;OFFSET(Prices!C55,-S$3,0),1,IF(Prices!C55&gt;OFFSET(Prices!C55,-S$3,0),-1,0))</f>
        <v>-1</v>
      </c>
      <c r="T56" s="1">
        <f ca="1">IF(S56=1,T$3*Q55/Prices!C55,T$3*R55*S56)</f>
        <v>-2.1285159354046687E-4</v>
      </c>
      <c r="V56" s="9"/>
      <c r="W56" s="1"/>
      <c r="X56" s="1"/>
      <c r="Y56" s="1"/>
      <c r="Z56" s="1"/>
      <c r="AA56" s="1"/>
      <c r="AB56" s="1"/>
      <c r="AC56" s="1"/>
      <c r="AD56" s="1"/>
      <c r="AE56" s="16"/>
    </row>
    <row r="57" spans="1:31" x14ac:dyDescent="0.2">
      <c r="A57" s="4">
        <v>33585</v>
      </c>
      <c r="B57" s="9">
        <f ca="1">Prices!C56*(1+J57/(50*(ABS(O57)+ABS(T57)+0.0001)))</f>
        <v>126.8961431667766</v>
      </c>
      <c r="C57" s="13">
        <f t="shared" ca="1" si="8"/>
        <v>-1</v>
      </c>
      <c r="D57" s="9">
        <f ca="1">D56+C57*(Prices!C57-Prices!C56)/Prices!C56</f>
        <v>-1.2094545715115146E-2</v>
      </c>
      <c r="E57" s="9">
        <f t="shared" ca="1" si="9"/>
        <v>1.2094545715115146E-2</v>
      </c>
      <c r="F57" s="9">
        <f t="shared" ca="1" si="10"/>
        <v>0</v>
      </c>
      <c r="G57" s="13">
        <f ca="1">IF((Prices!C57-Prices!C56)*C57&gt;0,1,0)</f>
        <v>1</v>
      </c>
      <c r="H57" s="9">
        <f>ABS(Prices!C57-Prices!C56)/Prices!C56</f>
        <v>3.4045187248529689E-3</v>
      </c>
      <c r="I57" s="13"/>
      <c r="J57" s="1">
        <f t="shared" ca="1" si="11"/>
        <v>-9.7278410696611758E-4</v>
      </c>
      <c r="K57" s="9"/>
      <c r="L57" s="9">
        <f ca="1">L56-O57*Prices!C57</f>
        <v>1.4075860953903008</v>
      </c>
      <c r="M57" s="1">
        <f t="shared" ca="1" si="2"/>
        <v>6.8777059076681408E-3</v>
      </c>
      <c r="N57" s="9">
        <f ca="1">IF(Prices!D56&gt;OFFSET(Prices!D56,-$N$3,0),1,IF(Prices!D56&lt;OFFSET(Prices!D56,-$N$3,0),-1,0))</f>
        <v>-1</v>
      </c>
      <c r="O57" s="1">
        <f ca="1">IF(N57=1,O$3*L56/Prices!C56,O$3*M56*N57)</f>
        <v>-7.6418954529646008E-4</v>
      </c>
      <c r="P57" s="14"/>
      <c r="Q57" s="9">
        <f ca="1">Q56-T57*Prices!C57</f>
        <v>0.97178240173340291</v>
      </c>
      <c r="R57" s="1">
        <f t="shared" ca="1" si="3"/>
        <v>1.0221133521813218E-2</v>
      </c>
      <c r="S57" s="9">
        <f ca="1">IF(Prices!C56&lt;OFFSET(Prices!C56,-S$3,0),1,IF(Prices!C56&gt;OFFSET(Prices!C56,-S$3,0),-1,0))</f>
        <v>-1</v>
      </c>
      <c r="T57" s="1">
        <f ca="1">IF(S57=1,T$3*Q56/Prices!C56,T$3*R56*S57)</f>
        <v>-2.0859456166965752E-4</v>
      </c>
      <c r="V57" s="9"/>
      <c r="W57" s="1"/>
      <c r="X57" s="1"/>
      <c r="Y57" s="1"/>
      <c r="Z57" s="1"/>
      <c r="AA57" s="1"/>
      <c r="AB57" s="1"/>
      <c r="AC57" s="1"/>
      <c r="AD57" s="1"/>
      <c r="AE57" s="16"/>
    </row>
    <row r="58" spans="1:31" x14ac:dyDescent="0.2">
      <c r="A58" s="4">
        <v>33588</v>
      </c>
      <c r="B58" s="9">
        <f ca="1">Prices!C57*(1+J58/(50*(ABS(O58)+ABS(T58)+0.0001)))</f>
        <v>127.07019190689984</v>
      </c>
      <c r="C58" s="13">
        <f t="shared" ca="1" si="8"/>
        <v>-1</v>
      </c>
      <c r="D58" s="9">
        <f ca="1">D57+C58*(Prices!C58-Prices!C57)/Prices!C57</f>
        <v>-9.5324339138728124E-3</v>
      </c>
      <c r="E58" s="9">
        <f t="shared" ca="1" si="9"/>
        <v>9.5324339138728124E-3</v>
      </c>
      <c r="F58" s="9">
        <f t="shared" ca="1" si="10"/>
        <v>0</v>
      </c>
      <c r="G58" s="13">
        <f ca="1">IF((Prices!C58-Prices!C57)*C58&gt;0,1,0)</f>
        <v>1</v>
      </c>
      <c r="H58" s="9">
        <f>ABS(Prices!C58-Prices!C57)/Prices!C57</f>
        <v>2.5621118012423331E-3</v>
      </c>
      <c r="I58" s="13"/>
      <c r="J58" s="1">
        <f t="shared" ca="1" si="11"/>
        <v>-2.0442267043626437E-4</v>
      </c>
      <c r="K58" s="9"/>
      <c r="L58" s="9">
        <f ca="1">L57-O58*Prices!C58</f>
        <v>1.4075860953903008</v>
      </c>
      <c r="M58" s="1">
        <f t="shared" ca="1" si="2"/>
        <v>6.8777059076681408E-3</v>
      </c>
      <c r="N58" s="9">
        <f ca="1">IF(Prices!D57&gt;OFFSET(Prices!D57,-$N$3,0),1,IF(Prices!D57&lt;OFFSET(Prices!D57,-$N$3,0),-1,0))</f>
        <v>0</v>
      </c>
      <c r="O58" s="1">
        <f ca="1">IF(N58=1,O$3*L57/Prices!C57,O$3*M57*N58)</f>
        <v>0</v>
      </c>
      <c r="P58" s="14"/>
      <c r="Q58" s="9">
        <f ca="1">Q57-T58*Prices!C58</f>
        <v>0.99804458220434977</v>
      </c>
      <c r="R58" s="1">
        <f t="shared" ca="1" si="3"/>
        <v>1.0016710851376953E-2</v>
      </c>
      <c r="S58" s="9">
        <f ca="1">IF(Prices!C57&lt;OFFSET(Prices!C57,-S$3,0),1,IF(Prices!C57&gt;OFFSET(Prices!C57,-S$3,0),-1,0))</f>
        <v>-1</v>
      </c>
      <c r="T58" s="1">
        <f ca="1">IF(S58=1,T$3*Q57/Prices!C57,T$3*R57*S58)</f>
        <v>-2.0442267043626437E-4</v>
      </c>
      <c r="V58" s="9"/>
      <c r="W58" s="1"/>
      <c r="X58" s="1"/>
      <c r="Y58" s="1"/>
      <c r="Z58" s="1"/>
      <c r="AA58" s="1"/>
      <c r="AB58" s="1"/>
      <c r="AC58" s="1"/>
      <c r="AD58" s="1"/>
      <c r="AE58" s="16"/>
    </row>
    <row r="59" spans="1:31" x14ac:dyDescent="0.2">
      <c r="A59" s="4">
        <v>33589</v>
      </c>
      <c r="B59" s="9">
        <f ca="1">Prices!C58*(1+J59/(50*(ABS(O59)+ABS(T59)+0.0001)))</f>
        <v>130.84921882117234</v>
      </c>
      <c r="C59" s="13">
        <f t="shared" ca="1" si="8"/>
        <v>1</v>
      </c>
      <c r="D59" s="9">
        <f ca="1">D58+C59*(Prices!C59-Prices!C58)/Prices!C58</f>
        <v>-8.5205245186833097E-3</v>
      </c>
      <c r="E59" s="9">
        <f t="shared" ca="1" si="9"/>
        <v>8.5205245186833097E-3</v>
      </c>
      <c r="F59" s="9">
        <f t="shared" ca="1" si="10"/>
        <v>0</v>
      </c>
      <c r="G59" s="13">
        <f ca="1">IF((Prices!C59-Prices!C58)*C59&gt;0,1,0)</f>
        <v>1</v>
      </c>
      <c r="H59" s="9">
        <f>ABS(Prices!C59-Prices!C58)/Prices!C58</f>
        <v>1.0119093951895029E-3</v>
      </c>
      <c r="I59" s="13"/>
      <c r="J59" s="1">
        <f t="shared" ca="1" si="11"/>
        <v>1.2510274864413254E-3</v>
      </c>
      <c r="K59" s="9"/>
      <c r="L59" s="9">
        <f ca="1">L58-O59*Prices!C59</f>
        <v>1.2666850508918244</v>
      </c>
      <c r="M59" s="1">
        <f t="shared" ca="1" si="2"/>
        <v>7.9733594418709124E-3</v>
      </c>
      <c r="N59" s="9">
        <f ca="1">IF(Prices!D58&gt;OFFSET(Prices!D58,-$N$3,0),1,IF(Prices!D58&lt;OFFSET(Prices!D58,-$N$3,0),-1,0))</f>
        <v>1</v>
      </c>
      <c r="O59" s="1">
        <f ca="1">IF(N59=1,O$3*L58/Prices!C58,O$3*M58*N59)</f>
        <v>1.0956535342027717E-3</v>
      </c>
      <c r="P59" s="14"/>
      <c r="Q59" s="9">
        <f ca="1">Q58-T59*Prices!C59</f>
        <v>0.9780634919464718</v>
      </c>
      <c r="R59" s="1">
        <f t="shared" ca="1" si="3"/>
        <v>1.0172084803615507E-2</v>
      </c>
      <c r="S59" s="9">
        <f ca="1">IF(Prices!C58&lt;OFFSET(Prices!C58,-S$3,0),1,IF(Prices!C58&gt;OFFSET(Prices!C58,-S$3,0),-1,0))</f>
        <v>1</v>
      </c>
      <c r="T59" s="1">
        <f ca="1">IF(S59=1,T$3*Q58/Prices!C58,T$3*R58*S59)</f>
        <v>1.5537395223855373E-4</v>
      </c>
      <c r="V59" s="9"/>
      <c r="W59" s="1"/>
      <c r="X59" s="1"/>
      <c r="Y59" s="1"/>
      <c r="Z59" s="1"/>
      <c r="AA59" s="1"/>
      <c r="AB59" s="1"/>
      <c r="AC59" s="1"/>
      <c r="AD59" s="1"/>
      <c r="AE59" s="16"/>
    </row>
    <row r="60" spans="1:31" x14ac:dyDescent="0.2">
      <c r="A60" s="4">
        <v>33590</v>
      </c>
      <c r="B60" s="9">
        <f ca="1">Prices!C59*(1+J60/(50*(ABS(O60)+ABS(T60)+0.0001)))</f>
        <v>127.01866691907358</v>
      </c>
      <c r="C60" s="13">
        <f t="shared" ca="1" si="8"/>
        <v>-1</v>
      </c>
      <c r="D60" s="9">
        <f ca="1">D59+C60*(Prices!C60-Prices!C59)/Prices!C59</f>
        <v>-7.3541170536754897E-3</v>
      </c>
      <c r="E60" s="9">
        <f t="shared" ca="1" si="9"/>
        <v>7.3541170536754897E-3</v>
      </c>
      <c r="F60" s="9">
        <f t="shared" ca="1" si="10"/>
        <v>0</v>
      </c>
      <c r="G60" s="13">
        <f ca="1">IF((Prices!C60-Prices!C59)*C60&gt;0,1,0)</f>
        <v>1</v>
      </c>
      <c r="H60" s="9">
        <f>ABS(Prices!C60-Prices!C59)/Prices!C59</f>
        <v>1.1664074650078204E-3</v>
      </c>
      <c r="I60" s="13"/>
      <c r="J60" s="1">
        <f t="shared" ca="1" si="11"/>
        <v>-6.4522653641936622E-4</v>
      </c>
      <c r="K60" s="9"/>
      <c r="L60" s="9">
        <f ca="1">L59-O60*Prices!C60</f>
        <v>1.3691028529226563</v>
      </c>
      <c r="M60" s="1">
        <f t="shared" ca="1" si="2"/>
        <v>7.1760234976838214E-3</v>
      </c>
      <c r="N60" s="9">
        <f ca="1">IF(Prices!D59&gt;OFFSET(Prices!D59,-$N$3,0),1,IF(Prices!D59&lt;OFFSET(Prices!D59,-$N$3,0),-1,0))</f>
        <v>-1</v>
      </c>
      <c r="O60" s="1">
        <f ca="1">IF(N60=1,O$3*L59/Prices!C59,O$3*M59*N60)</f>
        <v>-7.9733594418709129E-4</v>
      </c>
      <c r="P60" s="14"/>
      <c r="Q60" s="9">
        <f ca="1">Q59-T60*Prices!C60</f>
        <v>0.95852503851870752</v>
      </c>
      <c r="R60" s="1">
        <f t="shared" ca="1" si="3"/>
        <v>1.0324194211383232E-2</v>
      </c>
      <c r="S60" s="9">
        <f ca="1">IF(Prices!C59&lt;OFFSET(Prices!C59,-S$3,0),1,IF(Prices!C59&gt;OFFSET(Prices!C59,-S$3,0),-1,0))</f>
        <v>1</v>
      </c>
      <c r="T60" s="1">
        <f ca="1">IF(S60=1,T$3*Q59/Prices!C59,T$3*R59*S60)</f>
        <v>1.5210940776772501E-4</v>
      </c>
      <c r="V60" s="9"/>
      <c r="W60" s="1"/>
      <c r="X60" s="1"/>
      <c r="Y60" s="1"/>
      <c r="Z60" s="1"/>
      <c r="AA60" s="1"/>
      <c r="AB60" s="1"/>
      <c r="AC60" s="1"/>
      <c r="AD60" s="1"/>
      <c r="AE60" s="16"/>
    </row>
    <row r="61" spans="1:31" x14ac:dyDescent="0.2">
      <c r="A61" s="4">
        <v>33591</v>
      </c>
      <c r="B61" s="9">
        <f ca="1">Prices!C60*(1+J61/(50*(ABS(O61)+ABS(T61)+0.0001)))</f>
        <v>126.93982297927612</v>
      </c>
      <c r="C61" s="13">
        <f t="shared" ca="1" si="8"/>
        <v>-1</v>
      </c>
      <c r="D61" s="9">
        <f ca="1">D60+C61*(Prices!C61-Prices!C60)/Prices!C60</f>
        <v>-6.4199014055635693E-3</v>
      </c>
      <c r="E61" s="9">
        <f t="shared" ca="1" si="9"/>
        <v>6.4199014055635693E-3</v>
      </c>
      <c r="F61" s="9">
        <f t="shared" ca="1" si="10"/>
        <v>0</v>
      </c>
      <c r="G61" s="13">
        <f ca="1">IF((Prices!C61-Prices!C60)*C61&gt;0,1,0)</f>
        <v>1</v>
      </c>
      <c r="H61" s="9">
        <f>ABS(Prices!C61-Prices!C60)/Prices!C60</f>
        <v>9.342156481119201E-4</v>
      </c>
      <c r="I61" s="13"/>
      <c r="J61" s="1">
        <f t="shared" ca="1" si="11"/>
        <v>-5.6835750141980956E-4</v>
      </c>
      <c r="K61" s="9"/>
      <c r="L61" s="9">
        <f ca="1">L60-O61*Prices!C61</f>
        <v>1.4611927624684329</v>
      </c>
      <c r="M61" s="1">
        <f t="shared" ca="1" si="2"/>
        <v>6.4584211479154392E-3</v>
      </c>
      <c r="N61" s="9">
        <f ca="1">IF(Prices!D60&gt;OFFSET(Prices!D60,-$N$3,0),1,IF(Prices!D60&lt;OFFSET(Prices!D60,-$N$3,0),-1,0))</f>
        <v>-1</v>
      </c>
      <c r="O61" s="1">
        <f ca="1">IF(N61=1,O$3*L60/Prices!C60,O$3*M60*N61)</f>
        <v>-7.1760234976838214E-4</v>
      </c>
      <c r="P61" s="14"/>
      <c r="Q61" s="9">
        <f ca="1">Q60-T61*Prices!C61</f>
        <v>0.93937244713013524</v>
      </c>
      <c r="R61" s="1">
        <f t="shared" ca="1" si="3"/>
        <v>1.0473439059731806E-2</v>
      </c>
      <c r="S61" s="9">
        <f ca="1">IF(Prices!C60&lt;OFFSET(Prices!C60,-S$3,0),1,IF(Prices!C60&gt;OFFSET(Prices!C60,-S$3,0),-1,0))</f>
        <v>1</v>
      </c>
      <c r="T61" s="1">
        <f ca="1">IF(S61=1,T$3*Q60/Prices!C60,T$3*R60*S61)</f>
        <v>1.4924484834857261E-4</v>
      </c>
      <c r="V61" s="9"/>
      <c r="W61" s="1"/>
      <c r="X61" s="1"/>
      <c r="Y61" s="1"/>
      <c r="Z61" s="1"/>
      <c r="AA61" s="1"/>
      <c r="AB61" s="1"/>
      <c r="AC61" s="1"/>
      <c r="AD61" s="1"/>
      <c r="AE61" s="16"/>
    </row>
    <row r="62" spans="1:31" x14ac:dyDescent="0.2">
      <c r="A62" s="4">
        <v>33592</v>
      </c>
      <c r="B62" s="9">
        <f ca="1">Prices!C61*(1+J62/(50*(ABS(O62)+ABS(T62)+0.0001)))</f>
        <v>126.89331585601785</v>
      </c>
      <c r="C62" s="13">
        <f t="shared" ca="1" si="8"/>
        <v>-1</v>
      </c>
      <c r="D62" s="9">
        <f ca="1">D61+C62*(Prices!C62-Prices!C61)/Prices!C61</f>
        <v>-4.9766965928429475E-4</v>
      </c>
      <c r="E62" s="9">
        <f t="shared" ca="1" si="9"/>
        <v>4.9766965928429475E-4</v>
      </c>
      <c r="F62" s="9">
        <f t="shared" ca="1" si="10"/>
        <v>0</v>
      </c>
      <c r="G62" s="13">
        <f ca="1">IF((Prices!C62-Prices!C61)*C62&gt;0,1,0)</f>
        <v>1</v>
      </c>
      <c r="H62" s="9">
        <f>ABS(Prices!C62-Prices!C61)/Prices!C61</f>
        <v>5.9222317462792745E-3</v>
      </c>
      <c r="I62" s="13"/>
      <c r="J62" s="1">
        <f t="shared" ca="1" si="11"/>
        <v>-4.9944260616064935E-4</v>
      </c>
      <c r="K62" s="9"/>
      <c r="L62" s="9">
        <f ca="1">L61-O62*Prices!C62</f>
        <v>1.5435828410523902</v>
      </c>
      <c r="M62" s="1">
        <f t="shared" ca="1" si="2"/>
        <v>5.8125790331238951E-3</v>
      </c>
      <c r="N62" s="9">
        <f ca="1">IF(Prices!D61&gt;OFFSET(Prices!D61,-$N$3,0),1,IF(Prices!D61&lt;OFFSET(Prices!D61,-$N$3,0),-1,0))</f>
        <v>-1</v>
      </c>
      <c r="O62" s="1">
        <f ca="1">IF(N62=1,O$3*L61/Prices!C61,O$3*M61*N62)</f>
        <v>-6.4584211479154399E-4</v>
      </c>
      <c r="P62" s="14"/>
      <c r="Q62" s="9">
        <f ca="1">Q61-T62*Prices!C62</f>
        <v>0.92069626181409203</v>
      </c>
      <c r="R62" s="1">
        <f t="shared" ca="1" si="3"/>
        <v>1.06198385683627E-2</v>
      </c>
      <c r="S62" s="9">
        <f ca="1">IF(Prices!C61&lt;OFFSET(Prices!C61,-S$3,0),1,IF(Prices!C61&gt;OFFSET(Prices!C61,-S$3,0),-1,0))</f>
        <v>1</v>
      </c>
      <c r="T62" s="1">
        <f ca="1">IF(S62=1,T$3*Q61/Prices!C61,T$3*R61*S62)</f>
        <v>1.4639950863089461E-4</v>
      </c>
      <c r="V62" s="9"/>
      <c r="W62" s="1"/>
      <c r="X62" s="1"/>
      <c r="Y62" s="1"/>
      <c r="Z62" s="1"/>
      <c r="AA62" s="1"/>
      <c r="AB62" s="1"/>
      <c r="AC62" s="1"/>
      <c r="AD62" s="1"/>
      <c r="AE62" s="16"/>
    </row>
    <row r="63" spans="1:31" x14ac:dyDescent="0.2">
      <c r="A63" s="4">
        <v>33595</v>
      </c>
      <c r="B63" s="9">
        <f ca="1">Prices!C62*(1+J63/(50*(ABS(O63)+ABS(T63)+0.0001)))</f>
        <v>126.21978106707293</v>
      </c>
      <c r="C63" s="13">
        <f t="shared" ca="1" si="8"/>
        <v>-1</v>
      </c>
      <c r="D63" s="9">
        <f ca="1">D62+C63*(Prices!C63-Prices!C62)/Prices!C62</f>
        <v>7.4979405939099991E-3</v>
      </c>
      <c r="E63" s="9">
        <f t="shared" ca="1" si="9"/>
        <v>0</v>
      </c>
      <c r="F63" s="9">
        <f t="shared" ca="1" si="10"/>
        <v>7.4979405939099991E-3</v>
      </c>
      <c r="G63" s="13">
        <f ca="1">IF((Prices!C63-Prices!C62)*C63&gt;0,1,0)</f>
        <v>1</v>
      </c>
      <c r="H63" s="9">
        <f>ABS(Prices!C63-Prices!C62)/Prices!C62</f>
        <v>7.9956102531942939E-3</v>
      </c>
      <c r="I63" s="13"/>
      <c r="J63" s="1">
        <f t="shared" ca="1" si="11"/>
        <v>-4.3691420780183189E-4</v>
      </c>
      <c r="K63" s="9"/>
      <c r="L63" s="9">
        <f ca="1">L62-O63*Prices!C63</f>
        <v>1.6171410287165731</v>
      </c>
      <c r="M63" s="1">
        <f t="shared" ca="1" si="2"/>
        <v>5.2313211298115059E-3</v>
      </c>
      <c r="N63" s="9">
        <f ca="1">IF(Prices!D62&gt;OFFSET(Prices!D62,-$N$3,0),1,IF(Prices!D62&lt;OFFSET(Prices!D62,-$N$3,0),-1,0))</f>
        <v>-1</v>
      </c>
      <c r="O63" s="1">
        <f ca="1">IF(N63=1,O$3*L62/Prices!C62,O$3*M62*N63)</f>
        <v>-5.8125790331238958E-4</v>
      </c>
      <c r="P63" s="14"/>
      <c r="Q63" s="9">
        <f ca="1">Q62-T63*Prices!C63</f>
        <v>0.90242956714723099</v>
      </c>
      <c r="R63" s="1">
        <f t="shared" ca="1" si="3"/>
        <v>1.0764182263873257E-2</v>
      </c>
      <c r="S63" s="9">
        <f ca="1">IF(Prices!C62&lt;OFFSET(Prices!C62,-S$3,0),1,IF(Prices!C62&gt;OFFSET(Prices!C62,-S$3,0),-1,0))</f>
        <v>1</v>
      </c>
      <c r="T63" s="1">
        <f ca="1">IF(S63=1,T$3*Q62/Prices!C62,T$3*R62*S63)</f>
        <v>1.4434369551055769E-4</v>
      </c>
      <c r="V63" s="9"/>
      <c r="W63" s="1"/>
      <c r="X63" s="1"/>
      <c r="Y63" s="1"/>
      <c r="Z63" s="1"/>
      <c r="AA63" s="1"/>
      <c r="AB63" s="1"/>
      <c r="AC63" s="1"/>
      <c r="AD63" s="1"/>
      <c r="AE63" s="16"/>
    </row>
    <row r="64" spans="1:31" x14ac:dyDescent="0.2">
      <c r="A64" s="4">
        <v>33596</v>
      </c>
      <c r="B64" s="9">
        <f ca="1">Prices!C63*(1+J64/(50*(ABS(O64)+ABS(T64)+0.0001)))</f>
        <v>125.29231460388492</v>
      </c>
      <c r="C64" s="13">
        <f t="shared" ca="1" si="8"/>
        <v>-1</v>
      </c>
      <c r="D64" s="9">
        <f ca="1">D63+C64*(Prices!C64-Prices!C63)/Prices!C63</f>
        <v>-4.0407441991852783E-4</v>
      </c>
      <c r="E64" s="9">
        <f t="shared" ca="1" si="9"/>
        <v>7.9020150138285269E-3</v>
      </c>
      <c r="F64" s="9">
        <f t="shared" ca="1" si="10"/>
        <v>7.4979405939099991E-3</v>
      </c>
      <c r="G64" s="13">
        <f ca="1">IF((Prices!C64-Prices!C63)*C64&gt;0,1,0)</f>
        <v>0</v>
      </c>
      <c r="H64" s="9">
        <f>ABS(Prices!C64-Prices!C63)/Prices!C63</f>
        <v>7.9020150138285269E-3</v>
      </c>
      <c r="I64" s="13"/>
      <c r="J64" s="1">
        <f t="shared" ca="1" si="11"/>
        <v>-3.805118732107467E-4</v>
      </c>
      <c r="K64" s="9"/>
      <c r="L64" s="9">
        <f ca="1">L63-O64*Prices!C64</f>
        <v>1.6838665297273188</v>
      </c>
      <c r="M64" s="1">
        <f t="shared" ca="1" si="2"/>
        <v>4.7081890168303555E-3</v>
      </c>
      <c r="N64" s="9">
        <f ca="1">IF(Prices!D63&gt;OFFSET(Prices!D63,-$N$3,0),1,IF(Prices!D63&lt;OFFSET(Prices!D63,-$N$3,0),-1,0))</f>
        <v>-1</v>
      </c>
      <c r="O64" s="1">
        <f ca="1">IF(N64=1,O$3*L63/Prices!C63,O$3*M63*N64)</f>
        <v>-5.2313211298115063E-4</v>
      </c>
      <c r="P64" s="14"/>
      <c r="Q64" s="9">
        <f ca="1">Q63-T64*Prices!C64</f>
        <v>0.88423835556451602</v>
      </c>
      <c r="R64" s="1">
        <f t="shared" ca="1" si="3"/>
        <v>1.0906802503643662E-2</v>
      </c>
      <c r="S64" s="9">
        <f ca="1">IF(Prices!C63&lt;OFFSET(Prices!C63,-S$3,0),1,IF(Prices!C63&gt;OFFSET(Prices!C63,-S$3,0),-1,0))</f>
        <v>1</v>
      </c>
      <c r="T64" s="1">
        <f ca="1">IF(S64=1,T$3*Q63/Prices!C63,T$3*R63*S64)</f>
        <v>1.4262023977040396E-4</v>
      </c>
      <c r="V64" s="9"/>
      <c r="W64" s="1"/>
      <c r="X64" s="1"/>
      <c r="Y64" s="1"/>
      <c r="Z64" s="1"/>
      <c r="AA64" s="1"/>
      <c r="AB64" s="1"/>
      <c r="AC64" s="1"/>
      <c r="AD64" s="1"/>
      <c r="AE64" s="16"/>
    </row>
    <row r="65" spans="1:31" x14ac:dyDescent="0.2">
      <c r="A65" s="4">
        <v>33597</v>
      </c>
      <c r="B65" s="9">
        <f ca="1">Prices!C64*(1+J65/(50*(ABS(O65)+ABS(T65)+0.0001)))</f>
        <v>126.3556360861585</v>
      </c>
      <c r="C65" s="13">
        <f t="shared" ca="1" si="8"/>
        <v>-1</v>
      </c>
      <c r="D65" s="9">
        <f ca="1">D64+C65*(Prices!C65-Prices!C64)/Prices!C64</f>
        <v>3.7511588219474165E-3</v>
      </c>
      <c r="E65" s="9">
        <f t="shared" ca="1" si="9"/>
        <v>3.7467817719625826E-3</v>
      </c>
      <c r="F65" s="9">
        <f t="shared" ca="1" si="10"/>
        <v>7.4979405939099991E-3</v>
      </c>
      <c r="G65" s="13">
        <f ca="1">IF((Prices!C65-Prices!C64)*C65&gt;0,1,0)</f>
        <v>1</v>
      </c>
      <c r="H65" s="9">
        <f>ABS(Prices!C65-Prices!C64)/Prices!C64</f>
        <v>4.1552332418659443E-3</v>
      </c>
      <c r="I65" s="13"/>
      <c r="J65" s="1">
        <f t="shared" ca="1" si="11"/>
        <v>-3.3216921833305259E-4</v>
      </c>
      <c r="K65" s="9"/>
      <c r="L65" s="9">
        <f ca="1">L64-O65*Prices!C65</f>
        <v>1.7436699466190979</v>
      </c>
      <c r="M65" s="1">
        <f t="shared" ca="1" si="2"/>
        <v>4.2373701151473195E-3</v>
      </c>
      <c r="N65" s="9">
        <f ca="1">IF(Prices!D64&gt;OFFSET(Prices!D64,-$N$3,0),1,IF(Prices!D64&lt;OFFSET(Prices!D64,-$N$3,0),-1,0))</f>
        <v>-1</v>
      </c>
      <c r="O65" s="1">
        <f ca="1">IF(N65=1,O$3*L64/Prices!C64,O$3*M64*N65)</f>
        <v>-4.7081890168303555E-4</v>
      </c>
      <c r="P65" s="14"/>
      <c r="Q65" s="9">
        <f ca="1">Q64-T65*Prices!C65</f>
        <v>0.86662707278540119</v>
      </c>
      <c r="R65" s="1">
        <f t="shared" ca="1" si="3"/>
        <v>1.1045452186993645E-2</v>
      </c>
      <c r="S65" s="9">
        <f ca="1">IF(Prices!C64&lt;OFFSET(Prices!C64,-S$3,0),1,IF(Prices!C64&gt;OFFSET(Prices!C64,-S$3,0),-1,0))</f>
        <v>1</v>
      </c>
      <c r="T65" s="1">
        <f ca="1">IF(S65=1,T$3*Q64/Prices!C64,T$3*R64*S65)</f>
        <v>1.3864968334998293E-4</v>
      </c>
      <c r="V65" s="9"/>
      <c r="W65" s="1"/>
      <c r="X65" s="1"/>
      <c r="Y65" s="1"/>
      <c r="Z65" s="1"/>
      <c r="AA65" s="1"/>
      <c r="AB65" s="1"/>
      <c r="AC65" s="1"/>
      <c r="AD65" s="1"/>
      <c r="AE65" s="16"/>
    </row>
    <row r="66" spans="1:31" x14ac:dyDescent="0.2">
      <c r="A66" s="4">
        <v>33598</v>
      </c>
      <c r="B66" s="9">
        <f ca="1">Prices!C65*(1+J66/(50*(ABS(O66)+ABS(T66)+0.0001)))</f>
        <v>128.48603164822791</v>
      </c>
      <c r="C66" s="13">
        <f t="shared" ca="1" si="8"/>
        <v>1</v>
      </c>
      <c r="D66" s="9">
        <f ca="1">D65+C66*(Prices!C66-Prices!C65)/Prices!C65</f>
        <v>1.8616925961562427E-3</v>
      </c>
      <c r="E66" s="9">
        <f t="shared" ca="1" si="9"/>
        <v>5.6362479977537568E-3</v>
      </c>
      <c r="F66" s="9">
        <f t="shared" ca="1" si="10"/>
        <v>7.4979405939099991E-3</v>
      </c>
      <c r="G66" s="13">
        <f ca="1">IF((Prices!C66-Prices!C65)*C66&gt;0,1,0)</f>
        <v>0</v>
      </c>
      <c r="H66" s="9">
        <f>ABS(Prices!C66-Prices!C65)/Prices!C65</f>
        <v>1.8894662257911738E-3</v>
      </c>
      <c r="I66" s="13"/>
      <c r="J66" s="1">
        <f t="shared" ca="1" si="11"/>
        <v>1.3645521536535997E-4</v>
      </c>
      <c r="K66" s="9"/>
      <c r="L66" s="9">
        <f ca="1">L65-O66*Prices!C66</f>
        <v>1.7436699466190979</v>
      </c>
      <c r="M66" s="1">
        <f t="shared" ca="1" si="2"/>
        <v>4.2373701151473195E-3</v>
      </c>
      <c r="N66" s="9">
        <f ca="1">IF(Prices!D65&gt;OFFSET(Prices!D65,-$N$3,0),1,IF(Prices!D65&lt;OFFSET(Prices!D65,-$N$3,0),-1,0))</f>
        <v>0</v>
      </c>
      <c r="O66" s="1">
        <f ca="1">IF(N66=1,O$3*L65/Prices!C65,O$3*M65*N66)</f>
        <v>0</v>
      </c>
      <c r="P66" s="14"/>
      <c r="Q66" s="9">
        <f ca="1">Q65-T66*Prices!C66</f>
        <v>0.84932728058138085</v>
      </c>
      <c r="R66" s="1">
        <f t="shared" ca="1" si="3"/>
        <v>1.1181907402359005E-2</v>
      </c>
      <c r="S66" s="9">
        <f ca="1">IF(Prices!C65&lt;OFFSET(Prices!C65,-S$3,0),1,IF(Prices!C65&gt;OFFSET(Prices!C65,-S$3,0),-1,0))</f>
        <v>1</v>
      </c>
      <c r="T66" s="1">
        <f ca="1">IF(S66=1,T$3*Q65/Prices!C65,T$3*R65*S66)</f>
        <v>1.3645521536535997E-4</v>
      </c>
      <c r="V66" s="9"/>
      <c r="W66" s="1"/>
      <c r="X66" s="1"/>
      <c r="Y66" s="1"/>
      <c r="Z66" s="1"/>
      <c r="AA66" s="1"/>
      <c r="AB66" s="1"/>
      <c r="AC66" s="1"/>
      <c r="AD66" s="1"/>
      <c r="AE66" s="16"/>
    </row>
    <row r="67" spans="1:31" x14ac:dyDescent="0.2">
      <c r="A67" s="4">
        <v>33599</v>
      </c>
      <c r="B67" s="9">
        <f ca="1">Prices!C66*(1+J67/(50*(ABS(O67)+ABS(T67)+0.0001)))</f>
        <v>125.66296684352274</v>
      </c>
      <c r="C67" s="13">
        <f t="shared" ca="1" si="8"/>
        <v>-1</v>
      </c>
      <c r="D67" s="9">
        <f ca="1">D66+C67*(Prices!C67-Prices!C66)/Prices!C66</f>
        <v>1.1405784724252219E-2</v>
      </c>
      <c r="E67" s="9">
        <f t="shared" ca="1" si="9"/>
        <v>0</v>
      </c>
      <c r="F67" s="9">
        <f t="shared" ca="1" si="10"/>
        <v>1.1405784724252219E-2</v>
      </c>
      <c r="G67" s="13">
        <f ca="1">IF((Prices!C67-Prices!C66)*C67&gt;0,1,0)</f>
        <v>1</v>
      </c>
      <c r="H67" s="9">
        <f>ABS(Prices!C67-Prices!C66)/Prices!C66</f>
        <v>9.5440921280959771E-3</v>
      </c>
      <c r="I67" s="13"/>
      <c r="J67" s="1">
        <f t="shared" ca="1" si="11"/>
        <v>-2.8975258485731265E-4</v>
      </c>
      <c r="K67" s="9"/>
      <c r="L67" s="9">
        <f ca="1">L66-O67*Prices!C67</f>
        <v>1.7968786031550028</v>
      </c>
      <c r="M67" s="1">
        <f t="shared" ca="1" si="2"/>
        <v>3.8136331036325876E-3</v>
      </c>
      <c r="N67" s="9">
        <f ca="1">IF(Prices!D66&gt;OFFSET(Prices!D66,-$N$3,0),1,IF(Prices!D66&lt;OFFSET(Prices!D66,-$N$3,0),-1,0))</f>
        <v>-1</v>
      </c>
      <c r="O67" s="1">
        <f ca="1">IF(N67=1,O$3*L66/Prices!C66,O$3*M66*N67)</f>
        <v>-4.2373701151473197E-4</v>
      </c>
      <c r="P67" s="14"/>
      <c r="Q67" s="9">
        <f ca="1">Q66-T67*Prices!C67</f>
        <v>0.83250285612600872</v>
      </c>
      <c r="R67" s="1">
        <f t="shared" ca="1" si="3"/>
        <v>1.1315891829016425E-2</v>
      </c>
      <c r="S67" s="9">
        <f ca="1">IF(Prices!C66&lt;OFFSET(Prices!C66,-S$3,0),1,IF(Prices!C66&gt;OFFSET(Prices!C66,-S$3,0),-1,0))</f>
        <v>1</v>
      </c>
      <c r="T67" s="1">
        <f ca="1">IF(S67=1,T$3*Q66/Prices!C66,T$3*R66*S67)</f>
        <v>1.339844266574193E-4</v>
      </c>
      <c r="V67" s="9"/>
      <c r="W67" s="1"/>
      <c r="X67" s="1"/>
      <c r="Y67" s="1"/>
      <c r="Z67" s="1"/>
      <c r="AA67" s="1"/>
      <c r="AB67" s="1"/>
      <c r="AC67" s="1"/>
      <c r="AD67" s="1"/>
      <c r="AE67" s="16"/>
    </row>
    <row r="68" spans="1:31" x14ac:dyDescent="0.2">
      <c r="A68" s="4">
        <v>33602</v>
      </c>
      <c r="B68" s="9">
        <f ca="1">Prices!C67*(1+J68/(50*(ABS(O68)+ABS(T68)+0.0001)))</f>
        <v>124.55241650908465</v>
      </c>
      <c r="C68" s="13">
        <f t="shared" ca="1" si="8"/>
        <v>-1</v>
      </c>
      <c r="D68" s="9">
        <f ca="1">D67+C68*(Prices!C68-Prices!C67)/Prices!C67</f>
        <v>9.972321317387468E-3</v>
      </c>
      <c r="E68" s="9">
        <f t="shared" ca="1" si="9"/>
        <v>1.4334634068647514E-3</v>
      </c>
      <c r="F68" s="9">
        <f t="shared" ca="1" si="10"/>
        <v>1.1405784724252219E-2</v>
      </c>
      <c r="G68" s="13">
        <f ca="1">IF((Prices!C68-Prices!C67)*C68&gt;0,1,0)</f>
        <v>0</v>
      </c>
      <c r="H68" s="9">
        <f>ABS(Prices!C68-Prices!C67)/Prices!C67</f>
        <v>1.4334634068647514E-3</v>
      </c>
      <c r="I68" s="13"/>
      <c r="J68" s="1">
        <f t="shared" ca="1" si="11"/>
        <v>-2.487674903224833E-4</v>
      </c>
      <c r="K68" s="9"/>
      <c r="L68" s="9">
        <f ca="1">L67-O68*Prices!C68</f>
        <v>1.8448350394331825</v>
      </c>
      <c r="M68" s="1">
        <f t="shared" ca="1" si="2"/>
        <v>3.4322697932693286E-3</v>
      </c>
      <c r="N68" s="9">
        <f ca="1">IF(Prices!D67&gt;OFFSET(Prices!D67,-$N$3,0),1,IF(Prices!D67&lt;OFFSET(Prices!D67,-$N$3,0),-1,0))</f>
        <v>-1</v>
      </c>
      <c r="O68" s="1">
        <f ca="1">IF(N68=1,O$3*L67/Prices!C67,O$3*M67*N68)</f>
        <v>-3.8136331036325876E-4</v>
      </c>
      <c r="P68" s="14"/>
      <c r="Q68" s="9">
        <f ca="1">Q67-T68*Prices!C68</f>
        <v>0.81582893175588123</v>
      </c>
      <c r="R68" s="1">
        <f t="shared" ca="1" si="3"/>
        <v>1.1448487649057201E-2</v>
      </c>
      <c r="S68" s="9">
        <f ca="1">IF(Prices!C67&lt;OFFSET(Prices!C67,-S$3,0),1,IF(Prices!C67&gt;OFFSET(Prices!C67,-S$3,0),-1,0))</f>
        <v>1</v>
      </c>
      <c r="T68" s="1">
        <f ca="1">IF(S68=1,T$3*Q67/Prices!C67,T$3*R67*S68)</f>
        <v>1.3259582004077546E-4</v>
      </c>
      <c r="V68" s="9"/>
      <c r="W68" s="1"/>
      <c r="X68" s="1"/>
      <c r="Y68" s="1"/>
      <c r="Z68" s="1"/>
      <c r="AA68" s="1"/>
      <c r="AB68" s="1"/>
      <c r="AC68" s="1"/>
      <c r="AD68" s="1"/>
      <c r="AE68" s="16"/>
    </row>
    <row r="69" spans="1:31" x14ac:dyDescent="0.2">
      <c r="A69" s="4">
        <v>33603</v>
      </c>
      <c r="B69" s="9">
        <f ca="1">Prices!C68*(1+J69/(50*(ABS(O69)+ABS(T69)+0.0001)))</f>
        <v>124.81299824636105</v>
      </c>
      <c r="C69" s="13">
        <f t="shared" ca="1" si="8"/>
        <v>-1</v>
      </c>
      <c r="D69" s="9">
        <f ca="1">D68+C69*(Prices!C69-Prices!C68)/Prices!C68</f>
        <v>1.6731764657347662E-2</v>
      </c>
      <c r="E69" s="9">
        <f t="shared" ca="1" si="9"/>
        <v>0</v>
      </c>
      <c r="F69" s="9">
        <f t="shared" ca="1" si="10"/>
        <v>1.6731764657347662E-2</v>
      </c>
      <c r="G69" s="13">
        <f ca="1">IF((Prices!C69-Prices!C68)*C69&gt;0,1,0)</f>
        <v>1</v>
      </c>
      <c r="H69" s="9">
        <f>ABS(Prices!C69-Prices!C68)/Prices!C68</f>
        <v>6.7594433399601932E-3</v>
      </c>
      <c r="I69" s="13"/>
      <c r="J69" s="1">
        <f t="shared" ca="1" si="11"/>
        <v>-2.1347287487271719E-4</v>
      </c>
      <c r="K69" s="9"/>
      <c r="L69" s="9">
        <f ca="1">L68-O69*Prices!C69</f>
        <v>1.8877040891511163</v>
      </c>
      <c r="M69" s="1">
        <f t="shared" ca="1" si="2"/>
        <v>3.0890428139423959E-3</v>
      </c>
      <c r="N69" s="9">
        <f ca="1">IF(Prices!D68&gt;OFFSET(Prices!D68,-$N$3,0),1,IF(Prices!D68&lt;OFFSET(Prices!D68,-$N$3,0),-1,0))</f>
        <v>-1</v>
      </c>
      <c r="O69" s="1">
        <f ca="1">IF(N69=1,O$3*L68/Prices!C68,O$3*M68*N69)</f>
        <v>-3.4322697932693289E-4</v>
      </c>
      <c r="P69" s="14"/>
      <c r="Q69" s="9">
        <f ca="1">Q68-T69*Prices!C69</f>
        <v>0.79962264410954964</v>
      </c>
      <c r="R69" s="1">
        <f t="shared" ca="1" si="3"/>
        <v>1.1578241753511416E-2</v>
      </c>
      <c r="S69" s="9">
        <f ca="1">IF(Prices!C68&lt;OFFSET(Prices!C68,-S$3,0),1,IF(Prices!C68&gt;OFFSET(Prices!C68,-S$3,0),-1,0))</f>
        <v>1</v>
      </c>
      <c r="T69" s="1">
        <f ca="1">IF(S69=1,T$3*Q68/Prices!C68,T$3*R68*S69)</f>
        <v>1.2975410445421569E-4</v>
      </c>
      <c r="V69" s="9"/>
      <c r="W69" s="1"/>
      <c r="X69" s="1"/>
      <c r="Y69" s="1"/>
      <c r="Z69" s="1"/>
      <c r="AA69" s="1"/>
      <c r="AB69" s="1"/>
      <c r="AC69" s="1"/>
      <c r="AD69" s="1"/>
      <c r="AE69" s="16"/>
    </row>
    <row r="70" spans="1:31" x14ac:dyDescent="0.2">
      <c r="A70" s="4">
        <v>33604</v>
      </c>
      <c r="B70" s="9">
        <f ca="1">Prices!C69*(1+J70/(50*(ABS(O70)+ABS(T70)+0.0001)))</f>
        <v>124.05858661243489</v>
      </c>
      <c r="C70" s="13">
        <f t="shared" ca="1" si="8"/>
        <v>-1</v>
      </c>
      <c r="D70" s="9">
        <f ca="1">D69+C70*(Prices!C70-Prices!C69)/Prices!C69</f>
        <v>1.6731764657347662E-2</v>
      </c>
      <c r="E70" s="9">
        <f t="shared" ca="1" si="9"/>
        <v>0</v>
      </c>
      <c r="F70" s="9">
        <f t="shared" ca="1" si="10"/>
        <v>1.6731764657347662E-2</v>
      </c>
      <c r="G70" s="13">
        <f ca="1">IF((Prices!C70-Prices!C69)*C70&gt;0,1,0)</f>
        <v>0</v>
      </c>
      <c r="H70" s="9">
        <f>ABS(Prices!C70-Prices!C69)/Prices!C69</f>
        <v>0</v>
      </c>
      <c r="I70" s="13"/>
      <c r="J70" s="1">
        <f t="shared" ca="1" si="11"/>
        <v>-1.8086222469134933E-4</v>
      </c>
      <c r="K70" s="9"/>
      <c r="L70" s="9">
        <f ca="1">L69-O70*Prices!C70</f>
        <v>1.9262862338972568</v>
      </c>
      <c r="M70" s="1">
        <f t="shared" ca="1" si="2"/>
        <v>2.7801385325481563E-3</v>
      </c>
      <c r="N70" s="9">
        <f ca="1">IF(Prices!D69&gt;OFFSET(Prices!D69,-$N$3,0),1,IF(Prices!D69&lt;OFFSET(Prices!D69,-$N$3,0),-1,0))</f>
        <v>-1</v>
      </c>
      <c r="O70" s="1">
        <f ca="1">IF(N70=1,O$3*L69/Prices!C69,O$3*M69*N70)</f>
        <v>-3.089042813942396E-4</v>
      </c>
      <c r="P70" s="14"/>
      <c r="Q70" s="9">
        <f ca="1">Q69-T70*Prices!C70</f>
        <v>0.78363019122735866</v>
      </c>
      <c r="R70" s="1">
        <f t="shared" ca="1" si="3"/>
        <v>1.1706283810214307E-2</v>
      </c>
      <c r="S70" s="9">
        <f ca="1">IF(Prices!C69&lt;OFFSET(Prices!C69,-S$3,0),1,IF(Prices!C69&gt;OFFSET(Prices!C69,-S$3,0),-1,0))</f>
        <v>1</v>
      </c>
      <c r="T70" s="1">
        <f ca="1">IF(S70=1,T$3*Q69/Prices!C69,T$3*R69*S70)</f>
        <v>1.2804205670289027E-4</v>
      </c>
      <c r="V70" s="9"/>
      <c r="W70" s="1"/>
      <c r="X70" s="1"/>
      <c r="Y70" s="1"/>
      <c r="Z70" s="1"/>
      <c r="AA70" s="1"/>
      <c r="AB70" s="1"/>
      <c r="AC70" s="1"/>
      <c r="AD70" s="1"/>
      <c r="AE70" s="16"/>
    </row>
    <row r="71" spans="1:31" x14ac:dyDescent="0.2">
      <c r="A71" s="4">
        <v>33605</v>
      </c>
      <c r="B71" s="9">
        <f ca="1">Prices!C70*(1+J71/(50*(ABS(O71)+ABS(T71)+0.0001)))</f>
        <v>124.1432368209091</v>
      </c>
      <c r="C71" s="13">
        <f t="shared" ca="1" si="8"/>
        <v>-1</v>
      </c>
      <c r="D71" s="9">
        <f ca="1">D70+C71*(Prices!C71-Prices!C70)/Prices!C70</f>
        <v>1.9934326706987419E-2</v>
      </c>
      <c r="E71" s="9">
        <f t="shared" ca="1" si="9"/>
        <v>0</v>
      </c>
      <c r="F71" s="9">
        <f t="shared" ca="1" si="10"/>
        <v>1.9934326706987419E-2</v>
      </c>
      <c r="G71" s="13">
        <f ca="1">IF((Prices!C71-Prices!C70)*C71&gt;0,1,0)</f>
        <v>1</v>
      </c>
      <c r="H71" s="9">
        <f>ABS(Prices!C71-Prices!C70)/Prices!C70</f>
        <v>3.2025620496397571E-3</v>
      </c>
      <c r="I71" s="13"/>
      <c r="J71" s="1">
        <f t="shared" ca="1" si="11"/>
        <v>-1.5253263768598318E-4</v>
      </c>
      <c r="K71" s="9"/>
      <c r="L71" s="9">
        <f ca="1">L70-O71*Prices!C71</f>
        <v>1.9608989586274814</v>
      </c>
      <c r="M71" s="1">
        <f t="shared" ca="1" si="2"/>
        <v>2.5021246792933409E-3</v>
      </c>
      <c r="N71" s="9">
        <f ca="1">IF(Prices!D70&gt;OFFSET(Prices!D70,-$N$3,0),1,IF(Prices!D70&lt;OFFSET(Prices!D70,-$N$3,0),-1,0))</f>
        <v>-1</v>
      </c>
      <c r="O71" s="1">
        <f ca="1">IF(N71=1,O$3*L70/Prices!C70,O$3*M70*N71)</f>
        <v>-2.7801385325481562E-4</v>
      </c>
      <c r="P71" s="14"/>
      <c r="Q71" s="9">
        <f ca="1">Q70-T71*Prices!C71</f>
        <v>0.76800777988903901</v>
      </c>
      <c r="R71" s="1">
        <f t="shared" ca="1" si="3"/>
        <v>1.1831765025783139E-2</v>
      </c>
      <c r="S71" s="9">
        <f ca="1">IF(Prices!C70&lt;OFFSET(Prices!C70,-S$3,0),1,IF(Prices!C70&gt;OFFSET(Prices!C70,-S$3,0),-1,0))</f>
        <v>1</v>
      </c>
      <c r="T71" s="1">
        <f ca="1">IF(S71=1,T$3*Q70/Prices!C70,T$3*R70*S71)</f>
        <v>1.2548121556883244E-4</v>
      </c>
      <c r="V71" s="9"/>
      <c r="W71" s="1"/>
      <c r="X71" s="1"/>
      <c r="Y71" s="1"/>
      <c r="Z71" s="1"/>
      <c r="AA71" s="1"/>
      <c r="AB71" s="1"/>
      <c r="AC71" s="1"/>
      <c r="AD71" s="1"/>
      <c r="AE71" s="16"/>
    </row>
    <row r="72" spans="1:31" x14ac:dyDescent="0.2">
      <c r="A72" s="4">
        <v>33606</v>
      </c>
      <c r="B72" s="9">
        <f ca="1">Prices!C71*(1+J72/(50*(ABS(O72)+ABS(T72)+0.0001)))</f>
        <v>126.85154313142057</v>
      </c>
      <c r="C72" s="13">
        <f t="shared" ca="1" si="8"/>
        <v>1</v>
      </c>
      <c r="D72" s="9">
        <f ca="1">D71+C72*(Prices!C72-Prices!C71)/Prices!C71</f>
        <v>2.2343965261204263E-2</v>
      </c>
      <c r="E72" s="9">
        <f t="shared" ca="1" si="9"/>
        <v>0</v>
      </c>
      <c r="F72" s="9">
        <f t="shared" ca="1" si="10"/>
        <v>2.2343965261204263E-2</v>
      </c>
      <c r="G72" s="13">
        <f ca="1">IF((Prices!C72-Prices!C71)*C72&gt;0,1,0)</f>
        <v>1</v>
      </c>
      <c r="H72" s="9">
        <f>ABS(Prices!C72-Prices!C71)/Prices!C71</f>
        <v>2.4096385542168447E-3</v>
      </c>
      <c r="I72" s="13"/>
      <c r="J72" s="1">
        <f t="shared" ca="1" si="11"/>
        <v>1.6983939876347705E-3</v>
      </c>
      <c r="K72" s="9"/>
      <c r="L72" s="9">
        <f ca="1">L71-O72*Prices!C72</f>
        <v>1.7643365569915701</v>
      </c>
      <c r="M72" s="1">
        <f t="shared" ca="1" si="2"/>
        <v>4.0771439231708359E-3</v>
      </c>
      <c r="N72" s="9">
        <f ca="1">IF(Prices!D71&gt;OFFSET(Prices!D71,-$N$3,0),1,IF(Prices!D71&lt;OFFSET(Prices!D71,-$N$3,0),-1,0))</f>
        <v>1</v>
      </c>
      <c r="O72" s="1">
        <f ca="1">IF(N72=1,O$3*L71/Prices!C71,O$3*M71*N72)</f>
        <v>1.5750192438774952E-3</v>
      </c>
      <c r="P72" s="14"/>
      <c r="Q72" s="9">
        <f ca="1">Q71-T72*Prices!C72</f>
        <v>0.75261061186813105</v>
      </c>
      <c r="R72" s="1">
        <f t="shared" ca="1" si="3"/>
        <v>1.1955139769540414E-2</v>
      </c>
      <c r="S72" s="9">
        <f ca="1">IF(Prices!C71&lt;OFFSET(Prices!C71,-S$3,0),1,IF(Prices!C71&gt;OFFSET(Prices!C71,-S$3,0),-1,0))</f>
        <v>1</v>
      </c>
      <c r="T72" s="1">
        <f ca="1">IF(S72=1,T$3*Q71/Prices!C71,T$3*R71*S72)</f>
        <v>1.2337474375727535E-4</v>
      </c>
      <c r="V72" s="9"/>
      <c r="W72" s="1"/>
      <c r="X72" s="1"/>
      <c r="Y72" s="1"/>
      <c r="Z72" s="1"/>
      <c r="AA72" s="1"/>
      <c r="AB72" s="1"/>
      <c r="AC72" s="1"/>
      <c r="AD72" s="1"/>
      <c r="AE72" s="16"/>
    </row>
    <row r="73" spans="1:31" x14ac:dyDescent="0.2">
      <c r="A73" s="4">
        <v>33609</v>
      </c>
      <c r="B73" s="9">
        <f ca="1">Prices!C72*(1+J73/(50*(ABS(O73)+ABS(T73)+0.0001)))</f>
        <v>127.14327797687358</v>
      </c>
      <c r="C73" s="13">
        <f t="shared" ca="1" si="8"/>
        <v>1</v>
      </c>
      <c r="D73" s="9">
        <f ca="1">D72+C73*(Prices!C73-Prices!C72)/Prices!C72</f>
        <v>1.6734990902229883E-2</v>
      </c>
      <c r="E73" s="9">
        <f t="shared" ca="1" si="9"/>
        <v>5.6089743589743807E-3</v>
      </c>
      <c r="F73" s="9">
        <f t="shared" ca="1" si="10"/>
        <v>2.2343965261204263E-2</v>
      </c>
      <c r="G73" s="13">
        <f ca="1">IF((Prices!C73-Prices!C72)*C73&gt;0,1,0)</f>
        <v>0</v>
      </c>
      <c r="H73" s="9">
        <f>ABS(Prices!C73-Prices!C72)/Prices!C72</f>
        <v>5.6089743589743815E-3</v>
      </c>
      <c r="I73" s="13"/>
      <c r="J73" s="1">
        <f t="shared" ca="1" si="11"/>
        <v>1.5343418905169844E-3</v>
      </c>
      <c r="K73" s="9"/>
      <c r="L73" s="9">
        <f ca="1">L72-O73*Prices!C73</f>
        <v>1.5888925131432898</v>
      </c>
      <c r="M73" s="1">
        <f t="shared" ca="1" si="2"/>
        <v>5.4908751387089533E-3</v>
      </c>
      <c r="N73" s="9">
        <f ca="1">IF(Prices!D72&gt;OFFSET(Prices!D72,-$N$3,0),1,IF(Prices!D72&lt;OFFSET(Prices!D72,-$N$3,0),-1,0))</f>
        <v>1</v>
      </c>
      <c r="O73" s="1">
        <f ca="1">IF(N73=1,O$3*L72/Prices!C72,O$3*M72*N73)</f>
        <v>1.4137312155381172E-3</v>
      </c>
      <c r="P73" s="14"/>
      <c r="Q73" s="9">
        <f ca="1">Q72-T73*Prices!C73</f>
        <v>0.73764282710325368</v>
      </c>
      <c r="R73" s="1">
        <f t="shared" ca="1" si="3"/>
        <v>1.207575044451928E-2</v>
      </c>
      <c r="S73" s="9">
        <f ca="1">IF(Prices!C72&lt;OFFSET(Prices!C72,-S$3,0),1,IF(Prices!C72&gt;OFFSET(Prices!C72,-S$3,0),-1,0))</f>
        <v>1</v>
      </c>
      <c r="T73" s="1">
        <f ca="1">IF(S73=1,T$3*Q72/Prices!C72,T$3*R72*S73)</f>
        <v>1.2061067497886716E-4</v>
      </c>
      <c r="V73" s="9"/>
      <c r="W73" s="1"/>
      <c r="X73" s="1"/>
      <c r="Y73" s="1"/>
      <c r="Z73" s="1"/>
      <c r="AA73" s="1"/>
      <c r="AB73" s="1"/>
      <c r="AC73" s="1"/>
      <c r="AD73" s="1"/>
      <c r="AE73" s="16"/>
    </row>
    <row r="74" spans="1:31" x14ac:dyDescent="0.2">
      <c r="A74" s="4">
        <v>33610</v>
      </c>
      <c r="B74" s="9">
        <f ca="1">Prices!C73*(1+J74/(50*(ABS(O74)+ABS(T74)+0.0001)))</f>
        <v>126.41644627231112</v>
      </c>
      <c r="C74" s="13">
        <f t="shared" ca="1" si="8"/>
        <v>1</v>
      </c>
      <c r="D74" s="9">
        <f ca="1">D73+C74*(Prices!C74-Prices!C73)/Prices!C73</f>
        <v>1.9152396220521676E-2</v>
      </c>
      <c r="E74" s="9">
        <f t="shared" ca="1" si="9"/>
        <v>3.1915690406825875E-3</v>
      </c>
      <c r="F74" s="9">
        <f t="shared" ca="1" si="10"/>
        <v>2.2343965261204263E-2</v>
      </c>
      <c r="G74" s="13">
        <f ca="1">IF((Prices!C74-Prices!C73)*C74&gt;0,1,0)</f>
        <v>1</v>
      </c>
      <c r="H74" s="9">
        <f>ABS(Prices!C74-Prices!C73)/Prices!C73</f>
        <v>2.4174053182917919E-3</v>
      </c>
      <c r="I74" s="13"/>
      <c r="J74" s="1">
        <f t="shared" ca="1" si="11"/>
        <v>1.3992111833714268E-3</v>
      </c>
      <c r="K74" s="9"/>
      <c r="L74" s="9">
        <f ca="1">L73-O74*Prices!C74</f>
        <v>1.4296191621078143</v>
      </c>
      <c r="M74" s="1">
        <f t="shared" ca="1" si="2"/>
        <v>6.7712075425311047E-3</v>
      </c>
      <c r="N74" s="9">
        <f ca="1">IF(Prices!D73&gt;OFFSET(Prices!D73,-$N$3,0),1,IF(Prices!D73&lt;OFFSET(Prices!D73,-$N$3,0),-1,0))</f>
        <v>1</v>
      </c>
      <c r="O74" s="1">
        <f ca="1">IF(N74=1,O$3*L73/Prices!C73,O$3*M73*N74)</f>
        <v>1.2803324038221514E-3</v>
      </c>
      <c r="P74" s="14"/>
      <c r="Q74" s="9">
        <f ca="1">Q73-T74*Prices!C74</f>
        <v>0.72285430692732378</v>
      </c>
      <c r="R74" s="1">
        <f t="shared" ca="1" si="3"/>
        <v>1.2194629224068556E-2</v>
      </c>
      <c r="S74" s="9">
        <f ca="1">IF(Prices!C73&lt;OFFSET(Prices!C73,-S$3,0),1,IF(Prices!C73&gt;OFFSET(Prices!C73,-S$3,0),-1,0))</f>
        <v>1</v>
      </c>
      <c r="T74" s="1">
        <f ca="1">IF(S74=1,T$3*Q73/Prices!C73,T$3*R73*S74)</f>
        <v>1.1887877954927537E-4</v>
      </c>
      <c r="V74" s="9"/>
      <c r="W74" s="1"/>
      <c r="X74" s="1"/>
      <c r="Y74" s="1"/>
      <c r="Z74" s="1"/>
      <c r="AA74" s="1"/>
      <c r="AB74" s="1"/>
      <c r="AC74" s="1"/>
      <c r="AD74" s="1"/>
      <c r="AE74" s="16"/>
    </row>
    <row r="75" spans="1:31" x14ac:dyDescent="0.2">
      <c r="A75" s="4">
        <v>33611</v>
      </c>
      <c r="B75" s="9">
        <f ca="1">Prices!C74*(1+J75/(50*(ABS(O75)+ABS(T75)+0.0001)))</f>
        <v>122.83783766754946</v>
      </c>
      <c r="C75" s="13">
        <f t="shared" ca="1" si="8"/>
        <v>-1</v>
      </c>
      <c r="D75" s="9">
        <f ca="1">D74+C75*(Prices!C75-Prices!C74)/Prices!C74</f>
        <v>1.5133103616020068E-2</v>
      </c>
      <c r="E75" s="9">
        <f t="shared" ca="1" si="9"/>
        <v>7.210861645184195E-3</v>
      </c>
      <c r="F75" s="9">
        <f t="shared" ca="1" si="10"/>
        <v>2.2343965261204263E-2</v>
      </c>
      <c r="G75" s="13">
        <f ca="1">IF((Prices!C75-Prices!C74)*C75&gt;0,1,0)</f>
        <v>0</v>
      </c>
      <c r="H75" s="9">
        <f>ABS(Prices!C75-Prices!C74)/Prices!C74</f>
        <v>4.0192926045016075E-3</v>
      </c>
      <c r="I75" s="13"/>
      <c r="J75" s="1">
        <f t="shared" ca="1" si="11"/>
        <v>-5.6090623545450541E-4</v>
      </c>
      <c r="K75" s="9"/>
      <c r="L75" s="9">
        <f ca="1">L74-O75*Prices!C75</f>
        <v>1.5141915443140277</v>
      </c>
      <c r="M75" s="1">
        <f t="shared" ca="1" si="2"/>
        <v>6.0940867882779944E-3</v>
      </c>
      <c r="N75" s="9">
        <f ca="1">IF(Prices!D74&gt;OFFSET(Prices!D74,-$N$3,0),1,IF(Prices!D74&lt;OFFSET(Prices!D74,-$N$3,0),-1,0))</f>
        <v>-1</v>
      </c>
      <c r="O75" s="1">
        <f ca="1">IF(N75=1,O$3*L74/Prices!C74,O$3*M74*N75)</f>
        <v>-6.7712075425311051E-4</v>
      </c>
      <c r="P75" s="14"/>
      <c r="Q75" s="9">
        <f ca="1">Q74-T75*Prices!C75</f>
        <v>0.70833911352937795</v>
      </c>
      <c r="R75" s="1">
        <f t="shared" ca="1" si="3"/>
        <v>1.231084374286716E-2</v>
      </c>
      <c r="S75" s="9">
        <f ca="1">IF(Prices!C74&lt;OFFSET(Prices!C74,-S$3,0),1,IF(Prices!C74&gt;OFFSET(Prices!C74,-S$3,0),-1,0))</f>
        <v>1</v>
      </c>
      <c r="T75" s="1">
        <f ca="1">IF(S75=1,T$3*Q74/Prices!C74,T$3*R74*S75)</f>
        <v>1.162145187986051E-4</v>
      </c>
      <c r="V75" s="9"/>
      <c r="W75" s="1"/>
      <c r="X75" s="1"/>
      <c r="Y75" s="1"/>
      <c r="Z75" s="1"/>
      <c r="AA75" s="1"/>
      <c r="AB75" s="1"/>
      <c r="AC75" s="1"/>
      <c r="AD75" s="1"/>
      <c r="AE75" s="16"/>
    </row>
    <row r="76" spans="1:31" x14ac:dyDescent="0.2">
      <c r="A76" s="4">
        <v>33612</v>
      </c>
      <c r="B76" s="9">
        <f ca="1">Prices!C75*(1+J76/(50*(ABS(O76)+ABS(T76)+0.0001)))</f>
        <v>122.66339945613291</v>
      </c>
      <c r="C76" s="13">
        <f t="shared" ca="1" si="8"/>
        <v>-1</v>
      </c>
      <c r="D76" s="9">
        <f ca="1">D75+C76*(Prices!C76-Prices!C75)/Prices!C75</f>
        <v>1.112990105397043E-2</v>
      </c>
      <c r="E76" s="9">
        <f t="shared" ca="1" si="9"/>
        <v>1.1214064207233834E-2</v>
      </c>
      <c r="F76" s="9">
        <f t="shared" ca="1" si="10"/>
        <v>2.2343965261204263E-2</v>
      </c>
      <c r="G76" s="13">
        <f ca="1">IF((Prices!C76-Prices!C75)*C76&gt;0,1,0)</f>
        <v>0</v>
      </c>
      <c r="H76" s="9">
        <f>ABS(Prices!C76-Prices!C75)/Prices!C75</f>
        <v>4.0032025620496394E-3</v>
      </c>
      <c r="I76" s="13"/>
      <c r="J76" s="1">
        <f t="shared" ca="1" si="11"/>
        <v>-8.5562555368514271E-4</v>
      </c>
      <c r="K76" s="9"/>
      <c r="L76" s="9">
        <f ca="1">L75-O76*Prices!C76</f>
        <v>1.5906113926390337</v>
      </c>
      <c r="M76" s="1">
        <f t="shared" ca="1" si="2"/>
        <v>5.4846781094501952E-3</v>
      </c>
      <c r="N76" s="9">
        <f ca="1">IF(Prices!D75&gt;OFFSET(Prices!D75,-$N$3,0),1,IF(Prices!D75&lt;OFFSET(Prices!D75,-$N$3,0),-1,0))</f>
        <v>-1</v>
      </c>
      <c r="O76" s="1">
        <f ca="1">IF(N76=1,O$3*L75/Prices!C75,O$3*M75*N76)</f>
        <v>-6.094086788277995E-4</v>
      </c>
      <c r="P76" s="14"/>
      <c r="Q76" s="9">
        <f ca="1">Q75-T76*Prices!C76</f>
        <v>0.73921470963648883</v>
      </c>
      <c r="R76" s="1">
        <f t="shared" ca="1" si="3"/>
        <v>1.2064626868009817E-2</v>
      </c>
      <c r="S76" s="9">
        <f ca="1">IF(Prices!C75&lt;OFFSET(Prices!C75,-S$3,0),1,IF(Prices!C75&gt;OFFSET(Prices!C75,-S$3,0),-1,0))</f>
        <v>-1</v>
      </c>
      <c r="T76" s="1">
        <f ca="1">IF(S76=1,T$3*Q75/Prices!C75,T$3*R75*S76)</f>
        <v>-2.462168748573432E-4</v>
      </c>
      <c r="V76" s="9"/>
      <c r="W76" s="1"/>
      <c r="X76" s="1"/>
      <c r="Y76" s="1"/>
      <c r="Z76" s="1"/>
      <c r="AA76" s="1"/>
      <c r="AB76" s="1"/>
      <c r="AC76" s="1"/>
      <c r="AD76" s="1"/>
      <c r="AE76" s="16"/>
    </row>
    <row r="77" spans="1:31" x14ac:dyDescent="0.2">
      <c r="A77" s="4">
        <v>33613</v>
      </c>
      <c r="B77" s="9">
        <f ca="1">Prices!C76*(1+J77/(50*(ABS(O77)+ABS(T77)+0.0001)))</f>
        <v>127.00031360776433</v>
      </c>
      <c r="C77" s="13">
        <f t="shared" ca="1" si="8"/>
        <v>1</v>
      </c>
      <c r="D77" s="9">
        <f ca="1">D76+C77*(Prices!C77-Prices!C76)/Prices!C76</f>
        <v>2.4287795790812465E-2</v>
      </c>
      <c r="E77" s="9">
        <f t="shared" ca="1" si="9"/>
        <v>0</v>
      </c>
      <c r="F77" s="9">
        <f t="shared" ca="1" si="10"/>
        <v>2.4287795790812465E-2</v>
      </c>
      <c r="G77" s="13">
        <f ca="1">IF((Prices!C77-Prices!C76)*C77&gt;0,1,0)</f>
        <v>1</v>
      </c>
      <c r="H77" s="9">
        <f>ABS(Prices!C77-Prices!C76)/Prices!C76</f>
        <v>1.3157894736842037E-2</v>
      </c>
      <c r="I77" s="13"/>
      <c r="J77" s="1">
        <f t="shared" ca="1" si="11"/>
        <v>1.0271376003104845E-3</v>
      </c>
      <c r="K77" s="9"/>
      <c r="L77" s="9">
        <f ca="1">L76-O77*Prices!C77</f>
        <v>1.4294573436479738</v>
      </c>
      <c r="M77" s="1">
        <f t="shared" ca="1" si="2"/>
        <v>6.7531082471208766E-3</v>
      </c>
      <c r="N77" s="9">
        <f ca="1">IF(Prices!D76&gt;OFFSET(Prices!D76,-$N$3,0),1,IF(Prices!D76&lt;OFFSET(Prices!D76,-$N$3,0),-1,0))</f>
        <v>1</v>
      </c>
      <c r="O77" s="1">
        <f ca="1">IF(N77=1,O$3*L76/Prices!C76,O$3*M76*N77)</f>
        <v>1.2684301376706809E-3</v>
      </c>
      <c r="P77" s="14"/>
      <c r="Q77" s="9">
        <f ca="1">Q76-T77*Prices!C77</f>
        <v>0.76987092650810174</v>
      </c>
      <c r="R77" s="1">
        <f t="shared" ca="1" si="3"/>
        <v>1.182333433064962E-2</v>
      </c>
      <c r="S77" s="9">
        <f ca="1">IF(Prices!C76&lt;OFFSET(Prices!C76,-S$3,0),1,IF(Prices!C76&gt;OFFSET(Prices!C76,-S$3,0),-1,0))</f>
        <v>-1</v>
      </c>
      <c r="T77" s="1">
        <f ca="1">IF(S77=1,T$3*Q76/Prices!C76,T$3*R76*S77)</f>
        <v>-2.4129253736019634E-4</v>
      </c>
      <c r="V77" s="9"/>
      <c r="W77" s="1"/>
      <c r="X77" s="1"/>
      <c r="Y77" s="1"/>
      <c r="Z77" s="1"/>
      <c r="AA77" s="1"/>
      <c r="AB77" s="1"/>
      <c r="AC77" s="1"/>
      <c r="AD77" s="1"/>
      <c r="AE77" s="16"/>
    </row>
    <row r="78" spans="1:31" x14ac:dyDescent="0.2">
      <c r="A78" s="4">
        <v>33616</v>
      </c>
      <c r="B78" s="9">
        <f ca="1">Prices!C77*(1+J78/(50*(ABS(O78)+ABS(T78)+0.0001)))</f>
        <v>128.59493887967352</v>
      </c>
      <c r="C78" s="13">
        <f t="shared" ca="1" si="8"/>
        <v>1</v>
      </c>
      <c r="D78" s="9">
        <f ca="1">D77+C78*(Prices!C78-Prices!C77)/Prices!C77</f>
        <v>2.2713612398447231E-2</v>
      </c>
      <c r="E78" s="9">
        <f t="shared" ca="1" si="9"/>
        <v>1.5741833923652339E-3</v>
      </c>
      <c r="F78" s="9">
        <f t="shared" ca="1" si="10"/>
        <v>2.4287795790812465E-2</v>
      </c>
      <c r="G78" s="13">
        <f ca="1">IF((Prices!C78-Prices!C77)*C78&gt;0,1,0)</f>
        <v>0</v>
      </c>
      <c r="H78" s="9">
        <f>ABS(Prices!C78-Prices!C77)/Prices!C77</f>
        <v>1.574183392365233E-3</v>
      </c>
      <c r="I78" s="13"/>
      <c r="J78" s="1">
        <f t="shared" ca="1" si="11"/>
        <v>8.8864731861957257E-4</v>
      </c>
      <c r="K78" s="9"/>
      <c r="L78" s="9">
        <f ca="1">L77-O78*Prices!C78</f>
        <v>1.2867366320842231</v>
      </c>
      <c r="M78" s="1">
        <f t="shared" ca="1" si="2"/>
        <v>7.8782222523534409E-3</v>
      </c>
      <c r="N78" s="9">
        <f ca="1">IF(Prices!D77&gt;OFFSET(Prices!D77,-$N$3,0),1,IF(Prices!D77&lt;OFFSET(Prices!D77,-$N$3,0),-1,0))</f>
        <v>1</v>
      </c>
      <c r="O78" s="1">
        <f ca="1">IF(N78=1,O$3*L77/Prices!C77,O$3*M77*N78)</f>
        <v>1.125114005232565E-3</v>
      </c>
      <c r="P78" s="14"/>
      <c r="Q78" s="9">
        <f ca="1">Q77-T78*Prices!C78</f>
        <v>0.79986672570495987</v>
      </c>
      <c r="R78" s="1">
        <f t="shared" ca="1" si="3"/>
        <v>1.1586867644036629E-2</v>
      </c>
      <c r="S78" s="9">
        <f ca="1">IF(Prices!C77&lt;OFFSET(Prices!C77,-S$3,0),1,IF(Prices!C77&gt;OFFSET(Prices!C77,-S$3,0),-1,0))</f>
        <v>-1</v>
      </c>
      <c r="T78" s="1">
        <f ca="1">IF(S78=1,T$3*Q77/Prices!C77,T$3*R77*S78)</f>
        <v>-2.3646668661299241E-4</v>
      </c>
      <c r="V78" s="9"/>
      <c r="W78" s="1"/>
      <c r="X78" s="1"/>
      <c r="Y78" s="1"/>
      <c r="Z78" s="1"/>
      <c r="AA78" s="1"/>
      <c r="AB78" s="1"/>
      <c r="AC78" s="1"/>
      <c r="AD78" s="1"/>
      <c r="AE78" s="16"/>
    </row>
    <row r="79" spans="1:31" x14ac:dyDescent="0.2">
      <c r="A79" s="4">
        <v>33617</v>
      </c>
      <c r="B79" s="9">
        <f ca="1">Prices!C78*(1+J79/(50*(ABS(O79)+ABS(T79)+0.0001)))</f>
        <v>128.32502794582754</v>
      </c>
      <c r="C79" s="13">
        <f t="shared" ca="1" si="8"/>
        <v>1</v>
      </c>
      <c r="D79" s="9">
        <f ca="1">D78+C79*(Prices!C79-Prices!C78)/Prices!C78</f>
        <v>2.2319446060252535E-2</v>
      </c>
      <c r="E79" s="9">
        <f t="shared" ca="1" si="9"/>
        <v>1.9683497305599297E-3</v>
      </c>
      <c r="F79" s="9">
        <f t="shared" ca="1" si="10"/>
        <v>2.4287795790812465E-2</v>
      </c>
      <c r="G79" s="13">
        <f ca="1">IF((Prices!C79-Prices!C78)*C79&gt;0,1,0)</f>
        <v>0</v>
      </c>
      <c r="H79" s="9">
        <f>ABS(Prices!C79-Prices!C78)/Prices!C78</f>
        <v>3.9416633819469577E-4</v>
      </c>
      <c r="I79" s="13"/>
      <c r="J79" s="1">
        <f t="shared" ca="1" si="11"/>
        <v>7.8263918009855251E-4</v>
      </c>
      <c r="K79" s="9"/>
      <c r="L79" s="9">
        <f ca="1">L78-O79*Prices!C79</f>
        <v>1.1581136877024498</v>
      </c>
      <c r="M79" s="1">
        <f t="shared" ca="1" si="2"/>
        <v>8.8925987853327258E-3</v>
      </c>
      <c r="N79" s="9">
        <f ca="1">IF(Prices!D78&gt;OFFSET(Prices!D78,-$N$3,0),1,IF(Prices!D78&lt;OFFSET(Prices!D78,-$N$3,0),-1,0))</f>
        <v>1</v>
      </c>
      <c r="O79" s="1">
        <f ca="1">IF(N79=1,O$3*L78/Prices!C78,O$3*M78*N79)</f>
        <v>1.014376532979285E-3</v>
      </c>
      <c r="P79" s="14"/>
      <c r="Q79" s="9">
        <f ca="1">Q78-T79*Prices!C79</f>
        <v>0.82925102205023671</v>
      </c>
      <c r="R79" s="1">
        <f t="shared" ca="1" si="3"/>
        <v>1.1355130291155896E-2</v>
      </c>
      <c r="S79" s="9">
        <f ca="1">IF(Prices!C78&lt;OFFSET(Prices!C78,-S$3,0),1,IF(Prices!C78&gt;OFFSET(Prices!C78,-S$3,0),-1,0))</f>
        <v>-1</v>
      </c>
      <c r="T79" s="1">
        <f ca="1">IF(S79=1,T$3*Q78/Prices!C78,T$3*R78*S79)</f>
        <v>-2.3173735288073256E-4</v>
      </c>
      <c r="V79" s="9"/>
      <c r="W79" s="1"/>
      <c r="X79" s="1"/>
      <c r="Y79" s="1"/>
      <c r="Z79" s="1"/>
      <c r="AA79" s="1"/>
      <c r="AB79" s="1"/>
      <c r="AC79" s="1"/>
      <c r="AD79" s="1"/>
      <c r="AE79" s="16"/>
    </row>
    <row r="80" spans="1:31" x14ac:dyDescent="0.2">
      <c r="A80" s="4">
        <v>33618</v>
      </c>
      <c r="B80" s="9">
        <f ca="1">Prices!C79*(1+J80/(50*(ABS(O80)+ABS(T80)+0.0001)))</f>
        <v>128.20296434806201</v>
      </c>
      <c r="C80" s="13">
        <f t="shared" ca="1" si="8"/>
        <v>1</v>
      </c>
      <c r="D80" s="9">
        <f ca="1">D79+C80*(Prices!C80-Prices!C79)/Prices!C79</f>
        <v>3.493774259022106E-2</v>
      </c>
      <c r="E80" s="9">
        <f t="shared" ca="1" si="9"/>
        <v>0</v>
      </c>
      <c r="F80" s="9">
        <f t="shared" ca="1" si="10"/>
        <v>3.493774259022106E-2</v>
      </c>
      <c r="G80" s="13">
        <f ca="1">IF((Prices!C80-Prices!C79)*C80&gt;0,1,0)</f>
        <v>1</v>
      </c>
      <c r="H80" s="9">
        <f>ABS(Prices!C80-Prices!C79)/Prices!C79</f>
        <v>1.2618296529968522E-2</v>
      </c>
      <c r="I80" s="13"/>
      <c r="J80" s="1">
        <f t="shared" ca="1" si="11"/>
        <v>6.8623626460468171E-4</v>
      </c>
      <c r="K80" s="9"/>
      <c r="L80" s="9">
        <f ca="1">L79-O80*Prices!C80</f>
        <v>1.0408409767395204</v>
      </c>
      <c r="M80" s="1">
        <f t="shared" ca="1" si="2"/>
        <v>9.8059376557605247E-3</v>
      </c>
      <c r="N80" s="9">
        <f ca="1">IF(Prices!D79&gt;OFFSET(Prices!D79,-$N$3,0),1,IF(Prices!D79&lt;OFFSET(Prices!D79,-$N$3,0),-1,0))</f>
        <v>1</v>
      </c>
      <c r="O80" s="1">
        <f ca="1">IF(N80=1,O$3*L79/Prices!C79,O$3*M79*N80)</f>
        <v>9.1333887042779958E-4</v>
      </c>
      <c r="P80" s="14"/>
      <c r="Q80" s="9">
        <f ca="1">Q79-T80*Prices!C80</f>
        <v>0.85841099663792508</v>
      </c>
      <c r="R80" s="1">
        <f t="shared" ca="1" si="3"/>
        <v>1.1128027685332779E-2</v>
      </c>
      <c r="S80" s="9">
        <f ca="1">IF(Prices!C79&lt;OFFSET(Prices!C79,-S$3,0),1,IF(Prices!C79&gt;OFFSET(Prices!C79,-S$3,0),-1,0))</f>
        <v>-1</v>
      </c>
      <c r="T80" s="1">
        <f ca="1">IF(S80=1,T$3*Q79/Prices!C79,T$3*R79*S80)</f>
        <v>-2.2710260582311793E-4</v>
      </c>
      <c r="V80" s="9"/>
      <c r="W80" s="1"/>
      <c r="X80" s="1"/>
      <c r="Y80" s="1"/>
      <c r="Z80" s="1"/>
      <c r="AA80" s="1"/>
      <c r="AB80" s="1"/>
      <c r="AC80" s="1"/>
      <c r="AD80" s="1"/>
      <c r="AE80" s="16"/>
    </row>
    <row r="81" spans="1:31" x14ac:dyDescent="0.2">
      <c r="A81" s="4">
        <v>33619</v>
      </c>
      <c r="B81" s="9">
        <f ca="1">Prices!C80*(1+J81/(50*(ABS(O81)+ABS(T81)+0.0001)))</f>
        <v>129.73265732836541</v>
      </c>
      <c r="C81" s="13">
        <f t="shared" ca="1" si="8"/>
        <v>1</v>
      </c>
      <c r="D81" s="9">
        <f ca="1">D80+C81*(Prices!C81-Prices!C80)/Prices!C80</f>
        <v>3.4003163150968692E-2</v>
      </c>
      <c r="E81" s="9">
        <f t="shared" ca="1" si="9"/>
        <v>9.3457943925236847E-4</v>
      </c>
      <c r="F81" s="9">
        <f t="shared" ca="1" si="10"/>
        <v>3.493774259022106E-2</v>
      </c>
      <c r="G81" s="13">
        <f ca="1">IF((Prices!C81-Prices!C80)*C81&gt;0,1,0)</f>
        <v>0</v>
      </c>
      <c r="H81" s="9">
        <f>ABS(Prices!C81-Prices!C80)/Prices!C80</f>
        <v>9.3457943925237183E-4</v>
      </c>
      <c r="I81" s="13"/>
      <c r="J81" s="1">
        <f t="shared" ca="1" si="11"/>
        <v>5.880632599534071E-4</v>
      </c>
      <c r="K81" s="9"/>
      <c r="L81" s="9">
        <f ca="1">L80-O81*Prices!C81</f>
        <v>0.93685415392320759</v>
      </c>
      <c r="M81" s="1">
        <f t="shared" ca="1" si="2"/>
        <v>1.0616561469420588E-2</v>
      </c>
      <c r="N81" s="9">
        <f ca="1">IF(Prices!D80&gt;OFFSET(Prices!D80,-$N$3,0),1,IF(Prices!D80&lt;OFFSET(Prices!D80,-$N$3,0),-1,0))</f>
        <v>1</v>
      </c>
      <c r="O81" s="1">
        <f ca="1">IF(N81=1,O$3*L80/Prices!C80,O$3*M80*N81)</f>
        <v>8.1062381366006262E-4</v>
      </c>
      <c r="P81" s="14"/>
      <c r="Q81" s="9">
        <f ca="1">Q80-T81*Prices!C81</f>
        <v>0.88696106446741485</v>
      </c>
      <c r="R81" s="1">
        <f t="shared" ca="1" si="3"/>
        <v>1.0905467131626123E-2</v>
      </c>
      <c r="S81" s="9">
        <f ca="1">IF(Prices!C80&lt;OFFSET(Prices!C80,-S$3,0),1,IF(Prices!C80&gt;OFFSET(Prices!C80,-S$3,0),-1,0))</f>
        <v>-1</v>
      </c>
      <c r="T81" s="1">
        <f ca="1">IF(S81=1,T$3*Q80/Prices!C80,T$3*R80*S81)</f>
        <v>-2.2256055370665557E-4</v>
      </c>
      <c r="V81" s="9"/>
      <c r="W81" s="1"/>
      <c r="X81" s="1"/>
      <c r="Y81" s="1"/>
      <c r="Z81" s="1"/>
      <c r="AA81" s="1"/>
      <c r="AB81" s="1"/>
      <c r="AC81" s="1"/>
      <c r="AD81" s="1"/>
      <c r="AE81" s="16"/>
    </row>
    <row r="82" spans="1:31" x14ac:dyDescent="0.2">
      <c r="A82" s="4">
        <v>33620</v>
      </c>
      <c r="B82" s="9">
        <f ca="1">Prices!C81*(1+J82/(50*(ABS(O82)+ABS(T82)+0.0001)))</f>
        <v>129.53342477475135</v>
      </c>
      <c r="C82" s="13">
        <f t="shared" ref="C82:C145" ca="1" si="12">IF(J82&gt;0,1,IF(J82&lt;0,-1,0))</f>
        <v>1</v>
      </c>
      <c r="D82" s="9">
        <f ca="1">D81+C82*(Prices!C82-Prices!C81)/Prices!C81</f>
        <v>2.753294176026088E-2</v>
      </c>
      <c r="E82" s="9">
        <f t="shared" ref="E82:E145" ca="1" si="13">F82-D82</f>
        <v>7.40480082996018E-3</v>
      </c>
      <c r="F82" s="9">
        <f t="shared" ref="F82:F145" ca="1" si="14">MAX(F81,D82)</f>
        <v>3.493774259022106E-2</v>
      </c>
      <c r="G82" s="13">
        <f ca="1">IF((Prices!C82-Prices!C81)*C82&gt;0,1,0)</f>
        <v>0</v>
      </c>
      <c r="H82" s="9">
        <f>ABS(Prices!C82-Prices!C81)/Prices!C81</f>
        <v>6.4702213907078133E-3</v>
      </c>
      <c r="I82" s="13"/>
      <c r="J82" s="1">
        <f t="shared" ref="J82:J145" ca="1" si="15">O82+T82</f>
        <v>5.1221039070331142E-4</v>
      </c>
      <c r="K82" s="9"/>
      <c r="L82" s="9">
        <f ca="1">L81-O82*Prices!C82</f>
        <v>0.84377490390955556</v>
      </c>
      <c r="M82" s="1">
        <f t="shared" ref="M82:M145" ca="1" si="16">M81+O82</f>
        <v>1.1346881202756421E-2</v>
      </c>
      <c r="N82" s="9">
        <f ca="1">IF(Prices!D81&gt;OFFSET(Prices!D81,-$N$3,0),1,IF(Prices!D81&lt;OFFSET(Prices!D81,-$N$3,0),-1,0))</f>
        <v>1</v>
      </c>
      <c r="O82" s="1">
        <f ca="1">IF(N82=1,O$3*L81/Prices!C81,O$3*M81*N82)</f>
        <v>7.303197333358339E-4</v>
      </c>
      <c r="P82" s="14"/>
      <c r="Q82" s="9">
        <f ca="1">Q81-T82*Prices!C82</f>
        <v>0.91475910018592987</v>
      </c>
      <c r="R82" s="1">
        <f t="shared" ref="R82:R145" ca="1" si="17">R81+T82</f>
        <v>1.0687357788993601E-2</v>
      </c>
      <c r="S82" s="9">
        <f ca="1">IF(Prices!C81&lt;OFFSET(Prices!C81,-S$3,0),1,IF(Prices!C81&gt;OFFSET(Prices!C81,-S$3,0),-1,0))</f>
        <v>-1</v>
      </c>
      <c r="T82" s="1">
        <f ca="1">IF(S82=1,T$3*Q81/Prices!C81,T$3*R81*S82)</f>
        <v>-2.1810934263252247E-4</v>
      </c>
      <c r="V82" s="9"/>
      <c r="W82" s="1"/>
      <c r="X82" s="1"/>
      <c r="Y82" s="1"/>
      <c r="Z82" s="1"/>
      <c r="AA82" s="1"/>
      <c r="AB82" s="1"/>
      <c r="AC82" s="1"/>
      <c r="AD82" s="1"/>
      <c r="AE82" s="16"/>
    </row>
    <row r="83" spans="1:31" x14ac:dyDescent="0.2">
      <c r="A83" s="4">
        <v>33623</v>
      </c>
      <c r="B83" s="9">
        <f ca="1">Prices!C82*(1+J83/(50*(ABS(O83)+ABS(T83)+0.0001)))</f>
        <v>128.62105843901995</v>
      </c>
      <c r="C83" s="13">
        <f t="shared" ca="1" si="12"/>
        <v>1</v>
      </c>
      <c r="D83" s="9">
        <f ca="1">D82+C83*(Prices!C83-Prices!C82)/Prices!C82</f>
        <v>2.2811633852683547E-4</v>
      </c>
      <c r="E83" s="9">
        <f t="shared" ca="1" si="13"/>
        <v>3.4709626251694228E-2</v>
      </c>
      <c r="F83" s="9">
        <f t="shared" ca="1" si="14"/>
        <v>3.493774259022106E-2</v>
      </c>
      <c r="G83" s="13">
        <f ca="1">IF((Prices!C83-Prices!C82)*C83&gt;0,1,0)</f>
        <v>0</v>
      </c>
      <c r="H83" s="9">
        <f>ABS(Prices!C83-Prices!C82)/Prices!C82</f>
        <v>2.7304825421734045E-2</v>
      </c>
      <c r="I83" s="13"/>
      <c r="J83" s="1">
        <f t="shared" ca="1" si="15"/>
        <v>4.482967076250363E-4</v>
      </c>
      <c r="K83" s="9"/>
      <c r="L83" s="9">
        <f ca="1">L82-O83*Prices!C83</f>
        <v>0.76170132616324904</v>
      </c>
      <c r="M83" s="1">
        <f t="shared" ca="1" si="16"/>
        <v>1.2008925066161328E-2</v>
      </c>
      <c r="N83" s="9">
        <f ca="1">IF(Prices!D82&gt;OFFSET(Prices!D82,-$N$3,0),1,IF(Prices!D82&lt;OFFSET(Prices!D82,-$N$3,0),-1,0))</f>
        <v>1</v>
      </c>
      <c r="O83" s="1">
        <f ca="1">IF(N83=1,O$3*L82/Prices!C82,O$3*M82*N83)</f>
        <v>6.620438634049083E-4</v>
      </c>
      <c r="P83" s="14"/>
      <c r="Q83" s="9">
        <f ca="1">Q82-T83*Prices!C83</f>
        <v>0.94125733508796061</v>
      </c>
      <c r="R83" s="1">
        <f t="shared" ca="1" si="17"/>
        <v>1.0473610633213729E-2</v>
      </c>
      <c r="S83" s="9">
        <f ca="1">IF(Prices!C82&lt;OFFSET(Prices!C82,-S$3,0),1,IF(Prices!C82&gt;OFFSET(Prices!C82,-S$3,0),-1,0))</f>
        <v>-1</v>
      </c>
      <c r="T83" s="1">
        <f ca="1">IF(S83=1,T$3*Q82/Prices!C82,T$3*R82*S83)</f>
        <v>-2.1374715577987202E-4</v>
      </c>
      <c r="V83" s="9"/>
      <c r="W83" s="1"/>
      <c r="X83" s="1"/>
      <c r="Y83" s="1"/>
      <c r="Z83" s="1"/>
      <c r="AA83" s="1"/>
      <c r="AB83" s="1"/>
      <c r="AC83" s="1"/>
      <c r="AD83" s="1"/>
      <c r="AE83" s="16"/>
    </row>
    <row r="84" spans="1:31" x14ac:dyDescent="0.2">
      <c r="A84" s="4">
        <v>33624</v>
      </c>
      <c r="B84" s="9">
        <f ca="1">Prices!C83*(1+J84/(50*(ABS(O84)+ABS(T84)+0.0001)))</f>
        <v>122.17960316740806</v>
      </c>
      <c r="C84" s="13">
        <f t="shared" ca="1" si="12"/>
        <v>-1</v>
      </c>
      <c r="D84" s="9">
        <f ca="1">D83+C84*(Prices!C84-Prices!C83)/Prices!C83</f>
        <v>6.4392964627504063E-3</v>
      </c>
      <c r="E84" s="9">
        <f t="shared" ca="1" si="13"/>
        <v>2.8498446127470656E-2</v>
      </c>
      <c r="F84" s="9">
        <f t="shared" ca="1" si="14"/>
        <v>3.493774259022106E-2</v>
      </c>
      <c r="G84" s="13">
        <f ca="1">IF((Prices!C84-Prices!C83)*C84&gt;0,1,0)</f>
        <v>1</v>
      </c>
      <c r="H84" s="9">
        <f>ABS(Prices!C84-Prices!C83)/Prices!C83</f>
        <v>6.2111801242235708E-3</v>
      </c>
      <c r="I84" s="13"/>
      <c r="J84" s="1">
        <f t="shared" ca="1" si="15"/>
        <v>-1.0490400689154053E-3</v>
      </c>
      <c r="K84" s="9"/>
      <c r="L84" s="9">
        <f ca="1">L83-O84*Prices!C84</f>
        <v>0.90965128297835662</v>
      </c>
      <c r="M84" s="1">
        <f t="shared" ca="1" si="16"/>
        <v>1.0808032559545195E-2</v>
      </c>
      <c r="N84" s="9">
        <f ca="1">IF(Prices!D83&gt;OFFSET(Prices!D83,-$N$3,0),1,IF(Prices!D83&lt;OFFSET(Prices!D83,-$N$3,0),-1,0))</f>
        <v>-1</v>
      </c>
      <c r="O84" s="1">
        <f ca="1">IF(N84=1,O$3*L83/Prices!C83,O$3*M83*N84)</f>
        <v>-1.200892506616133E-3</v>
      </c>
      <c r="P84" s="14"/>
      <c r="Q84" s="9">
        <f ca="1">Q83-T84*Prices!C84</f>
        <v>0.92254911476323098</v>
      </c>
      <c r="R84" s="1">
        <f t="shared" ca="1" si="17"/>
        <v>1.0625463070914457E-2</v>
      </c>
      <c r="S84" s="9">
        <f ca="1">IF(Prices!C83&lt;OFFSET(Prices!C83,-S$3,0),1,IF(Prices!C83&gt;OFFSET(Prices!C83,-S$3,0),-1,0))</f>
        <v>1</v>
      </c>
      <c r="T84" s="1">
        <f ca="1">IF(S84=1,T$3*Q83/Prices!C83,T$3*R83*S84)</f>
        <v>1.5185243770072772E-4</v>
      </c>
      <c r="V84" s="9"/>
      <c r="W84" s="1"/>
      <c r="X84" s="1"/>
      <c r="Y84" s="1"/>
      <c r="Z84" s="1"/>
      <c r="AA84" s="1"/>
      <c r="AB84" s="1"/>
      <c r="AC84" s="1"/>
      <c r="AD84" s="1"/>
      <c r="AE84" s="16"/>
    </row>
    <row r="85" spans="1:31" x14ac:dyDescent="0.2">
      <c r="A85" s="4">
        <v>33625</v>
      </c>
      <c r="B85" s="9">
        <f ca="1">Prices!C84*(1+J85/(50*(ABS(O85)+ABS(T85)+0.0001)))</f>
        <v>121.47586410091149</v>
      </c>
      <c r="C85" s="13">
        <f t="shared" ca="1" si="12"/>
        <v>-1</v>
      </c>
      <c r="D85" s="9">
        <f ca="1">D84+C85*(Prices!C85-Prices!C84)/Prices!C84</f>
        <v>6.276958800412776E-3</v>
      </c>
      <c r="E85" s="9">
        <f t="shared" ca="1" si="13"/>
        <v>2.8660783789808283E-2</v>
      </c>
      <c r="F85" s="9">
        <f t="shared" ca="1" si="14"/>
        <v>3.493774259022106E-2</v>
      </c>
      <c r="G85" s="13">
        <f ca="1">IF((Prices!C85-Prices!C84)*C85&gt;0,1,0)</f>
        <v>0</v>
      </c>
      <c r="H85" s="9">
        <f>ABS(Prices!C85-Prices!C84)/Prices!C84</f>
        <v>1.6233766233763003E-4</v>
      </c>
      <c r="I85" s="13"/>
      <c r="J85" s="1">
        <f t="shared" ca="1" si="15"/>
        <v>-9.3103878927217683E-4</v>
      </c>
      <c r="K85" s="9"/>
      <c r="L85" s="9">
        <f ca="1">L84-O85*Prices!C85</f>
        <v>1.0428278601770726</v>
      </c>
      <c r="M85" s="1">
        <f t="shared" ca="1" si="16"/>
        <v>9.7272293035906756E-3</v>
      </c>
      <c r="N85" s="9">
        <f ca="1">IF(Prices!D84&gt;OFFSET(Prices!D84,-$N$3,0),1,IF(Prices!D84&lt;OFFSET(Prices!D84,-$N$3,0),-1,0))</f>
        <v>-1</v>
      </c>
      <c r="O85" s="1">
        <f ca="1">IF(N85=1,O$3*L84/Prices!C84,O$3*M84*N85)</f>
        <v>-1.0808032559545195E-3</v>
      </c>
      <c r="P85" s="14"/>
      <c r="Q85" s="9">
        <f ca="1">Q84-T85*Prices!C85</f>
        <v>0.90409513717863277</v>
      </c>
      <c r="R85" s="1">
        <f t="shared" ca="1" si="17"/>
        <v>1.0775227537596799E-2</v>
      </c>
      <c r="S85" s="9">
        <f ca="1">IF(Prices!C84&lt;OFFSET(Prices!C84,-S$3,0),1,IF(Prices!C84&gt;OFFSET(Prices!C84,-S$3,0),-1,0))</f>
        <v>1</v>
      </c>
      <c r="T85" s="1">
        <f ca="1">IF(S85=1,T$3*Q84/Prices!C84,T$3*R84*S85)</f>
        <v>1.4976446668234268E-4</v>
      </c>
      <c r="V85" s="9"/>
      <c r="W85" s="1"/>
      <c r="X85" s="1"/>
      <c r="Y85" s="1"/>
      <c r="Z85" s="1"/>
      <c r="AA85" s="1"/>
      <c r="AB85" s="1"/>
      <c r="AC85" s="1"/>
      <c r="AD85" s="1"/>
      <c r="AE85" s="16"/>
    </row>
    <row r="86" spans="1:31" x14ac:dyDescent="0.2">
      <c r="A86" s="4">
        <v>33626</v>
      </c>
      <c r="B86" s="9">
        <f ca="1">Prices!C85*(1+J86/(50*(ABS(O86)+ABS(T86)+0.0001)))</f>
        <v>124.6856355632068</v>
      </c>
      <c r="C86" s="13">
        <f t="shared" ca="1" si="12"/>
        <v>1</v>
      </c>
      <c r="D86" s="9">
        <f ca="1">D85+C86*(Prices!C86-Prices!C85)/Prices!C85</f>
        <v>1.1795543445762613E-2</v>
      </c>
      <c r="E86" s="9">
        <f t="shared" ca="1" si="13"/>
        <v>2.3142199144458447E-2</v>
      </c>
      <c r="F86" s="9">
        <f t="shared" ca="1" si="14"/>
        <v>3.493774259022106E-2</v>
      </c>
      <c r="G86" s="13">
        <f ca="1">IF((Prices!C86-Prices!C85)*C86&gt;0,1,0)</f>
        <v>1</v>
      </c>
      <c r="H86" s="9">
        <f>ABS(Prices!C86-Prices!C85)/Prices!C85</f>
        <v>5.5185846453498361E-3</v>
      </c>
      <c r="I86" s="13"/>
      <c r="J86" s="1">
        <f t="shared" ca="1" si="15"/>
        <v>1.4674486888145314E-4</v>
      </c>
      <c r="K86" s="9"/>
      <c r="L86" s="9">
        <f ca="1">L85-O86*Prices!C86</f>
        <v>1.0428278601770726</v>
      </c>
      <c r="M86" s="1">
        <f t="shared" ca="1" si="16"/>
        <v>9.7272293035906756E-3</v>
      </c>
      <c r="N86" s="9">
        <f ca="1">IF(Prices!D85&gt;OFFSET(Prices!D85,-$N$3,0),1,IF(Prices!D85&lt;OFFSET(Prices!D85,-$N$3,0),-1,0))</f>
        <v>0</v>
      </c>
      <c r="O86" s="1">
        <f ca="1">IF(N86=1,O$3*L85/Prices!C85,O$3*M85*N86)</f>
        <v>0</v>
      </c>
      <c r="P86" s="14"/>
      <c r="Q86" s="9">
        <f ca="1">Q85-T86*Prices!C86</f>
        <v>0.88591344792422078</v>
      </c>
      <c r="R86" s="1">
        <f t="shared" ca="1" si="17"/>
        <v>1.0921972406478252E-2</v>
      </c>
      <c r="S86" s="9">
        <f ca="1">IF(Prices!C85&lt;OFFSET(Prices!C85,-S$3,0),1,IF(Prices!C85&gt;OFFSET(Prices!C85,-S$3,0),-1,0))</f>
        <v>1</v>
      </c>
      <c r="T86" s="1">
        <f ca="1">IF(S86=1,T$3*Q85/Prices!C85,T$3*R85*S86)</f>
        <v>1.4674486888145314E-4</v>
      </c>
      <c r="V86" s="9"/>
      <c r="W86" s="1"/>
      <c r="X86" s="1"/>
      <c r="Y86" s="1"/>
      <c r="Z86" s="1"/>
      <c r="AA86" s="1"/>
      <c r="AB86" s="1"/>
      <c r="AC86" s="1"/>
      <c r="AD86" s="1"/>
      <c r="AE86" s="16"/>
    </row>
    <row r="87" spans="1:31" x14ac:dyDescent="0.2">
      <c r="A87" s="4">
        <v>33627</v>
      </c>
      <c r="B87" s="9">
        <f ca="1">Prices!C86*(1+J87/(50*(ABS(O87)+ABS(T87)+0.0001)))</f>
        <v>126.14954417006818</v>
      </c>
      <c r="C87" s="13">
        <f t="shared" ca="1" si="12"/>
        <v>1</v>
      </c>
      <c r="D87" s="9">
        <f ca="1">D86+C87*(Prices!C87-Prices!C86)/Prices!C86</f>
        <v>7.9214514360773508E-3</v>
      </c>
      <c r="E87" s="9">
        <f t="shared" ca="1" si="13"/>
        <v>2.701629115414371E-2</v>
      </c>
      <c r="F87" s="9">
        <f t="shared" ca="1" si="14"/>
        <v>3.493774259022106E-2</v>
      </c>
      <c r="G87" s="13">
        <f ca="1">IF((Prices!C87-Prices!C86)*C87&gt;0,1,0)</f>
        <v>0</v>
      </c>
      <c r="H87" s="9">
        <f>ABS(Prices!C87-Prices!C86)/Prices!C86</f>
        <v>3.8740920096852621E-3</v>
      </c>
      <c r="I87" s="13"/>
      <c r="J87" s="1">
        <f t="shared" ca="1" si="15"/>
        <v>9.8467356720090141E-4</v>
      </c>
      <c r="K87" s="9"/>
      <c r="L87" s="9">
        <f ca="1">L86-O87*Prices!C87</f>
        <v>0.93894907526742433</v>
      </c>
      <c r="M87" s="1">
        <f t="shared" ca="1" si="16"/>
        <v>1.0568898278713414E-2</v>
      </c>
      <c r="N87" s="9">
        <f ca="1">IF(Prices!D86&gt;OFFSET(Prices!D86,-$N$3,0),1,IF(Prices!D86&lt;OFFSET(Prices!D86,-$N$3,0),-1,0))</f>
        <v>1</v>
      </c>
      <c r="O87" s="1">
        <f ca="1">IF(N87=1,O$3*L86/Prices!C86,O$3*M86*N87)</f>
        <v>8.4166897512273826E-4</v>
      </c>
      <c r="P87" s="14"/>
      <c r="Q87" s="9">
        <f ca="1">Q86-T87*Prices!C87</f>
        <v>0.86826382116993384</v>
      </c>
      <c r="R87" s="1">
        <f t="shared" ca="1" si="17"/>
        <v>1.1064976998556415E-2</v>
      </c>
      <c r="S87" s="9">
        <f ca="1">IF(Prices!C86&lt;OFFSET(Prices!C86,-S$3,0),1,IF(Prices!C86&gt;OFFSET(Prices!C86,-S$3,0),-1,0))</f>
        <v>1</v>
      </c>
      <c r="T87" s="1">
        <f ca="1">IF(S87=1,T$3*Q86/Prices!C86,T$3*R86*S87)</f>
        <v>1.4300459207816315E-4</v>
      </c>
      <c r="V87" s="9"/>
      <c r="W87" s="1"/>
      <c r="X87" s="1"/>
      <c r="Y87" s="1"/>
      <c r="Z87" s="1"/>
      <c r="AA87" s="1"/>
      <c r="AB87" s="1"/>
      <c r="AC87" s="1"/>
      <c r="AD87" s="1"/>
      <c r="AE87" s="16"/>
    </row>
    <row r="88" spans="1:31" x14ac:dyDescent="0.2">
      <c r="A88" s="4">
        <v>33630</v>
      </c>
      <c r="B88" s="9">
        <f ca="1">Prices!C87*(1+J88/(50*(ABS(O88)+ABS(T88)+0.0001)))</f>
        <v>125.64192383083871</v>
      </c>
      <c r="C88" s="13">
        <f t="shared" ca="1" si="12"/>
        <v>1</v>
      </c>
      <c r="D88" s="9">
        <f ca="1">D87+C88*(Prices!C88-Prices!C87)/Prices!C87</f>
        <v>2.3964232184740485E-2</v>
      </c>
      <c r="E88" s="9">
        <f t="shared" ca="1" si="13"/>
        <v>1.0973510405480575E-2</v>
      </c>
      <c r="F88" s="9">
        <f t="shared" ca="1" si="14"/>
        <v>3.493774259022106E-2</v>
      </c>
      <c r="G88" s="13">
        <f ca="1">IF((Prices!C88-Prices!C87)*C88&gt;0,1,0)</f>
        <v>1</v>
      </c>
      <c r="H88" s="9">
        <f>ABS(Prices!C88-Prices!C87)/Prices!C87</f>
        <v>1.6042780748663134E-2</v>
      </c>
      <c r="I88" s="13"/>
      <c r="J88" s="1">
        <f t="shared" ca="1" si="15"/>
        <v>9.0147612988284809E-4</v>
      </c>
      <c r="K88" s="9"/>
      <c r="L88" s="9">
        <f ca="1">L87-O88*Prices!C88</f>
        <v>0.84354783232581432</v>
      </c>
      <c r="M88" s="1">
        <f t="shared" ca="1" si="16"/>
        <v>1.132967374076772E-2</v>
      </c>
      <c r="N88" s="9">
        <f ca="1">IF(Prices!D87&gt;OFFSET(Prices!D87,-$N$3,0),1,IF(Prices!D87&lt;OFFSET(Prices!D87,-$N$3,0),-1,0))</f>
        <v>1</v>
      </c>
      <c r="O88" s="1">
        <f ca="1">IF(N88=1,O$3*L87/Prices!C87,O$3*M87*N88)</f>
        <v>7.6077546205430594E-4</v>
      </c>
      <c r="P88" s="14"/>
      <c r="Q88" s="9">
        <f ca="1">Q87-T88*Prices!C88</f>
        <v>0.85061995742423469</v>
      </c>
      <c r="R88" s="1">
        <f t="shared" ca="1" si="17"/>
        <v>1.1205677666384958E-2</v>
      </c>
      <c r="S88" s="9">
        <f ca="1">IF(Prices!C87&lt;OFFSET(Prices!C87,-S$3,0),1,IF(Prices!C87&gt;OFFSET(Prices!C87,-S$3,0),-1,0))</f>
        <v>1</v>
      </c>
      <c r="T88" s="1">
        <f ca="1">IF(S88=1,T$3*Q87/Prices!C87,T$3*R87*S88)</f>
        <v>1.4070066782854217E-4</v>
      </c>
      <c r="V88" s="9"/>
      <c r="W88" s="1"/>
      <c r="X88" s="1"/>
      <c r="Y88" s="1"/>
      <c r="Z88" s="1"/>
      <c r="AA88" s="1"/>
      <c r="AB88" s="1"/>
      <c r="AC88" s="1"/>
      <c r="AD88" s="1"/>
      <c r="AE88" s="16"/>
    </row>
    <row r="89" spans="1:31" x14ac:dyDescent="0.2">
      <c r="A89" s="4">
        <v>33631</v>
      </c>
      <c r="B89" s="9">
        <f ca="1">Prices!C88*(1+J89/(50*(ABS(O89)+ABS(T89)+0.0001)))</f>
        <v>126.52863136792858</v>
      </c>
      <c r="C89" s="13">
        <f t="shared" ca="1" si="12"/>
        <v>1</v>
      </c>
      <c r="D89" s="9">
        <f ca="1">D88+C89*(Prices!C89-Prices!C88)/Prices!C88</f>
        <v>2.5718618149652758E-2</v>
      </c>
      <c r="E89" s="9">
        <f t="shared" ca="1" si="13"/>
        <v>9.2191244405683027E-3</v>
      </c>
      <c r="F89" s="9">
        <f t="shared" ca="1" si="14"/>
        <v>3.493774259022106E-2</v>
      </c>
      <c r="G89" s="13">
        <f ca="1">IF((Prices!C89-Prices!C88)*C89&gt;0,1,0)</f>
        <v>1</v>
      </c>
      <c r="H89" s="9">
        <f>ABS(Prices!C89-Prices!C88)/Prices!C88</f>
        <v>1.7543859649122716E-3</v>
      </c>
      <c r="I89" s="13"/>
      <c r="J89" s="1">
        <f t="shared" ca="1" si="15"/>
        <v>4.4857211838347658E-4</v>
      </c>
      <c r="K89" s="9"/>
      <c r="L89" s="9">
        <f ca="1">L88-O89*Prices!C89</f>
        <v>0.75904505824545643</v>
      </c>
      <c r="M89" s="1">
        <f t="shared" ca="1" si="16"/>
        <v>1.2002359412478895E-2</v>
      </c>
      <c r="N89" s="9">
        <f ca="1">IF(Prices!D88&gt;OFFSET(Prices!D88,-$N$3,0),1,IF(Prices!D88&lt;OFFSET(Prices!D88,-$N$3,0),-1,0))</f>
        <v>1</v>
      </c>
      <c r="O89" s="1">
        <f ca="1">IF(N89=1,O$3*L88/Prices!C88,O$3*M88*N89)</f>
        <v>6.7268567171117574E-4</v>
      </c>
      <c r="P89" s="14"/>
      <c r="Q89" s="9">
        <f ca="1">Q88-T89*Prices!C89</f>
        <v>0.87877310199326031</v>
      </c>
      <c r="R89" s="1">
        <f t="shared" ca="1" si="17"/>
        <v>1.0981564113057259E-2</v>
      </c>
      <c r="S89" s="9">
        <f ca="1">IF(Prices!C88&lt;OFFSET(Prices!C88,-S$3,0),1,IF(Prices!C88&gt;OFFSET(Prices!C88,-S$3,0),-1,0))</f>
        <v>-1</v>
      </c>
      <c r="T89" s="1">
        <f ca="1">IF(S89=1,T$3*Q88/Prices!C88,T$3*R88*S89)</f>
        <v>-2.2411355332769916E-4</v>
      </c>
      <c r="V89" s="9"/>
      <c r="W89" s="1"/>
      <c r="X89" s="1"/>
      <c r="Y89" s="1"/>
      <c r="Z89" s="1"/>
      <c r="AA89" s="1"/>
      <c r="AB89" s="1"/>
      <c r="AC89" s="1"/>
      <c r="AD89" s="1"/>
      <c r="AE89" s="16"/>
    </row>
    <row r="90" spans="1:31" x14ac:dyDescent="0.2">
      <c r="A90" s="4">
        <v>33632</v>
      </c>
      <c r="B90" s="9">
        <f ca="1">Prices!C89*(1+J90/(50*(ABS(O90)+ABS(T90)+0.0001)))</f>
        <v>123.27290391346946</v>
      </c>
      <c r="C90" s="13">
        <f t="shared" ca="1" si="12"/>
        <v>-1</v>
      </c>
      <c r="D90" s="9">
        <f ca="1">D89+C90*(Prices!C90-Prices!C89)/Prices!C89</f>
        <v>2.7071905842695282E-2</v>
      </c>
      <c r="E90" s="9">
        <f t="shared" ca="1" si="13"/>
        <v>7.8658367475257784E-3</v>
      </c>
      <c r="F90" s="9">
        <f t="shared" ca="1" si="14"/>
        <v>3.493774259022106E-2</v>
      </c>
      <c r="G90" s="13">
        <f ca="1">IF((Prices!C90-Prices!C89)*C90&gt;0,1,0)</f>
        <v>1</v>
      </c>
      <c r="H90" s="9">
        <f>ABS(Prices!C90-Prices!C89)/Prices!C89</f>
        <v>1.3532876930425228E-3</v>
      </c>
      <c r="I90" s="13"/>
      <c r="J90" s="1">
        <f t="shared" ca="1" si="15"/>
        <v>-1.4198672235090346E-3</v>
      </c>
      <c r="K90" s="9"/>
      <c r="L90" s="9">
        <f ca="1">L89-O90*Prices!C90</f>
        <v>0.90961465707500411</v>
      </c>
      <c r="M90" s="1">
        <f t="shared" ca="1" si="16"/>
        <v>1.0802123471231006E-2</v>
      </c>
      <c r="N90" s="9">
        <f ca="1">IF(Prices!D89&gt;OFFSET(Prices!D89,-$N$3,0),1,IF(Prices!D89&lt;OFFSET(Prices!D89,-$N$3,0),-1,0))</f>
        <v>-1</v>
      </c>
      <c r="O90" s="1">
        <f ca="1">IF(N90=1,O$3*L89/Prices!C89,O$3*M89*N90)</f>
        <v>-1.2002359412478895E-3</v>
      </c>
      <c r="P90" s="14"/>
      <c r="Q90" s="9">
        <f ca="1">Q89-T90*Prices!C90</f>
        <v>0.90632584635292102</v>
      </c>
      <c r="R90" s="1">
        <f t="shared" ca="1" si="17"/>
        <v>1.0761932830796114E-2</v>
      </c>
      <c r="S90" s="9">
        <f ca="1">IF(Prices!C89&lt;OFFSET(Prices!C89,-S$3,0),1,IF(Prices!C89&gt;OFFSET(Prices!C89,-S$3,0),-1,0))</f>
        <v>-1</v>
      </c>
      <c r="T90" s="1">
        <f ca="1">IF(S90=1,T$3*Q89/Prices!C89,T$3*R89*S90)</f>
        <v>-2.1963128226114517E-4</v>
      </c>
      <c r="V90" s="9"/>
      <c r="W90" s="1"/>
      <c r="X90" s="1"/>
      <c r="Y90" s="1"/>
      <c r="Z90" s="1"/>
      <c r="AA90" s="1"/>
      <c r="AB90" s="1"/>
      <c r="AC90" s="1"/>
      <c r="AD90" s="1"/>
      <c r="AE90" s="16"/>
    </row>
    <row r="91" spans="1:31" x14ac:dyDescent="0.2">
      <c r="A91" s="4">
        <v>33633</v>
      </c>
      <c r="B91" s="9">
        <f ca="1">Prices!C90*(1+J91/(50*(ABS(O91)+ABS(T91)+0.0001)))</f>
        <v>126.67961724769158</v>
      </c>
      <c r="C91" s="13">
        <f t="shared" ca="1" si="12"/>
        <v>1</v>
      </c>
      <c r="D91" s="9">
        <f ca="1">D90+C91*(Prices!C91-Prices!C90)/Prices!C90</f>
        <v>3.1456122662145238E-2</v>
      </c>
      <c r="E91" s="9">
        <f t="shared" ca="1" si="13"/>
        <v>3.4816199280758228E-3</v>
      </c>
      <c r="F91" s="9">
        <f t="shared" ca="1" si="14"/>
        <v>3.493774259022106E-2</v>
      </c>
      <c r="G91" s="13">
        <f ca="1">IF((Prices!C91-Prices!C90)*C91&gt;0,1,0)</f>
        <v>1</v>
      </c>
      <c r="H91" s="9">
        <f>ABS(Prices!C91-Prices!C90)/Prices!C90</f>
        <v>4.3842168194499574E-3</v>
      </c>
      <c r="I91" s="13"/>
      <c r="J91" s="1">
        <f t="shared" ca="1" si="15"/>
        <v>5.0984277588707024E-4</v>
      </c>
      <c r="K91" s="9"/>
      <c r="L91" s="9">
        <f ca="1">L90-O91*Prices!C91</f>
        <v>0.81825439657962706</v>
      </c>
      <c r="M91" s="1">
        <f t="shared" ca="1" si="16"/>
        <v>1.1527204903733998E-2</v>
      </c>
      <c r="N91" s="9">
        <f ca="1">IF(Prices!D90&gt;OFFSET(Prices!D90,-$N$3,0),1,IF(Prices!D90&lt;OFFSET(Prices!D90,-$N$3,0),-1,0))</f>
        <v>1</v>
      </c>
      <c r="O91" s="1">
        <f ca="1">IF(N91=1,O$3*L90/Prices!C90,O$3*M90*N91)</f>
        <v>7.2508143250299255E-4</v>
      </c>
      <c r="P91" s="14"/>
      <c r="Q91" s="9">
        <f ca="1">Q90-T91*Prices!C91</f>
        <v>0.93344591708652724</v>
      </c>
      <c r="R91" s="1">
        <f t="shared" ca="1" si="17"/>
        <v>1.0546694174180192E-2</v>
      </c>
      <c r="S91" s="9">
        <f ca="1">IF(Prices!C90&lt;OFFSET(Prices!C90,-S$3,0),1,IF(Prices!C90&gt;OFFSET(Prices!C90,-S$3,0),-1,0))</f>
        <v>-1</v>
      </c>
      <c r="T91" s="1">
        <f ca="1">IF(S91=1,T$3*Q90/Prices!C90,T$3*R90*S91)</f>
        <v>-2.1523865661592228E-4</v>
      </c>
      <c r="V91" s="9"/>
      <c r="W91" s="1"/>
      <c r="X91" s="1"/>
      <c r="Y91" s="1"/>
      <c r="Z91" s="1"/>
      <c r="AA91" s="1"/>
      <c r="AB91" s="1"/>
      <c r="AC91" s="1"/>
      <c r="AD91" s="1"/>
      <c r="AE91" s="16"/>
    </row>
    <row r="92" spans="1:31" x14ac:dyDescent="0.2">
      <c r="A92" s="4">
        <v>33634</v>
      </c>
      <c r="B92" s="9">
        <f ca="1">Prices!C91*(1+J92/(50*(ABS(O92)+ABS(T92)+0.0001)))</f>
        <v>127.15058515794775</v>
      </c>
      <c r="C92" s="13">
        <f t="shared" ca="1" si="12"/>
        <v>1</v>
      </c>
      <c r="D92" s="9">
        <f ca="1">D91+C92*(Prices!C92-Prices!C91)/Prices!C91</f>
        <v>2.7884694090716644E-2</v>
      </c>
      <c r="E92" s="9">
        <f t="shared" ca="1" si="13"/>
        <v>7.0530484995044163E-3</v>
      </c>
      <c r="F92" s="9">
        <f t="shared" ca="1" si="14"/>
        <v>3.493774259022106E-2</v>
      </c>
      <c r="G92" s="13">
        <f ca="1">IF((Prices!C92-Prices!C91)*C92&gt;0,1,0)</f>
        <v>0</v>
      </c>
      <c r="H92" s="9">
        <f>ABS(Prices!C92-Prices!C91)/Prices!C91</f>
        <v>3.5714285714285939E-3</v>
      </c>
      <c r="I92" s="13"/>
      <c r="J92" s="1">
        <f t="shared" ca="1" si="15"/>
        <v>4.3847436777006853E-4</v>
      </c>
      <c r="K92" s="9"/>
      <c r="L92" s="9">
        <f ca="1">L91-O92*Prices!C92</f>
        <v>0.73672119063472852</v>
      </c>
      <c r="M92" s="1">
        <f t="shared" ca="1" si="16"/>
        <v>1.2176613154987671E-2</v>
      </c>
      <c r="N92" s="9">
        <f ca="1">IF(Prices!D91&gt;OFFSET(Prices!D91,-$N$3,0),1,IF(Prices!D91&lt;OFFSET(Prices!D91,-$N$3,0),-1,0))</f>
        <v>1</v>
      </c>
      <c r="O92" s="1">
        <f ca="1">IF(N92=1,O$3*L91/Prices!C91,O$3*M91*N92)</f>
        <v>6.4940825125367235E-4</v>
      </c>
      <c r="P92" s="14"/>
      <c r="Q92" s="9">
        <f ca="1">Q91-T92*Prices!C92</f>
        <v>0.95992866615789374</v>
      </c>
      <c r="R92" s="1">
        <f t="shared" ca="1" si="17"/>
        <v>1.0335760290696588E-2</v>
      </c>
      <c r="S92" s="9">
        <f ca="1">IF(Prices!C91&lt;OFFSET(Prices!C91,-S$3,0),1,IF(Prices!C91&gt;OFFSET(Prices!C91,-S$3,0),-1,0))</f>
        <v>-1</v>
      </c>
      <c r="T92" s="1">
        <f ca="1">IF(S92=1,T$3*Q91/Prices!C91,T$3*R91*S92)</f>
        <v>-2.1093388348360383E-4</v>
      </c>
      <c r="V92" s="9"/>
      <c r="W92" s="1"/>
      <c r="X92" s="1"/>
      <c r="Y92" s="1"/>
      <c r="Z92" s="1"/>
      <c r="AA92" s="1"/>
      <c r="AB92" s="1"/>
      <c r="AC92" s="1"/>
      <c r="AD92" s="1"/>
      <c r="AE92" s="16"/>
    </row>
    <row r="93" spans="1:31" x14ac:dyDescent="0.2">
      <c r="A93" s="4">
        <v>33637</v>
      </c>
      <c r="B93" s="9">
        <f ca="1">Prices!C92*(1+J93/(50*(ABS(O93)+ABS(T93)+0.0001)))</f>
        <v>126.61812483539036</v>
      </c>
      <c r="C93" s="13">
        <f t="shared" ca="1" si="12"/>
        <v>1</v>
      </c>
      <c r="D93" s="9">
        <f ca="1">D92+C93*(Prices!C93-Prices!C92)/Prices!C92</f>
        <v>3.1070675771322026E-2</v>
      </c>
      <c r="E93" s="9">
        <f t="shared" ca="1" si="13"/>
        <v>3.8670668188990343E-3</v>
      </c>
      <c r="F93" s="9">
        <f t="shared" ca="1" si="14"/>
        <v>3.493774259022106E-2</v>
      </c>
      <c r="G93" s="13">
        <f ca="1">IF((Prices!C93-Prices!C92)*C93&gt;0,1,0)</f>
        <v>1</v>
      </c>
      <c r="H93" s="9">
        <f>ABS(Prices!C93-Prices!C92)/Prices!C92</f>
        <v>3.185981680605382E-3</v>
      </c>
      <c r="I93" s="13"/>
      <c r="J93" s="1">
        <f t="shared" ca="1" si="15"/>
        <v>3.8007984845506756E-4</v>
      </c>
      <c r="K93" s="9"/>
      <c r="L93" s="9">
        <f ca="1">L92-O93*Prices!C93</f>
        <v>0.6628143535495481</v>
      </c>
      <c r="M93" s="1">
        <f t="shared" ca="1" si="16"/>
        <v>1.2763408209256671E-2</v>
      </c>
      <c r="N93" s="9">
        <f ca="1">IF(Prices!D92&gt;OFFSET(Prices!D92,-$N$3,0),1,IF(Prices!D92&lt;OFFSET(Prices!D92,-$N$3,0),-1,0))</f>
        <v>1</v>
      </c>
      <c r="O93" s="1">
        <f ca="1">IF(N93=1,O$3*L92/Prices!C92,O$3*M92*N93)</f>
        <v>5.8679505426899932E-4</v>
      </c>
      <c r="P93" s="14"/>
      <c r="Q93" s="9">
        <f ca="1">Q92-T93*Prices!C93</f>
        <v>0.98596444633015845</v>
      </c>
      <c r="R93" s="1">
        <f t="shared" ca="1" si="17"/>
        <v>1.0129045084882656E-2</v>
      </c>
      <c r="S93" s="9">
        <f ca="1">IF(Prices!C92&lt;OFFSET(Prices!C92,-S$3,0),1,IF(Prices!C92&gt;OFFSET(Prices!C92,-S$3,0),-1,0))</f>
        <v>-1</v>
      </c>
      <c r="T93" s="1">
        <f ca="1">IF(S93=1,T$3*Q92/Prices!C92,T$3*R92*S93)</f>
        <v>-2.0671520581393176E-4</v>
      </c>
      <c r="V93" s="9"/>
      <c r="W93" s="1"/>
      <c r="X93" s="1"/>
      <c r="Y93" s="1"/>
      <c r="Z93" s="1"/>
      <c r="AA93" s="1"/>
      <c r="AB93" s="1"/>
      <c r="AC93" s="1"/>
      <c r="AD93" s="1"/>
      <c r="AE93" s="16"/>
    </row>
    <row r="94" spans="1:31" x14ac:dyDescent="0.2">
      <c r="A94" s="4">
        <v>33638</v>
      </c>
      <c r="B94" s="9">
        <f ca="1">Prices!C93*(1+J94/(50*(ABS(O94)+ABS(T94)+0.0001)))</f>
        <v>126.93370545576276</v>
      </c>
      <c r="C94" s="13">
        <f t="shared" ca="1" si="12"/>
        <v>1</v>
      </c>
      <c r="D94" s="9">
        <f ca="1">D93+C94*(Prices!C94-Prices!C93)/Prices!C93</f>
        <v>3.2658607490258132E-2</v>
      </c>
      <c r="E94" s="9">
        <f t="shared" ca="1" si="13"/>
        <v>2.2791350999629284E-3</v>
      </c>
      <c r="F94" s="9">
        <f t="shared" ca="1" si="14"/>
        <v>3.493774259022106E-2</v>
      </c>
      <c r="G94" s="13">
        <f ca="1">IF((Prices!C94-Prices!C93)*C94&gt;0,1,0)</f>
        <v>1</v>
      </c>
      <c r="H94" s="9">
        <f>ABS(Prices!C94-Prices!C93)/Prices!C93</f>
        <v>1.5879317189361082E-3</v>
      </c>
      <c r="I94" s="13"/>
      <c r="J94" s="1">
        <f t="shared" ca="1" si="15"/>
        <v>3.2367106618606909E-4</v>
      </c>
      <c r="K94" s="9"/>
      <c r="L94" s="9">
        <f ca="1">L93-O94*Prices!C94</f>
        <v>0.59642766780101653</v>
      </c>
      <c r="M94" s="1">
        <f t="shared" ca="1" si="16"/>
        <v>1.3289660177140394E-2</v>
      </c>
      <c r="N94" s="9">
        <f ca="1">IF(Prices!D93&gt;OFFSET(Prices!D93,-$N$3,0),1,IF(Prices!D93&lt;OFFSET(Prices!D93,-$N$3,0),-1,0))</f>
        <v>1</v>
      </c>
      <c r="O94" s="1">
        <f ca="1">IF(N94=1,O$3*L93/Prices!C93,O$3*M93*N94)</f>
        <v>5.2625196788372221E-4</v>
      </c>
      <c r="P94" s="14"/>
      <c r="Q94" s="9">
        <f ca="1">Q93-T94*Prices!C94</f>
        <v>1.0115200270793174</v>
      </c>
      <c r="R94" s="1">
        <f t="shared" ca="1" si="17"/>
        <v>9.9264641831850031E-3</v>
      </c>
      <c r="S94" s="9">
        <f ca="1">IF(Prices!C93&lt;OFFSET(Prices!C93,-S$3,0),1,IF(Prices!C93&gt;OFFSET(Prices!C93,-S$3,0),-1,0))</f>
        <v>-1</v>
      </c>
      <c r="T94" s="1">
        <f ca="1">IF(S94=1,T$3*Q93/Prices!C93,T$3*R93*S94)</f>
        <v>-2.0258090169765312E-4</v>
      </c>
      <c r="V94" s="9"/>
      <c r="W94" s="1"/>
      <c r="X94" s="1"/>
      <c r="Y94" s="1"/>
      <c r="Z94" s="1"/>
      <c r="AA94" s="1"/>
      <c r="AB94" s="1"/>
      <c r="AC94" s="1"/>
      <c r="AD94" s="1"/>
      <c r="AE94" s="16"/>
    </row>
    <row r="95" spans="1:31" x14ac:dyDescent="0.2">
      <c r="A95" s="4">
        <v>33639</v>
      </c>
      <c r="B95" s="9">
        <f ca="1">Prices!C94*(1+J95/(50*(ABS(O95)+ABS(T95)+0.0001)))</f>
        <v>123.78202348903031</v>
      </c>
      <c r="C95" s="13">
        <f t="shared" ca="1" si="12"/>
        <v>-1</v>
      </c>
      <c r="D95" s="9">
        <f ca="1">D94+C95*(Prices!C95-Prices!C94)/Prices!C94</f>
        <v>3.5195270193389382E-2</v>
      </c>
      <c r="E95" s="9">
        <f t="shared" ca="1" si="13"/>
        <v>0</v>
      </c>
      <c r="F95" s="9">
        <f t="shared" ca="1" si="14"/>
        <v>3.5195270193389382E-2</v>
      </c>
      <c r="G95" s="13">
        <f ca="1">IF((Prices!C95-Prices!C94)*C95&gt;0,1,0)</f>
        <v>1</v>
      </c>
      <c r="H95" s="9">
        <f>ABS(Prices!C95-Prices!C94)/Prices!C94</f>
        <v>2.5366627031312514E-3</v>
      </c>
      <c r="I95" s="13"/>
      <c r="J95" s="1">
        <f t="shared" ca="1" si="15"/>
        <v>-1.5274953013777394E-3</v>
      </c>
      <c r="K95" s="9"/>
      <c r="L95" s="9">
        <f ca="1">L94-O95*Prices!C95</f>
        <v>0.76365146180997412</v>
      </c>
      <c r="M95" s="1">
        <f t="shared" ca="1" si="16"/>
        <v>1.1960694159426355E-2</v>
      </c>
      <c r="N95" s="9">
        <f ca="1">IF(Prices!D94&gt;OFFSET(Prices!D94,-$N$3,0),1,IF(Prices!D94&lt;OFFSET(Prices!D94,-$N$3,0),-1,0))</f>
        <v>-1</v>
      </c>
      <c r="O95" s="1">
        <f ca="1">IF(N95=1,O$3*L94/Prices!C94,O$3*M94*N95)</f>
        <v>-1.3289660177140394E-3</v>
      </c>
      <c r="P95" s="14"/>
      <c r="Q95" s="9">
        <f ca="1">Q94-T95*Prices!C95</f>
        <v>1.0365009668427208</v>
      </c>
      <c r="R95" s="1">
        <f t="shared" ca="1" si="17"/>
        <v>9.7279348995213035E-3</v>
      </c>
      <c r="S95" s="9">
        <f ca="1">IF(Prices!C94&lt;OFFSET(Prices!C94,-S$3,0),1,IF(Prices!C94&gt;OFFSET(Prices!C94,-S$3,0),-1,0))</f>
        <v>-1</v>
      </c>
      <c r="T95" s="1">
        <f ca="1">IF(S95=1,T$3*Q94/Prices!C94,T$3*R94*S95)</f>
        <v>-1.9852928366370006E-4</v>
      </c>
      <c r="V95" s="9"/>
      <c r="W95" s="1"/>
      <c r="X95" s="1"/>
      <c r="Y95" s="1"/>
      <c r="Z95" s="1"/>
      <c r="AA95" s="1"/>
      <c r="AB95" s="1"/>
      <c r="AC95" s="1"/>
      <c r="AD95" s="1"/>
      <c r="AE95" s="16"/>
    </row>
    <row r="96" spans="1:31" x14ac:dyDescent="0.2">
      <c r="A96" s="4">
        <v>33640</v>
      </c>
      <c r="B96" s="9">
        <f ca="1">Prices!C95*(1+J96/(50*(ABS(O96)+ABS(T96)+0.0001)))</f>
        <v>124.05330223840099</v>
      </c>
      <c r="C96" s="13">
        <f t="shared" ca="1" si="12"/>
        <v>-1</v>
      </c>
      <c r="D96" s="9">
        <f ca="1">D95+C96*(Prices!C96-Prices!C95)/Prices!C95</f>
        <v>3.6625771663626946E-2</v>
      </c>
      <c r="E96" s="9">
        <f t="shared" ca="1" si="13"/>
        <v>0</v>
      </c>
      <c r="F96" s="9">
        <f t="shared" ca="1" si="14"/>
        <v>3.6625771663626946E-2</v>
      </c>
      <c r="G96" s="13">
        <f ca="1">IF((Prices!C96-Prices!C95)*C96&gt;0,1,0)</f>
        <v>1</v>
      </c>
      <c r="H96" s="9">
        <f>ABS(Prices!C96-Prices!C95)/Prices!C95</f>
        <v>1.4305014702375636E-3</v>
      </c>
      <c r="I96" s="13"/>
      <c r="J96" s="1">
        <f t="shared" ca="1" si="15"/>
        <v>-1.0313231762791655E-3</v>
      </c>
      <c r="K96" s="9"/>
      <c r="L96" s="9">
        <f ca="1">L95-O96*Prices!C96</f>
        <v>0.91393758392316626</v>
      </c>
      <c r="M96" s="1">
        <f t="shared" ca="1" si="16"/>
        <v>1.0764624743483719E-2</v>
      </c>
      <c r="N96" s="9">
        <f ca="1">IF(Prices!D95&gt;OFFSET(Prices!D95,-$N$3,0),1,IF(Prices!D95&lt;OFFSET(Prices!D95,-$N$3,0),-1,0))</f>
        <v>-1</v>
      </c>
      <c r="O96" s="1">
        <f ca="1">IF(N96=1,O$3*L95/Prices!C95,O$3*M95*N96)</f>
        <v>-1.1960694159426355E-3</v>
      </c>
      <c r="P96" s="14"/>
      <c r="Q96" s="9">
        <f ca="1">Q95-T96*Prices!C96</f>
        <v>1.0158006018290058</v>
      </c>
      <c r="R96" s="1">
        <f t="shared" ca="1" si="17"/>
        <v>9.8926811391847735E-3</v>
      </c>
      <c r="S96" s="9">
        <f ca="1">IF(Prices!C95&lt;OFFSET(Prices!C95,-S$3,0),1,IF(Prices!C95&gt;OFFSET(Prices!C95,-S$3,0),-1,0))</f>
        <v>1</v>
      </c>
      <c r="T96" s="1">
        <f ca="1">IF(S96=1,T$3*Q95/Prices!C95,T$3*R95*S96)</f>
        <v>1.6474623966346988E-4</v>
      </c>
      <c r="V96" s="9"/>
      <c r="W96" s="1"/>
      <c r="X96" s="1"/>
      <c r="Y96" s="1"/>
      <c r="Z96" s="1"/>
      <c r="AA96" s="1"/>
      <c r="AB96" s="1"/>
      <c r="AC96" s="1"/>
      <c r="AD96" s="1"/>
      <c r="AE96" s="16"/>
    </row>
    <row r="97" spans="1:31" x14ac:dyDescent="0.2">
      <c r="A97" s="4">
        <v>33641</v>
      </c>
      <c r="B97" s="9">
        <f ca="1">Prices!C96*(1+J97/(50*(ABS(O97)+ABS(T97)+0.0001)))</f>
        <v>123.31985458529113</v>
      </c>
      <c r="C97" s="13">
        <f t="shared" ca="1" si="12"/>
        <v>-1</v>
      </c>
      <c r="D97" s="9">
        <f ca="1">D96+C97*(Prices!C97-Prices!C96)/Prices!C96</f>
        <v>4.0047976200037666E-2</v>
      </c>
      <c r="E97" s="9">
        <f t="shared" ca="1" si="13"/>
        <v>0</v>
      </c>
      <c r="F97" s="9">
        <f t="shared" ca="1" si="14"/>
        <v>4.0047976200037666E-2</v>
      </c>
      <c r="G97" s="13">
        <f ca="1">IF((Prices!C97-Prices!C96)*C97&gt;0,1,0)</f>
        <v>1</v>
      </c>
      <c r="H97" s="9">
        <f>ABS(Prices!C97-Prices!C96)/Prices!C96</f>
        <v>3.4222045364107187E-3</v>
      </c>
      <c r="I97" s="13"/>
      <c r="J97" s="1">
        <f t="shared" ca="1" si="15"/>
        <v>-1.2743160971320675E-3</v>
      </c>
      <c r="K97" s="9"/>
      <c r="L97" s="9">
        <f ca="1">L96-O97*Prices!C97</f>
        <v>1.0487322149610694</v>
      </c>
      <c r="M97" s="1">
        <f t="shared" ca="1" si="16"/>
        <v>9.6881622691353479E-3</v>
      </c>
      <c r="N97" s="9">
        <f ca="1">IF(Prices!D96&gt;OFFSET(Prices!D96,-$N$3,0),1,IF(Prices!D96&lt;OFFSET(Prices!D96,-$N$3,0),-1,0))</f>
        <v>-1</v>
      </c>
      <c r="O97" s="1">
        <f ca="1">IF(N97=1,O$3*L96/Prices!C96,O$3*M96*N97)</f>
        <v>-1.076462474348372E-3</v>
      </c>
      <c r="P97" s="14"/>
      <c r="Q97" s="9">
        <f ca="1">Q96-T97*Prices!C97</f>
        <v>1.0405758324739802</v>
      </c>
      <c r="R97" s="1">
        <f t="shared" ca="1" si="17"/>
        <v>9.6948275164010778E-3</v>
      </c>
      <c r="S97" s="9">
        <f ca="1">IF(Prices!C96&lt;OFFSET(Prices!C96,-S$3,0),1,IF(Prices!C96&gt;OFFSET(Prices!C96,-S$3,0),-1,0))</f>
        <v>-1</v>
      </c>
      <c r="T97" s="1">
        <f ca="1">IF(S97=1,T$3*Q96/Prices!C96,T$3*R96*S97)</f>
        <v>-1.9785362278369547E-4</v>
      </c>
      <c r="V97" s="9"/>
      <c r="W97" s="1"/>
      <c r="X97" s="1"/>
      <c r="Y97" s="1"/>
      <c r="Z97" s="1"/>
      <c r="AA97" s="1"/>
      <c r="AB97" s="1"/>
      <c r="AC97" s="1"/>
      <c r="AD97" s="1"/>
      <c r="AE97" s="16"/>
    </row>
    <row r="98" spans="1:31" x14ac:dyDescent="0.2">
      <c r="A98" s="4">
        <v>33644</v>
      </c>
      <c r="B98" s="9">
        <f ca="1">Prices!C97*(1+J98/(50*(ABS(O98)+ABS(T98)+0.0001)))</f>
        <v>123.59243139212617</v>
      </c>
      <c r="C98" s="13">
        <f t="shared" ca="1" si="12"/>
        <v>-1</v>
      </c>
      <c r="D98" s="9">
        <f ca="1">D97+C98*(Prices!C98-Prices!C97)/Prices!C97</f>
        <v>2.8228777988889255E-2</v>
      </c>
      <c r="E98" s="9">
        <f t="shared" ca="1" si="13"/>
        <v>1.1819198211148411E-2</v>
      </c>
      <c r="F98" s="9">
        <f t="shared" ca="1" si="14"/>
        <v>4.0047976200037666E-2</v>
      </c>
      <c r="G98" s="13">
        <f ca="1">IF((Prices!C98-Prices!C97)*C98&gt;0,1,0)</f>
        <v>0</v>
      </c>
      <c r="H98" s="9">
        <f>ABS(Prices!C98-Prices!C97)/Prices!C97</f>
        <v>1.1819198211148411E-2</v>
      </c>
      <c r="I98" s="13"/>
      <c r="J98" s="1">
        <f t="shared" ca="1" si="15"/>
        <v>-8.0261660505217397E-4</v>
      </c>
      <c r="K98" s="9"/>
      <c r="L98" s="9">
        <f ca="1">L97-O98*Prices!C98</f>
        <v>1.1714812309110143</v>
      </c>
      <c r="M98" s="1">
        <f t="shared" ca="1" si="16"/>
        <v>8.7193460422218122E-3</v>
      </c>
      <c r="N98" s="9">
        <f ca="1">IF(Prices!D97&gt;OFFSET(Prices!D97,-$N$3,0),1,IF(Prices!D97&lt;OFFSET(Prices!D97,-$N$3,0),-1,0))</f>
        <v>-1</v>
      </c>
      <c r="O98" s="1">
        <f ca="1">IF(N98=1,O$3*L97/Prices!C97,O$3*M97*N98)</f>
        <v>-9.6881622691353479E-4</v>
      </c>
      <c r="P98" s="14"/>
      <c r="Q98" s="9">
        <f ca="1">Q97-T98*Prices!C98</f>
        <v>1.0195183403841459</v>
      </c>
      <c r="R98" s="1">
        <f t="shared" ca="1" si="17"/>
        <v>9.8610271382624393E-3</v>
      </c>
      <c r="S98" s="9">
        <f ca="1">IF(Prices!C97&lt;OFFSET(Prices!C97,-S$3,0),1,IF(Prices!C97&gt;OFFSET(Prices!C97,-S$3,0),-1,0))</f>
        <v>1</v>
      </c>
      <c r="T98" s="1">
        <f ca="1">IF(S98=1,T$3*Q97/Prices!C97,T$3*R97*S98)</f>
        <v>1.6619962186136084E-4</v>
      </c>
      <c r="V98" s="9"/>
      <c r="W98" s="1"/>
      <c r="X98" s="1"/>
      <c r="Y98" s="1"/>
      <c r="Z98" s="1"/>
      <c r="AA98" s="1"/>
      <c r="AB98" s="1"/>
      <c r="AC98" s="1"/>
      <c r="AD98" s="1"/>
      <c r="AE98" s="16"/>
    </row>
    <row r="99" spans="1:31" x14ac:dyDescent="0.2">
      <c r="A99" s="4">
        <v>33645</v>
      </c>
      <c r="B99" s="9">
        <f ca="1">Prices!C98*(1+J99/(50*(ABS(O99)+ABS(T99)+0.0001)))</f>
        <v>128.20856040360778</v>
      </c>
      <c r="C99" s="13">
        <f t="shared" ca="1" si="12"/>
        <v>1</v>
      </c>
      <c r="D99" s="9">
        <f ca="1">D98+C99*(Prices!C99-Prices!C98)/Prices!C98</f>
        <v>3.0044089748952427E-2</v>
      </c>
      <c r="E99" s="9">
        <f t="shared" ca="1" si="13"/>
        <v>1.0003886451085239E-2</v>
      </c>
      <c r="F99" s="9">
        <f t="shared" ca="1" si="14"/>
        <v>4.0047976200037666E-2</v>
      </c>
      <c r="G99" s="13">
        <f ca="1">IF((Prices!C99-Prices!C98)*C99&gt;0,1,0)</f>
        <v>1</v>
      </c>
      <c r="H99" s="9">
        <f>ABS(Prices!C99-Prices!C98)/Prices!C98</f>
        <v>1.8153117600631726E-3</v>
      </c>
      <c r="I99" s="13"/>
      <c r="J99" s="1">
        <f t="shared" ca="1" si="15"/>
        <v>7.2738974208953766E-4</v>
      </c>
      <c r="K99" s="9"/>
      <c r="L99" s="9">
        <f ca="1">L98-O99*Prices!C99</f>
        <v>1.0541204474543964</v>
      </c>
      <c r="M99" s="1">
        <f t="shared" ca="1" si="16"/>
        <v>9.6439563270765988E-3</v>
      </c>
      <c r="N99" s="9">
        <f ca="1">IF(Prices!D98&gt;OFFSET(Prices!D98,-$N$3,0),1,IF(Prices!D98&lt;OFFSET(Prices!D98,-$N$3,0),-1,0))</f>
        <v>1</v>
      </c>
      <c r="O99" s="1">
        <f ca="1">IF(N99=1,O$3*L98/Prices!C98,O$3*M98*N99)</f>
        <v>9.2461028485478643E-4</v>
      </c>
      <c r="P99" s="14"/>
      <c r="Q99" s="9">
        <f ca="1">Q98-T99*Prices!C99</f>
        <v>1.044551543877339</v>
      </c>
      <c r="R99" s="1">
        <f t="shared" ca="1" si="17"/>
        <v>9.6638065954971902E-3</v>
      </c>
      <c r="S99" s="9">
        <f ca="1">IF(Prices!C98&lt;OFFSET(Prices!C98,-S$3,0),1,IF(Prices!C98&gt;OFFSET(Prices!C98,-S$3,0),-1,0))</f>
        <v>-1</v>
      </c>
      <c r="T99" s="1">
        <f ca="1">IF(S99=1,T$3*Q98/Prices!C98,T$3*R98*S99)</f>
        <v>-1.972205427652488E-4</v>
      </c>
      <c r="V99" s="9"/>
      <c r="W99" s="1"/>
      <c r="X99" s="1"/>
      <c r="Y99" s="1"/>
      <c r="Z99" s="1"/>
      <c r="AA99" s="1"/>
      <c r="AB99" s="1"/>
      <c r="AC99" s="1"/>
      <c r="AD99" s="1"/>
      <c r="AE99" s="16"/>
    </row>
    <row r="100" spans="1:31" x14ac:dyDescent="0.2">
      <c r="A100" s="4">
        <v>33646</v>
      </c>
      <c r="B100" s="9">
        <f ca="1">Prices!C99*(1+J100/(50*(ABS(O100)+ABS(T100)+0.0001)))</f>
        <v>128.36945730297685</v>
      </c>
      <c r="C100" s="13">
        <f t="shared" ca="1" si="12"/>
        <v>1</v>
      </c>
      <c r="D100" s="9">
        <f ca="1">D99+C100*(Prices!C100-Prices!C99)/Prices!C99</f>
        <v>3.5952858361573553E-2</v>
      </c>
      <c r="E100" s="9">
        <f t="shared" ca="1" si="13"/>
        <v>4.0951178384641129E-3</v>
      </c>
      <c r="F100" s="9">
        <f t="shared" ca="1" si="14"/>
        <v>4.0047976200037666E-2</v>
      </c>
      <c r="G100" s="13">
        <f ca="1">IF((Prices!C100-Prices!C99)*C100&gt;0,1,0)</f>
        <v>1</v>
      </c>
      <c r="H100" s="9">
        <f>ABS(Prices!C100-Prices!C99)/Prices!C99</f>
        <v>5.9087686126211292E-3</v>
      </c>
      <c r="I100" s="13"/>
      <c r="J100" s="1">
        <f t="shared" ca="1" si="15"/>
        <v>6.3719770993547992E-4</v>
      </c>
      <c r="K100" s="9"/>
      <c r="L100" s="9">
        <f ca="1">L99-O100*Prices!C100</f>
        <v>0.94808554732757266</v>
      </c>
      <c r="M100" s="1">
        <f t="shared" ca="1" si="16"/>
        <v>1.0474430168922022E-2</v>
      </c>
      <c r="N100" s="9">
        <f ca="1">IF(Prices!D99&gt;OFFSET(Prices!D99,-$N$3,0),1,IF(Prices!D99&lt;OFFSET(Prices!D99,-$N$3,0),-1,0))</f>
        <v>1</v>
      </c>
      <c r="O100" s="1">
        <f ca="1">IF(N100=1,O$3*L99/Prices!C99,O$3*M99*N100)</f>
        <v>8.3047384184542375E-4</v>
      </c>
      <c r="P100" s="14"/>
      <c r="Q100" s="9">
        <f ca="1">Q99-T100*Prices!C100</f>
        <v>1.0692290403996005</v>
      </c>
      <c r="R100" s="1">
        <f t="shared" ca="1" si="17"/>
        <v>9.4705304635872463E-3</v>
      </c>
      <c r="S100" s="9">
        <f ca="1">IF(Prices!C99&lt;OFFSET(Prices!C99,-S$3,0),1,IF(Prices!C99&gt;OFFSET(Prices!C99,-S$3,0),-1,0))</f>
        <v>-1</v>
      </c>
      <c r="T100" s="1">
        <f ca="1">IF(S100=1,T$3*Q99/Prices!C99,T$3*R99*S100)</f>
        <v>-1.9327613190994381E-4</v>
      </c>
      <c r="V100" s="9"/>
      <c r="W100" s="1"/>
      <c r="X100" s="1"/>
      <c r="Y100" s="1"/>
      <c r="Z100" s="1"/>
      <c r="AA100" s="1"/>
      <c r="AB100" s="1"/>
      <c r="AC100" s="1"/>
      <c r="AD100" s="1"/>
      <c r="AE100" s="16"/>
    </row>
    <row r="101" spans="1:31" x14ac:dyDescent="0.2">
      <c r="A101" s="4">
        <v>33647</v>
      </c>
      <c r="B101" s="9">
        <f ca="1">Prices!C100*(1+J101/(50*(ABS(O101)+ABS(T101)+0.0001)))</f>
        <v>129.04874858197789</v>
      </c>
      <c r="C101" s="13">
        <f t="shared" ca="1" si="12"/>
        <v>1</v>
      </c>
      <c r="D101" s="9">
        <f ca="1">D100+C101*(Prices!C101-Prices!C100)/Prices!C100</f>
        <v>3.5952858361573553E-2</v>
      </c>
      <c r="E101" s="9">
        <f t="shared" ca="1" si="13"/>
        <v>4.0951178384641129E-3</v>
      </c>
      <c r="F101" s="9">
        <f t="shared" ca="1" si="14"/>
        <v>4.0047976200037666E-2</v>
      </c>
      <c r="G101" s="13">
        <f ca="1">IF((Prices!C101-Prices!C100)*C101&gt;0,1,0)</f>
        <v>0</v>
      </c>
      <c r="H101" s="9">
        <f>ABS(Prices!C101-Prices!C100)/Prices!C100</f>
        <v>0</v>
      </c>
      <c r="I101" s="13"/>
      <c r="J101" s="1">
        <f t="shared" ca="1" si="15"/>
        <v>5.5313759508882271E-4</v>
      </c>
      <c r="K101" s="9"/>
      <c r="L101" s="9">
        <f ca="1">L100-O101*Prices!C101</f>
        <v>0.85327699259481538</v>
      </c>
      <c r="M101" s="1">
        <f t="shared" ca="1" si="16"/>
        <v>1.121697837328259E-2</v>
      </c>
      <c r="N101" s="9">
        <f ca="1">IF(Prices!D100&gt;OFFSET(Prices!D100,-$N$3,0),1,IF(Prices!D100&lt;OFFSET(Prices!D100,-$N$3,0),-1,0))</f>
        <v>1</v>
      </c>
      <c r="O101" s="1">
        <f ca="1">IF(N101=1,O$3*L100/Prices!C100,O$3*M100*N101)</f>
        <v>7.4254820436056763E-4</v>
      </c>
      <c r="P101" s="14"/>
      <c r="Q101" s="9">
        <f ca="1">Q100-T101*Prices!C101</f>
        <v>1.0934129869914169</v>
      </c>
      <c r="R101" s="1">
        <f t="shared" ca="1" si="17"/>
        <v>9.2811198543155012E-3</v>
      </c>
      <c r="S101" s="9">
        <f ca="1">IF(Prices!C100&lt;OFFSET(Prices!C100,-S$3,0),1,IF(Prices!C100&gt;OFFSET(Prices!C100,-S$3,0),-1,0))</f>
        <v>-1</v>
      </c>
      <c r="T101" s="1">
        <f ca="1">IF(S101=1,T$3*Q100/Prices!C100,T$3*R100*S101)</f>
        <v>-1.8941060927174492E-4</v>
      </c>
      <c r="V101" s="9"/>
      <c r="W101" s="1"/>
      <c r="X101" s="1"/>
      <c r="Y101" s="1"/>
      <c r="Z101" s="1"/>
      <c r="AA101" s="1"/>
      <c r="AB101" s="1"/>
      <c r="AC101" s="1"/>
      <c r="AD101" s="1"/>
      <c r="AE101" s="16"/>
    </row>
    <row r="102" spans="1:31" x14ac:dyDescent="0.2">
      <c r="A102" s="4">
        <v>33648</v>
      </c>
      <c r="B102" s="9">
        <f ca="1">Prices!C101*(1+J102/(50*(ABS(O102)+ABS(T102)+0.0001)))</f>
        <v>128.97209376396307</v>
      </c>
      <c r="C102" s="13">
        <f t="shared" ca="1" si="12"/>
        <v>1</v>
      </c>
      <c r="D102" s="9">
        <f ca="1">D101+C102*(Prices!C102-Prices!C101)/Prices!C101</f>
        <v>3.7910878411698865E-2</v>
      </c>
      <c r="E102" s="9">
        <f t="shared" ca="1" si="13"/>
        <v>2.1370977883388015E-3</v>
      </c>
      <c r="F102" s="9">
        <f t="shared" ca="1" si="14"/>
        <v>4.0047976200037666E-2</v>
      </c>
      <c r="G102" s="13">
        <f ca="1">IF((Prices!C102-Prices!C101)*C102&gt;0,1,0)</f>
        <v>1</v>
      </c>
      <c r="H102" s="9">
        <f>ABS(Prices!C102-Prices!C101)/Prices!C101</f>
        <v>1.9580200501253132E-3</v>
      </c>
      <c r="I102" s="13"/>
      <c r="J102" s="1">
        <f t="shared" ca="1" si="15"/>
        <v>4.8267098683820082E-4</v>
      </c>
      <c r="K102" s="9"/>
      <c r="L102" s="9">
        <f ca="1">L101-O102*Prices!C102</f>
        <v>0.7677822199893527</v>
      </c>
      <c r="M102" s="1">
        <f t="shared" ca="1" si="16"/>
        <v>1.18852717572071E-2</v>
      </c>
      <c r="N102" s="9">
        <f ca="1">IF(Prices!D101&gt;OFFSET(Prices!D101,-$N$3,0),1,IF(Prices!D101&lt;OFFSET(Prices!D101,-$N$3,0),-1,0))</f>
        <v>1</v>
      </c>
      <c r="O102" s="1">
        <f ca="1">IF(N102=1,O$3*L101/Prices!C101,O$3*M101*N102)</f>
        <v>6.6829338392451081E-4</v>
      </c>
      <c r="P102" s="14"/>
      <c r="Q102" s="9">
        <f ca="1">Q101-T102*Prices!C102</f>
        <v>1.1171596602506686</v>
      </c>
      <c r="R102" s="1">
        <f t="shared" ca="1" si="17"/>
        <v>9.0954974572291913E-3</v>
      </c>
      <c r="S102" s="9">
        <f ca="1">IF(Prices!C101&lt;OFFSET(Prices!C101,-S$3,0),1,IF(Prices!C101&gt;OFFSET(Prices!C101,-S$3,0),-1,0))</f>
        <v>-1</v>
      </c>
      <c r="T102" s="1">
        <f ca="1">IF(S102=1,T$3*Q101/Prices!C101,T$3*R101*S102)</f>
        <v>-1.8562239708631002E-4</v>
      </c>
      <c r="V102" s="9"/>
      <c r="W102" s="1"/>
      <c r="X102" s="1"/>
      <c r="Y102" s="1"/>
      <c r="Z102" s="1"/>
      <c r="AA102" s="1"/>
      <c r="AB102" s="1"/>
      <c r="AC102" s="1"/>
      <c r="AD102" s="1"/>
      <c r="AE102" s="16"/>
    </row>
    <row r="103" spans="1:31" x14ac:dyDescent="0.2">
      <c r="A103" s="4">
        <v>33651</v>
      </c>
      <c r="B103" s="9">
        <f ca="1">Prices!C102*(1+J103/(50*(ABS(O103)+ABS(T103)+0.0001)))</f>
        <v>129.14320535365343</v>
      </c>
      <c r="C103" s="13">
        <f t="shared" ca="1" si="12"/>
        <v>1</v>
      </c>
      <c r="D103" s="9">
        <f ca="1">D102+C103*(Prices!C103-Prices!C102)/Prices!C102</f>
        <v>3.0641277848891025E-2</v>
      </c>
      <c r="E103" s="9">
        <f t="shared" ca="1" si="13"/>
        <v>9.4066983511466411E-3</v>
      </c>
      <c r="F103" s="9">
        <f t="shared" ca="1" si="14"/>
        <v>4.0047976200037666E-2</v>
      </c>
      <c r="G103" s="13">
        <f ca="1">IF((Prices!C103-Prices!C102)*C103&gt;0,1,0)</f>
        <v>0</v>
      </c>
      <c r="H103" s="9">
        <f>ABS(Prices!C103-Prices!C102)/Prices!C102</f>
        <v>7.2696005628078387E-3</v>
      </c>
      <c r="I103" s="13"/>
      <c r="J103" s="1">
        <f t="shared" ca="1" si="15"/>
        <v>4.1824812166707309E-4</v>
      </c>
      <c r="K103" s="9"/>
      <c r="L103" s="9">
        <f ca="1">L102-O103*Prices!C103</f>
        <v>0.69156214499627222</v>
      </c>
      <c r="M103" s="1">
        <f t="shared" ca="1" si="16"/>
        <v>1.2485429828018757E-2</v>
      </c>
      <c r="N103" s="9">
        <f ca="1">IF(Prices!D102&gt;OFFSET(Prices!D102,-$N$3,0),1,IF(Prices!D102&lt;OFFSET(Prices!D102,-$N$3,0),-1,0))</f>
        <v>1</v>
      </c>
      <c r="O103" s="1">
        <f ca="1">IF(N103=1,O$3*L102/Prices!C102,O$3*M102*N103)</f>
        <v>6.0015807081165694E-4</v>
      </c>
      <c r="P103" s="14"/>
      <c r="Q103" s="9">
        <f ca="1">Q102-T103*Prices!C103</f>
        <v>1.1402622237920308</v>
      </c>
      <c r="R103" s="1">
        <f t="shared" ca="1" si="17"/>
        <v>8.913587508084608E-3</v>
      </c>
      <c r="S103" s="9">
        <f ca="1">IF(Prices!C102&lt;OFFSET(Prices!C102,-S$3,0),1,IF(Prices!C102&gt;OFFSET(Prices!C102,-S$3,0),-1,0))</f>
        <v>-1</v>
      </c>
      <c r="T103" s="1">
        <f ca="1">IF(S103=1,T$3*Q102/Prices!C102,T$3*R102*S103)</f>
        <v>-1.8190994914458382E-4</v>
      </c>
      <c r="V103" s="9"/>
      <c r="W103" s="1"/>
      <c r="X103" s="1"/>
      <c r="Y103" s="1"/>
      <c r="Z103" s="1"/>
      <c r="AA103" s="1"/>
      <c r="AB103" s="1"/>
      <c r="AC103" s="1"/>
      <c r="AD103" s="1"/>
      <c r="AE103" s="16"/>
    </row>
    <row r="104" spans="1:31" x14ac:dyDescent="0.2">
      <c r="A104" s="4">
        <v>33652</v>
      </c>
      <c r="B104" s="9">
        <f ca="1">Prices!C103*(1+J104/(50*(ABS(O104)+ABS(T104)+0.0001)))</f>
        <v>128.1306563115777</v>
      </c>
      <c r="C104" s="13">
        <f t="shared" ca="1" si="12"/>
        <v>1</v>
      </c>
      <c r="D104" s="9">
        <f ca="1">D103+C104*(Prices!C104-Prices!C103)/Prices!C103</f>
        <v>3.8515293596922517E-2</v>
      </c>
      <c r="E104" s="9">
        <f t="shared" ca="1" si="13"/>
        <v>1.5326826031151486E-3</v>
      </c>
      <c r="F104" s="9">
        <f t="shared" ca="1" si="14"/>
        <v>4.0047976200037666E-2</v>
      </c>
      <c r="G104" s="13">
        <f ca="1">IF((Prices!C104-Prices!C103)*C104&gt;0,1,0)</f>
        <v>1</v>
      </c>
      <c r="H104" s="9">
        <f>ABS(Prices!C104-Prices!C103)/Prices!C103</f>
        <v>7.874015748031496E-3</v>
      </c>
      <c r="I104" s="13"/>
      <c r="J104" s="1">
        <f t="shared" ca="1" si="15"/>
        <v>3.6626537188261666E-4</v>
      </c>
      <c r="K104" s="9"/>
      <c r="L104" s="9">
        <f ca="1">L103-O104*Prices!C104</f>
        <v>0.62186139337460067</v>
      </c>
      <c r="M104" s="1">
        <f t="shared" ca="1" si="16"/>
        <v>1.3029966950063065E-2</v>
      </c>
      <c r="N104" s="9">
        <f ca="1">IF(Prices!D103&gt;OFFSET(Prices!D103,-$N$3,0),1,IF(Prices!D103&lt;OFFSET(Prices!D103,-$N$3,0),-1,0))</f>
        <v>1</v>
      </c>
      <c r="O104" s="1">
        <f ca="1">IF(N104=1,O$3*L103/Prices!C103,O$3*M103*N104)</f>
        <v>5.4453712204430879E-4</v>
      </c>
      <c r="P104" s="14"/>
      <c r="Q104" s="9">
        <f ca="1">Q103-T104*Prices!C104</f>
        <v>1.1630810078127274</v>
      </c>
      <c r="R104" s="1">
        <f t="shared" ca="1" si="17"/>
        <v>8.7353157579229158E-3</v>
      </c>
      <c r="S104" s="9">
        <f ca="1">IF(Prices!C103&lt;OFFSET(Prices!C103,-S$3,0),1,IF(Prices!C103&gt;OFFSET(Prices!C103,-S$3,0),-1,0))</f>
        <v>-1</v>
      </c>
      <c r="T104" s="1">
        <f ca="1">IF(S104=1,T$3*Q103/Prices!C103,T$3*R103*S104)</f>
        <v>-1.7827175016169215E-4</v>
      </c>
      <c r="V104" s="9"/>
      <c r="W104" s="1"/>
      <c r="X104" s="1"/>
      <c r="Y104" s="1"/>
      <c r="Z104" s="1"/>
      <c r="AA104" s="1"/>
      <c r="AB104" s="1"/>
      <c r="AC104" s="1"/>
      <c r="AD104" s="1"/>
      <c r="AE104" s="16"/>
    </row>
    <row r="105" spans="1:31" x14ac:dyDescent="0.2">
      <c r="A105" s="4">
        <v>33653</v>
      </c>
      <c r="B105" s="9">
        <f ca="1">Prices!C104*(1+J105/(50*(ABS(O105)+ABS(T105)+0.0001)))</f>
        <v>129.04725498001531</v>
      </c>
      <c r="C105" s="13">
        <f t="shared" ca="1" si="12"/>
        <v>1</v>
      </c>
      <c r="D105" s="9">
        <f ca="1">D104+C105*(Prices!C105-Prices!C104)/Prices!C104</f>
        <v>4.1640293596922562E-2</v>
      </c>
      <c r="E105" s="9">
        <f t="shared" ca="1" si="13"/>
        <v>0</v>
      </c>
      <c r="F105" s="9">
        <f t="shared" ca="1" si="14"/>
        <v>4.1640293596922562E-2</v>
      </c>
      <c r="G105" s="13">
        <f ca="1">IF((Prices!C105-Prices!C104)*C105&gt;0,1,0)</f>
        <v>1</v>
      </c>
      <c r="H105" s="9">
        <f>ABS(Prices!C105-Prices!C104)/Prices!C104</f>
        <v>3.1250000000000444E-3</v>
      </c>
      <c r="I105" s="13"/>
      <c r="J105" s="1">
        <f t="shared" ca="1" si="15"/>
        <v>3.1112289841544847E-4</v>
      </c>
      <c r="K105" s="9"/>
      <c r="L105" s="9">
        <f ca="1">L104-O105*Prices!C105</f>
        <v>0.55948092235171099</v>
      </c>
      <c r="M105" s="1">
        <f t="shared" ca="1" si="16"/>
        <v>1.3515796163636972E-2</v>
      </c>
      <c r="N105" s="9">
        <f ca="1">IF(Prices!D104&gt;OFFSET(Prices!D104,-$N$3,0),1,IF(Prices!D104&lt;OFFSET(Prices!D104,-$N$3,0),-1,0))</f>
        <v>1</v>
      </c>
      <c r="O105" s="1">
        <f ca="1">IF(N105=1,O$3*L104/Prices!C104,O$3*M104*N105)</f>
        <v>4.8582921357390678E-4</v>
      </c>
      <c r="P105" s="14"/>
      <c r="Q105" s="9">
        <f ca="1">Q104-T105*Prices!C105</f>
        <v>1.1855132986790735</v>
      </c>
      <c r="R105" s="1">
        <f t="shared" ca="1" si="17"/>
        <v>8.5606094427644573E-3</v>
      </c>
      <c r="S105" s="9">
        <f ca="1">IF(Prices!C104&lt;OFFSET(Prices!C104,-S$3,0),1,IF(Prices!C104&gt;OFFSET(Prices!C104,-S$3,0),-1,0))</f>
        <v>-1</v>
      </c>
      <c r="T105" s="1">
        <f ca="1">IF(S105=1,T$3*Q104/Prices!C104,T$3*R104*S105)</f>
        <v>-1.7470631515845831E-4</v>
      </c>
      <c r="V105" s="9"/>
      <c r="W105" s="1"/>
      <c r="X105" s="1"/>
      <c r="Y105" s="1"/>
      <c r="Z105" s="1"/>
      <c r="AA105" s="1"/>
      <c r="AB105" s="1"/>
      <c r="AC105" s="1"/>
      <c r="AD105" s="1"/>
      <c r="AE105" s="16"/>
    </row>
    <row r="106" spans="1:31" x14ac:dyDescent="0.2">
      <c r="A106" s="4">
        <v>33654</v>
      </c>
      <c r="B106" s="9">
        <f ca="1">Prices!C105*(1+J106/(50*(ABS(O106)+ABS(T106)+0.0001)))</f>
        <v>129.36087948720166</v>
      </c>
      <c r="C106" s="13">
        <f t="shared" ca="1" si="12"/>
        <v>1</v>
      </c>
      <c r="D106" s="9">
        <f ca="1">D105+C106*(Prices!C106-Prices!C105)/Prices!C105</f>
        <v>4.358733409536493E-2</v>
      </c>
      <c r="E106" s="9">
        <f t="shared" ca="1" si="13"/>
        <v>0</v>
      </c>
      <c r="F106" s="9">
        <f t="shared" ca="1" si="14"/>
        <v>4.358733409536493E-2</v>
      </c>
      <c r="G106" s="13">
        <f ca="1">IF((Prices!C106-Prices!C105)*C106&gt;0,1,0)</f>
        <v>1</v>
      </c>
      <c r="H106" s="9">
        <f>ABS(Prices!C106-Prices!C105)/Prices!C105</f>
        <v>1.9470404984423676E-3</v>
      </c>
      <c r="I106" s="13"/>
      <c r="J106" s="1">
        <f t="shared" ca="1" si="15"/>
        <v>2.6452061671457922E-4</v>
      </c>
      <c r="K106" s="9"/>
      <c r="L106" s="9">
        <f ca="1">L105-O106*Prices!C106</f>
        <v>0.50342389691514744</v>
      </c>
      <c r="M106" s="1">
        <f t="shared" ca="1" si="16"/>
        <v>1.3951528969206841E-2</v>
      </c>
      <c r="N106" s="9">
        <f ca="1">IF(Prices!D105&gt;OFFSET(Prices!D105,-$N$3,0),1,IF(Prices!D105&lt;OFFSET(Prices!D105,-$N$3,0),-1,0))</f>
        <v>1</v>
      </c>
      <c r="O106" s="1">
        <f ca="1">IF(N106=1,O$3*L105/Prices!C105,O$3*M105*N106)</f>
        <v>4.3573280556986839E-4</v>
      </c>
      <c r="P106" s="14"/>
      <c r="Q106" s="9">
        <f ca="1">Q105-T106*Prices!C106</f>
        <v>1.2075397467753064</v>
      </c>
      <c r="R106" s="1">
        <f t="shared" ca="1" si="17"/>
        <v>8.3893972539091678E-3</v>
      </c>
      <c r="S106" s="9">
        <f ca="1">IF(Prices!C105&lt;OFFSET(Prices!C105,-S$3,0),1,IF(Prices!C105&gt;OFFSET(Prices!C105,-S$3,0),-1,0))</f>
        <v>-1</v>
      </c>
      <c r="T106" s="1">
        <f ca="1">IF(S106=1,T$3*Q105/Prices!C105,T$3*R105*S106)</f>
        <v>-1.7121218885528914E-4</v>
      </c>
      <c r="V106" s="9"/>
      <c r="W106" s="1"/>
      <c r="X106" s="1"/>
      <c r="Y106" s="1"/>
      <c r="Z106" s="1"/>
      <c r="AA106" s="1"/>
      <c r="AB106" s="1"/>
      <c r="AC106" s="1"/>
      <c r="AD106" s="1"/>
      <c r="AE106" s="16"/>
    </row>
    <row r="107" spans="1:31" x14ac:dyDescent="0.2">
      <c r="A107" s="4">
        <v>33655</v>
      </c>
      <c r="B107" s="9">
        <f ca="1">Prices!C106*(1+J107/(50*(ABS(O107)+ABS(T107)+0.0001)))</f>
        <v>126.23172588892021</v>
      </c>
      <c r="C107" s="13">
        <f t="shared" ca="1" si="12"/>
        <v>-1</v>
      </c>
      <c r="D107" s="9">
        <f ca="1">D106+C107*(Prices!C107-Prices!C106)/Prices!C106</f>
        <v>4.3043222163767624E-2</v>
      </c>
      <c r="E107" s="9">
        <f t="shared" ca="1" si="13"/>
        <v>5.4411193159730614E-4</v>
      </c>
      <c r="F107" s="9">
        <f t="shared" ca="1" si="14"/>
        <v>4.358733409536493E-2</v>
      </c>
      <c r="G107" s="13">
        <f ca="1">IF((Prices!C107-Prices!C106)*C107&gt;0,1,0)</f>
        <v>0</v>
      </c>
      <c r="H107" s="9">
        <f>ABS(Prices!C107-Prices!C106)/Prices!C106</f>
        <v>5.4411193159730408E-4</v>
      </c>
      <c r="I107" s="13"/>
      <c r="J107" s="1">
        <f t="shared" ca="1" si="15"/>
        <v>-1.5629408419988676E-3</v>
      </c>
      <c r="K107" s="9"/>
      <c r="L107" s="9">
        <f ca="1">L106-O107*Prices!C107</f>
        <v>0.68300797780677791</v>
      </c>
      <c r="M107" s="1">
        <f t="shared" ca="1" si="16"/>
        <v>1.2556376072286157E-2</v>
      </c>
      <c r="N107" s="9">
        <f ca="1">IF(Prices!D106&gt;OFFSET(Prices!D106,-$N$3,0),1,IF(Prices!D106&lt;OFFSET(Prices!D106,-$N$3,0),-1,0))</f>
        <v>-1</v>
      </c>
      <c r="O107" s="1">
        <f ca="1">IF(N107=1,O$3*L106/Prices!C106,O$3*M106*N107)</f>
        <v>-1.3951528969206842E-3</v>
      </c>
      <c r="P107" s="14"/>
      <c r="Q107" s="9">
        <f ca="1">Q106-T107*Prices!C107</f>
        <v>1.2291374110657702</v>
      </c>
      <c r="R107" s="1">
        <f t="shared" ca="1" si="17"/>
        <v>8.2216093088309846E-3</v>
      </c>
      <c r="S107" s="9">
        <f ca="1">IF(Prices!C106&lt;OFFSET(Prices!C106,-S$3,0),1,IF(Prices!C106&gt;OFFSET(Prices!C106,-S$3,0),-1,0))</f>
        <v>-1</v>
      </c>
      <c r="T107" s="1">
        <f ca="1">IF(S107=1,T$3*Q106/Prices!C106,T$3*R106*S107)</f>
        <v>-1.6778794507818335E-4</v>
      </c>
      <c r="V107" s="9"/>
      <c r="W107" s="1"/>
      <c r="X107" s="1"/>
      <c r="Y107" s="1"/>
      <c r="Z107" s="1"/>
      <c r="AA107" s="1"/>
      <c r="AB107" s="1"/>
      <c r="AC107" s="1"/>
      <c r="AD107" s="1"/>
      <c r="AE107" s="16"/>
    </row>
    <row r="108" spans="1:31" x14ac:dyDescent="0.2">
      <c r="A108" s="4">
        <v>33658</v>
      </c>
      <c r="B108" s="9">
        <f ca="1">Prices!C107*(1+J108/(50*(ABS(O108)+ABS(T108)+0.0001)))</f>
        <v>129.9057175645458</v>
      </c>
      <c r="C108" s="13">
        <f t="shared" ca="1" si="12"/>
        <v>1</v>
      </c>
      <c r="D108" s="9">
        <f ca="1">D107+C108*(Prices!C108-Prices!C107)/Prices!C107</f>
        <v>4.599536635270482E-2</v>
      </c>
      <c r="E108" s="9">
        <f t="shared" ca="1" si="13"/>
        <v>0</v>
      </c>
      <c r="F108" s="9">
        <f t="shared" ca="1" si="14"/>
        <v>4.599536635270482E-2</v>
      </c>
      <c r="G108" s="13">
        <f ca="1">IF((Prices!C108-Prices!C107)*C108&gt;0,1,0)</f>
        <v>1</v>
      </c>
      <c r="H108" s="9">
        <f>ABS(Prices!C108-Prices!C107)/Prices!C107</f>
        <v>2.9521441889371926E-3</v>
      </c>
      <c r="I108" s="13"/>
      <c r="J108" s="1">
        <f t="shared" ca="1" si="15"/>
        <v>3.6618308558128741E-4</v>
      </c>
      <c r="K108" s="9"/>
      <c r="L108" s="9">
        <f ca="1">L107-O108*Prices!C108</f>
        <v>0.61450554622283216</v>
      </c>
      <c r="M108" s="1">
        <f t="shared" ca="1" si="16"/>
        <v>1.3086991344044065E-2</v>
      </c>
      <c r="N108" s="9">
        <f ca="1">IF(Prices!D107&gt;OFFSET(Prices!D107,-$N$3,0),1,IF(Prices!D107&lt;OFFSET(Prices!D107,-$N$3,0),-1,0))</f>
        <v>1</v>
      </c>
      <c r="O108" s="1">
        <f ca="1">IF(N108=1,O$3*L107/Prices!C107,O$3*M107*N108)</f>
        <v>5.306152717579071E-4</v>
      </c>
      <c r="P108" s="14"/>
      <c r="Q108" s="9">
        <f ca="1">Q107-T108*Prices!C108</f>
        <v>1.2503656063011719</v>
      </c>
      <c r="R108" s="1">
        <f t="shared" ca="1" si="17"/>
        <v>8.0571771226543645E-3</v>
      </c>
      <c r="S108" s="9">
        <f ca="1">IF(Prices!C107&lt;OFFSET(Prices!C107,-S$3,0),1,IF(Prices!C107&gt;OFFSET(Prices!C107,-S$3,0),-1,0))</f>
        <v>-1</v>
      </c>
      <c r="T108" s="1">
        <f ca="1">IF(S108=1,T$3*Q107/Prices!C107,T$3*R107*S108)</f>
        <v>-1.6443218617661969E-4</v>
      </c>
      <c r="V108" s="9"/>
      <c r="W108" s="1"/>
      <c r="X108" s="1"/>
      <c r="Y108" s="1"/>
      <c r="Z108" s="1"/>
      <c r="AA108" s="1"/>
      <c r="AB108" s="1"/>
      <c r="AC108" s="1"/>
      <c r="AD108" s="1"/>
      <c r="AE108" s="16"/>
    </row>
    <row r="109" spans="1:31" x14ac:dyDescent="0.2">
      <c r="A109" s="4">
        <v>33659</v>
      </c>
      <c r="B109" s="9">
        <f ca="1">Prices!C108*(1+J109/(50*(ABS(O109)+ABS(T109)+0.0001)))</f>
        <v>130.20283458937737</v>
      </c>
      <c r="C109" s="13">
        <f t="shared" ca="1" si="12"/>
        <v>1</v>
      </c>
      <c r="D109" s="9">
        <f ca="1">D108+C109*(Prices!C109-Prices!C108)/Prices!C108</f>
        <v>4.8706443037445285E-2</v>
      </c>
      <c r="E109" s="9">
        <f t="shared" ca="1" si="13"/>
        <v>0</v>
      </c>
      <c r="F109" s="9">
        <f t="shared" ca="1" si="14"/>
        <v>4.8706443037445285E-2</v>
      </c>
      <c r="G109" s="13">
        <f ca="1">IF((Prices!C109-Prices!C108)*C109&gt;0,1,0)</f>
        <v>1</v>
      </c>
      <c r="H109" s="9">
        <f>ABS(Prices!C109-Prices!C108)/Prices!C108</f>
        <v>2.7110766847404672E-3</v>
      </c>
      <c r="I109" s="13"/>
      <c r="J109" s="1">
        <f t="shared" ca="1" si="15"/>
        <v>3.1484836012075641E-4</v>
      </c>
      <c r="K109" s="9"/>
      <c r="L109" s="9">
        <f ca="1">L108-O109*Prices!C109</f>
        <v>0.5528883944346481</v>
      </c>
      <c r="M109" s="1">
        <f t="shared" ca="1" si="16"/>
        <v>1.3562983246617909E-2</v>
      </c>
      <c r="N109" s="9">
        <f ca="1">IF(Prices!D108&gt;OFFSET(Prices!D108,-$N$3,0),1,IF(Prices!D108&lt;OFFSET(Prices!D108,-$N$3,0),-1,0))</f>
        <v>1</v>
      </c>
      <c r="O109" s="1">
        <f ca="1">IF(N109=1,O$3*L108/Prices!C108,O$3*M108*N109)</f>
        <v>4.7599190257384367E-4</v>
      </c>
      <c r="P109" s="14"/>
      <c r="Q109" s="9">
        <f ca="1">Q108-T109*Prices!C109</f>
        <v>1.2712256378717239</v>
      </c>
      <c r="R109" s="1">
        <f t="shared" ca="1" si="17"/>
        <v>7.8960335802012779E-3</v>
      </c>
      <c r="S109" s="9">
        <f ca="1">IF(Prices!C108&lt;OFFSET(Prices!C108,-S$3,0),1,IF(Prices!C108&gt;OFFSET(Prices!C108,-S$3,0),-1,0))</f>
        <v>-1</v>
      </c>
      <c r="T109" s="1">
        <f ca="1">IF(S109=1,T$3*Q108/Prices!C108,T$3*R108*S109)</f>
        <v>-1.6114354245308729E-4</v>
      </c>
      <c r="V109" s="9"/>
      <c r="W109" s="1"/>
      <c r="X109" s="1"/>
      <c r="Y109" s="1"/>
      <c r="Z109" s="1"/>
      <c r="AA109" s="1"/>
      <c r="AB109" s="1"/>
      <c r="AC109" s="1"/>
      <c r="AD109" s="1"/>
      <c r="AE109" s="16"/>
    </row>
    <row r="110" spans="1:31" x14ac:dyDescent="0.2">
      <c r="A110" s="4">
        <v>33660</v>
      </c>
      <c r="B110" s="9">
        <f ca="1">Prices!C109*(1+J110/(50*(ABS(O110)+ABS(T110)+0.0001)))</f>
        <v>127.02138715973415</v>
      </c>
      <c r="C110" s="13">
        <f t="shared" ca="1" si="12"/>
        <v>-1</v>
      </c>
      <c r="D110" s="9">
        <f ca="1">D109+C110*(Prices!C110-Prices!C109)/Prices!C109</f>
        <v>4.6929695258379867E-2</v>
      </c>
      <c r="E110" s="9">
        <f t="shared" ca="1" si="13"/>
        <v>1.7767477790654185E-3</v>
      </c>
      <c r="F110" s="9">
        <f t="shared" ca="1" si="14"/>
        <v>4.8706443037445285E-2</v>
      </c>
      <c r="G110" s="13">
        <f ca="1">IF((Prices!C110-Prices!C109)*C110&gt;0,1,0)</f>
        <v>0</v>
      </c>
      <c r="H110" s="9">
        <f>ABS(Prices!C110-Prices!C109)/Prices!C109</f>
        <v>1.7767477790654167E-3</v>
      </c>
      <c r="I110" s="13"/>
      <c r="J110" s="1">
        <f t="shared" ca="1" si="15"/>
        <v>-1.5142189962658167E-3</v>
      </c>
      <c r="K110" s="9"/>
      <c r="L110" s="9">
        <f ca="1">L109-O110*Prices!C110</f>
        <v>0.72877316117678914</v>
      </c>
      <c r="M110" s="1">
        <f t="shared" ca="1" si="16"/>
        <v>1.2206684921956118E-2</v>
      </c>
      <c r="N110" s="9">
        <f ca="1">IF(Prices!D109&gt;OFFSET(Prices!D109,-$N$3,0),1,IF(Prices!D109&lt;OFFSET(Prices!D109,-$N$3,0),-1,0))</f>
        <v>-1</v>
      </c>
      <c r="O110" s="1">
        <f ca="1">IF(N110=1,O$3*L109/Prices!C109,O$3*M109*N110)</f>
        <v>-1.3562983246617911E-3</v>
      </c>
      <c r="P110" s="14"/>
      <c r="Q110" s="9">
        <f ca="1">Q109-T110*Prices!C110</f>
        <v>1.291704790565334</v>
      </c>
      <c r="R110" s="1">
        <f t="shared" ca="1" si="17"/>
        <v>7.7381129085972522E-3</v>
      </c>
      <c r="S110" s="9">
        <f ca="1">IF(Prices!C109&lt;OFFSET(Prices!C109,-S$3,0),1,IF(Prices!C109&gt;OFFSET(Prices!C109,-S$3,0),-1,0))</f>
        <v>-1</v>
      </c>
      <c r="T110" s="1">
        <f ca="1">IF(S110=1,T$3*Q109/Prices!C109,T$3*R109*S110)</f>
        <v>-1.5792067160402557E-4</v>
      </c>
      <c r="V110" s="9"/>
      <c r="W110" s="1"/>
      <c r="X110" s="1"/>
      <c r="Y110" s="1"/>
      <c r="Z110" s="1"/>
      <c r="AA110" s="1"/>
      <c r="AB110" s="1"/>
      <c r="AC110" s="1"/>
      <c r="AD110" s="1"/>
      <c r="AE110" s="16"/>
    </row>
    <row r="111" spans="1:31" x14ac:dyDescent="0.2">
      <c r="A111" s="4">
        <v>33661</v>
      </c>
      <c r="B111" s="9">
        <f ca="1">Prices!C110*(1+J111/(50*(ABS(O111)+ABS(T111)+0.0001)))</f>
        <v>127.26218595263478</v>
      </c>
      <c r="C111" s="13">
        <f t="shared" ca="1" si="12"/>
        <v>-1</v>
      </c>
      <c r="D111" s="9">
        <f ca="1">D110+C111*(Prices!C111-Prices!C110)/Prices!C110</f>
        <v>4.9011743376825352E-2</v>
      </c>
      <c r="E111" s="9">
        <f t="shared" ca="1" si="13"/>
        <v>0</v>
      </c>
      <c r="F111" s="9">
        <f t="shared" ca="1" si="14"/>
        <v>4.9011743376825352E-2</v>
      </c>
      <c r="G111" s="13">
        <f ca="1">IF((Prices!C111-Prices!C110)*C111&gt;0,1,0)</f>
        <v>1</v>
      </c>
      <c r="H111" s="9">
        <f>ABS(Prices!C111-Prices!C110)/Prices!C110</f>
        <v>2.082048118445483E-3</v>
      </c>
      <c r="I111" s="13"/>
      <c r="J111" s="1">
        <f t="shared" ca="1" si="15"/>
        <v>-1.3754307503675569E-3</v>
      </c>
      <c r="K111" s="9"/>
      <c r="L111" s="9">
        <f ca="1">L110-O111*Prices!C111</f>
        <v>0.88673987075182326</v>
      </c>
      <c r="M111" s="1">
        <f t="shared" ca="1" si="16"/>
        <v>1.0986016429760506E-2</v>
      </c>
      <c r="N111" s="9">
        <f ca="1">IF(Prices!D110&gt;OFFSET(Prices!D110,-$N$3,0),1,IF(Prices!D110&lt;OFFSET(Prices!D110,-$N$3,0),-1,0))</f>
        <v>-1</v>
      </c>
      <c r="O111" s="1">
        <f ca="1">IF(N111=1,O$3*L110/Prices!C110,O$3*M110*N111)</f>
        <v>-1.2206684921956118E-3</v>
      </c>
      <c r="P111" s="14"/>
      <c r="Q111" s="9">
        <f ca="1">Q110-T111*Prices!C111</f>
        <v>1.3117325743953654</v>
      </c>
      <c r="R111" s="1">
        <f t="shared" ca="1" si="17"/>
        <v>7.5833506504253074E-3</v>
      </c>
      <c r="S111" s="9">
        <f ca="1">IF(Prices!C110&lt;OFFSET(Prices!C110,-S$3,0),1,IF(Prices!C110&gt;OFFSET(Prices!C110,-S$3,0),-1,0))</f>
        <v>-1</v>
      </c>
      <c r="T111" s="1">
        <f ca="1">IF(S111=1,T$3*Q110/Prices!C110,T$3*R110*S111)</f>
        <v>-1.5476225817194505E-4</v>
      </c>
      <c r="V111" s="9"/>
      <c r="W111" s="1"/>
      <c r="X111" s="1"/>
      <c r="Y111" s="1"/>
      <c r="Z111" s="1"/>
      <c r="AA111" s="1"/>
      <c r="AB111" s="1"/>
      <c r="AC111" s="1"/>
      <c r="AD111" s="1"/>
      <c r="AE111" s="16"/>
    </row>
    <row r="112" spans="1:31" x14ac:dyDescent="0.2">
      <c r="A112" s="4">
        <v>33662</v>
      </c>
      <c r="B112" s="9">
        <f ca="1">Prices!C111*(1+J112/(50*(ABS(O112)+ABS(T112)+0.0001)))</f>
        <v>127.01348037327452</v>
      </c>
      <c r="C112" s="13">
        <f t="shared" ca="1" si="12"/>
        <v>-1</v>
      </c>
      <c r="D112" s="9">
        <f ca="1">D111+C112*(Prices!C112-Prices!C111)/Prices!C111</f>
        <v>5.1020861682984003E-2</v>
      </c>
      <c r="E112" s="9">
        <f t="shared" ca="1" si="13"/>
        <v>0</v>
      </c>
      <c r="F112" s="9">
        <f t="shared" ca="1" si="14"/>
        <v>5.1020861682984003E-2</v>
      </c>
      <c r="G112" s="13">
        <f ca="1">IF((Prices!C112-Prices!C111)*C112&gt;0,1,0)</f>
        <v>1</v>
      </c>
      <c r="H112" s="9">
        <f>ABS(Prices!C112-Prices!C111)/Prices!C111</f>
        <v>2.0091183061586499E-3</v>
      </c>
      <c r="I112" s="13"/>
      <c r="J112" s="1">
        <f t="shared" ca="1" si="15"/>
        <v>-1.2502686559845569E-3</v>
      </c>
      <c r="K112" s="9"/>
      <c r="L112" s="9">
        <f ca="1">L111-O112*Prices!C112</f>
        <v>1.0286242729421802</v>
      </c>
      <c r="M112" s="1">
        <f t="shared" ca="1" si="16"/>
        <v>9.8874147867844559E-3</v>
      </c>
      <c r="N112" s="9">
        <f ca="1">IF(Prices!D111&gt;OFFSET(Prices!D111,-$N$3,0),1,IF(Prices!D111&lt;OFFSET(Prices!D111,-$N$3,0),-1,0))</f>
        <v>-1</v>
      </c>
      <c r="O112" s="1">
        <f ca="1">IF(N112=1,O$3*L111/Prices!C111,O$3*M111*N112)</f>
        <v>-1.0986016429760507E-3</v>
      </c>
      <c r="P112" s="14"/>
      <c r="Q112" s="9">
        <f ca="1">Q111-T112*Prices!C112</f>
        <v>1.3313203691254141</v>
      </c>
      <c r="R112" s="1">
        <f t="shared" ca="1" si="17"/>
        <v>7.4316836374168013E-3</v>
      </c>
      <c r="S112" s="9">
        <f ca="1">IF(Prices!C111&lt;OFFSET(Prices!C111,-S$3,0),1,IF(Prices!C111&gt;OFFSET(Prices!C111,-S$3,0),-1,0))</f>
        <v>-1</v>
      </c>
      <c r="T112" s="1">
        <f ca="1">IF(S112=1,T$3*Q111/Prices!C111,T$3*R111*S112)</f>
        <v>-1.5166701300850616E-4</v>
      </c>
      <c r="V112" s="9"/>
      <c r="W112" s="1"/>
      <c r="X112" s="1"/>
      <c r="Y112" s="1"/>
      <c r="Z112" s="1"/>
      <c r="AA112" s="1"/>
      <c r="AB112" s="1"/>
      <c r="AC112" s="1"/>
      <c r="AD112" s="1"/>
      <c r="AE112" s="16"/>
    </row>
    <row r="113" spans="1:31" x14ac:dyDescent="0.2">
      <c r="A113" s="4">
        <v>33665</v>
      </c>
      <c r="B113" s="9">
        <f ca="1">Prices!C112*(1+J113/(50*(ABS(O113)+ABS(T113)+0.0001)))</f>
        <v>126.77574833287396</v>
      </c>
      <c r="C113" s="13">
        <f t="shared" ca="1" si="12"/>
        <v>-1</v>
      </c>
      <c r="D113" s="9">
        <f ca="1">D112+C113*(Prices!C113-Prices!C112)/Prices!C112</f>
        <v>4.7304253088326705E-2</v>
      </c>
      <c r="E113" s="9">
        <f t="shared" ca="1" si="13"/>
        <v>3.7166085946572988E-3</v>
      </c>
      <c r="F113" s="9">
        <f t="shared" ca="1" si="14"/>
        <v>5.1020861682984003E-2</v>
      </c>
      <c r="G113" s="13">
        <f ca="1">IF((Prices!C113-Prices!C112)*C113&gt;0,1,0)</f>
        <v>0</v>
      </c>
      <c r="H113" s="9">
        <f>ABS(Prices!C113-Prices!C112)/Prices!C112</f>
        <v>3.7166085946572958E-3</v>
      </c>
      <c r="I113" s="13"/>
      <c r="J113" s="1">
        <f t="shared" ca="1" si="15"/>
        <v>-1.1373751514267816E-3</v>
      </c>
      <c r="K113" s="9"/>
      <c r="L113" s="9">
        <f ca="1">L112-O113*Prices!C113</f>
        <v>1.1567948308232672</v>
      </c>
      <c r="M113" s="1">
        <f t="shared" ca="1" si="16"/>
        <v>8.8986733081060105E-3</v>
      </c>
      <c r="N113" s="9">
        <f ca="1">IF(Prices!D112&gt;OFFSET(Prices!D112,-$N$3,0),1,IF(Prices!D112&lt;OFFSET(Prices!D112,-$N$3,0),-1,0))</f>
        <v>-1</v>
      </c>
      <c r="O113" s="1">
        <f ca="1">IF(N113=1,O$3*L112/Prices!C112,O$3*M112*N113)</f>
        <v>-9.8874147867844563E-4</v>
      </c>
      <c r="P113" s="14"/>
      <c r="Q113" s="9">
        <f ca="1">Q112-T113*Prices!C113</f>
        <v>1.3505877521237808</v>
      </c>
      <c r="R113" s="1">
        <f t="shared" ca="1" si="17"/>
        <v>7.2830499646684655E-3</v>
      </c>
      <c r="S113" s="9">
        <f ca="1">IF(Prices!C112&lt;OFFSET(Prices!C112,-S$3,0),1,IF(Prices!C112&gt;OFFSET(Prices!C112,-S$3,0),-1,0))</f>
        <v>-1</v>
      </c>
      <c r="T113" s="1">
        <f ca="1">IF(S113=1,T$3*Q112/Prices!C112,T$3*R112*S113)</f>
        <v>-1.4863367274833603E-4</v>
      </c>
      <c r="V113" s="9"/>
      <c r="W113" s="1"/>
      <c r="X113" s="1"/>
      <c r="Y113" s="1"/>
      <c r="Z113" s="1"/>
      <c r="AA113" s="1"/>
      <c r="AB113" s="1"/>
      <c r="AC113" s="1"/>
      <c r="AD113" s="1"/>
      <c r="AE113" s="16"/>
    </row>
    <row r="114" spans="1:31" x14ac:dyDescent="0.2">
      <c r="A114" s="4">
        <v>33666</v>
      </c>
      <c r="B114" s="9">
        <f ca="1">Prices!C113*(1+J114/(50*(ABS(O114)+ABS(T114)+0.0001)))</f>
        <v>131.33112104555528</v>
      </c>
      <c r="C114" s="13">
        <f t="shared" ca="1" si="12"/>
        <v>1</v>
      </c>
      <c r="D114" s="9">
        <f ca="1">D113+C114*(Prices!C114-Prices!C113)/Prices!C113</f>
        <v>5.6638512133300928E-2</v>
      </c>
      <c r="E114" s="9">
        <f t="shared" ca="1" si="13"/>
        <v>0</v>
      </c>
      <c r="F114" s="9">
        <f t="shared" ca="1" si="14"/>
        <v>5.6638512133300928E-2</v>
      </c>
      <c r="G114" s="13">
        <f ca="1">IF((Prices!C114-Prices!C113)*C114&gt;0,1,0)</f>
        <v>1</v>
      </c>
      <c r="H114" s="9">
        <f>ABS(Prices!C114-Prices!C113)/Prices!C113</f>
        <v>9.3342590449742198E-3</v>
      </c>
      <c r="I114" s="13"/>
      <c r="J114" s="1">
        <f t="shared" ca="1" si="15"/>
        <v>7.4672103482162518E-4</v>
      </c>
      <c r="K114" s="9"/>
      <c r="L114" s="9">
        <f ca="1">L113-O114*Prices!C114</f>
        <v>1.0400355654796614</v>
      </c>
      <c r="M114" s="1">
        <f t="shared" ca="1" si="16"/>
        <v>9.7910553422210049E-3</v>
      </c>
      <c r="N114" s="9">
        <f ca="1">IF(Prices!D113&gt;OFFSET(Prices!D113,-$N$3,0),1,IF(Prices!D113&lt;OFFSET(Prices!D113,-$N$3,0),-1,0))</f>
        <v>1</v>
      </c>
      <c r="O114" s="1">
        <f ca="1">IF(N114=1,O$3*L113/Prices!C113,O$3*M113*N114)</f>
        <v>8.9238203411499452E-4</v>
      </c>
      <c r="P114" s="14"/>
      <c r="Q114" s="9">
        <f ca="1">Q113-T114*Prices!C114</f>
        <v>1.3696460372713253</v>
      </c>
      <c r="R114" s="1">
        <f t="shared" ca="1" si="17"/>
        <v>7.1373889653750964E-3</v>
      </c>
      <c r="S114" s="9">
        <f ca="1">IF(Prices!C113&lt;OFFSET(Prices!C113,-S$3,0),1,IF(Prices!C113&gt;OFFSET(Prices!C113,-S$3,0),-1,0))</f>
        <v>-1</v>
      </c>
      <c r="T114" s="1">
        <f ca="1">IF(S114=1,T$3*Q113/Prices!C113,T$3*R113*S114)</f>
        <v>-1.4566099929336931E-4</v>
      </c>
      <c r="V114" s="9"/>
      <c r="W114" s="1"/>
      <c r="X114" s="1"/>
      <c r="Y114" s="1"/>
      <c r="Z114" s="1"/>
      <c r="AA114" s="1"/>
      <c r="AB114" s="1"/>
      <c r="AC114" s="1"/>
      <c r="AD114" s="1"/>
      <c r="AE114" s="16"/>
    </row>
    <row r="115" spans="1:31" x14ac:dyDescent="0.2">
      <c r="A115" s="4">
        <v>33667</v>
      </c>
      <c r="B115" s="9">
        <f ca="1">Prices!C114*(1+J115/(50*(ABS(O115)+ABS(T115)+0.0001)))</f>
        <v>132.48462677040044</v>
      </c>
      <c r="C115" s="13">
        <f t="shared" ca="1" si="12"/>
        <v>1</v>
      </c>
      <c r="D115" s="9">
        <f ca="1">D114+C115*(Prices!C115-Prices!C114)/Prices!C114</f>
        <v>6.6345023903401898E-2</v>
      </c>
      <c r="E115" s="9">
        <f t="shared" ca="1" si="13"/>
        <v>0</v>
      </c>
      <c r="F115" s="9">
        <f t="shared" ca="1" si="14"/>
        <v>6.6345023903401898E-2</v>
      </c>
      <c r="G115" s="13">
        <f ca="1">IF((Prices!C115-Prices!C114)*C115&gt;0,1,0)</f>
        <v>1</v>
      </c>
      <c r="H115" s="9">
        <f>ABS(Prices!C115-Prices!C114)/Prices!C114</f>
        <v>9.7065117701009649E-3</v>
      </c>
      <c r="I115" s="13"/>
      <c r="J115" s="1">
        <f t="shared" ca="1" si="15"/>
        <v>6.5214335909028268E-4</v>
      </c>
      <c r="K115" s="9"/>
      <c r="L115" s="9">
        <f ca="1">L114-O115*Prices!C115</f>
        <v>0.93502249718593</v>
      </c>
      <c r="M115" s="1">
        <f t="shared" ca="1" si="16"/>
        <v>1.058594648061879E-2</v>
      </c>
      <c r="N115" s="9">
        <f ca="1">IF(Prices!D114&gt;OFFSET(Prices!D114,-$N$3,0),1,IF(Prices!D114&lt;OFFSET(Prices!D114,-$N$3,0),-1,0))</f>
        <v>1</v>
      </c>
      <c r="O115" s="1">
        <f ca="1">IF(N115=1,O$3*L114/Prices!C114,O$3*M114*N115)</f>
        <v>7.948911383977846E-4</v>
      </c>
      <c r="P115" s="14"/>
      <c r="Q115" s="9">
        <f ca="1">Q114-T115*Prices!C115</f>
        <v>1.3885044463956393</v>
      </c>
      <c r="R115" s="1">
        <f t="shared" ca="1" si="17"/>
        <v>6.9946411860675947E-3</v>
      </c>
      <c r="S115" s="9">
        <f ca="1">IF(Prices!C114&lt;OFFSET(Prices!C114,-S$3,0),1,IF(Prices!C114&gt;OFFSET(Prices!C114,-S$3,0),-1,0))</f>
        <v>-1</v>
      </c>
      <c r="T115" s="1">
        <f ca="1">IF(S115=1,T$3*Q114/Prices!C114,T$3*R114*S115)</f>
        <v>-1.4274777930750192E-4</v>
      </c>
      <c r="V115" s="9"/>
      <c r="W115" s="1"/>
      <c r="X115" s="1"/>
      <c r="Y115" s="1"/>
      <c r="Z115" s="1"/>
      <c r="AA115" s="1"/>
      <c r="AB115" s="1"/>
      <c r="AC115" s="1"/>
      <c r="AD115" s="1"/>
      <c r="AE115" s="16"/>
    </row>
    <row r="116" spans="1:31" x14ac:dyDescent="0.2">
      <c r="A116" s="4">
        <v>33668</v>
      </c>
      <c r="B116" s="9">
        <f ca="1">Prices!C115*(1+J116/(50*(ABS(O116)+ABS(T116)+0.0001)))</f>
        <v>133.69330057771973</v>
      </c>
      <c r="C116" s="13">
        <f t="shared" ca="1" si="12"/>
        <v>1</v>
      </c>
      <c r="D116" s="9">
        <f ca="1">D115+C116*(Prices!C116-Prices!C115)/Prices!C115</f>
        <v>6.4376966981139996E-2</v>
      </c>
      <c r="E116" s="9">
        <f t="shared" ca="1" si="13"/>
        <v>1.9680569222619015E-3</v>
      </c>
      <c r="F116" s="9">
        <f t="shared" ca="1" si="14"/>
        <v>6.6345023903401898E-2</v>
      </c>
      <c r="G116" s="13">
        <f ca="1">IF((Prices!C116-Prices!C115)*C116&gt;0,1,0)</f>
        <v>0</v>
      </c>
      <c r="H116" s="9">
        <f>ABS(Prices!C116-Prices!C115)/Prices!C115</f>
        <v>1.9680569222618976E-3</v>
      </c>
      <c r="I116" s="13"/>
      <c r="J116" s="1">
        <f t="shared" ca="1" si="15"/>
        <v>5.6786775245450897E-4</v>
      </c>
      <c r="K116" s="9"/>
      <c r="L116" s="9">
        <f ca="1">L115-O116*Prices!C116</f>
        <v>0.8417042652171427</v>
      </c>
      <c r="M116" s="1">
        <f t="shared" ca="1" si="16"/>
        <v>1.1293707056794651E-2</v>
      </c>
      <c r="N116" s="9">
        <f ca="1">IF(Prices!D115&gt;OFFSET(Prices!D115,-$N$3,0),1,IF(Prices!D115&lt;OFFSET(Prices!D115,-$N$3,0),-1,0))</f>
        <v>1</v>
      </c>
      <c r="O116" s="1">
        <f ca="1">IF(N116=1,O$3*L115/Prices!C115,O$3*M115*N116)</f>
        <v>7.0776057617586091E-4</v>
      </c>
      <c r="P116" s="14"/>
      <c r="Q116" s="9">
        <f ca="1">Q115-T116*Prices!C116</f>
        <v>1.4069493152032995</v>
      </c>
      <c r="R116" s="1">
        <f t="shared" ca="1" si="17"/>
        <v>6.8547483623462432E-3</v>
      </c>
      <c r="S116" s="9">
        <f ca="1">IF(Prices!C115&lt;OFFSET(Prices!C115,-S$3,0),1,IF(Prices!C115&gt;OFFSET(Prices!C115,-S$3,0),-1,0))</f>
        <v>-1</v>
      </c>
      <c r="T116" s="1">
        <f ca="1">IF(S116=1,T$3*Q115/Prices!C115,T$3*R115*S116)</f>
        <v>-1.3989282372135189E-4</v>
      </c>
      <c r="V116" s="9"/>
      <c r="W116" s="1"/>
      <c r="X116" s="1"/>
      <c r="Y116" s="1"/>
      <c r="Z116" s="1"/>
      <c r="AA116" s="1"/>
      <c r="AB116" s="1"/>
      <c r="AC116" s="1"/>
      <c r="AD116" s="1"/>
      <c r="AE116" s="16"/>
    </row>
    <row r="117" spans="1:31" x14ac:dyDescent="0.2">
      <c r="A117" s="4">
        <v>33669</v>
      </c>
      <c r="B117" s="9">
        <f ca="1">Prices!C116*(1+J117/(50*(ABS(O117)+ABS(T117)+0.0001)))</f>
        <v>133.35991048504417</v>
      </c>
      <c r="C117" s="13">
        <f t="shared" ca="1" si="12"/>
        <v>1</v>
      </c>
      <c r="D117" s="9">
        <f ca="1">D116+C117*(Prices!C117-Prices!C116)/Prices!C116</f>
        <v>6.3694373124484685E-2</v>
      </c>
      <c r="E117" s="9">
        <f t="shared" ca="1" si="13"/>
        <v>2.6506507789172129E-3</v>
      </c>
      <c r="F117" s="9">
        <f t="shared" ca="1" si="14"/>
        <v>6.6345023903401898E-2</v>
      </c>
      <c r="G117" s="13">
        <f ca="1">IF((Prices!C117-Prices!C116)*C117&gt;0,1,0)</f>
        <v>0</v>
      </c>
      <c r="H117" s="9">
        <f>ABS(Prices!C117-Prices!C116)/Prices!C116</f>
        <v>6.8259385665531602E-4</v>
      </c>
      <c r="I117" s="13"/>
      <c r="J117" s="1">
        <f t="shared" ca="1" si="15"/>
        <v>5.0128521115060478E-4</v>
      </c>
      <c r="K117" s="9"/>
      <c r="L117" s="9">
        <f ca="1">L116-O117*Prices!C117</f>
        <v>0.75759129291148419</v>
      </c>
      <c r="M117" s="1">
        <f t="shared" ca="1" si="16"/>
        <v>1.1932087235192181E-2</v>
      </c>
      <c r="N117" s="9">
        <f ca="1">IF(Prices!D116&gt;OFFSET(Prices!D116,-$N$3,0),1,IF(Prices!D116&lt;OFFSET(Prices!D116,-$N$3,0),-1,0))</f>
        <v>1</v>
      </c>
      <c r="O117" s="1">
        <f ca="1">IF(N117=1,O$3*L116/Prices!C116,O$3*M116*N117)</f>
        <v>6.3838017839752963E-4</v>
      </c>
      <c r="P117" s="14"/>
      <c r="Q117" s="9">
        <f ca="1">Q116-T117*Prices!C117</f>
        <v>1.4250129480877542</v>
      </c>
      <c r="R117" s="1">
        <f t="shared" ca="1" si="17"/>
        <v>6.7176533950993184E-3</v>
      </c>
      <c r="S117" s="9">
        <f ca="1">IF(Prices!C116&lt;OFFSET(Prices!C116,-S$3,0),1,IF(Prices!C116&gt;OFFSET(Prices!C116,-S$3,0),-1,0))</f>
        <v>-1</v>
      </c>
      <c r="T117" s="1">
        <f ca="1">IF(S117=1,T$3*Q116/Prices!C116,T$3*R116*S117)</f>
        <v>-1.3709496724692487E-4</v>
      </c>
      <c r="V117" s="9"/>
      <c r="W117" s="1"/>
      <c r="X117" s="1"/>
      <c r="Y117" s="1"/>
      <c r="Z117" s="1"/>
      <c r="AA117" s="1"/>
      <c r="AB117" s="1"/>
      <c r="AC117" s="1"/>
      <c r="AD117" s="1"/>
      <c r="AE117" s="16"/>
    </row>
    <row r="118" spans="1:31" x14ac:dyDescent="0.2">
      <c r="A118" s="4">
        <v>33672</v>
      </c>
      <c r="B118" s="9">
        <f ca="1">Prices!C117*(1+J118/(50*(ABS(O118)+ABS(T118)+0.0001)))</f>
        <v>133.19468491737851</v>
      </c>
      <c r="C118" s="13">
        <f t="shared" ca="1" si="12"/>
        <v>1</v>
      </c>
      <c r="D118" s="9">
        <f ca="1">D117+C118*(Prices!C118-Prices!C117)/Prices!C117</f>
        <v>6.4908702207666202E-2</v>
      </c>
      <c r="E118" s="9">
        <f t="shared" ca="1" si="13"/>
        <v>1.4363216957356956E-3</v>
      </c>
      <c r="F118" s="9">
        <f t="shared" ca="1" si="14"/>
        <v>6.6345023903401898E-2</v>
      </c>
      <c r="G118" s="13">
        <f ca="1">IF((Prices!C118-Prices!C117)*C118&gt;0,1,0)</f>
        <v>1</v>
      </c>
      <c r="H118" s="9">
        <f>ABS(Prices!C118-Prices!C117)/Prices!C117</f>
        <v>1.2143290831815165E-3</v>
      </c>
      <c r="I118" s="13"/>
      <c r="J118" s="1">
        <f t="shared" ca="1" si="15"/>
        <v>4.4062514469021482E-4</v>
      </c>
      <c r="K118" s="9"/>
      <c r="L118" s="9">
        <f ca="1">L117-O118*Prices!C118</f>
        <v>0.68174016710632102</v>
      </c>
      <c r="M118" s="1">
        <f t="shared" ca="1" si="16"/>
        <v>1.2507065447784382E-2</v>
      </c>
      <c r="N118" s="9">
        <f ca="1">IF(Prices!D117&gt;OFFSET(Prices!D117,-$N$3,0),1,IF(Prices!D117&lt;OFFSET(Prices!D117,-$N$3,0),-1,0))</f>
        <v>1</v>
      </c>
      <c r="O118" s="1">
        <f ca="1">IF(N118=1,O$3*L117/Prices!C117,O$3*M117*N118)</f>
        <v>5.7497821259220119E-4</v>
      </c>
      <c r="P118" s="14"/>
      <c r="Q118" s="9">
        <f ca="1">Q117-T118*Prices!C118</f>
        <v>1.4427368048053844</v>
      </c>
      <c r="R118" s="1">
        <f t="shared" ca="1" si="17"/>
        <v>6.583300327197332E-3</v>
      </c>
      <c r="S118" s="9">
        <f ca="1">IF(Prices!C117&lt;OFFSET(Prices!C117,-S$3,0),1,IF(Prices!C117&gt;OFFSET(Prices!C117,-S$3,0),-1,0))</f>
        <v>-1</v>
      </c>
      <c r="T118" s="1">
        <f ca="1">IF(S118=1,T$3*Q117/Prices!C117,T$3*R117*S118)</f>
        <v>-1.3435306790198637E-4</v>
      </c>
      <c r="V118" s="9"/>
      <c r="W118" s="1"/>
      <c r="X118" s="1"/>
      <c r="Y118" s="1"/>
      <c r="Z118" s="1"/>
      <c r="AA118" s="1"/>
      <c r="AB118" s="1"/>
      <c r="AC118" s="1"/>
      <c r="AD118" s="1"/>
      <c r="AE118" s="16"/>
    </row>
    <row r="119" spans="1:31" x14ac:dyDescent="0.2">
      <c r="A119" s="4">
        <v>33673</v>
      </c>
      <c r="B119" s="9">
        <f ca="1">Prices!C118*(1+J119/(50*(ABS(O119)+ABS(T119)+0.0001)))</f>
        <v>129.45958494701256</v>
      </c>
      <c r="C119" s="13">
        <f t="shared" ca="1" si="12"/>
        <v>-1</v>
      </c>
      <c r="D119" s="9">
        <f ca="1">D118+C119*(Prices!C119-Prices!C118)/Prices!C118</f>
        <v>5.7631564548478759E-2</v>
      </c>
      <c r="E119" s="9">
        <f t="shared" ca="1" si="13"/>
        <v>8.7134593549231393E-3</v>
      </c>
      <c r="F119" s="9">
        <f t="shared" ca="1" si="14"/>
        <v>6.6345023903401898E-2</v>
      </c>
      <c r="G119" s="13">
        <f ca="1">IF((Prices!C119-Prices!C118)*C119&gt;0,1,0)</f>
        <v>0</v>
      </c>
      <c r="H119" s="9">
        <f>ABS(Prices!C119-Prices!C118)/Prices!C118</f>
        <v>7.2771376591874472E-3</v>
      </c>
      <c r="I119" s="13"/>
      <c r="J119" s="1">
        <f t="shared" ca="1" si="15"/>
        <v>-1.3823725513223851E-3</v>
      </c>
      <c r="K119" s="9"/>
      <c r="L119" s="9">
        <f ca="1">L118-O119*Prices!C119</f>
        <v>0.84793405277647993</v>
      </c>
      <c r="M119" s="1">
        <f t="shared" ca="1" si="16"/>
        <v>1.1256358903005944E-2</v>
      </c>
      <c r="N119" s="9">
        <f ca="1">IF(Prices!D118&gt;OFFSET(Prices!D118,-$N$3,0),1,IF(Prices!D118&lt;OFFSET(Prices!D118,-$N$3,0),-1,0))</f>
        <v>-1</v>
      </c>
      <c r="O119" s="1">
        <f ca="1">IF(N119=1,O$3*L118/Prices!C118,O$3*M118*N119)</f>
        <v>-1.2507065447784384E-3</v>
      </c>
      <c r="P119" s="14"/>
      <c r="Q119" s="9">
        <f ca="1">Q118-T119*Prices!C119</f>
        <v>1.4602325837549439</v>
      </c>
      <c r="R119" s="1">
        <f t="shared" ca="1" si="17"/>
        <v>6.4516343206533853E-3</v>
      </c>
      <c r="S119" s="9">
        <f ca="1">IF(Prices!C118&lt;OFFSET(Prices!C118,-S$3,0),1,IF(Prices!C118&gt;OFFSET(Prices!C118,-S$3,0),-1,0))</f>
        <v>-1</v>
      </c>
      <c r="T119" s="1">
        <f ca="1">IF(S119=1,T$3*Q118/Prices!C118,T$3*R118*S119)</f>
        <v>-1.3166600654394666E-4</v>
      </c>
      <c r="V119" s="9"/>
      <c r="W119" s="1"/>
      <c r="X119" s="1"/>
      <c r="Y119" s="1"/>
      <c r="Z119" s="1"/>
      <c r="AA119" s="1"/>
      <c r="AB119" s="1"/>
      <c r="AC119" s="1"/>
      <c r="AD119" s="1"/>
      <c r="AE119" s="16"/>
    </row>
    <row r="120" spans="1:31" x14ac:dyDescent="0.2">
      <c r="A120" s="4">
        <v>33674</v>
      </c>
      <c r="B120" s="9">
        <f ca="1">Prices!C119*(1+J120/(50*(ABS(O120)+ABS(T120)+0.0001)))</f>
        <v>130.41858082575203</v>
      </c>
      <c r="C120" s="13">
        <f t="shared" ca="1" si="12"/>
        <v>-1</v>
      </c>
      <c r="D120" s="9">
        <f ca="1">D119+C120*(Prices!C120-Prices!C119)/Prices!C119</f>
        <v>5.3341979960880977E-2</v>
      </c>
      <c r="E120" s="9">
        <f t="shared" ca="1" si="13"/>
        <v>1.3003043942520921E-2</v>
      </c>
      <c r="F120" s="9">
        <f t="shared" ca="1" si="14"/>
        <v>6.6345023903401898E-2</v>
      </c>
      <c r="G120" s="13">
        <f ca="1">IF((Prices!C120-Prices!C119)*C120&gt;0,1,0)</f>
        <v>0</v>
      </c>
      <c r="H120" s="9">
        <f>ABS(Prices!C120-Prices!C119)/Prices!C119</f>
        <v>4.2895845875977811E-3</v>
      </c>
      <c r="I120" s="13"/>
      <c r="J120" s="1">
        <f t="shared" ca="1" si="15"/>
        <v>-1.2546685767136621E-3</v>
      </c>
      <c r="K120" s="9"/>
      <c r="L120" s="9">
        <f ca="1">L119-O120*Prices!C120</f>
        <v>0.99815016233709419</v>
      </c>
      <c r="M120" s="1">
        <f t="shared" ca="1" si="16"/>
        <v>1.0130723012705348E-2</v>
      </c>
      <c r="N120" s="9">
        <f ca="1">IF(Prices!D119&gt;OFFSET(Prices!D119,-$N$3,0),1,IF(Prices!D119&lt;OFFSET(Prices!D119,-$N$3,0),-1,0))</f>
        <v>-1</v>
      </c>
      <c r="O120" s="1">
        <f ca="1">IF(N120=1,O$3*L119/Prices!C119,O$3*M119*N120)</f>
        <v>-1.1256358903005944E-3</v>
      </c>
      <c r="P120" s="14"/>
      <c r="Q120" s="9">
        <f ca="1">Q119-T120*Prices!C120</f>
        <v>1.4774519957567678</v>
      </c>
      <c r="R120" s="1">
        <f t="shared" ca="1" si="17"/>
        <v>6.322601634240318E-3</v>
      </c>
      <c r="S120" s="9">
        <f ca="1">IF(Prices!C119&lt;OFFSET(Prices!C119,-S$3,0),1,IF(Prices!C119&gt;OFFSET(Prices!C119,-S$3,0),-1,0))</f>
        <v>-1</v>
      </c>
      <c r="T120" s="1">
        <f ca="1">IF(S120=1,T$3*Q119/Prices!C119,T$3*R119*S120)</f>
        <v>-1.290326864130677E-4</v>
      </c>
      <c r="V120" s="9"/>
      <c r="W120" s="1"/>
      <c r="X120" s="1"/>
      <c r="Y120" s="1"/>
      <c r="Z120" s="1"/>
      <c r="AA120" s="1"/>
      <c r="AB120" s="1"/>
      <c r="AC120" s="1"/>
      <c r="AD120" s="1"/>
      <c r="AE120" s="16"/>
    </row>
    <row r="121" spans="1:31" x14ac:dyDescent="0.2">
      <c r="A121" s="4">
        <v>33675</v>
      </c>
      <c r="B121" s="9">
        <f ca="1">Prices!C120*(1+J121/(50*(ABS(O121)+ABS(T121)+0.0001)))</f>
        <v>135.15236299319957</v>
      </c>
      <c r="C121" s="13">
        <f t="shared" ca="1" si="12"/>
        <v>1</v>
      </c>
      <c r="D121" s="9">
        <f ca="1">D120+C121*(Prices!C121-Prices!C120)/Prices!C120</f>
        <v>5.9336734550615042E-2</v>
      </c>
      <c r="E121" s="9">
        <f t="shared" ca="1" si="13"/>
        <v>7.0082893527868562E-3</v>
      </c>
      <c r="F121" s="9">
        <f t="shared" ca="1" si="14"/>
        <v>6.6345023903401898E-2</v>
      </c>
      <c r="G121" s="13">
        <f ca="1">IF((Prices!C121-Prices!C120)*C121&gt;0,1,0)</f>
        <v>1</v>
      </c>
      <c r="H121" s="9">
        <f>ABS(Prices!C121-Prices!C120)/Prices!C120</f>
        <v>5.9947545897340686E-3</v>
      </c>
      <c r="I121" s="13"/>
      <c r="J121" s="1">
        <f t="shared" ca="1" si="15"/>
        <v>6.2150612567944566E-4</v>
      </c>
      <c r="K121" s="9"/>
      <c r="L121" s="9">
        <f ca="1">L120-O121*Prices!C121</f>
        <v>0.8977367795766934</v>
      </c>
      <c r="M121" s="1">
        <f t="shared" ca="1" si="16"/>
        <v>1.0878681171069601E-2</v>
      </c>
      <c r="N121" s="9">
        <f ca="1">IF(Prices!D120&gt;OFFSET(Prices!D120,-$N$3,0),1,IF(Prices!D120&lt;OFFSET(Prices!D120,-$N$3,0),-1,0))</f>
        <v>1</v>
      </c>
      <c r="O121" s="1">
        <f ca="1">IF(N121=1,O$3*L120/Prices!C120,O$3*M120*N121)</f>
        <v>7.4795815836425201E-4</v>
      </c>
      <c r="P121" s="14"/>
      <c r="Q121" s="9">
        <f ca="1">Q120-T121*Prices!C121</f>
        <v>1.4944281811447031</v>
      </c>
      <c r="R121" s="1">
        <f t="shared" ca="1" si="17"/>
        <v>6.1961496015555118E-3</v>
      </c>
      <c r="S121" s="9">
        <f ca="1">IF(Prices!C120&lt;OFFSET(Prices!C120,-S$3,0),1,IF(Prices!C120&gt;OFFSET(Prices!C120,-S$3,0),-1,0))</f>
        <v>-1</v>
      </c>
      <c r="T121" s="1">
        <f ca="1">IF(S121=1,T$3*Q120/Prices!C120,T$3*R120*S121)</f>
        <v>-1.2645203268480637E-4</v>
      </c>
      <c r="V121" s="9"/>
      <c r="W121" s="1"/>
      <c r="X121" s="1"/>
      <c r="Y121" s="1"/>
      <c r="Z121" s="1"/>
      <c r="AA121" s="1"/>
      <c r="AB121" s="1"/>
      <c r="AC121" s="1"/>
      <c r="AD121" s="1"/>
      <c r="AE121" s="16"/>
    </row>
    <row r="122" spans="1:31" x14ac:dyDescent="0.2">
      <c r="A122" s="4">
        <v>33676</v>
      </c>
      <c r="B122" s="9">
        <f ca="1">Prices!C121*(1+J122/(50*(ABS(O122)+ABS(T122)+0.0001)))</f>
        <v>135.88868929898749</v>
      </c>
      <c r="C122" s="13">
        <f t="shared" ca="1" si="12"/>
        <v>1</v>
      </c>
      <c r="D122" s="9">
        <f ca="1">D121+C122*(Prices!C122-Prices!C121)/Prices!C121</f>
        <v>5.4495021329013509E-2</v>
      </c>
      <c r="E122" s="9">
        <f t="shared" ca="1" si="13"/>
        <v>1.1850002574388389E-2</v>
      </c>
      <c r="F122" s="9">
        <f t="shared" ca="1" si="14"/>
        <v>6.6345023903401898E-2</v>
      </c>
      <c r="G122" s="13">
        <f ca="1">IF((Prices!C122-Prices!C121)*C122&gt;0,1,0)</f>
        <v>0</v>
      </c>
      <c r="H122" s="9">
        <f>ABS(Prices!C122-Prices!C121)/Prices!C121</f>
        <v>4.8417132216015324E-3</v>
      </c>
      <c r="I122" s="13"/>
      <c r="J122" s="1">
        <f t="shared" ca="1" si="15"/>
        <v>5.447822441526464E-4</v>
      </c>
      <c r="K122" s="9"/>
      <c r="L122" s="9">
        <f ca="1">L121-O122*Prices!C122</f>
        <v>0.80839776002254349</v>
      </c>
      <c r="M122" s="1">
        <f t="shared" ca="1" si="16"/>
        <v>1.1547386407253358E-2</v>
      </c>
      <c r="N122" s="9">
        <f ca="1">IF(Prices!D121&gt;OFFSET(Prices!D121,-$N$3,0),1,IF(Prices!D121&lt;OFFSET(Prices!D121,-$N$3,0),-1,0))</f>
        <v>1</v>
      </c>
      <c r="O122" s="1">
        <f ca="1">IF(N122=1,O$3*L121/Prices!C121,O$3*M121*N122)</f>
        <v>6.687052361837567E-4</v>
      </c>
      <c r="P122" s="14"/>
      <c r="Q122" s="9">
        <f ca="1">Q121-T122*Prices!C122</f>
        <v>1.5109842928800594</v>
      </c>
      <c r="R122" s="1">
        <f t="shared" ca="1" si="17"/>
        <v>6.0722266095244014E-3</v>
      </c>
      <c r="S122" s="9">
        <f ca="1">IF(Prices!C121&lt;OFFSET(Prices!C121,-S$3,0),1,IF(Prices!C121&gt;OFFSET(Prices!C121,-S$3,0),-1,0))</f>
        <v>-1</v>
      </c>
      <c r="T122" s="1">
        <f ca="1">IF(S122=1,T$3*Q121/Prices!C121,T$3*R121*S122)</f>
        <v>-1.2392299203111025E-4</v>
      </c>
      <c r="V122" s="9"/>
      <c r="W122" s="1"/>
      <c r="X122" s="1"/>
      <c r="Y122" s="1"/>
      <c r="Z122" s="1"/>
      <c r="AA122" s="1"/>
      <c r="AB122" s="1"/>
      <c r="AC122" s="1"/>
      <c r="AD122" s="1"/>
      <c r="AE122" s="16"/>
    </row>
    <row r="123" spans="1:31" x14ac:dyDescent="0.2">
      <c r="A123" s="4">
        <v>33679</v>
      </c>
      <c r="B123" s="9">
        <f ca="1">Prices!C122*(1+J123/(50*(ABS(O123)+ABS(T123)+0.0001)))</f>
        <v>135.16351438688588</v>
      </c>
      <c r="C123" s="13">
        <f t="shared" ca="1" si="12"/>
        <v>1</v>
      </c>
      <c r="D123" s="9">
        <f ca="1">D122+C123*(Prices!C123-Prices!C122)/Prices!C122</f>
        <v>5.7339332706258982E-2</v>
      </c>
      <c r="E123" s="9">
        <f t="shared" ca="1" si="13"/>
        <v>9.0056911971429163E-3</v>
      </c>
      <c r="F123" s="9">
        <f t="shared" ca="1" si="14"/>
        <v>6.6345023903401898E-2</v>
      </c>
      <c r="G123" s="13">
        <f ca="1">IF((Prices!C123-Prices!C122)*C123&gt;0,1,0)</f>
        <v>1</v>
      </c>
      <c r="H123" s="9">
        <f>ABS(Prices!C123-Prices!C122)/Prices!C122</f>
        <v>2.8443113772454749E-3</v>
      </c>
      <c r="I123" s="13"/>
      <c r="J123" s="1">
        <f t="shared" ca="1" si="15"/>
        <v>4.8364361153896071E-4</v>
      </c>
      <c r="K123" s="9"/>
      <c r="L123" s="9">
        <f ca="1">L122-O123*Prices!C123</f>
        <v>0.72732805052567195</v>
      </c>
      <c r="M123" s="1">
        <f t="shared" ca="1" si="16"/>
        <v>1.2152474550982806E-2</v>
      </c>
      <c r="N123" s="9">
        <f ca="1">IF(Prices!D122&gt;OFFSET(Prices!D122,-$N$3,0),1,IF(Prices!D122&lt;OFFSET(Prices!D122,-$N$3,0),-1,0))</f>
        <v>1</v>
      </c>
      <c r="O123" s="1">
        <f ca="1">IF(N123=1,O$3*L122/Prices!C122,O$3*M122*N123)</f>
        <v>6.0508814372944874E-4</v>
      </c>
      <c r="P123" s="14"/>
      <c r="Q123" s="9">
        <f ca="1">Q122-T123*Prices!C123</f>
        <v>1.5272554313029409</v>
      </c>
      <c r="R123" s="1">
        <f t="shared" ca="1" si="17"/>
        <v>5.9507820773339135E-3</v>
      </c>
      <c r="S123" s="9">
        <f ca="1">IF(Prices!C122&lt;OFFSET(Prices!C122,-S$3,0),1,IF(Prices!C122&gt;OFFSET(Prices!C122,-S$3,0),-1,0))</f>
        <v>-1</v>
      </c>
      <c r="T123" s="1">
        <f ca="1">IF(S123=1,T$3*Q122/Prices!C122,T$3*R122*S123)</f>
        <v>-1.2144453219048803E-4</v>
      </c>
      <c r="V123" s="9"/>
      <c r="W123" s="1"/>
      <c r="X123" s="1"/>
      <c r="Y123" s="1"/>
      <c r="Z123" s="1"/>
      <c r="AA123" s="1"/>
      <c r="AB123" s="1"/>
      <c r="AC123" s="1"/>
      <c r="AD123" s="1"/>
      <c r="AE123" s="16"/>
    </row>
    <row r="124" spans="1:31" x14ac:dyDescent="0.2">
      <c r="A124" s="4">
        <v>33680</v>
      </c>
      <c r="B124" s="9">
        <f ca="1">Prices!C123*(1+J124/(50*(ABS(O124)+ABS(T124)+0.0001)))</f>
        <v>135.47071190610089</v>
      </c>
      <c r="C124" s="13">
        <f t="shared" ca="1" si="12"/>
        <v>1</v>
      </c>
      <c r="D124" s="9">
        <f ca="1">D123+C124*(Prices!C124-Prices!C123)/Prices!C123</f>
        <v>5.3383518405617086E-2</v>
      </c>
      <c r="E124" s="9">
        <f t="shared" ca="1" si="13"/>
        <v>1.2961505497784812E-2</v>
      </c>
      <c r="F124" s="9">
        <f t="shared" ca="1" si="14"/>
        <v>6.6345023903401898E-2</v>
      </c>
      <c r="G124" s="13">
        <f ca="1">IF((Prices!C124-Prices!C123)*C124&gt;0,1,0)</f>
        <v>0</v>
      </c>
      <c r="H124" s="9">
        <f>ABS(Prices!C124-Prices!C123)/Prices!C123</f>
        <v>3.9558143006418953E-3</v>
      </c>
      <c r="I124" s="13"/>
      <c r="J124" s="1">
        <f t="shared" ca="1" si="15"/>
        <v>4.2384751006227235E-4</v>
      </c>
      <c r="K124" s="9"/>
      <c r="L124" s="9">
        <f ca="1">L123-O124*Prices!C124</f>
        <v>0.65488296294345749</v>
      </c>
      <c r="M124" s="1">
        <f t="shared" ca="1" si="16"/>
        <v>1.2695337702591757E-2</v>
      </c>
      <c r="N124" s="9">
        <f ca="1">IF(Prices!D123&gt;OFFSET(Prices!D123,-$N$3,0),1,IF(Prices!D123&lt;OFFSET(Prices!D123,-$N$3,0),-1,0))</f>
        <v>1</v>
      </c>
      <c r="O124" s="1">
        <f ca="1">IF(N124=1,O$3*L123/Prices!C123,O$3*M123*N124)</f>
        <v>5.4286315160895064E-4</v>
      </c>
      <c r="P124" s="14"/>
      <c r="Q124" s="9">
        <f ca="1">Q123-T124*Prices!C124</f>
        <v>1.5431380686673453</v>
      </c>
      <c r="R124" s="1">
        <f t="shared" ca="1" si="17"/>
        <v>5.8317664357872357E-3</v>
      </c>
      <c r="S124" s="9">
        <f ca="1">IF(Prices!C123&lt;OFFSET(Prices!C123,-S$3,0),1,IF(Prices!C123&gt;OFFSET(Prices!C123,-S$3,0),-1,0))</f>
        <v>-1</v>
      </c>
      <c r="T124" s="1">
        <f ca="1">IF(S124=1,T$3*Q123/Prices!C123,T$3*R123*S124)</f>
        <v>-1.1901564154667827E-4</v>
      </c>
      <c r="V124" s="9"/>
      <c r="W124" s="1"/>
      <c r="X124" s="1"/>
      <c r="Y124" s="1"/>
      <c r="Z124" s="1"/>
      <c r="AA124" s="1"/>
      <c r="AB124" s="1"/>
      <c r="AC124" s="1"/>
      <c r="AD124" s="1"/>
      <c r="AE124" s="16"/>
    </row>
    <row r="125" spans="1:31" x14ac:dyDescent="0.2">
      <c r="A125" s="4">
        <v>33681</v>
      </c>
      <c r="B125" s="9">
        <f ca="1">Prices!C124*(1+J125/(50*(ABS(O125)+ABS(T125)+0.0001)))</f>
        <v>130.97588383988477</v>
      </c>
      <c r="C125" s="13">
        <f t="shared" ca="1" si="12"/>
        <v>-1</v>
      </c>
      <c r="D125" s="9">
        <f ca="1">D124+C125*(Prices!C125-Prices!C124)/Prices!C124</f>
        <v>6.387433893765139E-2</v>
      </c>
      <c r="E125" s="9">
        <f t="shared" ca="1" si="13"/>
        <v>2.4706849657505081E-3</v>
      </c>
      <c r="F125" s="9">
        <f t="shared" ca="1" si="14"/>
        <v>6.6345023903401898E-2</v>
      </c>
      <c r="G125" s="13">
        <f ca="1">IF((Prices!C125-Prices!C124)*C125&gt;0,1,0)</f>
        <v>1</v>
      </c>
      <c r="H125" s="9">
        <f>ABS(Prices!C125-Prices!C124)/Prices!C124</f>
        <v>1.04908205320343E-2</v>
      </c>
      <c r="I125" s="13"/>
      <c r="J125" s="1">
        <f t="shared" ca="1" si="15"/>
        <v>-1.2695337702591757E-3</v>
      </c>
      <c r="K125" s="9"/>
      <c r="L125" s="9">
        <f ca="1">L124-O125*Prices!C125</f>
        <v>0.82252489730618161</v>
      </c>
      <c r="M125" s="1">
        <f t="shared" ca="1" si="16"/>
        <v>1.1425803932332581E-2</v>
      </c>
      <c r="N125" s="9">
        <f ca="1">IF(Prices!D124&gt;OFFSET(Prices!D124,-$N$3,0),1,IF(Prices!D124&lt;OFFSET(Prices!D124,-$N$3,0),-1,0))</f>
        <v>-1</v>
      </c>
      <c r="O125" s="1">
        <f ca="1">IF(N125=1,O$3*L124/Prices!C124,O$3*M124*N125)</f>
        <v>-1.2695337702591757E-3</v>
      </c>
      <c r="P125" s="14"/>
      <c r="Q125" s="9">
        <f ca="1">Q124-T125*Prices!C125</f>
        <v>1.5431380686673453</v>
      </c>
      <c r="R125" s="1">
        <f t="shared" ca="1" si="17"/>
        <v>5.8317664357872357E-3</v>
      </c>
      <c r="S125" s="9">
        <f ca="1">IF(Prices!C124&lt;OFFSET(Prices!C124,-S$3,0),1,IF(Prices!C124&gt;OFFSET(Prices!C124,-S$3,0),-1,0))</f>
        <v>0</v>
      </c>
      <c r="T125" s="1">
        <f ca="1">IF(S125=1,T$3*Q124/Prices!C124,T$3*R124*S125)</f>
        <v>0</v>
      </c>
      <c r="V125" s="9"/>
      <c r="W125" s="1"/>
      <c r="X125" s="1"/>
      <c r="Y125" s="1"/>
      <c r="Z125" s="1"/>
      <c r="AA125" s="1"/>
      <c r="AB125" s="1"/>
      <c r="AC125" s="1"/>
      <c r="AD125" s="1"/>
      <c r="AE125" s="16"/>
    </row>
    <row r="126" spans="1:31" x14ac:dyDescent="0.2">
      <c r="A126" s="4">
        <v>33682</v>
      </c>
      <c r="B126" s="9">
        <f ca="1">Prices!C125*(1+J126/(50*(ABS(O126)+ABS(T126)+0.0001)))</f>
        <v>130.42411195815993</v>
      </c>
      <c r="C126" s="13">
        <f t="shared" ca="1" si="12"/>
        <v>-1</v>
      </c>
      <c r="D126" s="9">
        <f ca="1">D125+C126*(Prices!C126-Prices!C125)/Prices!C125</f>
        <v>5.4635414287897519E-2</v>
      </c>
      <c r="E126" s="9">
        <f t="shared" ca="1" si="13"/>
        <v>1.1709609615504379E-2</v>
      </c>
      <c r="F126" s="9">
        <f t="shared" ca="1" si="14"/>
        <v>6.6345023903401898E-2</v>
      </c>
      <c r="G126" s="13">
        <f ca="1">IF((Prices!C126-Prices!C125)*C126&gt;0,1,0)</f>
        <v>0</v>
      </c>
      <c r="H126" s="9">
        <f>ABS(Prices!C126-Prices!C125)/Prices!C125</f>
        <v>9.2389246497538713E-3</v>
      </c>
      <c r="I126" s="13"/>
      <c r="J126" s="1">
        <f t="shared" ca="1" si="15"/>
        <v>-9.088601253548264E-4</v>
      </c>
      <c r="K126" s="9"/>
      <c r="L126" s="9">
        <f ca="1">L125-O126*Prices!C126</f>
        <v>0.97479658631237798</v>
      </c>
      <c r="M126" s="1">
        <f t="shared" ca="1" si="16"/>
        <v>1.0283223539099324E-2</v>
      </c>
      <c r="N126" s="9">
        <f ca="1">IF(Prices!D125&gt;OFFSET(Prices!D125,-$N$3,0),1,IF(Prices!D125&lt;OFFSET(Prices!D125,-$N$3,0),-1,0))</f>
        <v>-1</v>
      </c>
      <c r="O126" s="1">
        <f ca="1">IF(N126=1,O$3*L125/Prices!C125,O$3*M125*N126)</f>
        <v>-1.142580393233258E-3</v>
      </c>
      <c r="P126" s="14"/>
      <c r="Q126" s="9">
        <f ca="1">Q125-T126*Prices!C126</f>
        <v>1.5119901685671866</v>
      </c>
      <c r="R126" s="1">
        <f t="shared" ca="1" si="17"/>
        <v>6.0654867036656675E-3</v>
      </c>
      <c r="S126" s="9">
        <f ca="1">IF(Prices!C125&lt;OFFSET(Prices!C125,-S$3,0),1,IF(Prices!C125&gt;OFFSET(Prices!C125,-S$3,0),-1,0))</f>
        <v>1</v>
      </c>
      <c r="T126" s="1">
        <f ca="1">IF(S126=1,T$3*Q125/Prices!C125,T$3*R125*S126)</f>
        <v>2.3372026787843168E-4</v>
      </c>
      <c r="V126" s="9"/>
      <c r="W126" s="1"/>
      <c r="X126" s="1"/>
      <c r="Y126" s="1"/>
      <c r="Z126" s="1"/>
      <c r="AA126" s="1"/>
      <c r="AB126" s="1"/>
      <c r="AC126" s="1"/>
      <c r="AD126" s="1"/>
      <c r="AE126" s="16"/>
    </row>
    <row r="127" spans="1:31" x14ac:dyDescent="0.2">
      <c r="A127" s="4">
        <v>33683</v>
      </c>
      <c r="B127" s="9">
        <f ca="1">Prices!C126*(1+J127/(50*(ABS(O127)+ABS(T127)+0.0001)))</f>
        <v>131.69381260209411</v>
      </c>
      <c r="C127" s="13">
        <f t="shared" ca="1" si="12"/>
        <v>-1</v>
      </c>
      <c r="D127" s="9">
        <f ca="1">D126+C127*(Prices!C127-Prices!C126)/Prices!C126</f>
        <v>4.8032277798064883E-2</v>
      </c>
      <c r="E127" s="9">
        <f t="shared" ca="1" si="13"/>
        <v>1.8312746105337015E-2</v>
      </c>
      <c r="F127" s="9">
        <f t="shared" ca="1" si="14"/>
        <v>6.6345023903401898E-2</v>
      </c>
      <c r="G127" s="13">
        <f ca="1">IF((Prices!C127-Prices!C126)*C127&gt;0,1,0)</f>
        <v>0</v>
      </c>
      <c r="H127" s="9">
        <f>ABS(Prices!C127-Prices!C126)/Prices!C126</f>
        <v>6.6031364898326362E-3</v>
      </c>
      <c r="I127" s="13"/>
      <c r="J127" s="1">
        <f t="shared" ca="1" si="15"/>
        <v>-8.014160481296087E-4</v>
      </c>
      <c r="K127" s="9"/>
      <c r="L127" s="9">
        <f ca="1">L126-O127*Prices!C127</f>
        <v>1.1127460300893954</v>
      </c>
      <c r="M127" s="1">
        <f t="shared" ca="1" si="16"/>
        <v>9.254901185189391E-3</v>
      </c>
      <c r="N127" s="9">
        <f ca="1">IF(Prices!D126&gt;OFFSET(Prices!D126,-$N$3,0),1,IF(Prices!D126&lt;OFFSET(Prices!D126,-$N$3,0),-1,0))</f>
        <v>-1</v>
      </c>
      <c r="O127" s="1">
        <f ca="1">IF(N127=1,O$3*L126/Prices!C126,O$3*M126*N127)</f>
        <v>-1.0283223539099323E-3</v>
      </c>
      <c r="P127" s="14"/>
      <c r="Q127" s="9">
        <f ca="1">Q126-T127*Prices!C127</f>
        <v>1.4815506876467561</v>
      </c>
      <c r="R127" s="1">
        <f t="shared" ca="1" si="17"/>
        <v>6.2923930094459912E-3</v>
      </c>
      <c r="S127" s="9">
        <f ca="1">IF(Prices!C126&lt;OFFSET(Prices!C126,-S$3,0),1,IF(Prices!C126&gt;OFFSET(Prices!C126,-S$3,0),-1,0))</f>
        <v>1</v>
      </c>
      <c r="T127" s="1">
        <f ca="1">IF(S127=1,T$3*Q126/Prices!C126,T$3*R126*S127)</f>
        <v>2.2690630578032364E-4</v>
      </c>
      <c r="V127" s="9"/>
      <c r="W127" s="1"/>
      <c r="X127" s="1"/>
      <c r="Y127" s="1"/>
      <c r="Z127" s="1"/>
      <c r="AA127" s="1"/>
      <c r="AB127" s="1"/>
      <c r="AC127" s="1"/>
      <c r="AD127" s="1"/>
      <c r="AE127" s="16"/>
    </row>
    <row r="128" spans="1:31" x14ac:dyDescent="0.2">
      <c r="A128" s="4">
        <v>33686</v>
      </c>
      <c r="B128" s="9">
        <f ca="1">Prices!C127*(1+J128/(50*(ABS(O128)+ABS(T128)+0.0001)))</f>
        <v>135.93886976828088</v>
      </c>
      <c r="C128" s="13">
        <f t="shared" ca="1" si="12"/>
        <v>1</v>
      </c>
      <c r="D128" s="9">
        <f ca="1">D127+C128*(Prices!C128-Prices!C127)/Prices!C127</f>
        <v>4.4677823828627561E-2</v>
      </c>
      <c r="E128" s="9">
        <f t="shared" ca="1" si="13"/>
        <v>2.1667200074774337E-2</v>
      </c>
      <c r="F128" s="9">
        <f t="shared" ca="1" si="14"/>
        <v>6.6345023903401898E-2</v>
      </c>
      <c r="G128" s="13">
        <f ca="1">IF((Prices!C128-Prices!C127)*C128&gt;0,1,0)</f>
        <v>0</v>
      </c>
      <c r="H128" s="9">
        <f>ABS(Prices!C128-Prices!C127)/Prices!C127</f>
        <v>3.3544539694373241E-3</v>
      </c>
      <c r="I128" s="13"/>
      <c r="J128" s="1">
        <f t="shared" ca="1" si="15"/>
        <v>7.0363110372415917E-4</v>
      </c>
      <c r="K128" s="9"/>
      <c r="L128" s="9">
        <f ca="1">L127-O128*Prices!C128</f>
        <v>1.0018446926142168</v>
      </c>
      <c r="M128" s="1">
        <f t="shared" ca="1" si="16"/>
        <v>1.008438014910247E-2</v>
      </c>
      <c r="N128" s="9">
        <f ca="1">IF(Prices!D127&gt;OFFSET(Prices!D127,-$N$3,0),1,IF(Prices!D127&lt;OFFSET(Prices!D127,-$N$3,0),-1,0))</f>
        <v>1</v>
      </c>
      <c r="O128" s="1">
        <f ca="1">IF(N128=1,O$3*L127/Prices!C127,O$3*M127*N128)</f>
        <v>8.2947896391307894E-4</v>
      </c>
      <c r="P128" s="14"/>
      <c r="Q128" s="9">
        <f ca="1">Q127-T128*Prices!C128</f>
        <v>1.4983765465540146</v>
      </c>
      <c r="R128" s="1">
        <f t="shared" ca="1" si="17"/>
        <v>6.166545149257071E-3</v>
      </c>
      <c r="S128" s="9">
        <f ca="1">IF(Prices!C127&lt;OFFSET(Prices!C127,-S$3,0),1,IF(Prices!C127&gt;OFFSET(Prices!C127,-S$3,0),-1,0))</f>
        <v>-1</v>
      </c>
      <c r="T128" s="1">
        <f ca="1">IF(S128=1,T$3*Q127/Prices!C127,T$3*R127*S128)</f>
        <v>-1.2584786018891983E-4</v>
      </c>
      <c r="V128" s="9"/>
      <c r="W128" s="1"/>
      <c r="X128" s="1"/>
      <c r="Y128" s="1"/>
      <c r="Z128" s="1"/>
      <c r="AA128" s="1"/>
      <c r="AB128" s="1"/>
      <c r="AC128" s="1"/>
      <c r="AD128" s="1"/>
      <c r="AE128" s="16"/>
    </row>
    <row r="129" spans="1:31" x14ac:dyDescent="0.2">
      <c r="A129" s="4">
        <v>33687</v>
      </c>
      <c r="B129" s="9">
        <f ca="1">Prices!C128*(1+J129/(50*(ABS(O129)+ABS(T129)+0.0001)))</f>
        <v>135.42096441435172</v>
      </c>
      <c r="C129" s="13">
        <f t="shared" ca="1" si="12"/>
        <v>1</v>
      </c>
      <c r="D129" s="9">
        <f ca="1">D128+C129*(Prices!C129-Prices!C128)/Prices!C128</f>
        <v>4.4603029512995614E-2</v>
      </c>
      <c r="E129" s="9">
        <f t="shared" ca="1" si="13"/>
        <v>2.1741994390406284E-2</v>
      </c>
      <c r="F129" s="9">
        <f t="shared" ca="1" si="14"/>
        <v>6.6345023903401898E-2</v>
      </c>
      <c r="G129" s="13">
        <f ca="1">IF((Prices!C129-Prices!C128)*C129&gt;0,1,0)</f>
        <v>0</v>
      </c>
      <c r="H129" s="9">
        <f>ABS(Prices!C129-Prices!C128)/Prices!C128</f>
        <v>7.4794315631943951E-5</v>
      </c>
      <c r="I129" s="13"/>
      <c r="J129" s="1">
        <f t="shared" ca="1" si="15"/>
        <v>6.259919785512962E-4</v>
      </c>
      <c r="K129" s="9"/>
      <c r="L129" s="9">
        <f ca="1">L128-O129*Prices!C129</f>
        <v>0.90166771658161049</v>
      </c>
      <c r="M129" s="1">
        <f t="shared" ca="1" si="16"/>
        <v>1.0833703030638908E-2</v>
      </c>
      <c r="N129" s="9">
        <f ca="1">IF(Prices!D128&gt;OFFSET(Prices!D128,-$N$3,0),1,IF(Prices!D128&lt;OFFSET(Prices!D128,-$N$3,0),-1,0))</f>
        <v>1</v>
      </c>
      <c r="O129" s="1">
        <f ca="1">IF(N129=1,O$3*L128/Prices!C128,O$3*M128*N129)</f>
        <v>7.4932288153643756E-4</v>
      </c>
      <c r="P129" s="14"/>
      <c r="Q129" s="9">
        <f ca="1">Q128-T129*Prices!C129</f>
        <v>1.5148646549740983</v>
      </c>
      <c r="R129" s="1">
        <f t="shared" ca="1" si="17"/>
        <v>6.0432142462719298E-3</v>
      </c>
      <c r="S129" s="9">
        <f ca="1">IF(Prices!C128&lt;OFFSET(Prices!C128,-S$3,0),1,IF(Prices!C128&gt;OFFSET(Prices!C128,-S$3,0),-1,0))</f>
        <v>-1</v>
      </c>
      <c r="T129" s="1">
        <f ca="1">IF(S129=1,T$3*Q128/Prices!C128,T$3*R128*S129)</f>
        <v>-1.2333090298514141E-4</v>
      </c>
      <c r="V129" s="9"/>
      <c r="W129" s="1"/>
      <c r="X129" s="1"/>
      <c r="Y129" s="1"/>
      <c r="Z129" s="1"/>
      <c r="AA129" s="1"/>
      <c r="AB129" s="1"/>
      <c r="AC129" s="1"/>
      <c r="AD129" s="1"/>
      <c r="AE129" s="16"/>
    </row>
    <row r="130" spans="1:31" x14ac:dyDescent="0.2">
      <c r="A130" s="4">
        <v>33688</v>
      </c>
      <c r="B130" s="9">
        <f ca="1">Prices!C129*(1+J130/(50*(ABS(O130)+ABS(T130)+0.0001)))</f>
        <v>131.22120913138042</v>
      </c>
      <c r="C130" s="13">
        <f t="shared" ca="1" si="12"/>
        <v>-1</v>
      </c>
      <c r="D130" s="9">
        <f ca="1">D129+C130*(Prices!C130-Prices!C129)/Prices!C129</f>
        <v>4.7146226461159305E-2</v>
      </c>
      <c r="E130" s="9">
        <f t="shared" ca="1" si="13"/>
        <v>1.9198797442242593E-2</v>
      </c>
      <c r="F130" s="9">
        <f t="shared" ca="1" si="14"/>
        <v>6.6345023903401898E-2</v>
      </c>
      <c r="G130" s="13">
        <f ca="1">IF((Prices!C130-Prices!C129)*C130&gt;0,1,0)</f>
        <v>1</v>
      </c>
      <c r="H130" s="9">
        <f>ABS(Prices!C130-Prices!C129)/Prices!C129</f>
        <v>2.5431969481636879E-3</v>
      </c>
      <c r="I130" s="13"/>
      <c r="J130" s="1">
        <f t="shared" ca="1" si="15"/>
        <v>-1.2042345879893293E-3</v>
      </c>
      <c r="K130" s="9"/>
      <c r="L130" s="9">
        <f ca="1">L129-O130*Prices!C130</f>
        <v>1.0461351464951802</v>
      </c>
      <c r="M130" s="1">
        <f t="shared" ca="1" si="16"/>
        <v>9.750332727575018E-3</v>
      </c>
      <c r="N130" s="9">
        <f ca="1">IF(Prices!D129&gt;OFFSET(Prices!D129,-$N$3,0),1,IF(Prices!D129&lt;OFFSET(Prices!D129,-$N$3,0),-1,0))</f>
        <v>-1</v>
      </c>
      <c r="O130" s="1">
        <f ca="1">IF(N130=1,O$3*L129/Prices!C129,O$3*M129*N130)</f>
        <v>-1.0833703030638908E-3</v>
      </c>
      <c r="P130" s="14"/>
      <c r="Q130" s="9">
        <f ca="1">Q129-T130*Prices!C130</f>
        <v>1.5309819073689055</v>
      </c>
      <c r="R130" s="1">
        <f t="shared" ca="1" si="17"/>
        <v>5.9223499613464915E-3</v>
      </c>
      <c r="S130" s="9">
        <f ca="1">IF(Prices!C129&lt;OFFSET(Prices!C129,-S$3,0),1,IF(Prices!C129&gt;OFFSET(Prices!C129,-S$3,0),-1,0))</f>
        <v>-1</v>
      </c>
      <c r="T130" s="1">
        <f ca="1">IF(S130=1,T$3*Q129/Prices!C129,T$3*R129*S130)</f>
        <v>-1.208642849254386E-4</v>
      </c>
      <c r="V130" s="9"/>
      <c r="W130" s="1"/>
      <c r="X130" s="1"/>
      <c r="Y130" s="1"/>
      <c r="Z130" s="1"/>
      <c r="AA130" s="1"/>
      <c r="AB130" s="1"/>
      <c r="AC130" s="1"/>
      <c r="AD130" s="1"/>
      <c r="AE130" s="16"/>
    </row>
    <row r="131" spans="1:31" x14ac:dyDescent="0.2">
      <c r="A131" s="4">
        <v>33689</v>
      </c>
      <c r="B131" s="9">
        <f ca="1">Prices!C130*(1+J131/(50*(ABS(O131)+ABS(T131)+0.0001)))</f>
        <v>130.90646410431782</v>
      </c>
      <c r="C131" s="13">
        <f t="shared" ca="1" si="12"/>
        <v>-1</v>
      </c>
      <c r="D131" s="9">
        <f ca="1">D130+C131*(Prices!C131-Prices!C130)/Prices!C130</f>
        <v>4.2646788890855637E-2</v>
      </c>
      <c r="E131" s="9">
        <f t="shared" ca="1" si="13"/>
        <v>2.3698235012546261E-2</v>
      </c>
      <c r="F131" s="9">
        <f t="shared" ca="1" si="14"/>
        <v>6.6345023903401898E-2</v>
      </c>
      <c r="G131" s="13">
        <f ca="1">IF((Prices!C131-Prices!C130)*C131&gt;0,1,0)</f>
        <v>0</v>
      </c>
      <c r="H131" s="9">
        <f>ABS(Prices!C131-Prices!C130)/Prices!C130</f>
        <v>4.49943757030367E-3</v>
      </c>
      <c r="I131" s="13"/>
      <c r="J131" s="1">
        <f t="shared" ca="1" si="15"/>
        <v>-1.0934802719844317E-3</v>
      </c>
      <c r="K131" s="9"/>
      <c r="L131" s="9">
        <f ca="1">L130-O131*Prices!C131</f>
        <v>1.1767408533810477</v>
      </c>
      <c r="M131" s="1">
        <f t="shared" ca="1" si="16"/>
        <v>8.7752994548175155E-3</v>
      </c>
      <c r="N131" s="9">
        <f ca="1">IF(Prices!D130&gt;OFFSET(Prices!D130,-$N$3,0),1,IF(Prices!D130&lt;OFFSET(Prices!D130,-$N$3,0),-1,0))</f>
        <v>-1</v>
      </c>
      <c r="O131" s="1">
        <f ca="1">IF(N131=1,O$3*L130/Prices!C130,O$3*M130*N131)</f>
        <v>-9.7503327275750185E-4</v>
      </c>
      <c r="P131" s="14"/>
      <c r="Q131" s="9">
        <f ca="1">Q130-T131*Prices!C131</f>
        <v>1.5468478829153527</v>
      </c>
      <c r="R131" s="1">
        <f t="shared" ca="1" si="17"/>
        <v>5.8039029621195616E-3</v>
      </c>
      <c r="S131" s="9">
        <f ca="1">IF(Prices!C130&lt;OFFSET(Prices!C130,-S$3,0),1,IF(Prices!C130&gt;OFFSET(Prices!C130,-S$3,0),-1,0))</f>
        <v>-1</v>
      </c>
      <c r="T131" s="1">
        <f ca="1">IF(S131=1,T$3*Q130/Prices!C130,T$3*R130*S131)</f>
        <v>-1.1844699922692983E-4</v>
      </c>
      <c r="V131" s="9"/>
      <c r="W131" s="1"/>
      <c r="X131" s="1"/>
      <c r="Y131" s="1"/>
      <c r="Z131" s="1"/>
      <c r="AA131" s="1"/>
      <c r="AB131" s="1"/>
      <c r="AC131" s="1"/>
      <c r="AD131" s="1"/>
      <c r="AE131" s="16"/>
    </row>
    <row r="132" spans="1:31" x14ac:dyDescent="0.2">
      <c r="A132" s="4">
        <v>33690</v>
      </c>
      <c r="B132" s="9">
        <f ca="1">Prices!C131*(1+J132/(50*(ABS(O132)+ABS(T132)+0.0001)))</f>
        <v>136.40749465158038</v>
      </c>
      <c r="C132" s="13">
        <f t="shared" ca="1" si="12"/>
        <v>1</v>
      </c>
      <c r="D132" s="9">
        <f ca="1">D131+C132*(Prices!C132-Prices!C131)/Prices!C131</f>
        <v>3.6450446972229406E-2</v>
      </c>
      <c r="E132" s="9">
        <f t="shared" ca="1" si="13"/>
        <v>2.9894576931172492E-2</v>
      </c>
      <c r="F132" s="9">
        <f t="shared" ca="1" si="14"/>
        <v>6.6345023903401898E-2</v>
      </c>
      <c r="G132" s="13">
        <f ca="1">IF((Prices!C132-Prices!C131)*C132&gt;0,1,0)</f>
        <v>0</v>
      </c>
      <c r="H132" s="9">
        <f>ABS(Prices!C132-Prices!C131)/Prices!C131</f>
        <v>6.1963419186262352E-3</v>
      </c>
      <c r="I132" s="13"/>
      <c r="J132" s="1">
        <f t="shared" ca="1" si="15"/>
        <v>1.10945160878247E-3</v>
      </c>
      <c r="K132" s="9"/>
      <c r="L132" s="9">
        <f ca="1">L131-O132*Prices!C132</f>
        <v>1.0597959169106594</v>
      </c>
      <c r="M132" s="1">
        <f t="shared" ca="1" si="16"/>
        <v>9.653792066524159E-3</v>
      </c>
      <c r="N132" s="9">
        <f ca="1">IF(Prices!D131&gt;OFFSET(Prices!D131,-$N$3,0),1,IF(Prices!D131&lt;OFFSET(Prices!D131,-$N$3,0),-1,0))</f>
        <v>1</v>
      </c>
      <c r="O132" s="1">
        <f ca="1">IF(N132=1,O$3*L131/Prices!C131,O$3*M131*N132)</f>
        <v>8.7849261170664273E-4</v>
      </c>
      <c r="P132" s="14"/>
      <c r="Q132" s="9">
        <f ca="1">Q131-T132*Prices!C132</f>
        <v>1.5161026212246185</v>
      </c>
      <c r="R132" s="1">
        <f t="shared" ca="1" si="17"/>
        <v>6.0348619591953888E-3</v>
      </c>
      <c r="S132" s="9">
        <f ca="1">IF(Prices!C131&lt;OFFSET(Prices!C131,-S$3,0),1,IF(Prices!C131&gt;OFFSET(Prices!C131,-S$3,0),-1,0))</f>
        <v>1</v>
      </c>
      <c r="T132" s="1">
        <f ca="1">IF(S132=1,T$3*Q131/Prices!C131,T$3*R131*S132)</f>
        <v>2.3095899707582722E-4</v>
      </c>
      <c r="V132" s="9"/>
      <c r="W132" s="1"/>
      <c r="X132" s="1"/>
      <c r="Y132" s="1"/>
      <c r="Z132" s="1"/>
      <c r="AA132" s="1"/>
      <c r="AB132" s="1"/>
      <c r="AC132" s="1"/>
      <c r="AD132" s="1"/>
      <c r="AE132" s="16"/>
    </row>
    <row r="133" spans="1:31" x14ac:dyDescent="0.2">
      <c r="A133" s="4">
        <v>33693</v>
      </c>
      <c r="B133" s="9">
        <f ca="1">Prices!C132*(1+J133/(50*(ABS(O133)+ABS(T133)+0.0001)))</f>
        <v>135.54551071754508</v>
      </c>
      <c r="C133" s="13">
        <f t="shared" ca="1" si="12"/>
        <v>1</v>
      </c>
      <c r="D133" s="9">
        <f ca="1">D132+C133*(Prices!C133-Prices!C132)/Prices!C132</f>
        <v>3.5999725818383232E-2</v>
      </c>
      <c r="E133" s="9">
        <f t="shared" ca="1" si="13"/>
        <v>3.0345298085018665E-2</v>
      </c>
      <c r="F133" s="9">
        <f t="shared" ca="1" si="14"/>
        <v>6.6345023903401898E-2</v>
      </c>
      <c r="G133" s="13">
        <f ca="1">IF((Prices!C133-Prices!C132)*C133&gt;0,1,0)</f>
        <v>0</v>
      </c>
      <c r="H133" s="9">
        <f>ABS(Prices!C133-Prices!C132)/Prices!C132</f>
        <v>4.5072115384617089E-4</v>
      </c>
      <c r="I133" s="13"/>
      <c r="J133" s="1">
        <f t="shared" ca="1" si="15"/>
        <v>1.0239005717815378E-3</v>
      </c>
      <c r="K133" s="9"/>
      <c r="L133" s="9">
        <f ca="1">L132-O133*Prices!C133</f>
        <v>0.95386409246344461</v>
      </c>
      <c r="M133" s="1">
        <f t="shared" ca="1" si="16"/>
        <v>1.0449912797376518E-2</v>
      </c>
      <c r="N133" s="9">
        <f ca="1">IF(Prices!D132&gt;OFFSET(Prices!D132,-$N$3,0),1,IF(Prices!D132&lt;OFFSET(Prices!D132,-$N$3,0),-1,0))</f>
        <v>1</v>
      </c>
      <c r="O133" s="1">
        <f ca="1">IF(N133=1,O$3*L132/Prices!C132,O$3*M132*N133)</f>
        <v>7.9612073085235844E-4</v>
      </c>
      <c r="P133" s="14"/>
      <c r="Q133" s="9">
        <f ca="1">Q132-T133*Prices!C133</f>
        <v>1.4857942355905818</v>
      </c>
      <c r="R133" s="1">
        <f t="shared" ca="1" si="17"/>
        <v>6.2626418001245684E-3</v>
      </c>
      <c r="S133" s="9">
        <f ca="1">IF(Prices!C132&lt;OFFSET(Prices!C132,-S$3,0),1,IF(Prices!C132&gt;OFFSET(Prices!C132,-S$3,0),-1,0))</f>
        <v>1</v>
      </c>
      <c r="T133" s="1">
        <f ca="1">IF(S133=1,T$3*Q132/Prices!C132,T$3*R132*S133)</f>
        <v>2.2777984092917946E-4</v>
      </c>
      <c r="V133" s="9"/>
      <c r="W133" s="1"/>
      <c r="X133" s="1"/>
      <c r="Y133" s="1"/>
      <c r="Z133" s="1"/>
      <c r="AA133" s="1"/>
      <c r="AB133" s="1"/>
      <c r="AC133" s="1"/>
      <c r="AD133" s="1"/>
      <c r="AE133" s="16"/>
    </row>
    <row r="134" spans="1:31" x14ac:dyDescent="0.2">
      <c r="A134" s="4">
        <v>33694</v>
      </c>
      <c r="B134" s="9">
        <f ca="1">Prices!C133*(1+J134/(50*(ABS(O134)+ABS(T134)+0.0001)))</f>
        <v>131.46197035825813</v>
      </c>
      <c r="C134" s="13">
        <f t="shared" ca="1" si="12"/>
        <v>-1</v>
      </c>
      <c r="D134" s="9">
        <f ca="1">D133+C134*(Prices!C134-Prices!C133)/Prices!C133</f>
        <v>3.705188274007281E-2</v>
      </c>
      <c r="E134" s="9">
        <f t="shared" ca="1" si="13"/>
        <v>2.9293141163329088E-2</v>
      </c>
      <c r="F134" s="9">
        <f t="shared" ca="1" si="14"/>
        <v>6.6345023903401898E-2</v>
      </c>
      <c r="G134" s="13">
        <f ca="1">IF((Prices!C134-Prices!C133)*C134&gt;0,1,0)</f>
        <v>1</v>
      </c>
      <c r="H134" s="9">
        <f>ABS(Prices!C134-Prices!C133)/Prices!C133</f>
        <v>1.0521569216895745E-3</v>
      </c>
      <c r="I134" s="13"/>
      <c r="J134" s="1">
        <f t="shared" ca="1" si="15"/>
        <v>-8.216643241400895E-4</v>
      </c>
      <c r="K134" s="9"/>
      <c r="L134" s="9">
        <f ca="1">L133-O134*Prices!C134</f>
        <v>1.0927643333661732</v>
      </c>
      <c r="M134" s="1">
        <f t="shared" ca="1" si="16"/>
        <v>9.4049215176388659E-3</v>
      </c>
      <c r="N134" s="9">
        <f ca="1">IF(Prices!D133&gt;OFFSET(Prices!D133,-$N$3,0),1,IF(Prices!D133&lt;OFFSET(Prices!D133,-$N$3,0),-1,0))</f>
        <v>-1</v>
      </c>
      <c r="O134" s="1">
        <f ca="1">IF(N134=1,O$3*L133/Prices!C133,O$3*M133*N134)</f>
        <v>-1.0449912797376518E-3</v>
      </c>
      <c r="P134" s="14"/>
      <c r="Q134" s="9">
        <f ca="1">Q133-T134*Prices!C134</f>
        <v>1.4561096166525538</v>
      </c>
      <c r="R134" s="1">
        <f t="shared" ca="1" si="17"/>
        <v>6.4859687557221306E-3</v>
      </c>
      <c r="S134" s="9">
        <f ca="1">IF(Prices!C133&lt;OFFSET(Prices!C133,-S$3,0),1,IF(Prices!C133&gt;OFFSET(Prices!C133,-S$3,0),-1,0))</f>
        <v>1</v>
      </c>
      <c r="T134" s="1">
        <f ca="1">IF(S134=1,T$3*Q133/Prices!C133,T$3*R133*S134)</f>
        <v>2.2332695559756227E-4</v>
      </c>
      <c r="V134" s="9"/>
      <c r="W134" s="1"/>
      <c r="X134" s="1"/>
      <c r="Y134" s="1"/>
      <c r="Z134" s="1"/>
      <c r="AA134" s="1"/>
      <c r="AB134" s="1"/>
      <c r="AC134" s="1"/>
      <c r="AD134" s="1"/>
      <c r="AE134" s="16"/>
    </row>
    <row r="135" spans="1:31" x14ac:dyDescent="0.2">
      <c r="A135" s="4">
        <v>33695</v>
      </c>
      <c r="B135" s="9">
        <f ca="1">Prices!C134*(1+J135/(50*(ABS(O135)+ABS(T135)+0.0001)))</f>
        <v>134.74529553999909</v>
      </c>
      <c r="C135" s="13">
        <f t="shared" ca="1" si="12"/>
        <v>1</v>
      </c>
      <c r="D135" s="9">
        <f ca="1">D134+C135*(Prices!C135-Prices!C134)/Prices!C134</f>
        <v>4.8938731972694029E-2</v>
      </c>
      <c r="E135" s="9">
        <f t="shared" ca="1" si="13"/>
        <v>1.7406291930707869E-2</v>
      </c>
      <c r="F135" s="9">
        <f t="shared" ca="1" si="14"/>
        <v>6.6345023903401898E-2</v>
      </c>
      <c r="G135" s="13">
        <f ca="1">IF((Prices!C135-Prices!C134)*C135&gt;0,1,0)</f>
        <v>1</v>
      </c>
      <c r="H135" s="9">
        <f>ABS(Prices!C135-Prices!C134)/Prices!C134</f>
        <v>1.1886849232621221E-2</v>
      </c>
      <c r="I135" s="13"/>
      <c r="J135" s="1">
        <f t="shared" ca="1" si="15"/>
        <v>2.1909563897871712E-4</v>
      </c>
      <c r="K135" s="9"/>
      <c r="L135" s="9">
        <f ca="1">L134-O135*Prices!C135</f>
        <v>1.0927643333661732</v>
      </c>
      <c r="M135" s="1">
        <f t="shared" ca="1" si="16"/>
        <v>9.4049215176388659E-3</v>
      </c>
      <c r="N135" s="9">
        <f ca="1">IF(Prices!D134&gt;OFFSET(Prices!D134,-$N$3,0),1,IF(Prices!D134&lt;OFFSET(Prices!D134,-$N$3,0),-1,0))</f>
        <v>0</v>
      </c>
      <c r="O135" s="1">
        <f ca="1">IF(N135=1,O$3*L134/Prices!C134,O$3*M134*N135)</f>
        <v>0</v>
      </c>
      <c r="P135" s="14"/>
      <c r="Q135" s="9">
        <f ca="1">Q134-T135*Prices!C135</f>
        <v>1.4266412532099164</v>
      </c>
      <c r="R135" s="1">
        <f t="shared" ca="1" si="17"/>
        <v>6.7050643947008477E-3</v>
      </c>
      <c r="S135" s="9">
        <f ca="1">IF(Prices!C134&lt;OFFSET(Prices!C134,-S$3,0),1,IF(Prices!C134&gt;OFFSET(Prices!C134,-S$3,0),-1,0))</f>
        <v>1</v>
      </c>
      <c r="T135" s="1">
        <f ca="1">IF(S135=1,T$3*Q134/Prices!C134,T$3*R134*S135)</f>
        <v>2.1909563897871712E-4</v>
      </c>
      <c r="V135" s="9"/>
      <c r="W135" s="1"/>
      <c r="X135" s="1"/>
      <c r="Y135" s="1"/>
      <c r="Z135" s="1"/>
      <c r="AA135" s="1"/>
      <c r="AB135" s="1"/>
      <c r="AC135" s="1"/>
      <c r="AD135" s="1"/>
      <c r="AE135" s="16"/>
    </row>
    <row r="136" spans="1:31" x14ac:dyDescent="0.2">
      <c r="A136" s="4">
        <v>33696</v>
      </c>
      <c r="B136" s="9">
        <f ca="1">Prices!C135*(1+J136/(50*(ABS(O136)+ABS(T136)+0.0001)))</f>
        <v>132.03901541156091</v>
      </c>
      <c r="C136" s="13">
        <f t="shared" ca="1" si="12"/>
        <v>-1</v>
      </c>
      <c r="D136" s="9">
        <f ca="1">D135+C136*(Prices!C136-Prices!C135)/Prices!C135</f>
        <v>5.3920144612099138E-2</v>
      </c>
      <c r="E136" s="9">
        <f t="shared" ca="1" si="13"/>
        <v>1.2424879291302759E-2</v>
      </c>
      <c r="F136" s="9">
        <f t="shared" ca="1" si="14"/>
        <v>6.6345023903401898E-2</v>
      </c>
      <c r="G136" s="13">
        <f ca="1">IF((Prices!C136-Prices!C135)*C136&gt;0,1,0)</f>
        <v>1</v>
      </c>
      <c r="H136" s="9">
        <f>ABS(Prices!C136-Prices!C135)/Prices!C135</f>
        <v>4.9814126394051115E-3</v>
      </c>
      <c r="I136" s="13"/>
      <c r="J136" s="1">
        <f t="shared" ca="1" si="15"/>
        <v>-1.0745934396579036E-3</v>
      </c>
      <c r="K136" s="9"/>
      <c r="L136" s="9">
        <f ca="1">L135-O136*Prices!C136</f>
        <v>1.2186303980367341</v>
      </c>
      <c r="M136" s="1">
        <f t="shared" ca="1" si="16"/>
        <v>8.4644293658749786E-3</v>
      </c>
      <c r="N136" s="9">
        <f ca="1">IF(Prices!D135&gt;OFFSET(Prices!D135,-$N$3,0),1,IF(Prices!D135&lt;OFFSET(Prices!D135,-$N$3,0),-1,0))</f>
        <v>-1</v>
      </c>
      <c r="O136" s="1">
        <f ca="1">IF(N136=1,O$3*L135/Prices!C135,O$3*M135*N136)</f>
        <v>-9.4049215176388663E-4</v>
      </c>
      <c r="P136" s="14"/>
      <c r="Q136" s="9">
        <f ca="1">Q135-T136*Prices!C136</f>
        <v>1.4445880285687727</v>
      </c>
      <c r="R136" s="1">
        <f t="shared" ca="1" si="17"/>
        <v>6.5709631068068307E-3</v>
      </c>
      <c r="S136" s="9">
        <f ca="1">IF(Prices!C135&lt;OFFSET(Prices!C135,-S$3,0),1,IF(Prices!C135&gt;OFFSET(Prices!C135,-S$3,0),-1,0))</f>
        <v>-1</v>
      </c>
      <c r="T136" s="1">
        <f ca="1">IF(S136=1,T$3*Q135/Prices!C135,T$3*R135*S136)</f>
        <v>-1.3410128789401694E-4</v>
      </c>
      <c r="V136" s="9"/>
      <c r="W136" s="1"/>
      <c r="X136" s="1"/>
      <c r="Y136" s="1"/>
      <c r="Z136" s="1"/>
      <c r="AA136" s="1"/>
      <c r="AB136" s="1"/>
      <c r="AC136" s="1"/>
      <c r="AD136" s="1"/>
      <c r="AE136" s="16"/>
    </row>
    <row r="137" spans="1:31" x14ac:dyDescent="0.2">
      <c r="A137" s="4">
        <v>33697</v>
      </c>
      <c r="B137" s="9">
        <f ca="1">Prices!C136*(1+J137/(50*(ABS(O137)+ABS(T137)+0.0001)))</f>
        <v>131.40172487892883</v>
      </c>
      <c r="C137" s="13">
        <f t="shared" ca="1" si="12"/>
        <v>-1</v>
      </c>
      <c r="D137" s="9">
        <f ca="1">D136+C137*(Prices!C137-Prices!C136)/Prices!C136</f>
        <v>5.8254000997065236E-2</v>
      </c>
      <c r="E137" s="9">
        <f t="shared" ca="1" si="13"/>
        <v>8.0910229063366618E-3</v>
      </c>
      <c r="F137" s="9">
        <f t="shared" ca="1" si="14"/>
        <v>6.6345023903401898E-2</v>
      </c>
      <c r="G137" s="13">
        <f ca="1">IF((Prices!C137-Prices!C136)*C137&gt;0,1,0)</f>
        <v>1</v>
      </c>
      <c r="H137" s="9">
        <f>ABS(Prices!C137-Prices!C136)/Prices!C136</f>
        <v>4.3338563849660951E-3</v>
      </c>
      <c r="I137" s="13"/>
      <c r="J137" s="1">
        <f t="shared" ca="1" si="15"/>
        <v>-9.7786219872363447E-4</v>
      </c>
      <c r="K137" s="9"/>
      <c r="L137" s="9">
        <f ca="1">L136-O137*Prices!C137</f>
        <v>1.3314189193370183</v>
      </c>
      <c r="M137" s="1">
        <f t="shared" ca="1" si="16"/>
        <v>7.6179864292874808E-3</v>
      </c>
      <c r="N137" s="9">
        <f ca="1">IF(Prices!D136&gt;OFFSET(Prices!D136,-$N$3,0),1,IF(Prices!D136&lt;OFFSET(Prices!D136,-$N$3,0),-1,0))</f>
        <v>-1</v>
      </c>
      <c r="O137" s="1">
        <f ca="1">IF(N137=1,O$3*L136/Prices!C136,O$3*M136*N137)</f>
        <v>-8.4644293658749786E-4</v>
      </c>
      <c r="P137" s="14"/>
      <c r="Q137" s="9">
        <f ca="1">Q136-T137*Prices!C137</f>
        <v>1.462099645248413</v>
      </c>
      <c r="R137" s="1">
        <f t="shared" ca="1" si="17"/>
        <v>6.4395438446706943E-3</v>
      </c>
      <c r="S137" s="9">
        <f ca="1">IF(Prices!C136&lt;OFFSET(Prices!C136,-S$3,0),1,IF(Prices!C136&gt;OFFSET(Prices!C136,-S$3,0),-1,0))</f>
        <v>-1</v>
      </c>
      <c r="T137" s="1">
        <f ca="1">IF(S137=1,T$3*Q136/Prices!C136,T$3*R136*S137)</f>
        <v>-1.3141926213613661E-4</v>
      </c>
      <c r="V137" s="9"/>
      <c r="W137" s="1"/>
      <c r="X137" s="1"/>
      <c r="Y137" s="1"/>
      <c r="Z137" s="1"/>
      <c r="AA137" s="1"/>
      <c r="AB137" s="1"/>
      <c r="AC137" s="1"/>
      <c r="AD137" s="1"/>
      <c r="AE137" s="16"/>
    </row>
    <row r="138" spans="1:31" x14ac:dyDescent="0.2">
      <c r="A138" s="4">
        <v>33700</v>
      </c>
      <c r="B138" s="9">
        <f ca="1">Prices!C137*(1+J138/(50*(ABS(O138)+ABS(T138)+0.0001)))</f>
        <v>130.85403171764611</v>
      </c>
      <c r="C138" s="13">
        <f t="shared" ca="1" si="12"/>
        <v>-1</v>
      </c>
      <c r="D138" s="9">
        <f ca="1">D137+C138*(Prices!C138-Prices!C137)/Prices!C137</f>
        <v>6.2231486925770685E-2</v>
      </c>
      <c r="E138" s="9">
        <f t="shared" ca="1" si="13"/>
        <v>4.1135369776312131E-3</v>
      </c>
      <c r="F138" s="9">
        <f t="shared" ca="1" si="14"/>
        <v>6.6345023903401898E-2</v>
      </c>
      <c r="G138" s="13">
        <f ca="1">IF((Prices!C138-Prices!C137)*C138&gt;0,1,0)</f>
        <v>1</v>
      </c>
      <c r="H138" s="9">
        <f>ABS(Prices!C138-Prices!C137)/Prices!C137</f>
        <v>3.9774859287054496E-3</v>
      </c>
      <c r="I138" s="13"/>
      <c r="J138" s="1">
        <f t="shared" ca="1" si="15"/>
        <v>-8.905895198221621E-4</v>
      </c>
      <c r="K138" s="9"/>
      <c r="L138" s="9">
        <f ca="1">L137-O138*Prices!C138</f>
        <v>1.4325248352265216</v>
      </c>
      <c r="M138" s="1">
        <f t="shared" ca="1" si="16"/>
        <v>6.856187786358733E-3</v>
      </c>
      <c r="N138" s="9">
        <f ca="1">IF(Prices!D137&gt;OFFSET(Prices!D137,-$N$3,0),1,IF(Prices!D137&lt;OFFSET(Prices!D137,-$N$3,0),-1,0))</f>
        <v>-1</v>
      </c>
      <c r="O138" s="1">
        <f ca="1">IF(N138=1,O$3*L137/Prices!C137,O$3*M137*N138)</f>
        <v>-7.6179864292874816E-4</v>
      </c>
      <c r="P138" s="14"/>
      <c r="Q138" s="9">
        <f ca="1">Q137-T138*Prices!C138</f>
        <v>1.4791927704297068</v>
      </c>
      <c r="R138" s="1">
        <f t="shared" ca="1" si="17"/>
        <v>6.3107529677772804E-3</v>
      </c>
      <c r="S138" s="9">
        <f ca="1">IF(Prices!C137&lt;OFFSET(Prices!C137,-S$3,0),1,IF(Prices!C137&gt;OFFSET(Prices!C137,-S$3,0),-1,0))</f>
        <v>-1</v>
      </c>
      <c r="T138" s="1">
        <f ca="1">IF(S138=1,T$3*Q137/Prices!C137,T$3*R137*S138)</f>
        <v>-1.2879087689341388E-4</v>
      </c>
      <c r="V138" s="9"/>
      <c r="W138" s="1"/>
      <c r="X138" s="1"/>
      <c r="Y138" s="1"/>
      <c r="Z138" s="1"/>
      <c r="AA138" s="1"/>
      <c r="AB138" s="1"/>
      <c r="AC138" s="1"/>
      <c r="AD138" s="1"/>
      <c r="AE138" s="16"/>
    </row>
    <row r="139" spans="1:31" x14ac:dyDescent="0.2">
      <c r="A139" s="4">
        <v>33701</v>
      </c>
      <c r="B139" s="9">
        <f ca="1">Prices!C138*(1+J139/(50*(ABS(O139)+ABS(T139)+0.0001)))</f>
        <v>131.50215041973459</v>
      </c>
      <c r="C139" s="13">
        <f t="shared" ca="1" si="12"/>
        <v>-1</v>
      </c>
      <c r="D139" s="9">
        <f ca="1">D138+C139*(Prices!C139-Prices!C138)/Prices!C138</f>
        <v>5.8012077643070245E-2</v>
      </c>
      <c r="E139" s="9">
        <f t="shared" ca="1" si="13"/>
        <v>8.3329462603316529E-3</v>
      </c>
      <c r="F139" s="9">
        <f t="shared" ca="1" si="14"/>
        <v>6.6345023903401898E-2</v>
      </c>
      <c r="G139" s="13">
        <f ca="1">IF((Prices!C139-Prices!C138)*C139&gt;0,1,0)</f>
        <v>0</v>
      </c>
      <c r="H139" s="9">
        <f>ABS(Prices!C139-Prices!C138)/Prices!C138</f>
        <v>4.2194092827004389E-3</v>
      </c>
      <c r="I139" s="13"/>
      <c r="J139" s="1">
        <f t="shared" ca="1" si="15"/>
        <v>-4.6271450340535693E-4</v>
      </c>
      <c r="K139" s="9"/>
      <c r="L139" s="9">
        <f ca="1">L138-O139*Prices!C139</f>
        <v>1.5239041060431109</v>
      </c>
      <c r="M139" s="1">
        <f t="shared" ca="1" si="16"/>
        <v>6.1705690077228596E-3</v>
      </c>
      <c r="N139" s="9">
        <f ca="1">IF(Prices!D138&gt;OFFSET(Prices!D138,-$N$3,0),1,IF(Prices!D138&lt;OFFSET(Prices!D138,-$N$3,0),-1,0))</f>
        <v>-1</v>
      </c>
      <c r="O139" s="1">
        <f ca="1">IF(N139=1,O$3*L138/Prices!C138,O$3*M138*N139)</f>
        <v>-6.8561877863587337E-4</v>
      </c>
      <c r="P139" s="14"/>
      <c r="Q139" s="9">
        <f ca="1">Q138-T139*Prices!C139</f>
        <v>1.4494840886269835</v>
      </c>
      <c r="R139" s="1">
        <f t="shared" ca="1" si="17"/>
        <v>6.5336572430077971E-3</v>
      </c>
      <c r="S139" s="9">
        <f ca="1">IF(Prices!C138&lt;OFFSET(Prices!C138,-S$3,0),1,IF(Prices!C138&gt;OFFSET(Prices!C138,-S$3,0),-1,0))</f>
        <v>1</v>
      </c>
      <c r="T139" s="1">
        <f ca="1">IF(S139=1,T$3*Q138/Prices!C138,T$3*R138*S139)</f>
        <v>2.2290427523051642E-4</v>
      </c>
      <c r="V139" s="9"/>
      <c r="W139" s="1"/>
      <c r="X139" s="1"/>
      <c r="Y139" s="1"/>
      <c r="Z139" s="1"/>
      <c r="AA139" s="1"/>
      <c r="AB139" s="1"/>
      <c r="AC139" s="1"/>
      <c r="AD139" s="1"/>
      <c r="AE139" s="16"/>
    </row>
    <row r="140" spans="1:31" x14ac:dyDescent="0.2">
      <c r="A140" s="4">
        <v>33702</v>
      </c>
      <c r="B140" s="9">
        <f ca="1">Prices!C139*(1+J140/(50*(ABS(O140)+ABS(T140)+0.0001)))</f>
        <v>132.14039867806741</v>
      </c>
      <c r="C140" s="13">
        <f t="shared" ca="1" si="12"/>
        <v>-1</v>
      </c>
      <c r="D140" s="9">
        <f ca="1">D139+C140*(Prices!C140-Prices!C139)/Prices!C139</f>
        <v>6.3114118459396823E-2</v>
      </c>
      <c r="E140" s="9">
        <f t="shared" ca="1" si="13"/>
        <v>3.230905444005075E-3</v>
      </c>
      <c r="F140" s="9">
        <f t="shared" ca="1" si="14"/>
        <v>6.6345023903401898E-2</v>
      </c>
      <c r="G140" s="13">
        <f ca="1">IF((Prices!C140-Prices!C139)*C140&gt;0,1,0)</f>
        <v>1</v>
      </c>
      <c r="H140" s="9">
        <f>ABS(Prices!C140-Prices!C139)/Prices!C139</f>
        <v>5.1020408163265814E-3</v>
      </c>
      <c r="I140" s="13"/>
      <c r="J140" s="1">
        <f t="shared" ca="1" si="15"/>
        <v>-3.9954728363138215E-4</v>
      </c>
      <c r="K140" s="9"/>
      <c r="L140" s="9">
        <f ca="1">L139-O140*Prices!C140</f>
        <v>1.6057258510855159</v>
      </c>
      <c r="M140" s="1">
        <f t="shared" ca="1" si="16"/>
        <v>5.5535121069505734E-3</v>
      </c>
      <c r="N140" s="9">
        <f ca="1">IF(Prices!D139&gt;OFFSET(Prices!D139,-$N$3,0),1,IF(Prices!D139&lt;OFFSET(Prices!D139,-$N$3,0),-1,0))</f>
        <v>-1</v>
      </c>
      <c r="O140" s="1">
        <f ca="1">IF(N140=1,O$3*L139/Prices!C139,O$3*M139*N140)</f>
        <v>-6.1705690077228602E-4</v>
      </c>
      <c r="P140" s="14"/>
      <c r="Q140" s="9">
        <f ca="1">Q139-T140*Prices!C140</f>
        <v>1.4206423133940997</v>
      </c>
      <c r="R140" s="1">
        <f t="shared" ca="1" si="17"/>
        <v>6.7511668601487008E-3</v>
      </c>
      <c r="S140" s="9">
        <f ca="1">IF(Prices!C139&lt;OFFSET(Prices!C139,-S$3,0),1,IF(Prices!C139&gt;OFFSET(Prices!C139,-S$3,0),-1,0))</f>
        <v>1</v>
      </c>
      <c r="T140" s="1">
        <f ca="1">IF(S140=1,T$3*Q139/Prices!C139,T$3*R139*S140)</f>
        <v>2.175096171409039E-4</v>
      </c>
      <c r="V140" s="9"/>
      <c r="W140" s="1"/>
      <c r="X140" s="1"/>
      <c r="Y140" s="1"/>
      <c r="Z140" s="1"/>
      <c r="AA140" s="1"/>
      <c r="AB140" s="1"/>
      <c r="AC140" s="1"/>
      <c r="AD140" s="1"/>
      <c r="AE140" s="16"/>
    </row>
    <row r="141" spans="1:31" x14ac:dyDescent="0.2">
      <c r="A141" s="4">
        <v>33703</v>
      </c>
      <c r="B141" s="9">
        <f ca="1">Prices!C140*(1+J141/(50*(ABS(O141)+ABS(T141)+0.0001)))</f>
        <v>135.07812452721095</v>
      </c>
      <c r="C141" s="13">
        <f t="shared" ca="1" si="12"/>
        <v>1</v>
      </c>
      <c r="D141" s="9">
        <f ca="1">D140+C141*(Prices!C141-Prices!C140)/Prices!C140</f>
        <v>6.0323771551402824E-2</v>
      </c>
      <c r="E141" s="9">
        <f t="shared" ca="1" si="13"/>
        <v>6.0212523519990735E-3</v>
      </c>
      <c r="F141" s="9">
        <f t="shared" ca="1" si="14"/>
        <v>6.6345023903401898E-2</v>
      </c>
      <c r="G141" s="13">
        <f ca="1">IF((Prices!C141-Prices!C140)*C141&gt;0,1,0)</f>
        <v>0</v>
      </c>
      <c r="H141" s="9">
        <f>ABS(Prices!C141-Prices!C140)/Prices!C140</f>
        <v>2.7903469079940011E-3</v>
      </c>
      <c r="I141" s="13"/>
      <c r="J141" s="1">
        <f t="shared" ca="1" si="15"/>
        <v>1.4252294975598311E-3</v>
      </c>
      <c r="K141" s="9"/>
      <c r="L141" s="9">
        <f ca="1">L140-O141*Prices!C141</f>
        <v>1.4456013191933306</v>
      </c>
      <c r="M141" s="1">
        <f t="shared" ca="1" si="16"/>
        <v>6.7644667457782623E-3</v>
      </c>
      <c r="N141" s="9">
        <f ca="1">IF(Prices!D140&gt;OFFSET(Prices!D140,-$N$3,0),1,IF(Prices!D140&lt;OFFSET(Prices!D140,-$N$3,0),-1,0))</f>
        <v>1</v>
      </c>
      <c r="O141" s="1">
        <f ca="1">IF(N141=1,O$3*L140/Prices!C140,O$3*M140*N141)</f>
        <v>1.2109546388276893E-3</v>
      </c>
      <c r="P141" s="14"/>
      <c r="Q141" s="9">
        <f ca="1">Q140-T141*Prices!C141</f>
        <v>1.3923087488239487</v>
      </c>
      <c r="R141" s="1">
        <f t="shared" ca="1" si="17"/>
        <v>6.9654417188808422E-3</v>
      </c>
      <c r="S141" s="9">
        <f ca="1">IF(Prices!C140&lt;OFFSET(Prices!C140,-S$3,0),1,IF(Prices!C140&gt;OFFSET(Prices!C140,-S$3,0),-1,0))</f>
        <v>1</v>
      </c>
      <c r="T141" s="1">
        <f ca="1">IF(S141=1,T$3*Q140/Prices!C140,T$3*R140*S141)</f>
        <v>2.1427485873214177E-4</v>
      </c>
      <c r="V141" s="9"/>
      <c r="W141" s="1"/>
      <c r="X141" s="1"/>
      <c r="Y141" s="1"/>
      <c r="Z141" s="1"/>
      <c r="AA141" s="1"/>
      <c r="AB141" s="1"/>
      <c r="AC141" s="1"/>
      <c r="AD141" s="1"/>
      <c r="AE141" s="16"/>
    </row>
    <row r="142" spans="1:31" x14ac:dyDescent="0.2">
      <c r="A142" s="4">
        <v>33704</v>
      </c>
      <c r="B142" s="9">
        <f ca="1">Prices!C141*(1+J142/(50*(ABS(O142)+ABS(T142)+0.0001)))</f>
        <v>130.98181061033</v>
      </c>
      <c r="C142" s="13">
        <f t="shared" ca="1" si="12"/>
        <v>-1</v>
      </c>
      <c r="D142" s="9">
        <f ca="1">D141+C142*(Prices!C142-Prices!C141)/Prices!C141</f>
        <v>5.5256842715283819E-2</v>
      </c>
      <c r="E142" s="9">
        <f t="shared" ca="1" si="13"/>
        <v>1.1088181188118079E-2</v>
      </c>
      <c r="F142" s="9">
        <f t="shared" ca="1" si="14"/>
        <v>6.6345023903401898E-2</v>
      </c>
      <c r="G142" s="13">
        <f ca="1">IF((Prices!C142-Prices!C141)*C142&gt;0,1,0)</f>
        <v>0</v>
      </c>
      <c r="H142" s="9">
        <f>ABS(Prices!C142-Prices!C141)/Prices!C141</f>
        <v>5.0669288361190048E-3</v>
      </c>
      <c r="I142" s="13"/>
      <c r="J142" s="1">
        <f t="shared" ca="1" si="15"/>
        <v>-4.6585773881076145E-4</v>
      </c>
      <c r="K142" s="9"/>
      <c r="L142" s="9">
        <f ca="1">L141-O142*Prices!C142</f>
        <v>1.5355010822447237</v>
      </c>
      <c r="M142" s="1">
        <f t="shared" ca="1" si="16"/>
        <v>6.0880200712004357E-3</v>
      </c>
      <c r="N142" s="9">
        <f ca="1">IF(Prices!D141&gt;OFFSET(Prices!D141,-$N$3,0),1,IF(Prices!D141&lt;OFFSET(Prices!D141,-$N$3,0),-1,0))</f>
        <v>-1</v>
      </c>
      <c r="O142" s="1">
        <f ca="1">IF(N142=1,O$3*L141/Prices!C141,O$3*M141*N142)</f>
        <v>-6.7644667457782625E-4</v>
      </c>
      <c r="P142" s="14"/>
      <c r="Q142" s="9">
        <f ca="1">Q141-T142*Prices!C142</f>
        <v>1.3643214792605058</v>
      </c>
      <c r="R142" s="1">
        <f t="shared" ca="1" si="17"/>
        <v>7.176030654647907E-3</v>
      </c>
      <c r="S142" s="9">
        <f ca="1">IF(Prices!C141&lt;OFFSET(Prices!C141,-S$3,0),1,IF(Prices!C141&gt;OFFSET(Prices!C141,-S$3,0),-1,0))</f>
        <v>1</v>
      </c>
      <c r="T142" s="1">
        <f ca="1">IF(S142=1,T$3*Q141/Prices!C141,T$3*R141*S142)</f>
        <v>2.105889357670648E-4</v>
      </c>
      <c r="V142" s="9"/>
      <c r="W142" s="1"/>
      <c r="X142" s="1"/>
      <c r="Y142" s="1"/>
      <c r="Z142" s="1"/>
      <c r="AA142" s="1"/>
      <c r="AB142" s="1"/>
      <c r="AC142" s="1"/>
      <c r="AD142" s="1"/>
      <c r="AE142" s="16"/>
    </row>
    <row r="143" spans="1:31" x14ac:dyDescent="0.2">
      <c r="A143" s="4">
        <v>33707</v>
      </c>
      <c r="B143" s="9">
        <f ca="1">Prices!C142*(1+J143/(50*(ABS(O143)+ABS(T143)+0.0001)))</f>
        <v>130.55385374375442</v>
      </c>
      <c r="C143" s="13">
        <f t="shared" ca="1" si="12"/>
        <v>-1</v>
      </c>
      <c r="D143" s="9">
        <f ca="1">D142+C143*(Prices!C143-Prices!C142)/Prices!C142</f>
        <v>5.2397550014004694E-2</v>
      </c>
      <c r="E143" s="9">
        <f t="shared" ca="1" si="13"/>
        <v>1.3947473889397204E-2</v>
      </c>
      <c r="F143" s="9">
        <f t="shared" ca="1" si="14"/>
        <v>6.6345023903401898E-2</v>
      </c>
      <c r="G143" s="13">
        <f ca="1">IF((Prices!C143-Prices!C142)*C143&gt;0,1,0)</f>
        <v>0</v>
      </c>
      <c r="H143" s="9">
        <f>ABS(Prices!C143-Prices!C142)/Prices!C142</f>
        <v>2.8592927012791231E-3</v>
      </c>
      <c r="I143" s="13"/>
      <c r="J143" s="1">
        <f t="shared" ca="1" si="15"/>
        <v>-7.5232262021300176E-4</v>
      </c>
      <c r="K143" s="9"/>
      <c r="L143" s="9">
        <f ca="1">L142-O143*Prices!C143</f>
        <v>1.6166422137536831</v>
      </c>
      <c r="M143" s="1">
        <f t="shared" ca="1" si="16"/>
        <v>5.4792180640803921E-3</v>
      </c>
      <c r="N143" s="9">
        <f ca="1">IF(Prices!D142&gt;OFFSET(Prices!D142,-$N$3,0),1,IF(Prices!D142&lt;OFFSET(Prices!D142,-$N$3,0),-1,0))</f>
        <v>-1</v>
      </c>
      <c r="O143" s="1">
        <f ca="1">IF(N143=1,O$3*L142/Prices!C142,O$3*M142*N143)</f>
        <v>-6.0880200712004357E-4</v>
      </c>
      <c r="P143" s="14"/>
      <c r="Q143" s="9">
        <f ca="1">Q142-T143*Prices!C143</f>
        <v>1.3834499065735353</v>
      </c>
      <c r="R143" s="1">
        <f t="shared" ca="1" si="17"/>
        <v>7.0325100415549492E-3</v>
      </c>
      <c r="S143" s="9">
        <f ca="1">IF(Prices!C142&lt;OFFSET(Prices!C142,-S$3,0),1,IF(Prices!C142&gt;OFFSET(Prices!C142,-S$3,0),-1,0))</f>
        <v>-1</v>
      </c>
      <c r="T143" s="1">
        <f ca="1">IF(S143=1,T$3*Q142/Prices!C142,T$3*R142*S143)</f>
        <v>-1.4352061309295814E-4</v>
      </c>
      <c r="V143" s="9"/>
      <c r="W143" s="1"/>
      <c r="X143" s="1"/>
      <c r="Y143" s="1"/>
      <c r="Z143" s="1"/>
      <c r="AA143" s="1"/>
      <c r="AB143" s="1"/>
      <c r="AC143" s="1"/>
      <c r="AD143" s="1"/>
      <c r="AE143" s="16"/>
    </row>
    <row r="144" spans="1:31" x14ac:dyDescent="0.2">
      <c r="A144" s="4">
        <v>33708</v>
      </c>
      <c r="B144" s="9">
        <f ca="1">Prices!C143*(1+J144/(50*(ABS(O144)+ABS(T144)+0.0001)))</f>
        <v>131.02580766889412</v>
      </c>
      <c r="C144" s="13">
        <f t="shared" ca="1" si="12"/>
        <v>-1</v>
      </c>
      <c r="D144" s="9">
        <f ca="1">D143+C144*(Prices!C144-Prices!C143)/Prices!C143</f>
        <v>5.6074020602240059E-2</v>
      </c>
      <c r="E144" s="9">
        <f t="shared" ca="1" si="13"/>
        <v>1.0271003301161839E-2</v>
      </c>
      <c r="F144" s="9">
        <f t="shared" ca="1" si="14"/>
        <v>6.6345023903401898E-2</v>
      </c>
      <c r="G144" s="13">
        <f ca="1">IF((Prices!C144-Prices!C143)*C144&gt;0,1,0)</f>
        <v>1</v>
      </c>
      <c r="H144" s="9">
        <f>ABS(Prices!C144-Prices!C143)/Prices!C143</f>
        <v>3.6764705882353622E-3</v>
      </c>
      <c r="I144" s="13"/>
      <c r="J144" s="1">
        <f t="shared" ca="1" si="15"/>
        <v>-5.4792180640803924E-4</v>
      </c>
      <c r="K144" s="9"/>
      <c r="L144" s="9">
        <f ca="1">L143-O144*Prices!C144</f>
        <v>1.6894007504266066</v>
      </c>
      <c r="M144" s="1">
        <f t="shared" ca="1" si="16"/>
        <v>4.931296257672353E-3</v>
      </c>
      <c r="N144" s="9">
        <f ca="1">IF(Prices!D143&gt;OFFSET(Prices!D143,-$N$3,0),1,IF(Prices!D143&lt;OFFSET(Prices!D143,-$N$3,0),-1,0))</f>
        <v>-1</v>
      </c>
      <c r="O144" s="1">
        <f ca="1">IF(N144=1,O$3*L143/Prices!C143,O$3*M143*N144)</f>
        <v>-5.4792180640803924E-4</v>
      </c>
      <c r="P144" s="14"/>
      <c r="Q144" s="9">
        <f ca="1">Q143-T144*Prices!C144</f>
        <v>1.3834499065735353</v>
      </c>
      <c r="R144" s="1">
        <f t="shared" ca="1" si="17"/>
        <v>7.0325100415549492E-3</v>
      </c>
      <c r="S144" s="9">
        <f ca="1">IF(Prices!C143&lt;OFFSET(Prices!C143,-S$3,0),1,IF(Prices!C143&gt;OFFSET(Prices!C143,-S$3,0),-1,0))</f>
        <v>0</v>
      </c>
      <c r="T144" s="1">
        <f ca="1">IF(S144=1,T$3*Q143/Prices!C143,T$3*R143*S144)</f>
        <v>0</v>
      </c>
      <c r="V144" s="9"/>
      <c r="W144" s="1"/>
      <c r="X144" s="1"/>
      <c r="Y144" s="1"/>
      <c r="Z144" s="1"/>
      <c r="AA144" s="1"/>
      <c r="AB144" s="1"/>
      <c r="AC144" s="1"/>
      <c r="AD144" s="1"/>
      <c r="AE144" s="16"/>
    </row>
    <row r="145" spans="1:31" x14ac:dyDescent="0.2">
      <c r="A145" s="4">
        <v>33709</v>
      </c>
      <c r="B145" s="9">
        <f ca="1">Prices!C144*(1+J145/(50*(ABS(O145)+ABS(T145)+0.0001)))</f>
        <v>130.4961341802175</v>
      </c>
      <c r="C145" s="13">
        <f t="shared" ca="1" si="12"/>
        <v>-1</v>
      </c>
      <c r="D145" s="9">
        <f ca="1">D144+C145*(Prices!C145-Prices!C144)/Prices!C144</f>
        <v>5.1555608071176012E-2</v>
      </c>
      <c r="E145" s="9">
        <f t="shared" ca="1" si="13"/>
        <v>1.4789415832225886E-2</v>
      </c>
      <c r="F145" s="9">
        <f t="shared" ca="1" si="14"/>
        <v>6.6345023903401898E-2</v>
      </c>
      <c r="G145" s="13">
        <f ca="1">IF((Prices!C145-Prices!C144)*C145&gt;0,1,0)</f>
        <v>0</v>
      </c>
      <c r="H145" s="9">
        <f>ABS(Prices!C145-Prices!C144)/Prices!C144</f>
        <v>4.5184125310640437E-3</v>
      </c>
      <c r="I145" s="13"/>
      <c r="J145" s="1">
        <f t="shared" ca="1" si="15"/>
        <v>-6.3377982659833438E-4</v>
      </c>
      <c r="K145" s="9"/>
      <c r="L145" s="9">
        <f ca="1">L144-O145*Prices!C145</f>
        <v>1.7551793112076981</v>
      </c>
      <c r="M145" s="1">
        <f t="shared" ca="1" si="16"/>
        <v>4.438166631905118E-3</v>
      </c>
      <c r="N145" s="9">
        <f ca="1">IF(Prices!D144&gt;OFFSET(Prices!D144,-$N$3,0),1,IF(Prices!D144&lt;OFFSET(Prices!D144,-$N$3,0),-1,0))</f>
        <v>-1</v>
      </c>
      <c r="O145" s="1">
        <f ca="1">IF(N145=1,O$3*L144/Prices!C144,O$3*M144*N145)</f>
        <v>-4.9312962576723537E-4</v>
      </c>
      <c r="P145" s="14"/>
      <c r="Q145" s="9">
        <f ca="1">Q144-T145*Prices!C145</f>
        <v>1.4022112368623956</v>
      </c>
      <c r="R145" s="1">
        <f t="shared" ca="1" si="17"/>
        <v>6.8918598407238501E-3</v>
      </c>
      <c r="S145" s="9">
        <f ca="1">IF(Prices!C144&lt;OFFSET(Prices!C144,-S$3,0),1,IF(Prices!C144&gt;OFFSET(Prices!C144,-S$3,0),-1,0))</f>
        <v>-1</v>
      </c>
      <c r="T145" s="1">
        <f ca="1">IF(S145=1,T$3*Q144/Prices!C144,T$3*R144*S145)</f>
        <v>-1.4065020083109899E-4</v>
      </c>
      <c r="V145" s="9"/>
      <c r="W145" s="1"/>
      <c r="X145" s="1"/>
      <c r="Y145" s="1"/>
      <c r="Z145" s="1"/>
      <c r="AA145" s="1"/>
      <c r="AB145" s="1"/>
      <c r="AC145" s="1"/>
      <c r="AD145" s="1"/>
      <c r="AE145" s="16"/>
    </row>
    <row r="146" spans="1:31" x14ac:dyDescent="0.2">
      <c r="A146" s="4">
        <v>33710</v>
      </c>
      <c r="B146" s="9">
        <f ca="1">Prices!C145*(1+J146/(50*(ABS(O146)+ABS(T146)+0.0001)))</f>
        <v>135.41272799968891</v>
      </c>
      <c r="C146" s="13">
        <f t="shared" ref="C146:C209" ca="1" si="18">IF(J146&gt;0,1,IF(J146&lt;0,-1,0))</f>
        <v>1</v>
      </c>
      <c r="D146" s="9">
        <f ca="1">D145+C146*(Prices!C146-Prices!C145)/Prices!C145</f>
        <v>5.537898313677328E-2</v>
      </c>
      <c r="E146" s="9">
        <f t="shared" ref="E146:E209" ca="1" si="19">F146-D146</f>
        <v>1.0966040766628618E-2</v>
      </c>
      <c r="F146" s="9">
        <f t="shared" ref="F146:F209" ca="1" si="20">MAX(F145,D146)</f>
        <v>6.6345023903401898E-2</v>
      </c>
      <c r="G146" s="13">
        <f ca="1">IF((Prices!C146-Prices!C145)*C146&gt;0,1,0)</f>
        <v>1</v>
      </c>
      <c r="H146" s="9">
        <f>ABS(Prices!C146-Prices!C145)/Prices!C145</f>
        <v>3.8233750655972667E-3</v>
      </c>
      <c r="I146" s="13"/>
      <c r="J146" s="1">
        <f t="shared" ref="J146:J209" ca="1" si="21">O146+T146</f>
        <v>1.1779880608567864E-3</v>
      </c>
      <c r="K146" s="9"/>
      <c r="L146" s="9">
        <f ca="1">L145-O146*Prices!C146</f>
        <v>1.578990309205516</v>
      </c>
      <c r="M146" s="1">
        <f t="shared" ref="M146:M209" ca="1" si="22">M145+O146</f>
        <v>5.7539918895763813E-3</v>
      </c>
      <c r="N146" s="9">
        <f ca="1">IF(Prices!D145&gt;OFFSET(Prices!D145,-$N$3,0),1,IF(Prices!D145&lt;OFFSET(Prices!D145,-$N$3,0),-1,0))</f>
        <v>1</v>
      </c>
      <c r="O146" s="1">
        <f ca="1">IF(N146=1,O$3*L145/Prices!C145,O$3*M145*N146)</f>
        <v>1.3158252576712635E-3</v>
      </c>
      <c r="P146" s="14"/>
      <c r="Q146" s="9">
        <f ca="1">Q145-T146*Prices!C146</f>
        <v>1.420667637515854</v>
      </c>
      <c r="R146" s="1">
        <f t="shared" ref="R146:R209" ca="1" si="23">R145+T146</f>
        <v>6.754022643909373E-3</v>
      </c>
      <c r="S146" s="9">
        <f ca="1">IF(Prices!C145&lt;OFFSET(Prices!C145,-S$3,0),1,IF(Prices!C145&gt;OFFSET(Prices!C145,-S$3,0),-1,0))</f>
        <v>-1</v>
      </c>
      <c r="T146" s="1">
        <f ca="1">IF(S146=1,T$3*Q145/Prices!C145,T$3*R145*S146)</f>
        <v>-1.3783719681447702E-4</v>
      </c>
      <c r="V146" s="9"/>
      <c r="W146" s="1"/>
      <c r="X146" s="1"/>
      <c r="Y146" s="1"/>
      <c r="Z146" s="1"/>
      <c r="AA146" s="1"/>
      <c r="AB146" s="1"/>
      <c r="AC146" s="1"/>
      <c r="AD146" s="1"/>
      <c r="AE146" s="16"/>
    </row>
    <row r="147" spans="1:31" x14ac:dyDescent="0.2">
      <c r="A147" s="4">
        <v>33711</v>
      </c>
      <c r="B147" s="9">
        <f ca="1">Prices!C146*(1+J147/(50*(ABS(O147)+ABS(T147)+0.0001)))</f>
        <v>135.87709999421224</v>
      </c>
      <c r="C147" s="13">
        <f t="shared" ca="1" si="18"/>
        <v>1</v>
      </c>
      <c r="D147" s="9">
        <f ca="1">D146+C147*(Prices!C147-Prices!C146)/Prices!C146</f>
        <v>5.612580912631767E-2</v>
      </c>
      <c r="E147" s="9">
        <f t="shared" ca="1" si="19"/>
        <v>1.0219214777084228E-2</v>
      </c>
      <c r="F147" s="9">
        <f t="shared" ca="1" si="20"/>
        <v>6.6345023903401898E-2</v>
      </c>
      <c r="G147" s="13">
        <f ca="1">IF((Prices!C147-Prices!C146)*C147&gt;0,1,0)</f>
        <v>1</v>
      </c>
      <c r="H147" s="9">
        <f>ABS(Prices!C147-Prices!C146)/Prices!C146</f>
        <v>7.468259895443937E-4</v>
      </c>
      <c r="I147" s="13"/>
      <c r="J147" s="1">
        <f t="shared" ca="1" si="21"/>
        <v>1.0441505472752971E-3</v>
      </c>
      <c r="K147" s="9"/>
      <c r="L147" s="9">
        <f ca="1">L146-O147*Prices!C147</f>
        <v>1.420973355184949</v>
      </c>
      <c r="M147" s="1">
        <f t="shared" ca="1" si="22"/>
        <v>6.9332228897298655E-3</v>
      </c>
      <c r="N147" s="9">
        <f ca="1">IF(Prices!D146&gt;OFFSET(Prices!D146,-$N$3,0),1,IF(Prices!D146&lt;OFFSET(Prices!D146,-$N$3,0),-1,0))</f>
        <v>1</v>
      </c>
      <c r="O147" s="1">
        <f ca="1">IF(N147=1,O$3*L146/Prices!C146,O$3*M146*N147)</f>
        <v>1.1792310001534846E-3</v>
      </c>
      <c r="P147" s="14"/>
      <c r="Q147" s="9">
        <f ca="1">Q146-T147*Prices!C147</f>
        <v>1.4387684182015312</v>
      </c>
      <c r="R147" s="1">
        <f t="shared" ca="1" si="23"/>
        <v>6.6189421910311857E-3</v>
      </c>
      <c r="S147" s="9">
        <f ca="1">IF(Prices!C146&lt;OFFSET(Prices!C146,-S$3,0),1,IF(Prices!C146&gt;OFFSET(Prices!C146,-S$3,0),-1,0))</f>
        <v>-1</v>
      </c>
      <c r="T147" s="1">
        <f ca="1">IF(S147=1,T$3*Q146/Prices!C146,T$3*R146*S147)</f>
        <v>-1.3508045287818747E-4</v>
      </c>
      <c r="V147" s="9"/>
      <c r="W147" s="1"/>
      <c r="X147" s="1"/>
      <c r="Y147" s="1"/>
      <c r="Z147" s="1"/>
      <c r="AA147" s="1"/>
      <c r="AB147" s="1"/>
      <c r="AC147" s="1"/>
      <c r="AD147" s="1"/>
      <c r="AE147" s="16"/>
    </row>
    <row r="148" spans="1:31" x14ac:dyDescent="0.2">
      <c r="A148" s="4">
        <v>33714</v>
      </c>
      <c r="B148" s="9">
        <f ca="1">Prices!C147*(1+J148/(50*(ABS(O148)+ABS(T148)+0.0001)))</f>
        <v>135.92385402153911</v>
      </c>
      <c r="C148" s="13">
        <f t="shared" ca="1" si="18"/>
        <v>1</v>
      </c>
      <c r="D148" s="9">
        <f ca="1">D147+C148*(Prices!C148-Prices!C147)/Prices!C147</f>
        <v>5.9857152409899757E-2</v>
      </c>
      <c r="E148" s="9">
        <f t="shared" ca="1" si="19"/>
        <v>6.4878714935021412E-3</v>
      </c>
      <c r="F148" s="9">
        <f t="shared" ca="1" si="20"/>
        <v>6.6345023903401898E-2</v>
      </c>
      <c r="G148" s="13">
        <f ca="1">IF((Prices!C148-Prices!C147)*C148&gt;0,1,0)</f>
        <v>1</v>
      </c>
      <c r="H148" s="9">
        <f>ABS(Prices!C148-Prices!C147)/Prices!C147</f>
        <v>3.7313432835820895E-3</v>
      </c>
      <c r="I148" s="13"/>
      <c r="J148" s="1">
        <f t="shared" ca="1" si="21"/>
        <v>9.2804903318306959E-4</v>
      </c>
      <c r="K148" s="9"/>
      <c r="L148" s="9">
        <f ca="1">L147-O148*Prices!C148</f>
        <v>1.2783458057279522</v>
      </c>
      <c r="M148" s="1">
        <f t="shared" ca="1" si="22"/>
        <v>7.9936507667335583E-3</v>
      </c>
      <c r="N148" s="9">
        <f ca="1">IF(Prices!D147&gt;OFFSET(Prices!D147,-$N$3,0),1,IF(Prices!D147&lt;OFFSET(Prices!D147,-$N$3,0),-1,0))</f>
        <v>1</v>
      </c>
      <c r="O148" s="1">
        <f ca="1">IF(N148=1,O$3*L147/Prices!C147,O$3*M147*N148)</f>
        <v>1.0604278770036933E-3</v>
      </c>
      <c r="P148" s="14"/>
      <c r="Q148" s="9">
        <f ca="1">Q147-T148*Prices!C148</f>
        <v>1.4565733726954051</v>
      </c>
      <c r="R148" s="1">
        <f t="shared" ca="1" si="23"/>
        <v>6.4865633472105623E-3</v>
      </c>
      <c r="S148" s="9">
        <f ca="1">IF(Prices!C147&lt;OFFSET(Prices!C147,-S$3,0),1,IF(Prices!C147&gt;OFFSET(Prices!C147,-S$3,0),-1,0))</f>
        <v>-1</v>
      </c>
      <c r="T148" s="1">
        <f ca="1">IF(S148=1,T$3*Q147/Prices!C147,T$3*R147*S148)</f>
        <v>-1.3237884382062373E-4</v>
      </c>
      <c r="V148" s="9"/>
      <c r="W148" s="1"/>
      <c r="X148" s="1"/>
      <c r="Y148" s="1"/>
      <c r="Z148" s="1"/>
      <c r="AA148" s="1"/>
      <c r="AB148" s="1"/>
      <c r="AC148" s="1"/>
      <c r="AD148" s="1"/>
      <c r="AE148" s="16"/>
    </row>
    <row r="149" spans="1:31" x14ac:dyDescent="0.2">
      <c r="A149" s="4">
        <v>33715</v>
      </c>
      <c r="B149" s="9">
        <f ca="1">Prices!C148*(1+J149/(50*(ABS(O149)+ABS(T149)+0.0001)))</f>
        <v>136.37066826139568</v>
      </c>
      <c r="C149" s="13">
        <f t="shared" ca="1" si="18"/>
        <v>1</v>
      </c>
      <c r="D149" s="9">
        <f ca="1">D148+C149*(Prices!C149-Prices!C148)/Prices!C148</f>
        <v>5.7849717465661761E-2</v>
      </c>
      <c r="E149" s="9">
        <f t="shared" ca="1" si="19"/>
        <v>8.4953064377401369E-3</v>
      </c>
      <c r="F149" s="9">
        <f t="shared" ca="1" si="20"/>
        <v>6.6345023903401898E-2</v>
      </c>
      <c r="G149" s="13">
        <f ca="1">IF((Prices!C149-Prices!C148)*C149&gt;0,1,0)</f>
        <v>0</v>
      </c>
      <c r="H149" s="9">
        <f>ABS(Prices!C149-Prices!C148)/Prices!C148</f>
        <v>2.0074349442379944E-3</v>
      </c>
      <c r="I149" s="13"/>
      <c r="J149" s="1">
        <f t="shared" ca="1" si="21"/>
        <v>8.2071171129218456E-4</v>
      </c>
      <c r="K149" s="9"/>
      <c r="L149" s="9">
        <f ca="1">L148-O149*Prices!C149</f>
        <v>1.1507678447592808</v>
      </c>
      <c r="M149" s="1">
        <f t="shared" ca="1" si="22"/>
        <v>8.944093744969954E-3</v>
      </c>
      <c r="N149" s="9">
        <f ca="1">IF(Prices!D148&gt;OFFSET(Prices!D148,-$N$3,0),1,IF(Prices!D148&lt;OFFSET(Prices!D148,-$N$3,0),-1,0))</f>
        <v>1</v>
      </c>
      <c r="O149" s="1">
        <f ca="1">IF(N149=1,O$3*L148/Prices!C148,O$3*M148*N149)</f>
        <v>9.5044297823639577E-4</v>
      </c>
      <c r="P149" s="14"/>
      <c r="Q149" s="9">
        <f ca="1">Q148-T149*Prices!C149</f>
        <v>1.4739872006573265</v>
      </c>
      <c r="R149" s="1">
        <f t="shared" ca="1" si="23"/>
        <v>6.3568320802663506E-3</v>
      </c>
      <c r="S149" s="9">
        <f ca="1">IF(Prices!C148&lt;OFFSET(Prices!C148,-S$3,0),1,IF(Prices!C148&gt;OFFSET(Prices!C148,-S$3,0),-1,0))</f>
        <v>-1</v>
      </c>
      <c r="T149" s="1">
        <f ca="1">IF(S149=1,T$3*Q148/Prices!C148,T$3*R148*S149)</f>
        <v>-1.2973126694421124E-4</v>
      </c>
      <c r="V149" s="9"/>
      <c r="W149" s="1"/>
      <c r="X149" s="1"/>
      <c r="Y149" s="1"/>
      <c r="Z149" s="1"/>
      <c r="AA149" s="1"/>
      <c r="AB149" s="1"/>
      <c r="AC149" s="1"/>
      <c r="AD149" s="1"/>
      <c r="AE149" s="16"/>
    </row>
    <row r="150" spans="1:31" x14ac:dyDescent="0.2">
      <c r="A150" s="4">
        <v>33716</v>
      </c>
      <c r="B150" s="9">
        <f ca="1">Prices!C149*(1+J150/(50*(ABS(O150)+ABS(T150)+0.0001)))</f>
        <v>136.03757976973208</v>
      </c>
      <c r="C150" s="13">
        <f t="shared" ca="1" si="18"/>
        <v>1</v>
      </c>
      <c r="D150" s="9">
        <f ca="1">D149+C150*(Prices!C150-Prices!C149)/Prices!C149</f>
        <v>5.7253725511553263E-2</v>
      </c>
      <c r="E150" s="9">
        <f t="shared" ca="1" si="19"/>
        <v>9.0912983918486345E-3</v>
      </c>
      <c r="F150" s="9">
        <f t="shared" ca="1" si="20"/>
        <v>6.6345023903401898E-2</v>
      </c>
      <c r="G150" s="13">
        <f ca="1">IF((Prices!C150-Prices!C149)*C150&gt;0,1,0)</f>
        <v>0</v>
      </c>
      <c r="H150" s="9">
        <f>ABS(Prices!C150-Prices!C149)/Prices!C149</f>
        <v>5.9599195410850101E-4</v>
      </c>
      <c r="I150" s="13"/>
      <c r="J150" s="1">
        <f t="shared" ca="1" si="21"/>
        <v>7.3017382904898341E-4</v>
      </c>
      <c r="K150" s="9"/>
      <c r="L150" s="9">
        <f ca="1">L149-O150*Prices!C150</f>
        <v>1.0357596451210052</v>
      </c>
      <c r="M150" s="1">
        <f t="shared" ca="1" si="22"/>
        <v>9.8014042156242646E-3</v>
      </c>
      <c r="N150" s="9">
        <f ca="1">IF(Prices!D149&gt;OFFSET(Prices!D149,-$N$3,0),1,IF(Prices!D149&lt;OFFSET(Prices!D149,-$N$3,0),-1,0))</f>
        <v>1</v>
      </c>
      <c r="O150" s="1">
        <f ca="1">IF(N150=1,O$3*L149/Prices!C149,O$3*M149*N150)</f>
        <v>8.5731047065431046E-4</v>
      </c>
      <c r="P150" s="14"/>
      <c r="Q150" s="9">
        <f ca="1">Q149-T150*Prices!C150</f>
        <v>1.4910425811286812</v>
      </c>
      <c r="R150" s="1">
        <f t="shared" ca="1" si="23"/>
        <v>6.2296954386610237E-3</v>
      </c>
      <c r="S150" s="9">
        <f ca="1">IF(Prices!C149&lt;OFFSET(Prices!C149,-S$3,0),1,IF(Prices!C149&gt;OFFSET(Prices!C149,-S$3,0),-1,0))</f>
        <v>-1</v>
      </c>
      <c r="T150" s="1">
        <f ca="1">IF(S150=1,T$3*Q149/Prices!C149,T$3*R149*S150)</f>
        <v>-1.2713664160532702E-4</v>
      </c>
      <c r="V150" s="9"/>
      <c r="W150" s="1"/>
      <c r="X150" s="1"/>
      <c r="Y150" s="1"/>
      <c r="Z150" s="1"/>
      <c r="AA150" s="1"/>
      <c r="AB150" s="1"/>
      <c r="AC150" s="1"/>
      <c r="AD150" s="1"/>
      <c r="AE150" s="16"/>
    </row>
    <row r="151" spans="1:31" x14ac:dyDescent="0.2">
      <c r="A151" s="4">
        <v>33717</v>
      </c>
      <c r="B151" s="9">
        <f ca="1">Prices!C150*(1+J151/(50*(ABS(O151)+ABS(T151)+0.0001)))</f>
        <v>131.68970470197794</v>
      </c>
      <c r="C151" s="13">
        <f t="shared" ca="1" si="18"/>
        <v>-1</v>
      </c>
      <c r="D151" s="9">
        <f ca="1">D150+C151*(Prices!C151-Prices!C150)/Prices!C150</f>
        <v>5.4421075492917442E-2</v>
      </c>
      <c r="E151" s="9">
        <f t="shared" ca="1" si="19"/>
        <v>1.1923948410484456E-2</v>
      </c>
      <c r="F151" s="9">
        <f t="shared" ca="1" si="20"/>
        <v>6.6345023903401898E-2</v>
      </c>
      <c r="G151" s="13">
        <f ca="1">IF((Prices!C151-Prices!C150)*C151&gt;0,1,0)</f>
        <v>0</v>
      </c>
      <c r="H151" s="9">
        <f>ABS(Prices!C151-Prices!C150)/Prices!C150</f>
        <v>2.8326500186358215E-3</v>
      </c>
      <c r="I151" s="13"/>
      <c r="J151" s="1">
        <f t="shared" ca="1" si="21"/>
        <v>-1.1047343303356469E-3</v>
      </c>
      <c r="K151" s="9"/>
      <c r="L151" s="9">
        <f ca="1">L150-O151*Prices!C151</f>
        <v>1.1676179360337984</v>
      </c>
      <c r="M151" s="1">
        <f t="shared" ca="1" si="22"/>
        <v>8.8212637940618382E-3</v>
      </c>
      <c r="N151" s="9">
        <f ca="1">IF(Prices!D150&gt;OFFSET(Prices!D150,-$N$3,0),1,IF(Prices!D150&lt;OFFSET(Prices!D150,-$N$3,0),-1,0))</f>
        <v>-1</v>
      </c>
      <c r="O151" s="1">
        <f ca="1">IF(N151=1,O$3*L150/Prices!C150,O$3*M150*N151)</f>
        <v>-9.8014042156242646E-4</v>
      </c>
      <c r="P151" s="14"/>
      <c r="Q151" s="9">
        <f ca="1">Q150-T151*Prices!C151</f>
        <v>1.5078041996759426</v>
      </c>
      <c r="R151" s="1">
        <f t="shared" ca="1" si="23"/>
        <v>6.1051015298878028E-3</v>
      </c>
      <c r="S151" s="9">
        <f ca="1">IF(Prices!C150&lt;OFFSET(Prices!C150,-S$3,0),1,IF(Prices!C150&gt;OFFSET(Prices!C150,-S$3,0),-1,0))</f>
        <v>-1</v>
      </c>
      <c r="T151" s="1">
        <f ca="1">IF(S151=1,T$3*Q150/Prices!C150,T$3*R150*S151)</f>
        <v>-1.2459390877322049E-4</v>
      </c>
      <c r="V151" s="9"/>
      <c r="W151" s="1"/>
      <c r="X151" s="1"/>
      <c r="Y151" s="1"/>
      <c r="Z151" s="1"/>
      <c r="AA151" s="1"/>
      <c r="AB151" s="1"/>
      <c r="AC151" s="1"/>
      <c r="AD151" s="1"/>
      <c r="AE151" s="16"/>
    </row>
    <row r="152" spans="1:31" x14ac:dyDescent="0.2">
      <c r="A152" s="4">
        <v>33718</v>
      </c>
      <c r="B152" s="9">
        <f ca="1">Prices!C151*(1+J152/(50*(ABS(O152)+ABS(T152)+0.0001)))</f>
        <v>136.37097296290736</v>
      </c>
      <c r="C152" s="13">
        <f t="shared" ca="1" si="18"/>
        <v>1</v>
      </c>
      <c r="D152" s="9">
        <f ca="1">D151+C152*(Prices!C152-Prices!C151)/Prices!C151</f>
        <v>5.4421075492917442E-2</v>
      </c>
      <c r="E152" s="9">
        <f t="shared" ca="1" si="19"/>
        <v>1.1923948410484456E-2</v>
      </c>
      <c r="F152" s="9">
        <f t="shared" ca="1" si="20"/>
        <v>6.6345023903401898E-2</v>
      </c>
      <c r="G152" s="13">
        <f ca="1">IF((Prices!C152-Prices!C151)*C152&gt;0,1,0)</f>
        <v>0</v>
      </c>
      <c r="H152" s="9">
        <f>ABS(Prices!C152-Prices!C151)/Prices!C151</f>
        <v>0</v>
      </c>
      <c r="I152" s="13"/>
      <c r="J152" s="1">
        <f t="shared" ca="1" si="21"/>
        <v>7.4582180500307529E-4</v>
      </c>
      <c r="K152" s="9"/>
      <c r="L152" s="9">
        <f ca="1">L151-O152*Prices!C152</f>
        <v>1.0508561424304186</v>
      </c>
      <c r="M152" s="1">
        <f t="shared" ca="1" si="22"/>
        <v>9.6891876296626694E-3</v>
      </c>
      <c r="N152" s="9">
        <f ca="1">IF(Prices!D151&gt;OFFSET(Prices!D151,-$N$3,0),1,IF(Prices!D151&lt;OFFSET(Prices!D151,-$N$3,0),-1,0))</f>
        <v>1</v>
      </c>
      <c r="O152" s="1">
        <f ca="1">IF(N152=1,O$3*L151/Prices!C151,O$3*M151*N152)</f>
        <v>8.6792383560083141E-4</v>
      </c>
      <c r="P152" s="14"/>
      <c r="Q152" s="9">
        <f ca="1">Q151-T152*Prices!C152</f>
        <v>1.5242305858522587</v>
      </c>
      <c r="R152" s="1">
        <f t="shared" ca="1" si="23"/>
        <v>5.9829994992900469E-3</v>
      </c>
      <c r="S152" s="9">
        <f ca="1">IF(Prices!C151&lt;OFFSET(Prices!C151,-S$3,0),1,IF(Prices!C151&gt;OFFSET(Prices!C151,-S$3,0),-1,0))</f>
        <v>-1</v>
      </c>
      <c r="T152" s="1">
        <f ca="1">IF(S152=1,T$3*Q151/Prices!C151,T$3*R151*S152)</f>
        <v>-1.2210203059775606E-4</v>
      </c>
      <c r="V152" s="9"/>
      <c r="W152" s="1"/>
      <c r="X152" s="1"/>
      <c r="Y152" s="1"/>
      <c r="Z152" s="1"/>
      <c r="AA152" s="1"/>
      <c r="AB152" s="1"/>
      <c r="AC152" s="1"/>
      <c r="AD152" s="1"/>
      <c r="AE152" s="16"/>
    </row>
    <row r="153" spans="1:31" x14ac:dyDescent="0.2">
      <c r="A153" s="4">
        <v>33721</v>
      </c>
      <c r="B153" s="9">
        <f ca="1">Prices!C152*(1+J153/(50*(ABS(O153)+ABS(T153)+0.0001)))</f>
        <v>132.06577120117765</v>
      </c>
      <c r="C153" s="13">
        <f t="shared" ca="1" si="18"/>
        <v>-1</v>
      </c>
      <c r="D153" s="9">
        <f ca="1">D152+C153*(Prices!C153-Prices!C152)/Prices!C152</f>
        <v>6.4827676251112687E-2</v>
      </c>
      <c r="E153" s="9">
        <f t="shared" ca="1" si="19"/>
        <v>1.517347652289211E-3</v>
      </c>
      <c r="F153" s="9">
        <f t="shared" ca="1" si="20"/>
        <v>6.6345023903401898E-2</v>
      </c>
      <c r="G153" s="13">
        <f ca="1">IF((Prices!C153-Prices!C152)*C153&gt;0,1,0)</f>
        <v>1</v>
      </c>
      <c r="H153" s="9">
        <f>ABS(Prices!C153-Prices!C152)/Prices!C152</f>
        <v>1.0406600758195239E-2</v>
      </c>
      <c r="I153" s="13"/>
      <c r="J153" s="1">
        <f t="shared" ca="1" si="21"/>
        <v>-1.0885787529520679E-3</v>
      </c>
      <c r="K153" s="9"/>
      <c r="L153" s="9">
        <f ca="1">L152-O153*Prices!C153</f>
        <v>1.1798482973441178</v>
      </c>
      <c r="M153" s="1">
        <f t="shared" ca="1" si="22"/>
        <v>8.7202688666964019E-3</v>
      </c>
      <c r="N153" s="9">
        <f ca="1">IF(Prices!D152&gt;OFFSET(Prices!D152,-$N$3,0),1,IF(Prices!D152&lt;OFFSET(Prices!D152,-$N$3,0),-1,0))</f>
        <v>-1</v>
      </c>
      <c r="O153" s="1">
        <f ca="1">IF(N153=1,O$3*L152/Prices!C152,O$3*M152*N153)</f>
        <v>-9.6891876296626702E-4</v>
      </c>
      <c r="P153" s="14"/>
      <c r="Q153" s="9">
        <f ca="1">Q152-T153*Prices!C153</f>
        <v>1.5401609203190683</v>
      </c>
      <c r="R153" s="1">
        <f t="shared" ca="1" si="23"/>
        <v>5.8633395093042459E-3</v>
      </c>
      <c r="S153" s="9">
        <f ca="1">IF(Prices!C152&lt;OFFSET(Prices!C152,-S$3,0),1,IF(Prices!C152&gt;OFFSET(Prices!C152,-S$3,0),-1,0))</f>
        <v>-1</v>
      </c>
      <c r="T153" s="1">
        <f ca="1">IF(S153=1,T$3*Q152/Prices!C152,T$3*R152*S153)</f>
        <v>-1.1965998998580094E-4</v>
      </c>
      <c r="V153" s="9"/>
      <c r="W153" s="1"/>
      <c r="X153" s="1"/>
      <c r="Y153" s="1"/>
      <c r="Z153" s="1"/>
      <c r="AA153" s="1"/>
      <c r="AB153" s="1"/>
      <c r="AC153" s="1"/>
      <c r="AD153" s="1"/>
      <c r="AE153" s="16"/>
    </row>
    <row r="154" spans="1:31" x14ac:dyDescent="0.2">
      <c r="A154" s="4">
        <v>33722</v>
      </c>
      <c r="B154" s="9">
        <f ca="1">Prices!C153*(1+J154/(50*(ABS(O154)+ABS(T154)+0.0001)))</f>
        <v>135.57392656015145</v>
      </c>
      <c r="C154" s="13">
        <f t="shared" ca="1" si="18"/>
        <v>1</v>
      </c>
      <c r="D154" s="9">
        <f ca="1">D153+C154*(Prices!C154-Prices!C153)/Prices!C153</f>
        <v>6.6329967244878302E-2</v>
      </c>
      <c r="E154" s="9">
        <f t="shared" ca="1" si="19"/>
        <v>1.5056658523596167E-5</v>
      </c>
      <c r="F154" s="9">
        <f t="shared" ca="1" si="20"/>
        <v>6.6345023903401898E-2</v>
      </c>
      <c r="G154" s="13">
        <f ca="1">IF((Prices!C154-Prices!C153)*C154&gt;0,1,0)</f>
        <v>1</v>
      </c>
      <c r="H154" s="9">
        <f>ABS(Prices!C154-Prices!C153)/Prices!C153</f>
        <v>1.5022909937656205E-3</v>
      </c>
      <c r="I154" s="13"/>
      <c r="J154" s="1">
        <f t="shared" ca="1" si="21"/>
        <v>1.1176147235093003E-3</v>
      </c>
      <c r="K154" s="9"/>
      <c r="L154" s="9">
        <f ca="1">L153-O154*Prices!C154</f>
        <v>1.0616862200625949</v>
      </c>
      <c r="M154" s="1">
        <f t="shared" ca="1" si="22"/>
        <v>9.6065066022512115E-3</v>
      </c>
      <c r="N154" s="9">
        <f ca="1">IF(Prices!D153&gt;OFFSET(Prices!D153,-$N$3,0),1,IF(Prices!D153&lt;OFFSET(Prices!D153,-$N$3,0),-1,0))</f>
        <v>1</v>
      </c>
      <c r="O154" s="1">
        <f ca="1">IF(N154=1,O$3*L153/Prices!C153,O$3*M153*N154)</f>
        <v>8.8623773555480945E-4</v>
      </c>
      <c r="P154" s="14"/>
      <c r="Q154" s="9">
        <f ca="1">Q153-T154*Prices!C154</f>
        <v>1.509311426515096</v>
      </c>
      <c r="R154" s="1">
        <f t="shared" ca="1" si="23"/>
        <v>6.0947164972587368E-3</v>
      </c>
      <c r="S154" s="9">
        <f ca="1">IF(Prices!C153&lt;OFFSET(Prices!C153,-S$3,0),1,IF(Prices!C153&gt;OFFSET(Prices!C153,-S$3,0),-1,0))</f>
        <v>1</v>
      </c>
      <c r="T154" s="1">
        <f ca="1">IF(S154=1,T$3*Q153/Prices!C153,T$3*R153*S154)</f>
        <v>2.3137698795449086E-4</v>
      </c>
      <c r="V154" s="9"/>
      <c r="W154" s="1"/>
      <c r="X154" s="1"/>
      <c r="Y154" s="1"/>
      <c r="Z154" s="1"/>
      <c r="AA154" s="1"/>
      <c r="AB154" s="1"/>
      <c r="AC154" s="1"/>
      <c r="AD154" s="1"/>
      <c r="AE154" s="16"/>
    </row>
    <row r="155" spans="1:31" x14ac:dyDescent="0.2">
      <c r="A155" s="4">
        <v>33723</v>
      </c>
      <c r="B155" s="9">
        <f ca="1">Prices!C154*(1+J155/(50*(ABS(O155)+ABS(T155)+0.0001)))</f>
        <v>135.75908053751488</v>
      </c>
      <c r="C155" s="13">
        <f t="shared" ca="1" si="18"/>
        <v>1</v>
      </c>
      <c r="D155" s="9">
        <f ca="1">D154+C155*(Prices!C155-Prices!C154)/Prices!C154</f>
        <v>6.7604999120675108E-2</v>
      </c>
      <c r="E155" s="9">
        <f t="shared" ca="1" si="19"/>
        <v>0</v>
      </c>
      <c r="F155" s="9">
        <f t="shared" ca="1" si="20"/>
        <v>6.7604999120675108E-2</v>
      </c>
      <c r="G155" s="13">
        <f ca="1">IF((Prices!C155-Prices!C154)*C155&gt;0,1,0)</f>
        <v>1</v>
      </c>
      <c r="H155" s="9">
        <f>ABS(Prices!C155-Prices!C154)/Prices!C154</f>
        <v>1.275031875796801E-3</v>
      </c>
      <c r="I155" s="13"/>
      <c r="J155" s="1">
        <f t="shared" ca="1" si="21"/>
        <v>1.0226869461978656E-3</v>
      </c>
      <c r="K155" s="9"/>
      <c r="L155" s="9">
        <f ca="1">L154-O155*Prices!C155</f>
        <v>0.95538222967906805</v>
      </c>
      <c r="M155" s="1">
        <f t="shared" ca="1" si="22"/>
        <v>1.0402791174412462E-2</v>
      </c>
      <c r="N155" s="9">
        <f ca="1">IF(Prices!D154&gt;OFFSET(Prices!D154,-$N$3,0),1,IF(Prices!D154&lt;OFFSET(Prices!D154,-$N$3,0),-1,0))</f>
        <v>1</v>
      </c>
      <c r="O155" s="1">
        <f ca="1">IF(N155=1,O$3*L154/Prices!C154,O$3*M154*N155)</f>
        <v>7.962845721612502E-4</v>
      </c>
      <c r="P155" s="14"/>
      <c r="Q155" s="9">
        <f ca="1">Q154-T155*Prices!C155</f>
        <v>1.4790867095812079</v>
      </c>
      <c r="R155" s="1">
        <f t="shared" ca="1" si="23"/>
        <v>6.3211188712953524E-3</v>
      </c>
      <c r="S155" s="9">
        <f ca="1">IF(Prices!C154&lt;OFFSET(Prices!C154,-S$3,0),1,IF(Prices!C154&gt;OFFSET(Prices!C154,-S$3,0),-1,0))</f>
        <v>1</v>
      </c>
      <c r="T155" s="1">
        <f ca="1">IF(S155=1,T$3*Q154/Prices!C154,T$3*R154*S155)</f>
        <v>2.264023740366153E-4</v>
      </c>
      <c r="V155" s="9"/>
      <c r="W155" s="1"/>
      <c r="X155" s="1"/>
      <c r="Y155" s="1"/>
      <c r="Z155" s="1"/>
      <c r="AA155" s="1"/>
      <c r="AB155" s="1"/>
      <c r="AC155" s="1"/>
      <c r="AD155" s="1"/>
      <c r="AE155" s="16"/>
    </row>
    <row r="156" spans="1:31" x14ac:dyDescent="0.2">
      <c r="A156" s="4">
        <v>33724</v>
      </c>
      <c r="B156" s="9">
        <f ca="1">Prices!C155*(1+J156/(50*(ABS(O156)+ABS(T156)+0.0001)))</f>
        <v>135.33974003796581</v>
      </c>
      <c r="C156" s="13">
        <f t="shared" ca="1" si="18"/>
        <v>1</v>
      </c>
      <c r="D156" s="9">
        <f ca="1">D155+C156*(Prices!C156-Prices!C155)/Prices!C155</f>
        <v>6.6106871779851223E-2</v>
      </c>
      <c r="E156" s="9">
        <f t="shared" ca="1" si="19"/>
        <v>1.4981273408238849E-3</v>
      </c>
      <c r="F156" s="9">
        <f t="shared" ca="1" si="20"/>
        <v>6.7604999120675108E-2</v>
      </c>
      <c r="G156" s="13">
        <f ca="1">IF((Prices!C156-Prices!C155)*C156&gt;0,1,0)</f>
        <v>0</v>
      </c>
      <c r="H156" s="9">
        <f>ABS(Prices!C156-Prices!C155)/Prices!C155</f>
        <v>1.4981273408238849E-3</v>
      </c>
      <c r="I156" s="13"/>
      <c r="J156" s="1">
        <f t="shared" ca="1" si="21"/>
        <v>2.2158602390729708E-4</v>
      </c>
      <c r="K156" s="9"/>
      <c r="L156" s="9">
        <f ca="1">L155-O156*Prices!C156</f>
        <v>0.95538222967906805</v>
      </c>
      <c r="M156" s="1">
        <f t="shared" ca="1" si="22"/>
        <v>1.0402791174412462E-2</v>
      </c>
      <c r="N156" s="9">
        <f ca="1">IF(Prices!D155&gt;OFFSET(Prices!D155,-$N$3,0),1,IF(Prices!D155&lt;OFFSET(Prices!D155,-$N$3,0),-1,0))</f>
        <v>0</v>
      </c>
      <c r="O156" s="1">
        <f ca="1">IF(N156=1,O$3*L155/Prices!C155,O$3*M155*N156)</f>
        <v>0</v>
      </c>
      <c r="P156" s="14"/>
      <c r="Q156" s="9">
        <f ca="1">Q155-T156*Prices!C156</f>
        <v>1.4495492925943652</v>
      </c>
      <c r="R156" s="1">
        <f t="shared" ca="1" si="23"/>
        <v>6.5427048952026497E-3</v>
      </c>
      <c r="S156" s="9">
        <f ca="1">IF(Prices!C155&lt;OFFSET(Prices!C155,-S$3,0),1,IF(Prices!C155&gt;OFFSET(Prices!C155,-S$3,0),-1,0))</f>
        <v>1</v>
      </c>
      <c r="T156" s="1">
        <f ca="1">IF(S156=1,T$3*Q155/Prices!C155,T$3*R155*S156)</f>
        <v>2.2158602390729708E-4</v>
      </c>
      <c r="V156" s="9"/>
      <c r="W156" s="1"/>
      <c r="X156" s="1"/>
      <c r="Y156" s="1"/>
      <c r="Z156" s="1"/>
      <c r="AA156" s="1"/>
      <c r="AB156" s="1"/>
      <c r="AC156" s="1"/>
      <c r="AD156" s="1"/>
      <c r="AE156" s="16"/>
    </row>
    <row r="157" spans="1:31" x14ac:dyDescent="0.2">
      <c r="A157" s="4">
        <v>33725</v>
      </c>
      <c r="B157" s="9">
        <f ca="1">Prices!C156*(1+J157/(50*(ABS(O157)+ABS(T157)+0.0001)))</f>
        <v>135.70821685802323</v>
      </c>
      <c r="C157" s="13">
        <f t="shared" ca="1" si="18"/>
        <v>1</v>
      </c>
      <c r="D157" s="9">
        <f ca="1">D156+C157*(Prices!C157-Prices!C156)/Prices!C156</f>
        <v>6.1980840271974168E-2</v>
      </c>
      <c r="E157" s="9">
        <f t="shared" ca="1" si="19"/>
        <v>5.62415884870094E-3</v>
      </c>
      <c r="F157" s="9">
        <f t="shared" ca="1" si="20"/>
        <v>6.7604999120675108E-2</v>
      </c>
      <c r="G157" s="13">
        <f ca="1">IF((Prices!C157-Prices!C156)*C157&gt;0,1,0)</f>
        <v>0</v>
      </c>
      <c r="H157" s="9">
        <f>ABS(Prices!C157-Prices!C156)/Prices!C156</f>
        <v>4.1260315078770543E-3</v>
      </c>
      <c r="I157" s="13"/>
      <c r="J157" s="1">
        <f t="shared" ca="1" si="21"/>
        <v>9.3420261680265656E-4</v>
      </c>
      <c r="K157" s="9"/>
      <c r="L157" s="9">
        <f ca="1">L156-O157*Prices!C157</f>
        <v>0.86023820042933341</v>
      </c>
      <c r="M157" s="1">
        <f t="shared" ca="1" si="22"/>
        <v>1.1119507025634568E-2</v>
      </c>
      <c r="N157" s="9">
        <f ca="1">IF(Prices!D156&gt;OFFSET(Prices!D156,-$N$3,0),1,IF(Prices!D156&lt;OFFSET(Prices!D156,-$N$3,0),-1,0))</f>
        <v>1</v>
      </c>
      <c r="O157" s="1">
        <f ca="1">IF(N157=1,O$3*L156/Prices!C156,O$3*M156*N157)</f>
        <v>7.1671585122210662E-4</v>
      </c>
      <c r="P157" s="14"/>
      <c r="Q157" s="9">
        <f ca="1">Q156-T157*Prices!C157</f>
        <v>1.4206779244635472</v>
      </c>
      <c r="R157" s="1">
        <f t="shared" ca="1" si="23"/>
        <v>6.7601916607831995E-3</v>
      </c>
      <c r="S157" s="9">
        <f ca="1">IF(Prices!C156&lt;OFFSET(Prices!C156,-S$3,0),1,IF(Prices!C156&gt;OFFSET(Prices!C156,-S$3,0),-1,0))</f>
        <v>1</v>
      </c>
      <c r="T157" s="1">
        <f ca="1">IF(S157=1,T$3*Q156/Prices!C156,T$3*R156*S157)</f>
        <v>2.1748676558054991E-4</v>
      </c>
      <c r="V157" s="9"/>
      <c r="W157" s="1"/>
      <c r="X157" s="1"/>
      <c r="Y157" s="1"/>
      <c r="Z157" s="1"/>
      <c r="AA157" s="1"/>
      <c r="AB157" s="1"/>
      <c r="AC157" s="1"/>
      <c r="AD157" s="1"/>
      <c r="AE157" s="16"/>
    </row>
    <row r="158" spans="1:31" x14ac:dyDescent="0.2">
      <c r="A158" s="4">
        <v>33728</v>
      </c>
      <c r="B158" s="9">
        <f ca="1">Prices!C157*(1+J158/(50*(ABS(O158)+ABS(T158)+0.0001)))</f>
        <v>131.07820711337999</v>
      </c>
      <c r="C158" s="13">
        <f t="shared" ca="1" si="18"/>
        <v>-1</v>
      </c>
      <c r="D158" s="9">
        <f ca="1">D157+C158*(Prices!C158-Prices!C157)/Prices!C157</f>
        <v>6.2357488106249206E-2</v>
      </c>
      <c r="E158" s="9">
        <f t="shared" ca="1" si="19"/>
        <v>5.2475110144259013E-3</v>
      </c>
      <c r="F158" s="9">
        <f t="shared" ca="1" si="20"/>
        <v>6.7604999120675108E-2</v>
      </c>
      <c r="G158" s="13">
        <f ca="1">IF((Prices!C158-Prices!C157)*C158&gt;0,1,0)</f>
        <v>1</v>
      </c>
      <c r="H158" s="9">
        <f>ABS(Prices!C158-Prices!C157)/Prices!C157</f>
        <v>3.7664783427503857E-4</v>
      </c>
      <c r="I158" s="13"/>
      <c r="J158" s="1">
        <f t="shared" ca="1" si="21"/>
        <v>-8.979125971828848E-4</v>
      </c>
      <c r="K158" s="9"/>
      <c r="L158" s="9">
        <f ca="1">L157-O158*Prices!C158</f>
        <v>1.007794058659504</v>
      </c>
      <c r="M158" s="1">
        <f t="shared" ca="1" si="22"/>
        <v>1.0007556323071111E-2</v>
      </c>
      <c r="N158" s="9">
        <f ca="1">IF(Prices!D157&gt;OFFSET(Prices!D157,-$N$3,0),1,IF(Prices!D157&lt;OFFSET(Prices!D157,-$N$3,0),-1,0))</f>
        <v>-1</v>
      </c>
      <c r="O158" s="1">
        <f ca="1">IF(N158=1,O$3*L157/Prices!C157,O$3*M157*N158)</f>
        <v>-1.1119507025634569E-3</v>
      </c>
      <c r="P158" s="14"/>
      <c r="Q158" s="9">
        <f ca="1">Q157-T158*Prices!C158</f>
        <v>1.3922750678795452</v>
      </c>
      <c r="R158" s="1">
        <f t="shared" ca="1" si="23"/>
        <v>6.9742297661637715E-3</v>
      </c>
      <c r="S158" s="9">
        <f ca="1">IF(Prices!C157&lt;OFFSET(Prices!C157,-S$3,0),1,IF(Prices!C157&gt;OFFSET(Prices!C157,-S$3,0),-1,0))</f>
        <v>1</v>
      </c>
      <c r="T158" s="1">
        <f ca="1">IF(S158=1,T$3*Q157/Prices!C157,T$3*R157*S158)</f>
        <v>2.1403810538057208E-4</v>
      </c>
      <c r="V158" s="9"/>
      <c r="W158" s="1"/>
      <c r="X158" s="1"/>
      <c r="Y158" s="1"/>
      <c r="Z158" s="1"/>
      <c r="AA158" s="1"/>
      <c r="AB158" s="1"/>
      <c r="AC158" s="1"/>
      <c r="AD158" s="1"/>
      <c r="AE158" s="16"/>
    </row>
    <row r="159" spans="1:31" x14ac:dyDescent="0.2">
      <c r="A159" s="4">
        <v>33729</v>
      </c>
      <c r="B159" s="9">
        <f ca="1">Prices!C158*(1+J159/(50*(ABS(O159)+ABS(T159)+0.0001)))</f>
        <v>131.09836286073548</v>
      </c>
      <c r="C159" s="13">
        <f t="shared" ca="1" si="18"/>
        <v>-1</v>
      </c>
      <c r="D159" s="9">
        <f ca="1">D158+C159*(Prices!C159-Prices!C158)/Prices!C158</f>
        <v>5.9569243946490318E-2</v>
      </c>
      <c r="E159" s="9">
        <f t="shared" ca="1" si="19"/>
        <v>8.0357551741847902E-3</v>
      </c>
      <c r="F159" s="9">
        <f t="shared" ca="1" si="20"/>
        <v>6.7604999120675108E-2</v>
      </c>
      <c r="G159" s="13">
        <f ca="1">IF((Prices!C159-Prices!C158)*C159&gt;0,1,0)</f>
        <v>0</v>
      </c>
      <c r="H159" s="9">
        <f>ABS(Prices!C159-Prices!C158)/Prices!C158</f>
        <v>2.7882441597588889E-3</v>
      </c>
      <c r="I159" s="13"/>
      <c r="J159" s="1">
        <f t="shared" ca="1" si="21"/>
        <v>-7.9091764166965136E-4</v>
      </c>
      <c r="K159" s="9"/>
      <c r="L159" s="9">
        <f ca="1">L158-O159*Prices!C159</f>
        <v>1.1409646106506113</v>
      </c>
      <c r="M159" s="1">
        <f t="shared" ca="1" si="22"/>
        <v>9.0068006907640004E-3</v>
      </c>
      <c r="N159" s="9">
        <f ca="1">IF(Prices!D158&gt;OFFSET(Prices!D158,-$N$3,0),1,IF(Prices!D158&lt;OFFSET(Prices!D158,-$N$3,0),-1,0))</f>
        <v>-1</v>
      </c>
      <c r="O159" s="1">
        <f ca="1">IF(N159=1,O$3*L158/Prices!C158,O$3*M158*N159)</f>
        <v>-1.0007556323071111E-3</v>
      </c>
      <c r="P159" s="14"/>
      <c r="Q159" s="9">
        <f ca="1">Q158-T159*Prices!C159</f>
        <v>1.3643519264654185</v>
      </c>
      <c r="R159" s="1">
        <f t="shared" ca="1" si="23"/>
        <v>7.1840677568012316E-3</v>
      </c>
      <c r="S159" s="9">
        <f ca="1">IF(Prices!C158&lt;OFFSET(Prices!C158,-S$3,0),1,IF(Prices!C158&gt;OFFSET(Prices!C158,-S$3,0),-1,0))</f>
        <v>1</v>
      </c>
      <c r="T159" s="1">
        <f ca="1">IF(S159=1,T$3*Q158/Prices!C158,T$3*R158*S159)</f>
        <v>2.0983799063745975E-4</v>
      </c>
      <c r="V159" s="9"/>
      <c r="W159" s="1"/>
      <c r="X159" s="1"/>
      <c r="Y159" s="1"/>
      <c r="Z159" s="1"/>
      <c r="AA159" s="1"/>
      <c r="AB159" s="1"/>
      <c r="AC159" s="1"/>
      <c r="AD159" s="1"/>
      <c r="AE159" s="16"/>
    </row>
    <row r="160" spans="1:31" x14ac:dyDescent="0.2">
      <c r="A160" s="4">
        <v>33730</v>
      </c>
      <c r="B160" s="9">
        <f ca="1">Prices!C159*(1+J160/(50*(ABS(O160)+ABS(T160)+0.0001)))</f>
        <v>134.85897510503838</v>
      </c>
      <c r="C160" s="13">
        <f t="shared" ca="1" si="18"/>
        <v>1</v>
      </c>
      <c r="D160" s="9">
        <f ca="1">D159+C160*(Prices!C160-Prices!C159)/Prices!C159</f>
        <v>5.5285784113319858E-2</v>
      </c>
      <c r="E160" s="9">
        <f t="shared" ca="1" si="19"/>
        <v>1.231921500735525E-2</v>
      </c>
      <c r="F160" s="9">
        <f t="shared" ca="1" si="20"/>
        <v>6.7604999120675108E-2</v>
      </c>
      <c r="G160" s="13">
        <f ca="1">IF((Prices!C160-Prices!C159)*C160&gt;0,1,0)</f>
        <v>0</v>
      </c>
      <c r="H160" s="9">
        <f>ABS(Prices!C160-Prices!C159)/Prices!C159</f>
        <v>4.2834598331704605E-3</v>
      </c>
      <c r="I160" s="13"/>
      <c r="J160" s="1">
        <f t="shared" ca="1" si="21"/>
        <v>2.050577780815238E-4</v>
      </c>
      <c r="K160" s="9"/>
      <c r="L160" s="9">
        <f ca="1">L159-O160*Prices!C160</f>
        <v>1.1409646106506113</v>
      </c>
      <c r="M160" s="1">
        <f t="shared" ca="1" si="22"/>
        <v>9.0068006907640004E-3</v>
      </c>
      <c r="N160" s="9">
        <f ca="1">IF(Prices!D159&gt;OFFSET(Prices!D159,-$N$3,0),1,IF(Prices!D159&lt;OFFSET(Prices!D159,-$N$3,0),-1,0))</f>
        <v>0</v>
      </c>
      <c r="O160" s="1">
        <f ca="1">IF(N160=1,O$3*L159/Prices!C159,O$3*M159*N160)</f>
        <v>0</v>
      </c>
      <c r="P160" s="14"/>
      <c r="Q160" s="9">
        <f ca="1">Q159-T160*Prices!C160</f>
        <v>1.3371817708696165</v>
      </c>
      <c r="R160" s="1">
        <f t="shared" ca="1" si="23"/>
        <v>7.3891255348827551E-3</v>
      </c>
      <c r="S160" s="9">
        <f ca="1">IF(Prices!C159&lt;OFFSET(Prices!C159,-S$3,0),1,IF(Prices!C159&gt;OFFSET(Prices!C159,-S$3,0),-1,0))</f>
        <v>1</v>
      </c>
      <c r="T160" s="1">
        <f ca="1">IF(S160=1,T$3*Q159/Prices!C159,T$3*R159*S160)</f>
        <v>2.050577780815238E-4</v>
      </c>
      <c r="V160" s="9"/>
      <c r="W160" s="1"/>
      <c r="X160" s="1"/>
      <c r="Y160" s="1"/>
      <c r="Z160" s="1"/>
      <c r="AA160" s="1"/>
      <c r="AB160" s="1"/>
      <c r="AC160" s="1"/>
      <c r="AD160" s="1"/>
      <c r="AE160" s="16"/>
    </row>
    <row r="161" spans="1:31" x14ac:dyDescent="0.2">
      <c r="A161" s="4">
        <v>33731</v>
      </c>
      <c r="B161" s="9">
        <f ca="1">Prices!C160*(1+J161/(50*(ABS(O161)+ABS(T161)+0.0001)))</f>
        <v>130.9599580204397</v>
      </c>
      <c r="C161" s="13">
        <f t="shared" ca="1" si="18"/>
        <v>-1</v>
      </c>
      <c r="D161" s="9">
        <f ca="1">D160+C161*(Prices!C161-Prices!C160)/Prices!C160</f>
        <v>5.3776350151055793E-2</v>
      </c>
      <c r="E161" s="9">
        <f t="shared" ca="1" si="19"/>
        <v>1.3828648969619314E-2</v>
      </c>
      <c r="F161" s="9">
        <f t="shared" ca="1" si="20"/>
        <v>6.7604999120675108E-2</v>
      </c>
      <c r="G161" s="13">
        <f ca="1">IF((Prices!C161-Prices!C160)*C161&gt;0,1,0)</f>
        <v>0</v>
      </c>
      <c r="H161" s="9">
        <f>ABS(Prices!C161-Prices!C160)/Prices!C160</f>
        <v>1.5094339622640652E-3</v>
      </c>
      <c r="I161" s="13"/>
      <c r="J161" s="1">
        <f t="shared" ca="1" si="21"/>
        <v>-6.9884131120928812E-4</v>
      </c>
      <c r="K161" s="9"/>
      <c r="L161" s="9">
        <f ca="1">L160-O161*Prices!C161</f>
        <v>1.2604848558170496</v>
      </c>
      <c r="M161" s="1">
        <f t="shared" ca="1" si="22"/>
        <v>8.1061206216876003E-3</v>
      </c>
      <c r="N161" s="9">
        <f ca="1">IF(Prices!D160&gt;OFFSET(Prices!D160,-$N$3,0),1,IF(Prices!D160&lt;OFFSET(Prices!D160,-$N$3,0),-1,0))</f>
        <v>-1</v>
      </c>
      <c r="O161" s="1">
        <f ca="1">IF(N161=1,O$3*L160/Prices!C160,O$3*M160*N161)</f>
        <v>-9.0068006907640004E-4</v>
      </c>
      <c r="P161" s="14"/>
      <c r="Q161" s="9">
        <f ca="1">Q160-T161*Prices!C161</f>
        <v>1.3103977677006509</v>
      </c>
      <c r="R161" s="1">
        <f t="shared" ca="1" si="23"/>
        <v>7.5909642927498673E-3</v>
      </c>
      <c r="S161" s="9">
        <f ca="1">IF(Prices!C160&lt;OFFSET(Prices!C160,-S$3,0),1,IF(Prices!C160&gt;OFFSET(Prices!C160,-S$3,0),-1,0))</f>
        <v>1</v>
      </c>
      <c r="T161" s="1">
        <f ca="1">IF(S161=1,T$3*Q160/Prices!C160,T$3*R160*S161)</f>
        <v>2.0183875786711192E-4</v>
      </c>
      <c r="V161" s="9"/>
      <c r="W161" s="1"/>
      <c r="X161" s="1"/>
      <c r="Y161" s="1"/>
      <c r="Z161" s="1"/>
      <c r="AA161" s="1"/>
      <c r="AB161" s="1"/>
      <c r="AC161" s="1"/>
      <c r="AD161" s="1"/>
      <c r="AE161" s="16"/>
    </row>
    <row r="162" spans="1:31" x14ac:dyDescent="0.2">
      <c r="A162" s="4">
        <v>33732</v>
      </c>
      <c r="B162" s="9">
        <f ca="1">Prices!C161*(1+J162/(50*(ABS(O162)+ABS(T162)+0.0001)))</f>
        <v>131.23154872868361</v>
      </c>
      <c r="C162" s="13">
        <f t="shared" ca="1" si="18"/>
        <v>-1</v>
      </c>
      <c r="D162" s="9">
        <f ca="1">D161+C162*(Prices!C162-Prices!C161)/Prices!C161</f>
        <v>4.8501293632592965E-2</v>
      </c>
      <c r="E162" s="9">
        <f t="shared" ca="1" si="19"/>
        <v>1.9103705488082143E-2</v>
      </c>
      <c r="F162" s="9">
        <f t="shared" ca="1" si="20"/>
        <v>6.7604999120675108E-2</v>
      </c>
      <c r="G162" s="13">
        <f ca="1">IF((Prices!C162-Prices!C161)*C162&gt;0,1,0)</f>
        <v>0</v>
      </c>
      <c r="H162" s="9">
        <f>ABS(Prices!C162-Prices!C161)/Prices!C161</f>
        <v>5.2750565184628267E-3</v>
      </c>
      <c r="I162" s="13"/>
      <c r="J162" s="1">
        <f t="shared" ca="1" si="21"/>
        <v>-6.1311428256052326E-4</v>
      </c>
      <c r="K162" s="9"/>
      <c r="L162" s="9">
        <f ca="1">L161-O162*Prices!C162</f>
        <v>1.3686205049103621</v>
      </c>
      <c r="M162" s="1">
        <f t="shared" ca="1" si="22"/>
        <v>7.2955085595188401E-3</v>
      </c>
      <c r="N162" s="9">
        <f ca="1">IF(Prices!D161&gt;OFFSET(Prices!D161,-$N$3,0),1,IF(Prices!D161&lt;OFFSET(Prices!D161,-$N$3,0),-1,0))</f>
        <v>-1</v>
      </c>
      <c r="O162" s="1">
        <f ca="1">IF(N162=1,O$3*L161/Prices!C161,O$3*M161*N162)</f>
        <v>-8.106120621687601E-4</v>
      </c>
      <c r="P162" s="14"/>
      <c r="Q162" s="9">
        <f ca="1">Q161-T162*Prices!C162</f>
        <v>1.284051563900912</v>
      </c>
      <c r="R162" s="1">
        <f t="shared" ca="1" si="23"/>
        <v>7.7884620723581042E-3</v>
      </c>
      <c r="S162" s="9">
        <f ca="1">IF(Prices!C161&lt;OFFSET(Prices!C161,-S$3,0),1,IF(Prices!C161&gt;OFFSET(Prices!C161,-S$3,0),-1,0))</f>
        <v>1</v>
      </c>
      <c r="T162" s="1">
        <f ca="1">IF(S162=1,T$3*Q161/Prices!C161,T$3*R161*S162)</f>
        <v>1.9749777960823678E-4</v>
      </c>
      <c r="V162" s="9"/>
      <c r="W162" s="1"/>
      <c r="X162" s="1"/>
      <c r="Y162" s="1"/>
      <c r="Z162" s="1"/>
      <c r="AA162" s="1"/>
      <c r="AB162" s="1"/>
      <c r="AC162" s="1"/>
      <c r="AD162" s="1"/>
      <c r="AE162" s="16"/>
    </row>
    <row r="163" spans="1:31" x14ac:dyDescent="0.2">
      <c r="A163" s="4">
        <v>33735</v>
      </c>
      <c r="B163" s="9">
        <f ca="1">Prices!C162*(1+J163/(50*(ABS(O163)+ABS(T163)+0.0001)))</f>
        <v>131.00277494989118</v>
      </c>
      <c r="C163" s="13">
        <f t="shared" ca="1" si="18"/>
        <v>-1</v>
      </c>
      <c r="D163" s="9">
        <f ca="1">D162+C163*(Prices!C163-Prices!C162)/Prices!C162</f>
        <v>5.0225431563627583E-2</v>
      </c>
      <c r="E163" s="9">
        <f t="shared" ca="1" si="19"/>
        <v>1.7379567557047525E-2</v>
      </c>
      <c r="F163" s="9">
        <f t="shared" ca="1" si="20"/>
        <v>6.7604999120675108E-2</v>
      </c>
      <c r="G163" s="13">
        <f ca="1">IF((Prices!C163-Prices!C162)*C163&gt;0,1,0)</f>
        <v>1</v>
      </c>
      <c r="H163" s="9">
        <f>ABS(Prices!C163-Prices!C162)/Prices!C162</f>
        <v>1.7241379310346191E-3</v>
      </c>
      <c r="I163" s="13"/>
      <c r="J163" s="1">
        <f t="shared" ca="1" si="21"/>
        <v>-8.8532009739904617E-4</v>
      </c>
      <c r="K163" s="9"/>
      <c r="L163" s="9">
        <f ca="1">L162-O163*Prices!C163</f>
        <v>1.4657747923974744</v>
      </c>
      <c r="M163" s="1">
        <f t="shared" ca="1" si="22"/>
        <v>6.5659577035669563E-3</v>
      </c>
      <c r="N163" s="9">
        <f ca="1">IF(Prices!D162&gt;OFFSET(Prices!D162,-$N$3,0),1,IF(Prices!D162&lt;OFFSET(Prices!D162,-$N$3,0),-1,0))</f>
        <v>-1</v>
      </c>
      <c r="O163" s="1">
        <f ca="1">IF(N163=1,O$3*L162/Prices!C162,O$3*M162*N163)</f>
        <v>-7.2955085595188406E-4</v>
      </c>
      <c r="P163" s="14"/>
      <c r="Q163" s="9">
        <f ca="1">Q162-T163*Prices!C163</f>
        <v>1.3047953537844306</v>
      </c>
      <c r="R163" s="1">
        <f t="shared" ca="1" si="23"/>
        <v>7.6326928309109424E-3</v>
      </c>
      <c r="S163" s="9">
        <f ca="1">IF(Prices!C162&lt;OFFSET(Prices!C162,-S$3,0),1,IF(Prices!C162&gt;OFFSET(Prices!C162,-S$3,0),-1,0))</f>
        <v>-1</v>
      </c>
      <c r="T163" s="1">
        <f ca="1">IF(S163=1,T$3*Q162/Prices!C162,T$3*R162*S163)</f>
        <v>-1.5576924144716209E-4</v>
      </c>
      <c r="V163" s="9"/>
      <c r="W163" s="1"/>
      <c r="X163" s="1"/>
      <c r="Y163" s="1"/>
      <c r="Z163" s="1"/>
      <c r="AA163" s="1"/>
      <c r="AB163" s="1"/>
      <c r="AC163" s="1"/>
      <c r="AD163" s="1"/>
      <c r="AE163" s="16"/>
    </row>
    <row r="164" spans="1:31" x14ac:dyDescent="0.2">
      <c r="A164" s="4">
        <v>33736</v>
      </c>
      <c r="B164" s="9">
        <f ca="1">Prices!C163*(1+J164/(50*(ABS(O164)+ABS(T164)+0.0001)))</f>
        <v>130.79952285869405</v>
      </c>
      <c r="C164" s="13">
        <f t="shared" ca="1" si="18"/>
        <v>-1</v>
      </c>
      <c r="D164" s="9">
        <f ca="1">D163+C164*(Prices!C164-Prices!C163)/Prices!C163</f>
        <v>7.0274992275499534E-2</v>
      </c>
      <c r="E164" s="9">
        <f t="shared" ca="1" si="19"/>
        <v>0</v>
      </c>
      <c r="F164" s="9">
        <f t="shared" ca="1" si="20"/>
        <v>7.0274992275499534E-2</v>
      </c>
      <c r="G164" s="13">
        <f ca="1">IF((Prices!C164-Prices!C163)*C164&gt;0,1,0)</f>
        <v>1</v>
      </c>
      <c r="H164" s="9">
        <f>ABS(Prices!C164-Prices!C163)/Prices!C163</f>
        <v>2.0049560711871951E-2</v>
      </c>
      <c r="I164" s="13"/>
      <c r="J164" s="1">
        <f t="shared" ca="1" si="21"/>
        <v>-8.0924962697491454E-4</v>
      </c>
      <c r="K164" s="9"/>
      <c r="L164" s="9">
        <f ca="1">L163-O164*Prices!C164</f>
        <v>1.5514605404290231</v>
      </c>
      <c r="M164" s="1">
        <f t="shared" ca="1" si="22"/>
        <v>5.9093619332102609E-3</v>
      </c>
      <c r="N164" s="9">
        <f ca="1">IF(Prices!D163&gt;OFFSET(Prices!D163,-$N$3,0),1,IF(Prices!D163&lt;OFFSET(Prices!D163,-$N$3,0),-1,0))</f>
        <v>-1</v>
      </c>
      <c r="O164" s="1">
        <f ca="1">IF(N164=1,O$3*L163/Prices!C163,O$3*M163*N164)</f>
        <v>-6.565957703566957E-4</v>
      </c>
      <c r="P164" s="14"/>
      <c r="Q164" s="9">
        <f ca="1">Q163-T164*Prices!C164</f>
        <v>1.3247166820731082</v>
      </c>
      <c r="R164" s="1">
        <f t="shared" ca="1" si="23"/>
        <v>7.4800389742927234E-3</v>
      </c>
      <c r="S164" s="9">
        <f ca="1">IF(Prices!C163&lt;OFFSET(Prices!C163,-S$3,0),1,IF(Prices!C163&gt;OFFSET(Prices!C163,-S$3,0),-1,0))</f>
        <v>-1</v>
      </c>
      <c r="T164" s="1">
        <f ca="1">IF(S164=1,T$3*Q163/Prices!C163,T$3*R163*S164)</f>
        <v>-1.5265385661821884E-4</v>
      </c>
      <c r="V164" s="9"/>
      <c r="W164" s="1"/>
      <c r="X164" s="1"/>
      <c r="Y164" s="1"/>
      <c r="Z164" s="1"/>
      <c r="AA164" s="1"/>
      <c r="AB164" s="1"/>
      <c r="AC164" s="1"/>
      <c r="AD164" s="1"/>
      <c r="AE164" s="16"/>
    </row>
    <row r="165" spans="1:31" x14ac:dyDescent="0.2">
      <c r="A165" s="4">
        <v>33737</v>
      </c>
      <c r="B165" s="9">
        <f ca="1">Prices!C164*(1+J165/(50*(ABS(O165)+ABS(T165)+0.0001)))</f>
        <v>129.36744467076628</v>
      </c>
      <c r="C165" s="13">
        <f t="shared" ca="1" si="18"/>
        <v>-1</v>
      </c>
      <c r="D165" s="9">
        <f ca="1">D164+C165*(Prices!C165-Prices!C164)/Prices!C164</f>
        <v>7.1041275800403703E-2</v>
      </c>
      <c r="E165" s="9">
        <f t="shared" ca="1" si="19"/>
        <v>0</v>
      </c>
      <c r="F165" s="9">
        <f t="shared" ca="1" si="20"/>
        <v>7.1041275800403703E-2</v>
      </c>
      <c r="G165" s="13">
        <f ca="1">IF((Prices!C165-Prices!C164)*C165&gt;0,1,0)</f>
        <v>1</v>
      </c>
      <c r="H165" s="9">
        <f>ABS(Prices!C165-Prices!C164)/Prices!C164</f>
        <v>7.66283524904171E-4</v>
      </c>
      <c r="I165" s="13"/>
      <c r="J165" s="1">
        <f t="shared" ca="1" si="21"/>
        <v>-3.8791447959334664E-4</v>
      </c>
      <c r="K165" s="9"/>
      <c r="L165" s="9">
        <f ca="1">L164-O165*Prices!C165</f>
        <v>1.628518620038085</v>
      </c>
      <c r="M165" s="1">
        <f t="shared" ca="1" si="22"/>
        <v>5.3184257398892348E-3</v>
      </c>
      <c r="N165" s="9">
        <f ca="1">IF(Prices!D164&gt;OFFSET(Prices!D164,-$N$3,0),1,IF(Prices!D164&lt;OFFSET(Prices!D164,-$N$3,0),-1,0))</f>
        <v>-1</v>
      </c>
      <c r="O165" s="1">
        <f ca="1">IF(N165=1,O$3*L164/Prices!C164,O$3*M164*N165)</f>
        <v>-5.9093619332102609E-4</v>
      </c>
      <c r="P165" s="14"/>
      <c r="Q165" s="9">
        <f ca="1">Q164-T165*Prices!C165</f>
        <v>1.2982426506030189</v>
      </c>
      <c r="R165" s="1">
        <f t="shared" ca="1" si="23"/>
        <v>7.683060688020403E-3</v>
      </c>
      <c r="S165" s="9">
        <f ca="1">IF(Prices!C164&lt;OFFSET(Prices!C164,-S$3,0),1,IF(Prices!C164&gt;OFFSET(Prices!C164,-S$3,0),-1,0))</f>
        <v>1</v>
      </c>
      <c r="T165" s="1">
        <f ca="1">IF(S165=1,T$3*Q164/Prices!C164,T$3*R164*S165)</f>
        <v>2.0302171372767945E-4</v>
      </c>
      <c r="V165" s="9"/>
      <c r="W165" s="1"/>
      <c r="X165" s="1"/>
      <c r="Y165" s="1"/>
      <c r="Z165" s="1"/>
      <c r="AA165" s="1"/>
      <c r="AB165" s="1"/>
      <c r="AC165" s="1"/>
      <c r="AD165" s="1"/>
      <c r="AE165" s="16"/>
    </row>
    <row r="166" spans="1:31" x14ac:dyDescent="0.2">
      <c r="A166" s="4">
        <v>33738</v>
      </c>
      <c r="B166" s="9">
        <f ca="1">Prices!C165*(1+J166/(50*(ABS(O166)+ABS(T166)+0.0001)))</f>
        <v>129.3557272938188</v>
      </c>
      <c r="C166" s="13">
        <f t="shared" ca="1" si="18"/>
        <v>-1</v>
      </c>
      <c r="D166" s="9">
        <f ca="1">D165+C166*(Prices!C166-Prices!C165)/Prices!C165</f>
        <v>7.2575018131692176E-2</v>
      </c>
      <c r="E166" s="9">
        <f t="shared" ca="1" si="19"/>
        <v>0</v>
      </c>
      <c r="F166" s="9">
        <f t="shared" ca="1" si="20"/>
        <v>7.2575018131692176E-2</v>
      </c>
      <c r="G166" s="13">
        <f ca="1">IF((Prices!C166-Prices!C165)*C166&gt;0,1,0)</f>
        <v>1</v>
      </c>
      <c r="H166" s="9">
        <f>ABS(Prices!C166-Prices!C165)/Prices!C165</f>
        <v>1.5337423312884743E-3</v>
      </c>
      <c r="I166" s="13"/>
      <c r="J166" s="1">
        <f t="shared" ca="1" si="21"/>
        <v>-3.3272560303754023E-4</v>
      </c>
      <c r="K166" s="9"/>
      <c r="L166" s="9">
        <f ca="1">L165-O166*Prices!C166</f>
        <v>1.6977645231714429</v>
      </c>
      <c r="M166" s="1">
        <f t="shared" ca="1" si="22"/>
        <v>4.7865831659003114E-3</v>
      </c>
      <c r="N166" s="9">
        <f ca="1">IF(Prices!D165&gt;OFFSET(Prices!D165,-$N$3,0),1,IF(Prices!D165&lt;OFFSET(Prices!D165,-$N$3,0),-1,0))</f>
        <v>-1</v>
      </c>
      <c r="O166" s="1">
        <f ca="1">IF(N166=1,O$3*L165/Prices!C165,O$3*M165*N166)</f>
        <v>-5.3184257398892348E-4</v>
      </c>
      <c r="P166" s="14"/>
      <c r="Q166" s="9">
        <f ca="1">Q165-T166*Prices!C166</f>
        <v>1.2723176209851488</v>
      </c>
      <c r="R166" s="1">
        <f t="shared" ca="1" si="23"/>
        <v>7.8821776589717858E-3</v>
      </c>
      <c r="S166" s="9">
        <f ca="1">IF(Prices!C165&lt;OFFSET(Prices!C165,-S$3,0),1,IF(Prices!C165&gt;OFFSET(Prices!C165,-S$3,0),-1,0))</f>
        <v>1</v>
      </c>
      <c r="T166" s="1">
        <f ca="1">IF(S166=1,T$3*Q165/Prices!C165,T$3*R165*S166)</f>
        <v>1.9911697095138328E-4</v>
      </c>
      <c r="V166" s="9"/>
      <c r="W166" s="1"/>
      <c r="X166" s="1"/>
      <c r="Y166" s="1"/>
      <c r="Z166" s="1"/>
      <c r="AA166" s="1"/>
      <c r="AB166" s="1"/>
      <c r="AC166" s="1"/>
      <c r="AD166" s="1"/>
      <c r="AE166" s="16"/>
    </row>
    <row r="167" spans="1:31" x14ac:dyDescent="0.2">
      <c r="A167" s="4">
        <v>33739</v>
      </c>
      <c r="B167" s="9">
        <f ca="1">Prices!C166*(1+J167/(50*(ABS(O167)+ABS(T167)+0.0001)))</f>
        <v>129.24728027329493</v>
      </c>
      <c r="C167" s="13">
        <f t="shared" ca="1" si="18"/>
        <v>-1</v>
      </c>
      <c r="D167" s="9">
        <f ca="1">D166+C167*(Prices!C167-Prices!C166)/Prices!C166</f>
        <v>7.2190993554119121E-2</v>
      </c>
      <c r="E167" s="9">
        <f t="shared" ca="1" si="19"/>
        <v>3.8402457757305553E-4</v>
      </c>
      <c r="F167" s="9">
        <f t="shared" ca="1" si="20"/>
        <v>7.2575018131692176E-2</v>
      </c>
      <c r="G167" s="13">
        <f ca="1">IF((Prices!C167-Prices!C166)*C167&gt;0,1,0)</f>
        <v>0</v>
      </c>
      <c r="H167" s="9">
        <f>ABS(Prices!C167-Prices!C166)/Prices!C166</f>
        <v>3.84024577573052E-4</v>
      </c>
      <c r="I167" s="13"/>
      <c r="J167" s="1">
        <f t="shared" ca="1" si="21"/>
        <v>-2.8321782181504667E-4</v>
      </c>
      <c r="K167" s="9"/>
      <c r="L167" s="9">
        <f ca="1">L166-O167*Prices!C167</f>
        <v>1.7601097689072944</v>
      </c>
      <c r="M167" s="1">
        <f t="shared" ca="1" si="22"/>
        <v>4.3079248493102804E-3</v>
      </c>
      <c r="N167" s="9">
        <f ca="1">IF(Prices!D166&gt;OFFSET(Prices!D166,-$N$3,0),1,IF(Prices!D166&lt;OFFSET(Prices!D166,-$N$3,0),-1,0))</f>
        <v>-1</v>
      </c>
      <c r="O167" s="1">
        <f ca="1">IF(N167=1,O$3*L166/Prices!C166,O$3*M166*N167)</f>
        <v>-4.7865831659003118E-4</v>
      </c>
      <c r="P167" s="14"/>
      <c r="Q167" s="9">
        <f ca="1">Q166-T167*Prices!C167</f>
        <v>1.246861496540707</v>
      </c>
      <c r="R167" s="1">
        <f t="shared" ca="1" si="23"/>
        <v>8.0776181537467705E-3</v>
      </c>
      <c r="S167" s="9">
        <f ca="1">IF(Prices!C166&lt;OFFSET(Prices!C166,-S$3,0),1,IF(Prices!C166&gt;OFFSET(Prices!C166,-S$3,0),-1,0))</f>
        <v>1</v>
      </c>
      <c r="T167" s="1">
        <f ca="1">IF(S167=1,T$3*Q166/Prices!C166,T$3*R166*S167)</f>
        <v>1.9544049477498448E-4</v>
      </c>
      <c r="V167" s="9"/>
      <c r="W167" s="1"/>
      <c r="X167" s="1"/>
      <c r="Y167" s="1"/>
      <c r="Z167" s="1"/>
      <c r="AA167" s="1"/>
      <c r="AB167" s="1"/>
      <c r="AC167" s="1"/>
      <c r="AD167" s="1"/>
      <c r="AE167" s="16"/>
    </row>
    <row r="168" spans="1:31" x14ac:dyDescent="0.2">
      <c r="A168" s="4">
        <v>33742</v>
      </c>
      <c r="B168" s="9">
        <f ca="1">Prices!C167*(1+J168/(50*(ABS(O168)+ABS(T168)+0.0001)))</f>
        <v>129.38676626794046</v>
      </c>
      <c r="C168" s="13">
        <f t="shared" ca="1" si="18"/>
        <v>-1</v>
      </c>
      <c r="D168" s="9">
        <f ca="1">D167+C168*(Prices!C168-Prices!C167)/Prices!C167</f>
        <v>8.3323431174080642E-2</v>
      </c>
      <c r="E168" s="9">
        <f t="shared" ca="1" si="19"/>
        <v>0</v>
      </c>
      <c r="F168" s="9">
        <f t="shared" ca="1" si="20"/>
        <v>8.3323431174080642E-2</v>
      </c>
      <c r="G168" s="13">
        <f ca="1">IF((Prices!C168-Prices!C167)*C168&gt;0,1,0)</f>
        <v>1</v>
      </c>
      <c r="H168" s="9">
        <f>ABS(Prices!C168-Prices!C167)/Prices!C167</f>
        <v>1.1132437619961525E-2</v>
      </c>
      <c r="I168" s="13"/>
      <c r="J168" s="1">
        <f t="shared" ca="1" si="21"/>
        <v>-2.3933582519349147E-4</v>
      </c>
      <c r="K168" s="9"/>
      <c r="L168" s="9">
        <f ca="1">L167-O168*Prices!C168</f>
        <v>1.8155958409664108</v>
      </c>
      <c r="M168" s="1">
        <f t="shared" ca="1" si="22"/>
        <v>3.8771323643792522E-3</v>
      </c>
      <c r="N168" s="9">
        <f ca="1">IF(Prices!D167&gt;OFFSET(Prices!D167,-$N$3,0),1,IF(Prices!D167&lt;OFFSET(Prices!D167,-$N$3,0),-1,0))</f>
        <v>-1</v>
      </c>
      <c r="O168" s="1">
        <f ca="1">IF(N168=1,O$3*L167/Prices!C167,O$3*M167*N168)</f>
        <v>-4.3079248493102805E-4</v>
      </c>
      <c r="P168" s="14"/>
      <c r="Q168" s="9">
        <f ca="1">Q167-T168*Prices!C168</f>
        <v>1.2222018787665123</v>
      </c>
      <c r="R168" s="1">
        <f t="shared" ca="1" si="23"/>
        <v>8.2690748134843072E-3</v>
      </c>
      <c r="S168" s="9">
        <f ca="1">IF(Prices!C167&lt;OFFSET(Prices!C167,-S$3,0),1,IF(Prices!C167&gt;OFFSET(Prices!C167,-S$3,0),-1,0))</f>
        <v>1</v>
      </c>
      <c r="T168" s="1">
        <f ca="1">IF(S168=1,T$3*Q167/Prices!C167,T$3*R167*S168)</f>
        <v>1.9145665973753658E-4</v>
      </c>
      <c r="V168" s="9"/>
      <c r="W168" s="1"/>
      <c r="X168" s="1"/>
      <c r="Y168" s="1"/>
      <c r="Z168" s="1"/>
      <c r="AA168" s="1"/>
      <c r="AB168" s="1"/>
      <c r="AC168" s="1"/>
      <c r="AD168" s="1"/>
      <c r="AE168" s="16"/>
    </row>
    <row r="169" spans="1:31" x14ac:dyDescent="0.2">
      <c r="A169" s="4">
        <v>33743</v>
      </c>
      <c r="B169" s="9">
        <f ca="1">Prices!C168*(1+J169/(50*(ABS(O169)+ABS(T169)+0.0001)))</f>
        <v>128.04742220979307</v>
      </c>
      <c r="C169" s="13">
        <f t="shared" ca="1" si="18"/>
        <v>-1</v>
      </c>
      <c r="D169" s="9">
        <f ca="1">D168+C169*(Prices!C169-Prices!C168)/Prices!C168</f>
        <v>8.0994238627496926E-2</v>
      </c>
      <c r="E169" s="9">
        <f t="shared" ca="1" si="19"/>
        <v>2.3291925465837165E-3</v>
      </c>
      <c r="F169" s="9">
        <f t="shared" ca="1" si="20"/>
        <v>8.3323431174080642E-2</v>
      </c>
      <c r="G169" s="13">
        <f ca="1">IF((Prices!C169-Prices!C168)*C169&gt;0,1,0)</f>
        <v>0</v>
      </c>
      <c r="H169" s="9">
        <f>ABS(Prices!C169-Prices!C168)/Prices!C168</f>
        <v>2.3291925465837183E-3</v>
      </c>
      <c r="I169" s="13"/>
      <c r="J169" s="1">
        <f t="shared" ca="1" si="21"/>
        <v>-1.9793033600834262E-4</v>
      </c>
      <c r="K169" s="9"/>
      <c r="L169" s="9">
        <f ca="1">L168-O169*Prices!C169</f>
        <v>1.865649619790547</v>
      </c>
      <c r="M169" s="1">
        <f t="shared" ca="1" si="22"/>
        <v>3.4894191279413269E-3</v>
      </c>
      <c r="N169" s="9">
        <f ca="1">IF(Prices!D168&gt;OFFSET(Prices!D168,-$N$3,0),1,IF(Prices!D168&lt;OFFSET(Prices!D168,-$N$3,0),-1,0))</f>
        <v>-1</v>
      </c>
      <c r="O169" s="1">
        <f ca="1">IF(N169=1,O$3*L168/Prices!C168,O$3*M168*N169)</f>
        <v>-3.8771323643792526E-4</v>
      </c>
      <c r="P169" s="14"/>
      <c r="Q169" s="9">
        <f ca="1">Q168-T169*Prices!C169</f>
        <v>1.1977009063210533</v>
      </c>
      <c r="R169" s="1">
        <f t="shared" ca="1" si="23"/>
        <v>8.45885771391389E-3</v>
      </c>
      <c r="S169" s="9">
        <f ca="1">IF(Prices!C168&lt;OFFSET(Prices!C168,-S$3,0),1,IF(Prices!C168&gt;OFFSET(Prices!C168,-S$3,0),-1,0))</f>
        <v>1</v>
      </c>
      <c r="T169" s="1">
        <f ca="1">IF(S169=1,T$3*Q168/Prices!C168,T$3*R168*S169)</f>
        <v>1.8978290042958264E-4</v>
      </c>
      <c r="V169" s="9"/>
      <c r="W169" s="1"/>
      <c r="X169" s="1"/>
      <c r="Y169" s="1"/>
      <c r="Z169" s="1"/>
      <c r="AA169" s="1"/>
      <c r="AB169" s="1"/>
      <c r="AC169" s="1"/>
      <c r="AD169" s="1"/>
      <c r="AE169" s="16"/>
    </row>
    <row r="170" spans="1:31" x14ac:dyDescent="0.2">
      <c r="A170" s="4">
        <v>33744</v>
      </c>
      <c r="B170" s="9">
        <f ca="1">Prices!C169*(1+J170/(50*(ABS(O170)+ABS(T170)+0.0001)))</f>
        <v>128.43507400893876</v>
      </c>
      <c r="C170" s="13">
        <f t="shared" ca="1" si="18"/>
        <v>-1</v>
      </c>
      <c r="D170" s="9">
        <f ca="1">D169+C170*(Prices!C170-Prices!C169)/Prices!C169</f>
        <v>7.7276190602709793E-2</v>
      </c>
      <c r="E170" s="9">
        <f t="shared" ca="1" si="19"/>
        <v>6.0472405713708488E-3</v>
      </c>
      <c r="F170" s="9">
        <f t="shared" ca="1" si="20"/>
        <v>8.3323431174080642E-2</v>
      </c>
      <c r="G170" s="13">
        <f ca="1">IF((Prices!C170-Prices!C169)*C170&gt;0,1,0)</f>
        <v>0</v>
      </c>
      <c r="H170" s="9">
        <f>ABS(Prices!C170-Prices!C169)/Prices!C169</f>
        <v>3.7180480247871279E-3</v>
      </c>
      <c r="I170" s="13"/>
      <c r="J170" s="1">
        <f t="shared" ca="1" si="21"/>
        <v>-1.6339568408444205E-4</v>
      </c>
      <c r="K170" s="9"/>
      <c r="L170" s="9">
        <f ca="1">L169-O170*Prices!C170</f>
        <v>1.9108655128504106</v>
      </c>
      <c r="M170" s="1">
        <f t="shared" ca="1" si="22"/>
        <v>3.1404772151471944E-3</v>
      </c>
      <c r="N170" s="9">
        <f ca="1">IF(Prices!D169&gt;OFFSET(Prices!D169,-$N$3,0),1,IF(Prices!D169&lt;OFFSET(Prices!D169,-$N$3,0),-1,0))</f>
        <v>-1</v>
      </c>
      <c r="O170" s="1">
        <f ca="1">IF(N170=1,O$3*L169/Prices!C169,O$3*M169*N170)</f>
        <v>-3.4894191279413272E-4</v>
      </c>
      <c r="P170" s="14"/>
      <c r="Q170" s="9">
        <f ca="1">Q169-T170*Prices!C170</f>
        <v>1.1736578260048516</v>
      </c>
      <c r="R170" s="1">
        <f t="shared" ca="1" si="23"/>
        <v>8.64440394262358E-3</v>
      </c>
      <c r="S170" s="9">
        <f ca="1">IF(Prices!C169&lt;OFFSET(Prices!C169,-S$3,0),1,IF(Prices!C169&gt;OFFSET(Prices!C169,-S$3,0),-1,0))</f>
        <v>1</v>
      </c>
      <c r="T170" s="1">
        <f ca="1">IF(S170=1,T$3*Q169/Prices!C169,T$3*R169*S170)</f>
        <v>1.8554622870969067E-4</v>
      </c>
      <c r="V170" s="9"/>
      <c r="W170" s="1"/>
      <c r="X170" s="1"/>
      <c r="Y170" s="1"/>
      <c r="Z170" s="1"/>
      <c r="AA170" s="1"/>
      <c r="AB170" s="1"/>
      <c r="AC170" s="1"/>
      <c r="AD170" s="1"/>
      <c r="AE170" s="16"/>
    </row>
    <row r="171" spans="1:31" x14ac:dyDescent="0.2">
      <c r="A171" s="4">
        <v>33745</v>
      </c>
      <c r="B171" s="9">
        <f ca="1">Prices!C170*(1+J171/(50*(ABS(O171)+ABS(T171)+0.0001)))</f>
        <v>129.00132824864158</v>
      </c>
      <c r="C171" s="13">
        <f t="shared" ca="1" si="18"/>
        <v>-1</v>
      </c>
      <c r="D171" s="9">
        <f ca="1">D170+C171*(Prices!C171-Prices!C170)/Prices!C170</f>
        <v>7.2105639591751411E-2</v>
      </c>
      <c r="E171" s="9">
        <f t="shared" ca="1" si="19"/>
        <v>1.1217791582329231E-2</v>
      </c>
      <c r="F171" s="9">
        <f t="shared" ca="1" si="20"/>
        <v>8.3323431174080642E-2</v>
      </c>
      <c r="G171" s="13">
        <f ca="1">IF((Prices!C171-Prices!C170)*C171&gt;0,1,0)</f>
        <v>0</v>
      </c>
      <c r="H171" s="9">
        <f>ABS(Prices!C171-Prices!C170)/Prices!C170</f>
        <v>5.1705510109583842E-3</v>
      </c>
      <c r="I171" s="13"/>
      <c r="J171" s="1">
        <f t="shared" ca="1" si="21"/>
        <v>-1.3289973170072788E-4</v>
      </c>
      <c r="K171" s="9"/>
      <c r="L171" s="9">
        <f ca="1">L170-O171*Prices!C171</f>
        <v>1.9517702285777028</v>
      </c>
      <c r="M171" s="1">
        <f t="shared" ca="1" si="22"/>
        <v>2.8264294936324748E-3</v>
      </c>
      <c r="N171" s="9">
        <f ca="1">IF(Prices!D170&gt;OFFSET(Prices!D170,-$N$3,0),1,IF(Prices!D170&lt;OFFSET(Prices!D170,-$N$3,0),-1,0))</f>
        <v>-1</v>
      </c>
      <c r="O171" s="1">
        <f ca="1">IF(N171=1,O$3*L170/Prices!C170,O$3*M170*N171)</f>
        <v>-3.1404772151471947E-4</v>
      </c>
      <c r="P171" s="14"/>
      <c r="Q171" s="9">
        <f ca="1">Q170-T171*Prices!C171</f>
        <v>1.1500633003315792</v>
      </c>
      <c r="R171" s="1">
        <f t="shared" ca="1" si="23"/>
        <v>8.8255519324375708E-3</v>
      </c>
      <c r="S171" s="9">
        <f ca="1">IF(Prices!C170&lt;OFFSET(Prices!C170,-S$3,0),1,IF(Prices!C170&gt;OFFSET(Prices!C170,-S$3,0),-1,0))</f>
        <v>1</v>
      </c>
      <c r="T171" s="1">
        <f ca="1">IF(S171=1,T$3*Q170/Prices!C170,T$3*R170*S171)</f>
        <v>1.8114798981399159E-4</v>
      </c>
      <c r="V171" s="9"/>
      <c r="W171" s="1"/>
      <c r="X171" s="1"/>
      <c r="Y171" s="1"/>
      <c r="Z171" s="1"/>
      <c r="AA171" s="1"/>
      <c r="AB171" s="1"/>
      <c r="AC171" s="1"/>
      <c r="AD171" s="1"/>
      <c r="AE171" s="16"/>
    </row>
    <row r="172" spans="1:31" x14ac:dyDescent="0.2">
      <c r="A172" s="4">
        <v>33746</v>
      </c>
      <c r="B172" s="9">
        <f ca="1">Prices!C171*(1+J172/(50*(ABS(O172)+ABS(T172)+0.0001)))</f>
        <v>132.69203268328386</v>
      </c>
      <c r="C172" s="13">
        <f t="shared" ca="1" si="18"/>
        <v>1</v>
      </c>
      <c r="D172" s="9">
        <f ca="1">D171+C172*(Prices!C172-Prices!C171)/Prices!C171</f>
        <v>6.5579727883498098E-2</v>
      </c>
      <c r="E172" s="9">
        <f t="shared" ca="1" si="19"/>
        <v>1.7743703290582544E-2</v>
      </c>
      <c r="F172" s="9">
        <f t="shared" ca="1" si="20"/>
        <v>8.3323431174080642E-2</v>
      </c>
      <c r="G172" s="13">
        <f ca="1">IF((Prices!C172-Prices!C171)*C172&gt;0,1,0)</f>
        <v>0</v>
      </c>
      <c r="H172" s="9">
        <f>ABS(Prices!C172-Prices!C171)/Prices!C171</f>
        <v>6.5259117082533151E-3</v>
      </c>
      <c r="I172" s="13"/>
      <c r="J172" s="1">
        <f t="shared" ca="1" si="21"/>
        <v>1.4984800219406548E-3</v>
      </c>
      <c r="K172" s="9"/>
      <c r="L172" s="9">
        <f ca="1">L171-O172*Prices!C172</f>
        <v>1.7578669137385821</v>
      </c>
      <c r="M172" s="1">
        <f t="shared" ca="1" si="22"/>
        <v>4.3249095155731294E-3</v>
      </c>
      <c r="N172" s="9">
        <f ca="1">IF(Prices!D171&gt;OFFSET(Prices!D171,-$N$3,0),1,IF(Prices!D171&lt;OFFSET(Prices!D171,-$N$3,0),-1,0))</f>
        <v>1</v>
      </c>
      <c r="O172" s="1">
        <f ca="1">IF(N172=1,O$3*L171/Prices!C171,O$3*M171*N172)</f>
        <v>1.4984800219406548E-3</v>
      </c>
      <c r="P172" s="14"/>
      <c r="Q172" s="9">
        <f ca="1">Q171-T172*Prices!C172</f>
        <v>1.1500633003315792</v>
      </c>
      <c r="R172" s="1">
        <f t="shared" ca="1" si="23"/>
        <v>8.8255519324375708E-3</v>
      </c>
      <c r="S172" s="9">
        <f ca="1">IF(Prices!C171&lt;OFFSET(Prices!C171,-S$3,0),1,IF(Prices!C171&gt;OFFSET(Prices!C171,-S$3,0),-1,0))</f>
        <v>0</v>
      </c>
      <c r="T172" s="1">
        <f ca="1">IF(S172=1,T$3*Q171/Prices!C171,T$3*R171*S172)</f>
        <v>0</v>
      </c>
      <c r="V172" s="9"/>
      <c r="W172" s="1"/>
      <c r="X172" s="1"/>
      <c r="Y172" s="1"/>
      <c r="Z172" s="1"/>
      <c r="AA172" s="1"/>
      <c r="AB172" s="1"/>
      <c r="AC172" s="1"/>
      <c r="AD172" s="1"/>
      <c r="AE172" s="16"/>
    </row>
    <row r="173" spans="1:31" x14ac:dyDescent="0.2">
      <c r="A173" s="4">
        <v>33749</v>
      </c>
      <c r="B173" s="9">
        <f ca="1">Prices!C172*(1+J173/(50*(ABS(O173)+ABS(T173)+0.0001)))</f>
        <v>131.27091681875064</v>
      </c>
      <c r="C173" s="13">
        <f t="shared" ca="1" si="18"/>
        <v>1</v>
      </c>
      <c r="D173" s="9">
        <f ca="1">D172+C173*(Prices!C173-Prices!C172)/Prices!C172</f>
        <v>6.3647734065878314E-2</v>
      </c>
      <c r="E173" s="9">
        <f t="shared" ca="1" si="19"/>
        <v>1.9675697108202328E-2</v>
      </c>
      <c r="F173" s="9">
        <f t="shared" ca="1" si="20"/>
        <v>8.3323431174080642E-2</v>
      </c>
      <c r="G173" s="13">
        <f ca="1">IF((Prices!C173-Prices!C172)*C173&gt;0,1,0)</f>
        <v>0</v>
      </c>
      <c r="H173" s="9">
        <f>ABS(Prices!C173-Prices!C172)/Prices!C172</f>
        <v>1.9319938176197836E-3</v>
      </c>
      <c r="I173" s="13"/>
      <c r="J173" s="1">
        <f t="shared" ca="1" si="21"/>
        <v>1.1819641651677727E-3</v>
      </c>
      <c r="K173" s="9"/>
      <c r="L173" s="9">
        <f ca="1">L172-O173*Prices!C173</f>
        <v>1.582419841165678</v>
      </c>
      <c r="M173" s="1">
        <f t="shared" ca="1" si="22"/>
        <v>5.6833847193896534E-3</v>
      </c>
      <c r="N173" s="9">
        <f ca="1">IF(Prices!D172&gt;OFFSET(Prices!D172,-$N$3,0),1,IF(Prices!D172&lt;OFFSET(Prices!D172,-$N$3,0),-1,0))</f>
        <v>1</v>
      </c>
      <c r="O173" s="1">
        <f ca="1">IF(N173=1,O$3*L172/Prices!C172,O$3*M172*N173)</f>
        <v>1.358475203816524E-3</v>
      </c>
      <c r="P173" s="14"/>
      <c r="Q173" s="9">
        <f ca="1">Q172-T173*Prices!C173</f>
        <v>1.1728597009730655</v>
      </c>
      <c r="R173" s="1">
        <f t="shared" ca="1" si="23"/>
        <v>8.6490408937888192E-3</v>
      </c>
      <c r="S173" s="9">
        <f ca="1">IF(Prices!C172&lt;OFFSET(Prices!C172,-S$3,0),1,IF(Prices!C172&gt;OFFSET(Prices!C172,-S$3,0),-1,0))</f>
        <v>-1</v>
      </c>
      <c r="T173" s="1">
        <f ca="1">IF(S173=1,T$3*Q172/Prices!C172,T$3*R172*S173)</f>
        <v>-1.7651103864875143E-4</v>
      </c>
      <c r="V173" s="9"/>
      <c r="W173" s="1"/>
      <c r="X173" s="1"/>
      <c r="Y173" s="1"/>
      <c r="Z173" s="1"/>
      <c r="AA173" s="1"/>
      <c r="AB173" s="1"/>
      <c r="AC173" s="1"/>
      <c r="AD173" s="1"/>
      <c r="AE173" s="16"/>
    </row>
    <row r="174" spans="1:31" x14ac:dyDescent="0.2">
      <c r="A174" s="4">
        <v>33750</v>
      </c>
      <c r="B174" s="9">
        <f ca="1">Prices!C173*(1+J174/(50*(ABS(O174)+ABS(T174)+0.0001)))</f>
        <v>126.87401780302325</v>
      </c>
      <c r="C174" s="13">
        <f t="shared" ca="1" si="18"/>
        <v>-1</v>
      </c>
      <c r="D174" s="9">
        <f ca="1">D173+C174*(Prices!C174-Prices!C173)/Prices!C173</f>
        <v>6.2254005842881745E-2</v>
      </c>
      <c r="E174" s="9">
        <f t="shared" ca="1" si="19"/>
        <v>2.1069425331198897E-2</v>
      </c>
      <c r="F174" s="9">
        <f t="shared" ca="1" si="20"/>
        <v>8.3323431174080642E-2</v>
      </c>
      <c r="G174" s="13">
        <f ca="1">IF((Prices!C174-Prices!C173)*C174&gt;0,1,0)</f>
        <v>0</v>
      </c>
      <c r="H174" s="9">
        <f>ABS(Prices!C174-Prices!C173)/Prices!C173</f>
        <v>1.3937282229965684E-3</v>
      </c>
      <c r="I174" s="13"/>
      <c r="J174" s="1">
        <f t="shared" ca="1" si="21"/>
        <v>-7.4131928981474181E-4</v>
      </c>
      <c r="K174" s="9"/>
      <c r="L174" s="9">
        <f ca="1">L173-O174*Prices!C174</f>
        <v>1.6559230557415443</v>
      </c>
      <c r="M174" s="1">
        <f t="shared" ca="1" si="22"/>
        <v>5.1150462474506882E-3</v>
      </c>
      <c r="N174" s="9">
        <f ca="1">IF(Prices!D173&gt;OFFSET(Prices!D173,-$N$3,0),1,IF(Prices!D173&lt;OFFSET(Prices!D173,-$N$3,0),-1,0))</f>
        <v>-1</v>
      </c>
      <c r="O174" s="1">
        <f ca="1">IF(N174=1,O$3*L173/Prices!C173,O$3*M173*N174)</f>
        <v>-5.6833847193896538E-4</v>
      </c>
      <c r="P174" s="14"/>
      <c r="Q174" s="9">
        <f ca="1">Q173-T174*Prices!C174</f>
        <v>1.1952313101489396</v>
      </c>
      <c r="R174" s="1">
        <f t="shared" ca="1" si="23"/>
        <v>8.476060075913042E-3</v>
      </c>
      <c r="S174" s="9">
        <f ca="1">IF(Prices!C173&lt;OFFSET(Prices!C173,-S$3,0),1,IF(Prices!C173&gt;OFFSET(Prices!C173,-S$3,0),-1,0))</f>
        <v>-1</v>
      </c>
      <c r="T174" s="1">
        <f ca="1">IF(S174=1,T$3*Q173/Prices!C173,T$3*R173*S174)</f>
        <v>-1.729808178757764E-4</v>
      </c>
      <c r="V174" s="9"/>
      <c r="W174" s="1"/>
      <c r="X174" s="1"/>
      <c r="Y174" s="1"/>
      <c r="Z174" s="1"/>
      <c r="AA174" s="1"/>
      <c r="AB174" s="1"/>
      <c r="AC174" s="1"/>
      <c r="AD174" s="1"/>
      <c r="AE174" s="16"/>
    </row>
    <row r="175" spans="1:31" x14ac:dyDescent="0.2">
      <c r="A175" s="4">
        <v>33751</v>
      </c>
      <c r="B175" s="9">
        <f ca="1">Prices!C174*(1+J175/(50*(ABS(O175)+ABS(T175)+0.0001)))</f>
        <v>131.75134529924347</v>
      </c>
      <c r="C175" s="13">
        <f t="shared" ca="1" si="18"/>
        <v>1</v>
      </c>
      <c r="D175" s="9">
        <f ca="1">D174+C175*(Prices!C175-Prices!C174)/Prices!C174</f>
        <v>6.7047943830974038E-2</v>
      </c>
      <c r="E175" s="9">
        <f t="shared" ca="1" si="19"/>
        <v>1.6275487343106604E-2</v>
      </c>
      <c r="F175" s="9">
        <f t="shared" ca="1" si="20"/>
        <v>8.3323431174080642E-2</v>
      </c>
      <c r="G175" s="13">
        <f ca="1">IF((Prices!C175-Prices!C174)*C175&gt;0,1,0)</f>
        <v>1</v>
      </c>
      <c r="H175" s="9">
        <f>ABS(Prices!C175-Prices!C174)/Prices!C174</f>
        <v>4.7939379880922919E-3</v>
      </c>
      <c r="I175" s="13"/>
      <c r="J175" s="1">
        <f t="shared" ca="1" si="21"/>
        <v>1.4652202256022053E-3</v>
      </c>
      <c r="K175" s="9"/>
      <c r="L175" s="9">
        <f ca="1">L174-O175*Prices!C175</f>
        <v>1.4895369109231622</v>
      </c>
      <c r="M175" s="1">
        <f t="shared" ca="1" si="22"/>
        <v>6.395432125237392E-3</v>
      </c>
      <c r="N175" s="9">
        <f ca="1">IF(Prices!D174&gt;OFFSET(Prices!D174,-$N$3,0),1,IF(Prices!D174&lt;OFFSET(Prices!D174,-$N$3,0),-1,0))</f>
        <v>1</v>
      </c>
      <c r="O175" s="1">
        <f ca="1">IF(N175=1,O$3*L174/Prices!C174,O$3*M174*N175)</f>
        <v>1.280385877786704E-3</v>
      </c>
      <c r="P175" s="14"/>
      <c r="Q175" s="9">
        <f ca="1">Q174-T175*Prices!C175</f>
        <v>1.1712120866503151</v>
      </c>
      <c r="R175" s="1">
        <f t="shared" ca="1" si="23"/>
        <v>8.6608944237285442E-3</v>
      </c>
      <c r="S175" s="9">
        <f ca="1">IF(Prices!C174&lt;OFFSET(Prices!C174,-S$3,0),1,IF(Prices!C174&gt;OFFSET(Prices!C174,-S$3,0),-1,0))</f>
        <v>1</v>
      </c>
      <c r="T175" s="1">
        <f ca="1">IF(S175=1,T$3*Q174/Prices!C174,T$3*R174*S175)</f>
        <v>1.8483434781550135E-4</v>
      </c>
      <c r="V175" s="9"/>
      <c r="W175" s="1"/>
      <c r="X175" s="1"/>
      <c r="Y175" s="1"/>
      <c r="Z175" s="1"/>
      <c r="AA175" s="1"/>
      <c r="AB175" s="1"/>
      <c r="AC175" s="1"/>
      <c r="AD175" s="1"/>
      <c r="AE175" s="16"/>
    </row>
    <row r="176" spans="1:31" x14ac:dyDescent="0.2">
      <c r="A176" s="4">
        <v>33752</v>
      </c>
      <c r="B176" s="9">
        <f ca="1">Prices!C175*(1+J176/(50*(ABS(O176)+ABS(T176)+0.0001)))</f>
        <v>132.36680508898877</v>
      </c>
      <c r="C176" s="13">
        <f t="shared" ca="1" si="18"/>
        <v>1</v>
      </c>
      <c r="D176" s="9">
        <f ca="1">D175+C176*(Prices!C176-Prices!C175)/Prices!C175</f>
        <v>6.4508505585495132E-2</v>
      </c>
      <c r="E176" s="9">
        <f t="shared" ca="1" si="19"/>
        <v>1.881492558858551E-2</v>
      </c>
      <c r="F176" s="9">
        <f t="shared" ca="1" si="20"/>
        <v>8.3323431174080642E-2</v>
      </c>
      <c r="G176" s="13">
        <f ca="1">IF((Prices!C176-Prices!C175)*C176&gt;0,1,0)</f>
        <v>0</v>
      </c>
      <c r="H176" s="9">
        <f>ABS(Prices!C176-Prices!C175)/Prices!C175</f>
        <v>2.5394382454789082E-3</v>
      </c>
      <c r="I176" s="13"/>
      <c r="J176" s="1">
        <f t="shared" ca="1" si="21"/>
        <v>1.3264942887673916E-3</v>
      </c>
      <c r="K176" s="9"/>
      <c r="L176" s="9">
        <f ca="1">L175-O176*Prices!C176</f>
        <v>1.340961478530811</v>
      </c>
      <c r="M176" s="1">
        <f t="shared" ca="1" si="22"/>
        <v>7.5416706099801101E-3</v>
      </c>
      <c r="N176" s="9">
        <f ca="1">IF(Prices!D175&gt;OFFSET(Prices!D175,-$N$3,0),1,IF(Prices!D175&lt;OFFSET(Prices!D175,-$N$3,0),-1,0))</f>
        <v>1</v>
      </c>
      <c r="O176" s="1">
        <f ca="1">IF(N176=1,O$3*L175/Prices!C175,O$3*M175*N176)</f>
        <v>1.1462384847427183E-3</v>
      </c>
      <c r="P176" s="14"/>
      <c r="Q176" s="9">
        <f ca="1">Q175-T176*Prices!C176</f>
        <v>1.147847329332637</v>
      </c>
      <c r="R176" s="1">
        <f t="shared" ca="1" si="23"/>
        <v>8.8411502277532181E-3</v>
      </c>
      <c r="S176" s="9">
        <f ca="1">IF(Prices!C175&lt;OFFSET(Prices!C175,-S$3,0),1,IF(Prices!C175&gt;OFFSET(Prices!C175,-S$3,0),-1,0))</f>
        <v>1</v>
      </c>
      <c r="T176" s="1">
        <f ca="1">IF(S176=1,T$3*Q175/Prices!C175,T$3*R175*S176)</f>
        <v>1.8025580402467338E-4</v>
      </c>
      <c r="V176" s="9"/>
      <c r="W176" s="1"/>
      <c r="X176" s="1"/>
      <c r="Y176" s="1"/>
      <c r="Z176" s="1"/>
      <c r="AA176" s="1"/>
      <c r="AB176" s="1"/>
      <c r="AC176" s="1"/>
      <c r="AD176" s="1"/>
      <c r="AE176" s="16"/>
    </row>
    <row r="177" spans="1:31" x14ac:dyDescent="0.2">
      <c r="A177" s="4">
        <v>33753</v>
      </c>
      <c r="B177" s="9">
        <f ca="1">Prices!C176*(1+J177/(50*(ABS(O177)+ABS(T177)+0.0001)))</f>
        <v>127.27904762171976</v>
      </c>
      <c r="C177" s="13">
        <f t="shared" ca="1" si="18"/>
        <v>-1</v>
      </c>
      <c r="D177" s="9">
        <f ca="1">D176+C177*(Prices!C177-Prices!C176)/Prices!C176</f>
        <v>7.8935291575311553E-2</v>
      </c>
      <c r="E177" s="9">
        <f t="shared" ca="1" si="19"/>
        <v>4.3881395987690891E-3</v>
      </c>
      <c r="F177" s="9">
        <f t="shared" ca="1" si="20"/>
        <v>8.3323431174080642E-2</v>
      </c>
      <c r="G177" s="13">
        <f ca="1">IF((Prices!C177-Prices!C176)*C177&gt;0,1,0)</f>
        <v>1</v>
      </c>
      <c r="H177" s="9">
        <f>ABS(Prices!C177-Prices!C176)/Prices!C176</f>
        <v>1.4426785989816421E-2</v>
      </c>
      <c r="I177" s="13"/>
      <c r="J177" s="1">
        <f t="shared" ca="1" si="21"/>
        <v>-9.3099006555307537E-4</v>
      </c>
      <c r="K177" s="9"/>
      <c r="L177" s="9">
        <f ca="1">L176-O177*Prices!C177</f>
        <v>1.437306320573307</v>
      </c>
      <c r="M177" s="1">
        <f t="shared" ca="1" si="22"/>
        <v>6.7875035489820988E-3</v>
      </c>
      <c r="N177" s="9">
        <f ca="1">IF(Prices!D176&gt;OFFSET(Prices!D176,-$N$3,0),1,IF(Prices!D176&lt;OFFSET(Prices!D176,-$N$3,0),-1,0))</f>
        <v>-1</v>
      </c>
      <c r="O177" s="1">
        <f ca="1">IF(N177=1,O$3*L176/Prices!C176,O$3*M176*N177)</f>
        <v>-7.5416706099801104E-4</v>
      </c>
      <c r="P177" s="14"/>
      <c r="Q177" s="9">
        <f ca="1">Q176-T177*Prices!C177</f>
        <v>1.1704364681645465</v>
      </c>
      <c r="R177" s="1">
        <f t="shared" ca="1" si="23"/>
        <v>8.6643272231981538E-3</v>
      </c>
      <c r="S177" s="9">
        <f ca="1">IF(Prices!C176&lt;OFFSET(Prices!C176,-S$3,0),1,IF(Prices!C176&gt;OFFSET(Prices!C176,-S$3,0),-1,0))</f>
        <v>-1</v>
      </c>
      <c r="T177" s="1">
        <f ca="1">IF(S177=1,T$3*Q176/Prices!C176,T$3*R176*S177)</f>
        <v>-1.7682300455506436E-4</v>
      </c>
      <c r="V177" s="9"/>
      <c r="W177" s="1"/>
      <c r="X177" s="1"/>
      <c r="Y177" s="1"/>
      <c r="Z177" s="1"/>
      <c r="AA177" s="1"/>
      <c r="AB177" s="1"/>
      <c r="AC177" s="1"/>
      <c r="AD177" s="1"/>
      <c r="AE177" s="16"/>
    </row>
    <row r="178" spans="1:31" x14ac:dyDescent="0.2">
      <c r="A178" s="4">
        <v>33756</v>
      </c>
      <c r="B178" s="9">
        <f ca="1">Prices!C177*(1+J178/(50*(ABS(O178)+ABS(T178)+0.0001)))</f>
        <v>126.43394269865664</v>
      </c>
      <c r="C178" s="13">
        <f t="shared" ca="1" si="18"/>
        <v>-1</v>
      </c>
      <c r="D178" s="9">
        <f ca="1">D177+C178*(Prices!C178-Prices!C177)/Prices!C177</f>
        <v>8.1283628170223471E-2</v>
      </c>
      <c r="E178" s="9">
        <f t="shared" ca="1" si="19"/>
        <v>2.0398030038571713E-3</v>
      </c>
      <c r="F178" s="9">
        <f t="shared" ca="1" si="20"/>
        <v>8.3323431174080642E-2</v>
      </c>
      <c r="G178" s="13">
        <f ca="1">IF((Prices!C178-Prices!C177)*C178&gt;0,1,0)</f>
        <v>1</v>
      </c>
      <c r="H178" s="9">
        <f>ABS(Prices!C178-Prices!C177)/Prices!C177</f>
        <v>2.3483365949119152E-3</v>
      </c>
      <c r="I178" s="13"/>
      <c r="J178" s="1">
        <f t="shared" ca="1" si="21"/>
        <v>-4.9551176888419082E-4</v>
      </c>
      <c r="K178" s="9"/>
      <c r="L178" s="9">
        <f ca="1">L177-O178*Prices!C178</f>
        <v>1.5238130533050838</v>
      </c>
      <c r="M178" s="1">
        <f t="shared" ca="1" si="22"/>
        <v>6.1087531940838893E-3</v>
      </c>
      <c r="N178" s="9">
        <f ca="1">IF(Prices!D177&gt;OFFSET(Prices!D177,-$N$3,0),1,IF(Prices!D177&lt;OFFSET(Prices!D177,-$N$3,0),-1,0))</f>
        <v>-1</v>
      </c>
      <c r="O178" s="1">
        <f ca="1">IF(N178=1,O$3*L177/Prices!C177,O$3*M177*N178)</f>
        <v>-6.7875035489820988E-4</v>
      </c>
      <c r="P178" s="14"/>
      <c r="Q178" s="9">
        <f ca="1">Q177-T178*Prices!C178</f>
        <v>1.1470827103770598</v>
      </c>
      <c r="R178" s="1">
        <f t="shared" ca="1" si="23"/>
        <v>8.8475658092121729E-3</v>
      </c>
      <c r="S178" s="9">
        <f ca="1">IF(Prices!C177&lt;OFFSET(Prices!C177,-S$3,0),1,IF(Prices!C177&gt;OFFSET(Prices!C177,-S$3,0),-1,0))</f>
        <v>1</v>
      </c>
      <c r="T178" s="1">
        <f ca="1">IF(S178=1,T$3*Q177/Prices!C177,T$3*R177*S178)</f>
        <v>1.8323858601401903E-4</v>
      </c>
      <c r="V178" s="9"/>
      <c r="W178" s="1"/>
      <c r="X178" s="1"/>
      <c r="Y178" s="1"/>
      <c r="Z178" s="1"/>
      <c r="AA178" s="1"/>
      <c r="AB178" s="1"/>
      <c r="AC178" s="1"/>
      <c r="AD178" s="1"/>
      <c r="AE178" s="16"/>
    </row>
    <row r="179" spans="1:31" x14ac:dyDescent="0.2">
      <c r="A179" s="4">
        <v>33757</v>
      </c>
      <c r="B179" s="9">
        <f ca="1">Prices!C178*(1+J179/(50*(ABS(O179)+ABS(T179)+0.0001)))</f>
        <v>129.82625922544275</v>
      </c>
      <c r="C179" s="13">
        <f t="shared" ca="1" si="18"/>
        <v>1</v>
      </c>
      <c r="D179" s="9">
        <f ca="1">D178+C179*(Prices!C179-Prices!C178)/Prices!C178</f>
        <v>8.1911325306355268E-2</v>
      </c>
      <c r="E179" s="9">
        <f t="shared" ca="1" si="19"/>
        <v>1.4121058677253745E-3</v>
      </c>
      <c r="F179" s="9">
        <f t="shared" ca="1" si="20"/>
        <v>8.3323431174080642E-2</v>
      </c>
      <c r="G179" s="13">
        <f ca="1">IF((Prices!C179-Prices!C178)*C179&gt;0,1,0)</f>
        <v>1</v>
      </c>
      <c r="H179" s="9">
        <f>ABS(Prices!C179-Prices!C178)/Prices!C178</f>
        <v>6.2769713613180296E-4</v>
      </c>
      <c r="I179" s="13"/>
      <c r="J179" s="1">
        <f t="shared" ca="1" si="21"/>
        <v>1.3756214950023506E-3</v>
      </c>
      <c r="K179" s="9"/>
      <c r="L179" s="9">
        <f ca="1">L178-O179*Prices!C179</f>
        <v>1.3713360986656193</v>
      </c>
      <c r="M179" s="1">
        <f t="shared" ca="1" si="22"/>
        <v>7.3043695560337397E-3</v>
      </c>
      <c r="N179" s="9">
        <f ca="1">IF(Prices!D178&gt;OFFSET(Prices!D178,-$N$3,0),1,IF(Prices!D178&lt;OFFSET(Prices!D178,-$N$3,0),-1,0))</f>
        <v>1</v>
      </c>
      <c r="O179" s="1">
        <f ca="1">IF(N179=1,O$3*L178/Prices!C178,O$3*M178*N179)</f>
        <v>1.1956163619498501E-3</v>
      </c>
      <c r="P179" s="14"/>
      <c r="Q179" s="9">
        <f ca="1">Q178-T179*Prices!C179</f>
        <v>1.1241266557588745</v>
      </c>
      <c r="R179" s="1">
        <f t="shared" ca="1" si="23"/>
        <v>9.0275709422646729E-3</v>
      </c>
      <c r="S179" s="9">
        <f ca="1">IF(Prices!C178&lt;OFFSET(Prices!C178,-S$3,0),1,IF(Prices!C178&gt;OFFSET(Prices!C178,-S$3,0),-1,0))</f>
        <v>1</v>
      </c>
      <c r="T179" s="1">
        <f ca="1">IF(S179=1,T$3*Q178/Prices!C178,T$3*R178*S179)</f>
        <v>1.8000513305250053E-4</v>
      </c>
      <c r="V179" s="9"/>
      <c r="W179" s="1"/>
      <c r="X179" s="1"/>
      <c r="Y179" s="1"/>
      <c r="Z179" s="1"/>
      <c r="AA179" s="1"/>
      <c r="AB179" s="1"/>
      <c r="AC179" s="1"/>
      <c r="AD179" s="1"/>
      <c r="AE179" s="16"/>
    </row>
    <row r="180" spans="1:31" x14ac:dyDescent="0.2">
      <c r="A180" s="4">
        <v>33758</v>
      </c>
      <c r="B180" s="9">
        <f ca="1">Prices!C179*(1+J180/(50*(ABS(O180)+ABS(T180)+0.0001)))</f>
        <v>129.8918898791668</v>
      </c>
      <c r="C180" s="13">
        <f t="shared" ca="1" si="18"/>
        <v>1</v>
      </c>
      <c r="D180" s="9">
        <f ca="1">D179+C180*(Prices!C180-Prices!C179)/Prices!C179</f>
        <v>8.4028474212494972E-2</v>
      </c>
      <c r="E180" s="9">
        <f t="shared" ca="1" si="19"/>
        <v>0</v>
      </c>
      <c r="F180" s="9">
        <f t="shared" ca="1" si="20"/>
        <v>8.4028474212494972E-2</v>
      </c>
      <c r="G180" s="13">
        <f ca="1">IF((Prices!C180-Prices!C179)*C180&gt;0,1,0)</f>
        <v>1</v>
      </c>
      <c r="H180" s="9">
        <f>ABS(Prices!C180-Prices!C179)/Prices!C179</f>
        <v>2.1171489061397007E-3</v>
      </c>
      <c r="I180" s="13"/>
      <c r="J180" s="1">
        <f t="shared" ca="1" si="21"/>
        <v>1.2515968241334544E-3</v>
      </c>
      <c r="K180" s="9"/>
      <c r="L180" s="9">
        <f ca="1">L179-O180*Prices!C180</f>
        <v>1.2339121565269333</v>
      </c>
      <c r="M180" s="1">
        <f t="shared" ca="1" si="22"/>
        <v>8.3796742676040519E-3</v>
      </c>
      <c r="N180" s="9">
        <f ca="1">IF(Prices!D179&gt;OFFSET(Prices!D179,-$N$3,0),1,IF(Prices!D179&lt;OFFSET(Prices!D179,-$N$3,0),-1,0))</f>
        <v>1</v>
      </c>
      <c r="O180" s="1">
        <f ca="1">IF(N180=1,O$3*L179/Prices!C179,O$3*M179*N180)</f>
        <v>1.0753047115703125E-3</v>
      </c>
      <c r="P180" s="14"/>
      <c r="Q180" s="9">
        <f ca="1">Q179-T180*Prices!C180</f>
        <v>1.101596523773305</v>
      </c>
      <c r="R180" s="1">
        <f t="shared" ca="1" si="23"/>
        <v>9.2038630548278155E-3</v>
      </c>
      <c r="S180" s="9">
        <f ca="1">IF(Prices!C179&lt;OFFSET(Prices!C179,-S$3,0),1,IF(Prices!C179&gt;OFFSET(Prices!C179,-S$3,0),-1,0))</f>
        <v>1</v>
      </c>
      <c r="T180" s="1">
        <f ca="1">IF(S180=1,T$3*Q179/Prices!C179,T$3*R179*S180)</f>
        <v>1.7629211256314193E-4</v>
      </c>
      <c r="V180" s="9"/>
      <c r="W180" s="1"/>
      <c r="X180" s="1"/>
      <c r="Y180" s="1"/>
      <c r="Z180" s="1"/>
      <c r="AA180" s="1"/>
      <c r="AB180" s="1"/>
      <c r="AC180" s="1"/>
      <c r="AD180" s="1"/>
      <c r="AE180" s="16"/>
    </row>
    <row r="181" spans="1:31" x14ac:dyDescent="0.2">
      <c r="A181" s="4">
        <v>33759</v>
      </c>
      <c r="B181" s="9">
        <f ca="1">Prices!C180*(1+J181/(50*(ABS(O181)+ABS(T181)+0.0001)))</f>
        <v>126.26788048943229</v>
      </c>
      <c r="C181" s="13">
        <f t="shared" ca="1" si="18"/>
        <v>-1</v>
      </c>
      <c r="D181" s="9">
        <f ca="1">D180+C181*(Prices!C181-Prices!C180)/Prices!C180</f>
        <v>8.582816122344962E-2</v>
      </c>
      <c r="E181" s="9">
        <f t="shared" ca="1" si="19"/>
        <v>0</v>
      </c>
      <c r="F181" s="9">
        <f t="shared" ca="1" si="20"/>
        <v>8.582816122344962E-2</v>
      </c>
      <c r="G181" s="13">
        <f ca="1">IF((Prices!C181-Prices!C180)*C181&gt;0,1,0)</f>
        <v>1</v>
      </c>
      <c r="H181" s="9">
        <f>ABS(Prices!C181-Prices!C180)/Prices!C180</f>
        <v>1.7996870109546477E-3</v>
      </c>
      <c r="I181" s="13"/>
      <c r="J181" s="1">
        <f t="shared" ca="1" si="21"/>
        <v>-6.6557360457365951E-4</v>
      </c>
      <c r="K181" s="9"/>
      <c r="L181" s="9">
        <f ca="1">L180-O181*Prices!C181</f>
        <v>1.3408116611587582</v>
      </c>
      <c r="M181" s="1">
        <f t="shared" ca="1" si="22"/>
        <v>7.5417068408436469E-3</v>
      </c>
      <c r="N181" s="9">
        <f ca="1">IF(Prices!D180&gt;OFFSET(Prices!D180,-$N$3,0),1,IF(Prices!D180&lt;OFFSET(Prices!D180,-$N$3,0),-1,0))</f>
        <v>-1</v>
      </c>
      <c r="O181" s="1">
        <f ca="1">IF(N181=1,O$3*L180/Prices!C180,O$3*M180*N181)</f>
        <v>-8.3796742676040523E-4</v>
      </c>
      <c r="P181" s="14"/>
      <c r="Q181" s="9">
        <f ca="1">Q180-T181*Prices!C181</f>
        <v>1.0796042438769418</v>
      </c>
      <c r="R181" s="1">
        <f t="shared" ca="1" si="23"/>
        <v>9.3762568770145611E-3</v>
      </c>
      <c r="S181" s="9">
        <f ca="1">IF(Prices!C180&lt;OFFSET(Prices!C180,-S$3,0),1,IF(Prices!C180&gt;OFFSET(Prices!C180,-S$3,0),-1,0))</f>
        <v>1</v>
      </c>
      <c r="T181" s="1">
        <f ca="1">IF(S181=1,T$3*Q180/Prices!C180,T$3*R180*S181)</f>
        <v>1.723938221867457E-4</v>
      </c>
      <c r="V181" s="9"/>
      <c r="W181" s="1"/>
      <c r="X181" s="1"/>
      <c r="Y181" s="1"/>
      <c r="Z181" s="1"/>
      <c r="AA181" s="1"/>
      <c r="AB181" s="1"/>
      <c r="AC181" s="1"/>
      <c r="AD181" s="1"/>
      <c r="AE181" s="16"/>
    </row>
    <row r="182" spans="1:31" x14ac:dyDescent="0.2">
      <c r="A182" s="4">
        <v>33760</v>
      </c>
      <c r="B182" s="9">
        <f ca="1">Prices!C181*(1+J182/(50*(ABS(O182)+ABS(T182)+0.0001)))</f>
        <v>126.11181222674985</v>
      </c>
      <c r="C182" s="13">
        <f t="shared" ca="1" si="18"/>
        <v>-1</v>
      </c>
      <c r="D182" s="9">
        <f ca="1">D181+C182*(Prices!C182-Prices!C181)/Prices!C181</f>
        <v>9.1864063081253153E-2</v>
      </c>
      <c r="E182" s="9">
        <f t="shared" ca="1" si="19"/>
        <v>0</v>
      </c>
      <c r="F182" s="9">
        <f t="shared" ca="1" si="20"/>
        <v>9.1864063081253153E-2</v>
      </c>
      <c r="G182" s="13">
        <f ca="1">IF((Prices!C182-Prices!C181)*C182&gt;0,1,0)</f>
        <v>1</v>
      </c>
      <c r="H182" s="9">
        <f>ABS(Prices!C182-Prices!C181)/Prices!C181</f>
        <v>6.0359018578035276E-3</v>
      </c>
      <c r="I182" s="13"/>
      <c r="J182" s="1">
        <f t="shared" ca="1" si="21"/>
        <v>-5.8491392405035333E-4</v>
      </c>
      <c r="K182" s="9"/>
      <c r="L182" s="9">
        <f ca="1">L181-O182*Prices!C182</f>
        <v>1.4364405039006556</v>
      </c>
      <c r="M182" s="1">
        <f t="shared" ca="1" si="22"/>
        <v>6.787536156759282E-3</v>
      </c>
      <c r="N182" s="9">
        <f ca="1">IF(Prices!D181&gt;OFFSET(Prices!D181,-$N$3,0),1,IF(Prices!D181&lt;OFFSET(Prices!D181,-$N$3,0),-1,0))</f>
        <v>-1</v>
      </c>
      <c r="O182" s="1">
        <f ca="1">IF(N182=1,O$3*L181/Prices!C181,O$3*M181*N182)</f>
        <v>-7.5417068408436475E-4</v>
      </c>
      <c r="P182" s="14"/>
      <c r="Q182" s="9">
        <f ca="1">Q181-T182*Prices!C182</f>
        <v>1.0581424867046292</v>
      </c>
      <c r="R182" s="1">
        <f t="shared" ca="1" si="23"/>
        <v>9.5455136370485721E-3</v>
      </c>
      <c r="S182" s="9">
        <f ca="1">IF(Prices!C181&lt;OFFSET(Prices!C181,-S$3,0),1,IF(Prices!C181&gt;OFFSET(Prices!C181,-S$3,0),-1,0))</f>
        <v>1</v>
      </c>
      <c r="T182" s="1">
        <f ca="1">IF(S182=1,T$3*Q181/Prices!C181,T$3*R181*S182)</f>
        <v>1.692567600340114E-4</v>
      </c>
      <c r="V182" s="9"/>
      <c r="W182" s="1"/>
      <c r="X182" s="1"/>
      <c r="Y182" s="1"/>
      <c r="Z182" s="1"/>
      <c r="AA182" s="1"/>
      <c r="AB182" s="1"/>
      <c r="AC182" s="1"/>
      <c r="AD182" s="1"/>
      <c r="AE182" s="16"/>
    </row>
    <row r="183" spans="1:31" x14ac:dyDescent="0.2">
      <c r="A183" s="4">
        <v>33763</v>
      </c>
      <c r="B183" s="9">
        <f ca="1">Prices!C182*(1+J183/(50*(ABS(O183)+ABS(T183)+0.0001)))</f>
        <v>125.42733783934</v>
      </c>
      <c r="C183" s="13">
        <f t="shared" ca="1" si="18"/>
        <v>-1</v>
      </c>
      <c r="D183" s="9">
        <f ca="1">D182+C183*(Prices!C183-Prices!C182)/Prices!C182</f>
        <v>8.8709488948760989E-2</v>
      </c>
      <c r="E183" s="9">
        <f t="shared" ca="1" si="19"/>
        <v>3.1545741324921633E-3</v>
      </c>
      <c r="F183" s="9">
        <f t="shared" ca="1" si="20"/>
        <v>9.1864063081253153E-2</v>
      </c>
      <c r="G183" s="13">
        <f ca="1">IF((Prices!C183-Prices!C182)*C183&gt;0,1,0)</f>
        <v>0</v>
      </c>
      <c r="H183" s="9">
        <f>ABS(Prices!C183-Prices!C182)/Prices!C182</f>
        <v>3.1545741324921586E-3</v>
      </c>
      <c r="I183" s="13"/>
      <c r="J183" s="1">
        <f t="shared" ca="1" si="21"/>
        <v>-5.1185416982346308E-4</v>
      </c>
      <c r="K183" s="9"/>
      <c r="L183" s="9">
        <f ca="1">L182-O183*Prices!C183</f>
        <v>1.5227779638146337</v>
      </c>
      <c r="M183" s="1">
        <f t="shared" ca="1" si="22"/>
        <v>6.1087825410833536E-3</v>
      </c>
      <c r="N183" s="9">
        <f ca="1">IF(Prices!D182&gt;OFFSET(Prices!D182,-$N$3,0),1,IF(Prices!D182&lt;OFFSET(Prices!D182,-$N$3,0),-1,0))</f>
        <v>-1</v>
      </c>
      <c r="O183" s="1">
        <f ca="1">IF(N183=1,O$3*L182/Prices!C182,O$3*M182*N183)</f>
        <v>-6.7875361567592825E-4</v>
      </c>
      <c r="P183" s="14"/>
      <c r="Q183" s="9">
        <f ca="1">Q182-T183*Prices!C183</f>
        <v>1.0369128771921956</v>
      </c>
      <c r="R183" s="1">
        <f t="shared" ca="1" si="23"/>
        <v>9.7124130829010381E-3</v>
      </c>
      <c r="S183" s="9">
        <f ca="1">IF(Prices!C182&lt;OFFSET(Prices!C182,-S$3,0),1,IF(Prices!C182&gt;OFFSET(Prices!C182,-S$3,0),-1,0))</f>
        <v>1</v>
      </c>
      <c r="T183" s="1">
        <f ca="1">IF(S183=1,T$3*Q182/Prices!C182,T$3*R182*S183)</f>
        <v>1.6689944585246517E-4</v>
      </c>
      <c r="V183" s="9"/>
      <c r="W183" s="1"/>
      <c r="X183" s="1"/>
      <c r="Y183" s="1"/>
      <c r="Z183" s="1"/>
      <c r="AA183" s="1"/>
      <c r="AB183" s="1"/>
      <c r="AC183" s="1"/>
      <c r="AD183" s="1"/>
      <c r="AE183" s="16"/>
    </row>
    <row r="184" spans="1:31" x14ac:dyDescent="0.2">
      <c r="A184" s="4">
        <v>33764</v>
      </c>
      <c r="B184" s="9">
        <f ca="1">Prices!C183*(1+J184/(50*(ABS(O184)+ABS(T184)+0.0001)))</f>
        <v>125.89631566338963</v>
      </c>
      <c r="C184" s="13">
        <f t="shared" ca="1" si="18"/>
        <v>-1</v>
      </c>
      <c r="D184" s="9">
        <f ca="1">D183+C184*(Prices!C184-Prices!C183)/Prices!C183</f>
        <v>8.5957916621717007E-2</v>
      </c>
      <c r="E184" s="9">
        <f t="shared" ca="1" si="19"/>
        <v>5.9061464595361463E-3</v>
      </c>
      <c r="F184" s="9">
        <f t="shared" ca="1" si="20"/>
        <v>9.1864063081253153E-2</v>
      </c>
      <c r="G184" s="13">
        <f ca="1">IF((Prices!C184-Prices!C183)*C184&gt;0,1,0)</f>
        <v>0</v>
      </c>
      <c r="H184" s="9">
        <f>ABS(Prices!C184-Prices!C183)/Prices!C183</f>
        <v>2.7515723270439803E-3</v>
      </c>
      <c r="I184" s="13"/>
      <c r="J184" s="1">
        <f t="shared" ca="1" si="21"/>
        <v>-4.4784163819761285E-4</v>
      </c>
      <c r="K184" s="9"/>
      <c r="L184" s="9">
        <f ca="1">L183-O184*Prices!C184</f>
        <v>1.6006954851261519</v>
      </c>
      <c r="M184" s="1">
        <f t="shared" ca="1" si="22"/>
        <v>5.497904286975018E-3</v>
      </c>
      <c r="N184" s="9">
        <f ca="1">IF(Prices!D183&gt;OFFSET(Prices!D183,-$N$3,0),1,IF(Prices!D183&lt;OFFSET(Prices!D183,-$N$3,0),-1,0))</f>
        <v>-1</v>
      </c>
      <c r="O184" s="1">
        <f ca="1">IF(N184=1,O$3*L183/Prices!C183,O$3*M183*N184)</f>
        <v>-6.1087825410833542E-4</v>
      </c>
      <c r="P184" s="14"/>
      <c r="Q184" s="9">
        <f ca="1">Q183-T184*Prices!C184</f>
        <v>1.0161175568327829</v>
      </c>
      <c r="R184" s="1">
        <f t="shared" ca="1" si="23"/>
        <v>9.8754496988117599E-3</v>
      </c>
      <c r="S184" s="9">
        <f ca="1">IF(Prices!C183&lt;OFFSET(Prices!C183,-S$3,0),1,IF(Prices!C183&gt;OFFSET(Prices!C183,-S$3,0),-1,0))</f>
        <v>1</v>
      </c>
      <c r="T184" s="1">
        <f ca="1">IF(S184=1,T$3*Q183/Prices!C183,T$3*R183*S184)</f>
        <v>1.630366159107226E-4</v>
      </c>
      <c r="V184" s="9"/>
      <c r="W184" s="1"/>
      <c r="X184" s="1"/>
      <c r="Y184" s="1"/>
      <c r="Z184" s="1"/>
      <c r="AA184" s="1"/>
      <c r="AB184" s="1"/>
      <c r="AC184" s="1"/>
      <c r="AD184" s="1"/>
      <c r="AE184" s="16"/>
    </row>
    <row r="185" spans="1:31" x14ac:dyDescent="0.2">
      <c r="A185" s="4">
        <v>33765</v>
      </c>
      <c r="B185" s="9">
        <f ca="1">Prices!C184*(1+J185/(50*(ABS(O185)+ABS(T185)+0.0001)))</f>
        <v>129.93253752372374</v>
      </c>
      <c r="C185" s="13">
        <f t="shared" ca="1" si="18"/>
        <v>1</v>
      </c>
      <c r="D185" s="9">
        <f ca="1">D184+C185*(Prices!C185-Prices!C184)/Prices!C184</f>
        <v>8.6741922893767254E-2</v>
      </c>
      <c r="E185" s="9">
        <f t="shared" ca="1" si="19"/>
        <v>5.1221401874858991E-3</v>
      </c>
      <c r="F185" s="9">
        <f t="shared" ca="1" si="20"/>
        <v>9.1864063081253153E-2</v>
      </c>
      <c r="G185" s="13">
        <f ca="1">IF((Prices!C185-Prices!C184)*C185&gt;0,1,0)</f>
        <v>1</v>
      </c>
      <c r="H185" s="9">
        <f>ABS(Prices!C185-Prices!C184)/Prices!C184</f>
        <v>7.840062720502433E-4</v>
      </c>
      <c r="I185" s="13"/>
      <c r="J185" s="1">
        <f t="shared" ca="1" si="21"/>
        <v>1.4142838075207438E-3</v>
      </c>
      <c r="K185" s="9"/>
      <c r="L185" s="9">
        <f ca="1">L184-O185*Prices!C185</f>
        <v>1.4405004410835385</v>
      </c>
      <c r="M185" s="1">
        <f t="shared" ca="1" si="22"/>
        <v>6.7528595869563212E-3</v>
      </c>
      <c r="N185" s="9">
        <f ca="1">IF(Prices!D184&gt;OFFSET(Prices!D184,-$N$3,0),1,IF(Prices!D184&lt;OFFSET(Prices!D184,-$N$3,0),-1,0))</f>
        <v>1</v>
      </c>
      <c r="O185" s="1">
        <f ca="1">IF(N185=1,O$3*L184/Prices!C184,O$3*M184*N185)</f>
        <v>1.2549552999813031E-3</v>
      </c>
      <c r="P185" s="14"/>
      <c r="Q185" s="9">
        <f ca="1">Q184-T185*Prices!C185</f>
        <v>0.99577927284537338</v>
      </c>
      <c r="R185" s="1">
        <f t="shared" ca="1" si="23"/>
        <v>1.0034778206351201E-2</v>
      </c>
      <c r="S185" s="9">
        <f ca="1">IF(Prices!C184&lt;OFFSET(Prices!C184,-S$3,0),1,IF(Prices!C184&gt;OFFSET(Prices!C184,-S$3,0),-1,0))</f>
        <v>1</v>
      </c>
      <c r="T185" s="1">
        <f ca="1">IF(S185=1,T$3*Q184/Prices!C184,T$3*R184*S185)</f>
        <v>1.5932850753944068E-4</v>
      </c>
      <c r="V185" s="9"/>
      <c r="W185" s="1"/>
      <c r="X185" s="1"/>
      <c r="Y185" s="1"/>
      <c r="Z185" s="1"/>
      <c r="AA185" s="1"/>
      <c r="AB185" s="1"/>
      <c r="AC185" s="1"/>
      <c r="AD185" s="1"/>
      <c r="AE185" s="16"/>
    </row>
    <row r="186" spans="1:31" x14ac:dyDescent="0.2">
      <c r="A186" s="4">
        <v>33766</v>
      </c>
      <c r="B186" s="9">
        <f ca="1">Prices!C185*(1+J186/(50*(ABS(O186)+ABS(T186)+0.0001)))</f>
        <v>129.30734058286822</v>
      </c>
      <c r="C186" s="13">
        <f t="shared" ca="1" si="18"/>
        <v>1</v>
      </c>
      <c r="D186" s="9">
        <f ca="1">D185+C186*(Prices!C186-Prices!C185)/Prices!C185</f>
        <v>7.9691394104107985E-2</v>
      </c>
      <c r="E186" s="9">
        <f t="shared" ca="1" si="19"/>
        <v>1.2172668977145168E-2</v>
      </c>
      <c r="F186" s="9">
        <f t="shared" ca="1" si="20"/>
        <v>9.1864063081253153E-2</v>
      </c>
      <c r="G186" s="13">
        <f ca="1">IF((Prices!C186-Prices!C185)*C186&gt;0,1,0)</f>
        <v>0</v>
      </c>
      <c r="H186" s="9">
        <f>ABS(Prices!C186-Prices!C185)/Prices!C185</f>
        <v>7.0505287896592689E-3</v>
      </c>
      <c r="I186" s="13"/>
      <c r="J186" s="1">
        <f t="shared" ca="1" si="21"/>
        <v>9.2778108380367572E-4</v>
      </c>
      <c r="K186" s="9"/>
      <c r="L186" s="9">
        <f ca="1">L185-O186*Prices!C186</f>
        <v>1.2974660259583222</v>
      </c>
      <c r="M186" s="1">
        <f t="shared" ca="1" si="22"/>
        <v>7.8813362348870205E-3</v>
      </c>
      <c r="N186" s="9">
        <f ca="1">IF(Prices!D185&gt;OFFSET(Prices!D185,-$N$3,0),1,IF(Prices!D185&lt;OFFSET(Prices!D185,-$N$3,0),-1,0))</f>
        <v>1</v>
      </c>
      <c r="O186" s="1">
        <f ca="1">IF(N186=1,O$3*L185/Prices!C185,O$3*M185*N186)</f>
        <v>1.1284766479306998E-3</v>
      </c>
      <c r="P186" s="14"/>
      <c r="Q186" s="9">
        <f ca="1">Q185-T186*Prices!C186</f>
        <v>1.0212174355984738</v>
      </c>
      <c r="R186" s="1">
        <f t="shared" ca="1" si="23"/>
        <v>9.8340826422241776E-3</v>
      </c>
      <c r="S186" s="9">
        <f ca="1">IF(Prices!C185&lt;OFFSET(Prices!C185,-S$3,0),1,IF(Prices!C185&gt;OFFSET(Prices!C185,-S$3,0),-1,0))</f>
        <v>-1</v>
      </c>
      <c r="T186" s="1">
        <f ca="1">IF(S186=1,T$3*Q185/Prices!C185,T$3*R185*S186)</f>
        <v>-2.0069556412702404E-4</v>
      </c>
      <c r="V186" s="9"/>
      <c r="W186" s="1"/>
      <c r="X186" s="1"/>
      <c r="Y186" s="1"/>
      <c r="Z186" s="1"/>
      <c r="AA186" s="1"/>
      <c r="AB186" s="1"/>
      <c r="AC186" s="1"/>
      <c r="AD186" s="1"/>
      <c r="AE186" s="16"/>
    </row>
    <row r="187" spans="1:31" x14ac:dyDescent="0.2">
      <c r="A187" s="4">
        <v>33767</v>
      </c>
      <c r="B187" s="9">
        <f ca="1">Prices!C186*(1+J187/(50*(ABS(O187)+ABS(T187)+0.0001)))</f>
        <v>128.31425204723499</v>
      </c>
      <c r="C187" s="13">
        <f t="shared" ca="1" si="18"/>
        <v>1</v>
      </c>
      <c r="D187" s="9">
        <f ca="1">D186+C187*(Prices!C187-Prices!C186)/Prices!C186</f>
        <v>7.8902439468999552E-2</v>
      </c>
      <c r="E187" s="9">
        <f t="shared" ca="1" si="19"/>
        <v>1.29616236122536E-2</v>
      </c>
      <c r="F187" s="9">
        <f t="shared" ca="1" si="20"/>
        <v>9.1864063081253153E-2</v>
      </c>
      <c r="G187" s="13">
        <f ca="1">IF((Prices!C187-Prices!C186)*C187&gt;0,1,0)</f>
        <v>0</v>
      </c>
      <c r="H187" s="9">
        <f>ABS(Prices!C187-Prices!C186)/Prices!C186</f>
        <v>7.8895463510843646E-4</v>
      </c>
      <c r="I187" s="13"/>
      <c r="J187" s="1">
        <f t="shared" ca="1" si="21"/>
        <v>1.6113884585380257E-4</v>
      </c>
      <c r="K187" s="9"/>
      <c r="L187" s="9">
        <f ca="1">L186-O187*Prices!C187</f>
        <v>1.2974660259583222</v>
      </c>
      <c r="M187" s="1">
        <f t="shared" ca="1" si="22"/>
        <v>7.8813362348870205E-3</v>
      </c>
      <c r="N187" s="9">
        <f ca="1">IF(Prices!D186&gt;OFFSET(Prices!D186,-$N$3,0),1,IF(Prices!D186&lt;OFFSET(Prices!D186,-$N$3,0),-1,0))</f>
        <v>0</v>
      </c>
      <c r="O187" s="1">
        <f ca="1">IF(N187=1,O$3*L186/Prices!C186,O$3*M186*N187)</f>
        <v>0</v>
      </c>
      <c r="P187" s="14"/>
      <c r="Q187" s="9">
        <f ca="1">Q186-T187*Prices!C187</f>
        <v>1.0008092007710896</v>
      </c>
      <c r="R187" s="1">
        <f t="shared" ca="1" si="23"/>
        <v>9.9952214880779794E-3</v>
      </c>
      <c r="S187" s="9">
        <f ca="1">IF(Prices!C186&lt;OFFSET(Prices!C186,-S$3,0),1,IF(Prices!C186&gt;OFFSET(Prices!C186,-S$3,0),-1,0))</f>
        <v>1</v>
      </c>
      <c r="T187" s="1">
        <f ca="1">IF(S187=1,T$3*Q186/Prices!C186,T$3*R186*S187)</f>
        <v>1.6113884585380257E-4</v>
      </c>
      <c r="V187" s="9"/>
      <c r="W187" s="1"/>
      <c r="X187" s="1"/>
      <c r="Y187" s="1"/>
      <c r="Z187" s="1"/>
      <c r="AA187" s="1"/>
      <c r="AB187" s="1"/>
      <c r="AC187" s="1"/>
      <c r="AD187" s="1"/>
      <c r="AE187" s="16"/>
    </row>
    <row r="188" spans="1:31" x14ac:dyDescent="0.2">
      <c r="A188" s="4">
        <v>33770</v>
      </c>
      <c r="B188" s="9">
        <f ca="1">Prices!C187*(1+J188/(50*(ABS(O188)+ABS(T188)+0.0001)))</f>
        <v>125.12442745934608</v>
      </c>
      <c r="C188" s="13">
        <f t="shared" ca="1" si="18"/>
        <v>-1</v>
      </c>
      <c r="D188" s="9">
        <f ca="1">D187+C188*(Prices!C188-Prices!C187)/Prices!C187</f>
        <v>7.7718073105004351E-2</v>
      </c>
      <c r="E188" s="9">
        <f t="shared" ca="1" si="19"/>
        <v>1.4145989976248802E-2</v>
      </c>
      <c r="F188" s="9">
        <f t="shared" ca="1" si="20"/>
        <v>9.1864063081253153E-2</v>
      </c>
      <c r="G188" s="13">
        <f ca="1">IF((Prices!C188-Prices!C187)*C188&gt;0,1,0)</f>
        <v>0</v>
      </c>
      <c r="H188" s="9">
        <f>ABS(Prices!C188-Prices!C187)/Prices!C187</f>
        <v>1.1843663639951952E-3</v>
      </c>
      <c r="I188" s="13"/>
      <c r="J188" s="1">
        <f t="shared" ca="1" si="21"/>
        <v>-6.300903229326674E-4</v>
      </c>
      <c r="K188" s="9"/>
      <c r="L188" s="9">
        <f ca="1">L187-O188*Prices!C188</f>
        <v>1.3974013694166896</v>
      </c>
      <c r="M188" s="1">
        <f t="shared" ca="1" si="22"/>
        <v>7.0932026113983181E-3</v>
      </c>
      <c r="N188" s="9">
        <f ca="1">IF(Prices!D187&gt;OFFSET(Prices!D187,-$N$3,0),1,IF(Prices!D187&lt;OFFSET(Prices!D187,-$N$3,0),-1,0))</f>
        <v>-1</v>
      </c>
      <c r="O188" s="1">
        <f ca="1">IF(N188=1,O$3*L187/Prices!C187,O$3*M187*N188)</f>
        <v>-7.8813362348870207E-4</v>
      </c>
      <c r="P188" s="14"/>
      <c r="Q188" s="9">
        <f ca="1">Q187-T188*Prices!C188</f>
        <v>0.98076931026058445</v>
      </c>
      <c r="R188" s="1">
        <f t="shared" ca="1" si="23"/>
        <v>1.0153264788634014E-2</v>
      </c>
      <c r="S188" s="9">
        <f ca="1">IF(Prices!C187&lt;OFFSET(Prices!C187,-S$3,0),1,IF(Prices!C187&gt;OFFSET(Prices!C187,-S$3,0),-1,0))</f>
        <v>1</v>
      </c>
      <c r="T188" s="1">
        <f ca="1">IF(S188=1,T$3*Q187/Prices!C187,T$3*R187*S188)</f>
        <v>1.5804330055603467E-4</v>
      </c>
      <c r="V188" s="9"/>
      <c r="W188" s="1"/>
      <c r="X188" s="1"/>
      <c r="Y188" s="1"/>
      <c r="Z188" s="1"/>
      <c r="AA188" s="1"/>
      <c r="AB188" s="1"/>
      <c r="AC188" s="1"/>
      <c r="AD188" s="1"/>
      <c r="AE188" s="16"/>
    </row>
    <row r="189" spans="1:31" x14ac:dyDescent="0.2">
      <c r="A189" s="4">
        <v>33771</v>
      </c>
      <c r="B189" s="9">
        <f ca="1">Prices!C188*(1+J189/(50*(ABS(O189)+ABS(T189)+0.0001)))</f>
        <v>125.34096939945844</v>
      </c>
      <c r="C189" s="13">
        <f t="shared" ca="1" si="18"/>
        <v>-1</v>
      </c>
      <c r="D189" s="9">
        <f ca="1">D188+C189*(Prices!C189-Prices!C188)/Prices!C188</f>
        <v>7.8506716638127333E-2</v>
      </c>
      <c r="E189" s="9">
        <f t="shared" ca="1" si="19"/>
        <v>1.335734644312582E-2</v>
      </c>
      <c r="F189" s="9">
        <f t="shared" ca="1" si="20"/>
        <v>9.1864063081253153E-2</v>
      </c>
      <c r="G189" s="13">
        <f ca="1">IF((Prices!C189-Prices!C188)*C189&gt;0,1,0)</f>
        <v>1</v>
      </c>
      <c r="H189" s="9">
        <f>ABS(Prices!C189-Prices!C188)/Prices!C188</f>
        <v>7.8864353312298359E-4</v>
      </c>
      <c r="I189" s="13"/>
      <c r="J189" s="1">
        <f t="shared" ca="1" si="21"/>
        <v>-5.5462478633532322E-4</v>
      </c>
      <c r="K189" s="9"/>
      <c r="L189" s="9">
        <f ca="1">L188-O189*Prices!C189</f>
        <v>1.4872722465031063</v>
      </c>
      <c r="M189" s="1">
        <f t="shared" ca="1" si="22"/>
        <v>6.3838823502584859E-3</v>
      </c>
      <c r="N189" s="9">
        <f ca="1">IF(Prices!D188&gt;OFFSET(Prices!D188,-$N$3,0),1,IF(Prices!D188&lt;OFFSET(Prices!D188,-$N$3,0),-1,0))</f>
        <v>-1</v>
      </c>
      <c r="O189" s="1">
        <f ca="1">IF(N189=1,O$3*L188/Prices!C188,O$3*M188*N189)</f>
        <v>-7.0932026113983181E-4</v>
      </c>
      <c r="P189" s="14"/>
      <c r="Q189" s="9">
        <f ca="1">Q188-T189*Prices!C189</f>
        <v>0.96116939360285325</v>
      </c>
      <c r="R189" s="1">
        <f t="shared" ca="1" si="23"/>
        <v>1.0307960263438522E-2</v>
      </c>
      <c r="S189" s="9">
        <f ca="1">IF(Prices!C188&lt;OFFSET(Prices!C188,-S$3,0),1,IF(Prices!C188&gt;OFFSET(Prices!C188,-S$3,0),-1,0))</f>
        <v>1</v>
      </c>
      <c r="T189" s="1">
        <f ca="1">IF(S189=1,T$3*Q188/Prices!C188,T$3*R188*S189)</f>
        <v>1.5469547480450861E-4</v>
      </c>
      <c r="V189" s="9"/>
      <c r="W189" s="1"/>
      <c r="X189" s="1"/>
      <c r="Y189" s="1"/>
      <c r="Z189" s="1"/>
      <c r="AA189" s="1"/>
      <c r="AB189" s="1"/>
      <c r="AC189" s="1"/>
      <c r="AD189" s="1"/>
      <c r="AE189" s="16"/>
    </row>
    <row r="190" spans="1:31" x14ac:dyDescent="0.2">
      <c r="A190" s="4">
        <v>33772</v>
      </c>
      <c r="B190" s="9">
        <f ca="1">Prices!C189*(1+J190/(50*(ABS(O190)+ABS(T190)+0.0001)))</f>
        <v>125.3145471874211</v>
      </c>
      <c r="C190" s="13">
        <f t="shared" ca="1" si="18"/>
        <v>-1</v>
      </c>
      <c r="D190" s="9">
        <f ca="1">D189+C190*(Prices!C190-Prices!C189)/Prices!C189</f>
        <v>7.5744285698900862E-2</v>
      </c>
      <c r="E190" s="9">
        <f t="shared" ca="1" si="19"/>
        <v>1.6119777382352291E-2</v>
      </c>
      <c r="F190" s="9">
        <f t="shared" ca="1" si="20"/>
        <v>9.1864063081253153E-2</v>
      </c>
      <c r="G190" s="13">
        <f ca="1">IF((Prices!C190-Prices!C189)*C190&gt;0,1,0)</f>
        <v>0</v>
      </c>
      <c r="H190" s="9">
        <f>ABS(Prices!C190-Prices!C189)/Prices!C189</f>
        <v>2.7624309392264746E-3</v>
      </c>
      <c r="I190" s="13"/>
      <c r="J190" s="1">
        <f t="shared" ca="1" si="21"/>
        <v>-4.8666457384149926E-4</v>
      </c>
      <c r="K190" s="9"/>
      <c r="L190" s="9">
        <f ca="1">L189-O190*Prices!C190</f>
        <v>1.5683794717631403</v>
      </c>
      <c r="M190" s="1">
        <f t="shared" ca="1" si="22"/>
        <v>5.7454941152326371E-3</v>
      </c>
      <c r="N190" s="9">
        <f ca="1">IF(Prices!D189&gt;OFFSET(Prices!D189,-$N$3,0),1,IF(Prices!D189&lt;OFFSET(Prices!D189,-$N$3,0),-1,0))</f>
        <v>-1</v>
      </c>
      <c r="O190" s="1">
        <f ca="1">IF(N190=1,O$3*L189/Prices!C189,O$3*M189*N190)</f>
        <v>-6.3838823502584865E-4</v>
      </c>
      <c r="P190" s="14"/>
      <c r="Q190" s="9">
        <f ca="1">Q189-T190*Prices!C190</f>
        <v>0.94189290244938162</v>
      </c>
      <c r="R190" s="1">
        <f t="shared" ca="1" si="23"/>
        <v>1.0459683924622872E-2</v>
      </c>
      <c r="S190" s="9">
        <f ca="1">IF(Prices!C189&lt;OFFSET(Prices!C189,-S$3,0),1,IF(Prices!C189&gt;OFFSET(Prices!C189,-S$3,0),-1,0))</f>
        <v>1</v>
      </c>
      <c r="T190" s="1">
        <f ca="1">IF(S190=1,T$3*Q189/Prices!C189,T$3*R189*S190)</f>
        <v>1.5172366118434939E-4</v>
      </c>
      <c r="V190" s="9"/>
      <c r="W190" s="1"/>
      <c r="X190" s="1"/>
      <c r="Y190" s="1"/>
      <c r="Z190" s="1"/>
      <c r="AA190" s="1"/>
      <c r="AB190" s="1"/>
      <c r="AC190" s="1"/>
      <c r="AD190" s="1"/>
      <c r="AE190" s="16"/>
    </row>
    <row r="191" spans="1:31" x14ac:dyDescent="0.2">
      <c r="A191" s="4">
        <v>33773</v>
      </c>
      <c r="B191" s="9">
        <f ca="1">Prices!C190*(1+J191/(50*(ABS(O191)+ABS(T191)+0.0001)))</f>
        <v>124.79652700063033</v>
      </c>
      <c r="C191" s="13">
        <f t="shared" ca="1" si="18"/>
        <v>-1</v>
      </c>
      <c r="D191" s="9">
        <f ca="1">D190+C191*(Prices!C191-Prices!C190)/Prices!C190</f>
        <v>7.8892652483631212E-2</v>
      </c>
      <c r="E191" s="9">
        <f t="shared" ca="1" si="19"/>
        <v>1.2971410597621941E-2</v>
      </c>
      <c r="F191" s="9">
        <f t="shared" ca="1" si="20"/>
        <v>9.1864063081253153E-2</v>
      </c>
      <c r="G191" s="13">
        <f ca="1">IF((Prices!C191-Prices!C190)*C191&gt;0,1,0)</f>
        <v>1</v>
      </c>
      <c r="H191" s="9">
        <f>ABS(Prices!C191-Prices!C190)/Prices!C190</f>
        <v>3.1483667847303541E-3</v>
      </c>
      <c r="I191" s="13"/>
      <c r="J191" s="1">
        <f t="shared" ca="1" si="21"/>
        <v>-7.8374309001572116E-4</v>
      </c>
      <c r="K191" s="9"/>
      <c r="L191" s="9">
        <f ca="1">L190-O191*Prices!C191</f>
        <v>1.6411461547325616</v>
      </c>
      <c r="M191" s="1">
        <f t="shared" ca="1" si="22"/>
        <v>5.1709447037093731E-3</v>
      </c>
      <c r="N191" s="9">
        <f ca="1">IF(Prices!D190&gt;OFFSET(Prices!D190,-$N$3,0),1,IF(Prices!D190&lt;OFFSET(Prices!D190,-$N$3,0),-1,0))</f>
        <v>-1</v>
      </c>
      <c r="O191" s="1">
        <f ca="1">IF(N191=1,O$3*L190/Prices!C190,O$3*M190*N191)</f>
        <v>-5.7454941152326375E-4</v>
      </c>
      <c r="P191" s="14"/>
      <c r="Q191" s="9">
        <f ca="1">Q190-T191*Prices!C191</f>
        <v>0.96838728183045131</v>
      </c>
      <c r="R191" s="1">
        <f t="shared" ca="1" si="23"/>
        <v>1.0250490246130414E-2</v>
      </c>
      <c r="S191" s="9">
        <f ca="1">IF(Prices!C190&lt;OFFSET(Prices!C190,-S$3,0),1,IF(Prices!C190&gt;OFFSET(Prices!C190,-S$3,0),-1,0))</f>
        <v>-1</v>
      </c>
      <c r="T191" s="1">
        <f ca="1">IF(S191=1,T$3*Q190/Prices!C190,T$3*R190*S191)</f>
        <v>-2.0919367849245744E-4</v>
      </c>
      <c r="V191" s="9"/>
      <c r="W191" s="1"/>
      <c r="X191" s="1"/>
      <c r="Y191" s="1"/>
      <c r="Z191" s="1"/>
      <c r="AA191" s="1"/>
      <c r="AB191" s="1"/>
      <c r="AC191" s="1"/>
      <c r="AD191" s="1"/>
      <c r="AE191" s="16"/>
    </row>
    <row r="192" spans="1:31" x14ac:dyDescent="0.2">
      <c r="A192" s="4">
        <v>33774</v>
      </c>
      <c r="B192" s="9">
        <f ca="1">Prices!C191*(1+J192/(50*(ABS(O192)+ABS(T192)+0.0001)))</f>
        <v>124.52747199766308</v>
      </c>
      <c r="C192" s="13">
        <f t="shared" ca="1" si="18"/>
        <v>-1</v>
      </c>
      <c r="D192" s="9">
        <f ca="1">D191+C192*(Prices!C192-Prices!C191)/Prices!C191</f>
        <v>7.6681835270840049E-2</v>
      </c>
      <c r="E192" s="9">
        <f t="shared" ca="1" si="19"/>
        <v>1.5182227810413104E-2</v>
      </c>
      <c r="F192" s="9">
        <f t="shared" ca="1" si="20"/>
        <v>9.1864063081253153E-2</v>
      </c>
      <c r="G192" s="13">
        <f ca="1">IF((Prices!C192-Prices!C191)*C192&gt;0,1,0)</f>
        <v>0</v>
      </c>
      <c r="H192" s="9">
        <f>ABS(Prices!C192-Prices!C191)/Prices!C191</f>
        <v>2.2108172127911657E-3</v>
      </c>
      <c r="I192" s="13"/>
      <c r="J192" s="1">
        <f t="shared" ca="1" si="21"/>
        <v>-5.1709447037093736E-4</v>
      </c>
      <c r="K192" s="9"/>
      <c r="L192" s="9">
        <f ca="1">L191-O192*Prices!C192</f>
        <v>1.7067809558567448</v>
      </c>
      <c r="M192" s="1">
        <f t="shared" ca="1" si="22"/>
        <v>4.6538502333384356E-3</v>
      </c>
      <c r="N192" s="9">
        <f ca="1">IF(Prices!D191&gt;OFFSET(Prices!D191,-$N$3,0),1,IF(Prices!D191&lt;OFFSET(Prices!D191,-$N$3,0),-1,0))</f>
        <v>-1</v>
      </c>
      <c r="O192" s="1">
        <f ca="1">IF(N192=1,O$3*L191/Prices!C191,O$3*M191*N192)</f>
        <v>-5.1709447037093736E-4</v>
      </c>
      <c r="P192" s="14"/>
      <c r="Q192" s="9">
        <f ca="1">Q191-T192*Prices!C192</f>
        <v>0.96838728183045131</v>
      </c>
      <c r="R192" s="1">
        <f t="shared" ca="1" si="23"/>
        <v>1.0250490246130414E-2</v>
      </c>
      <c r="S192" s="9">
        <f ca="1">IF(Prices!C191&lt;OFFSET(Prices!C191,-S$3,0),1,IF(Prices!C191&gt;OFFSET(Prices!C191,-S$3,0),-1,0))</f>
        <v>0</v>
      </c>
      <c r="T192" s="1">
        <f ca="1">IF(S192=1,T$3*Q191/Prices!C191,T$3*R191*S192)</f>
        <v>0</v>
      </c>
      <c r="V192" s="9"/>
      <c r="W192" s="1"/>
      <c r="X192" s="1"/>
      <c r="Y192" s="1"/>
      <c r="Z192" s="1"/>
      <c r="AA192" s="1"/>
      <c r="AB192" s="1"/>
      <c r="AC192" s="1"/>
      <c r="AD192" s="1"/>
      <c r="AE192" s="16"/>
    </row>
    <row r="193" spans="1:31" x14ac:dyDescent="0.2">
      <c r="A193" s="4">
        <v>33777</v>
      </c>
      <c r="B193" s="9">
        <f ca="1">Prices!C192*(1+J193/(50*(ABS(O193)+ABS(T193)+0.0001)))</f>
        <v>128.68375609163988</v>
      </c>
      <c r="C193" s="13">
        <f t="shared" ca="1" si="18"/>
        <v>1</v>
      </c>
      <c r="D193" s="9">
        <f ca="1">D192+C193*(Prices!C193-Prices!C192)/Prices!C192</f>
        <v>7.8021156156367399E-2</v>
      </c>
      <c r="E193" s="9">
        <f t="shared" ca="1" si="19"/>
        <v>1.3842906924885753E-2</v>
      </c>
      <c r="F193" s="9">
        <f t="shared" ca="1" si="20"/>
        <v>9.1864063081253153E-2</v>
      </c>
      <c r="G193" s="13">
        <f ca="1">IF((Prices!C193-Prices!C192)*C193&gt;0,1,0)</f>
        <v>1</v>
      </c>
      <c r="H193" s="9">
        <f>ABS(Prices!C193-Prices!C192)/Prices!C192</f>
        <v>1.3393208855273576E-3</v>
      </c>
      <c r="I193" s="13"/>
      <c r="J193" s="1">
        <f t="shared" ca="1" si="21"/>
        <v>1.1396533604888348E-3</v>
      </c>
      <c r="K193" s="9"/>
      <c r="L193" s="9">
        <f ca="1">L192-O193*Prices!C193</f>
        <v>1.5358742675329504</v>
      </c>
      <c r="M193" s="1">
        <f t="shared" ca="1" si="22"/>
        <v>5.9985133987498791E-3</v>
      </c>
      <c r="N193" s="9">
        <f ca="1">IF(Prices!D192&gt;OFFSET(Prices!D192,-$N$3,0),1,IF(Prices!D192&lt;OFFSET(Prices!D192,-$N$3,0),-1,0))</f>
        <v>1</v>
      </c>
      <c r="O193" s="1">
        <f ca="1">IF(N193=1,O$3*L192/Prices!C192,O$3*M192*N193)</f>
        <v>1.3446631654114431E-3</v>
      </c>
      <c r="P193" s="14"/>
      <c r="Q193" s="9">
        <f ca="1">Q192-T193*Prices!C193</f>
        <v>0.99444402803611487</v>
      </c>
      <c r="R193" s="1">
        <f t="shared" ca="1" si="23"/>
        <v>1.0045480441207805E-2</v>
      </c>
      <c r="S193" s="9">
        <f ca="1">IF(Prices!C192&lt;OFFSET(Prices!C192,-S$3,0),1,IF(Prices!C192&gt;OFFSET(Prices!C192,-S$3,0),-1,0))</f>
        <v>-1</v>
      </c>
      <c r="T193" s="1">
        <f ca="1">IF(S193=1,T$3*Q192/Prices!C192,T$3*R192*S193)</f>
        <v>-2.0500980492260828E-4</v>
      </c>
      <c r="V193" s="9"/>
      <c r="W193" s="1"/>
      <c r="X193" s="1"/>
      <c r="Y193" s="1"/>
      <c r="Z193" s="1"/>
      <c r="AA193" s="1"/>
      <c r="AB193" s="1"/>
      <c r="AC193" s="1"/>
      <c r="AD193" s="1"/>
      <c r="AE193" s="16"/>
    </row>
    <row r="194" spans="1:31" x14ac:dyDescent="0.2">
      <c r="A194" s="4">
        <v>33778</v>
      </c>
      <c r="B194" s="9">
        <f ca="1">Prices!C193*(1+J194/(50*(ABS(O194)+ABS(T194)+0.0001)))</f>
        <v>128.79682823284094</v>
      </c>
      <c r="C194" s="13">
        <f t="shared" ca="1" si="18"/>
        <v>1</v>
      </c>
      <c r="D194" s="9">
        <f ca="1">D193+C194*(Prices!C194-Prices!C193)/Prices!C193</f>
        <v>7.9043972836147183E-2</v>
      </c>
      <c r="E194" s="9">
        <f t="shared" ca="1" si="19"/>
        <v>1.282009024510597E-2</v>
      </c>
      <c r="F194" s="9">
        <f t="shared" ca="1" si="20"/>
        <v>9.1864063081253153E-2</v>
      </c>
      <c r="G194" s="13">
        <f ca="1">IF((Prices!C194-Prices!C193)*C194&gt;0,1,0)</f>
        <v>1</v>
      </c>
      <c r="H194" s="9">
        <f>ABS(Prices!C194-Prices!C193)/Prices!C193</f>
        <v>1.0228166797797771E-3</v>
      </c>
      <c r="I194" s="13"/>
      <c r="J194" s="1">
        <f t="shared" ca="1" si="21"/>
        <v>1.0074887133890232E-3</v>
      </c>
      <c r="K194" s="9"/>
      <c r="L194" s="9">
        <f ca="1">L193-O194*Prices!C194</f>
        <v>1.3821297489977677</v>
      </c>
      <c r="M194" s="1">
        <f t="shared" ca="1" si="22"/>
        <v>7.2069117209630582E-3</v>
      </c>
      <c r="N194" s="9">
        <f ca="1">IF(Prices!D193&gt;OFFSET(Prices!D193,-$N$3,0),1,IF(Prices!D193&lt;OFFSET(Prices!D193,-$N$3,0),-1,0))</f>
        <v>1</v>
      </c>
      <c r="O194" s="1">
        <f ca="1">IF(N194=1,O$3*L193/Prices!C193,O$3*M193*N194)</f>
        <v>1.2083983222131792E-3</v>
      </c>
      <c r="P194" s="14"/>
      <c r="Q194" s="9">
        <f ca="1">Q193-T194*Prices!C194</f>
        <v>1.0200057575668122</v>
      </c>
      <c r="R194" s="1">
        <f t="shared" ca="1" si="23"/>
        <v>9.8445708323836485E-3</v>
      </c>
      <c r="S194" s="9">
        <f ca="1">IF(Prices!C193&lt;OFFSET(Prices!C193,-S$3,0),1,IF(Prices!C193&gt;OFFSET(Prices!C193,-S$3,0),-1,0))</f>
        <v>-1</v>
      </c>
      <c r="T194" s="1">
        <f ca="1">IF(S194=1,T$3*Q193/Prices!C193,T$3*R193*S194)</f>
        <v>-2.0090960882415611E-4</v>
      </c>
      <c r="V194" s="9"/>
      <c r="W194" s="1"/>
      <c r="X194" s="1"/>
      <c r="Y194" s="1"/>
      <c r="Z194" s="1"/>
      <c r="AA194" s="1"/>
      <c r="AB194" s="1"/>
      <c r="AC194" s="1"/>
      <c r="AD194" s="1"/>
      <c r="AE194" s="16"/>
    </row>
    <row r="195" spans="1:31" x14ac:dyDescent="0.2">
      <c r="A195" s="4">
        <v>33779</v>
      </c>
      <c r="B195" s="9">
        <f ca="1">Prices!C194*(1+J195/(50*(ABS(O195)+ABS(T195)+0.0001)))</f>
        <v>128.86622377769984</v>
      </c>
      <c r="C195" s="13">
        <f t="shared" ca="1" si="18"/>
        <v>1</v>
      </c>
      <c r="D195" s="9">
        <f ca="1">D194+C195*(Prices!C195-Prices!C194)/Prices!C194</f>
        <v>7.4721093012206308E-2</v>
      </c>
      <c r="E195" s="9">
        <f t="shared" ca="1" si="19"/>
        <v>1.7142970069046845E-2</v>
      </c>
      <c r="F195" s="9">
        <f t="shared" ca="1" si="20"/>
        <v>9.1864063081253153E-2</v>
      </c>
      <c r="G195" s="13">
        <f ca="1">IF((Prices!C195-Prices!C194)*C195&gt;0,1,0)</f>
        <v>0</v>
      </c>
      <c r="H195" s="9">
        <f>ABS(Prices!C195-Prices!C194)/Prices!C194</f>
        <v>4.3228798239408721E-3</v>
      </c>
      <c r="I195" s="13"/>
      <c r="J195" s="1">
        <f t="shared" ca="1" si="21"/>
        <v>8.8943236626340752E-4</v>
      </c>
      <c r="K195" s="9"/>
      <c r="L195" s="9">
        <f ca="1">L194-O195*Prices!C195</f>
        <v>1.2445142521785921</v>
      </c>
      <c r="M195" s="1">
        <f t="shared" ca="1" si="22"/>
        <v>8.2932355038741381E-3</v>
      </c>
      <c r="N195" s="9">
        <f ca="1">IF(Prices!D194&gt;OFFSET(Prices!D194,-$N$3,0),1,IF(Prices!D194&lt;OFFSET(Prices!D194,-$N$3,0),-1,0))</f>
        <v>1</v>
      </c>
      <c r="O195" s="1">
        <f ca="1">IF(N195=1,O$3*L194/Prices!C194,O$3*M194*N195)</f>
        <v>1.0863237829110805E-3</v>
      </c>
      <c r="P195" s="14"/>
      <c r="Q195" s="9">
        <f ca="1">Q194-T195*Prices!C195</f>
        <v>1.0449479622277393</v>
      </c>
      <c r="R195" s="1">
        <f t="shared" ca="1" si="23"/>
        <v>9.6476794157359762E-3</v>
      </c>
      <c r="S195" s="9">
        <f ca="1">IF(Prices!C194&lt;OFFSET(Prices!C194,-S$3,0),1,IF(Prices!C194&gt;OFFSET(Prices!C194,-S$3,0),-1,0))</f>
        <v>-1</v>
      </c>
      <c r="T195" s="1">
        <f ca="1">IF(S195=1,T$3*Q194/Prices!C194,T$3*R194*S195)</f>
        <v>-1.9689141664767297E-4</v>
      </c>
      <c r="V195" s="9"/>
      <c r="W195" s="1"/>
      <c r="X195" s="1"/>
      <c r="Y195" s="1"/>
      <c r="Z195" s="1"/>
      <c r="AA195" s="1"/>
      <c r="AB195" s="1"/>
      <c r="AC195" s="1"/>
      <c r="AD195" s="1"/>
      <c r="AE195" s="16"/>
    </row>
    <row r="196" spans="1:31" x14ac:dyDescent="0.2">
      <c r="A196" s="4">
        <v>33780</v>
      </c>
      <c r="B196" s="9">
        <f ca="1">Prices!C195*(1+J196/(50*(ABS(O196)+ABS(T196)+0.0001)))</f>
        <v>124.37215528919087</v>
      </c>
      <c r="C196" s="13">
        <f t="shared" ca="1" si="18"/>
        <v>-1</v>
      </c>
      <c r="D196" s="9">
        <f ca="1">D195+C196*(Prices!C196-Prices!C195)/Prices!C195</f>
        <v>8.4430597274915531E-2</v>
      </c>
      <c r="E196" s="9">
        <f t="shared" ca="1" si="19"/>
        <v>7.4334658063376219E-3</v>
      </c>
      <c r="F196" s="9">
        <f t="shared" ca="1" si="20"/>
        <v>9.1864063081253153E-2</v>
      </c>
      <c r="G196" s="13">
        <f ca="1">IF((Prices!C196-Prices!C195)*C196&gt;0,1,0)</f>
        <v>1</v>
      </c>
      <c r="H196" s="9">
        <f>ABS(Prices!C196-Prices!C195)/Prices!C195</f>
        <v>9.7095042627092197E-3</v>
      </c>
      <c r="I196" s="13"/>
      <c r="J196" s="1">
        <f t="shared" ca="1" si="21"/>
        <v>-1.0222771387021334E-3</v>
      </c>
      <c r="K196" s="9"/>
      <c r="L196" s="9">
        <f ca="1">L195-O196*Prices!C196</f>
        <v>1.3485528915746932</v>
      </c>
      <c r="M196" s="1">
        <f t="shared" ca="1" si="22"/>
        <v>7.4639119534867238E-3</v>
      </c>
      <c r="N196" s="9">
        <f ca="1">IF(Prices!D195&gt;OFFSET(Prices!D195,-$N$3,0),1,IF(Prices!D195&lt;OFFSET(Prices!D195,-$N$3,0),-1,0))</f>
        <v>-1</v>
      </c>
      <c r="O196" s="1">
        <f ca="1">IF(N196=1,O$3*L195/Prices!C195,O$3*M195*N196)</f>
        <v>-8.293235503874139E-4</v>
      </c>
      <c r="P196" s="14"/>
      <c r="Q196" s="9">
        <f ca="1">Q195-T196*Prices!C196</f>
        <v>1.069153989881821</v>
      </c>
      <c r="R196" s="1">
        <f t="shared" ca="1" si="23"/>
        <v>9.4547258274212571E-3</v>
      </c>
      <c r="S196" s="9">
        <f ca="1">IF(Prices!C195&lt;OFFSET(Prices!C195,-S$3,0),1,IF(Prices!C195&gt;OFFSET(Prices!C195,-S$3,0),-1,0))</f>
        <v>-1</v>
      </c>
      <c r="T196" s="1">
        <f ca="1">IF(S196=1,T$3*Q195/Prices!C195,T$3*R195*S196)</f>
        <v>-1.9295358831471953E-4</v>
      </c>
      <c r="V196" s="9"/>
      <c r="W196" s="1"/>
      <c r="X196" s="1"/>
      <c r="Y196" s="1"/>
      <c r="Z196" s="1"/>
      <c r="AA196" s="1"/>
      <c r="AB196" s="1"/>
      <c r="AC196" s="1"/>
      <c r="AD196" s="1"/>
      <c r="AE196" s="16"/>
    </row>
    <row r="197" spans="1:31" x14ac:dyDescent="0.2">
      <c r="A197" s="4">
        <v>33781</v>
      </c>
      <c r="B197" s="9">
        <f ca="1">Prices!C196*(1+J197/(50*(ABS(O197)+ABS(T197)+0.0001)))</f>
        <v>124.02890054242731</v>
      </c>
      <c r="C197" s="13">
        <f t="shared" ca="1" si="18"/>
        <v>-1</v>
      </c>
      <c r="D197" s="9">
        <f ca="1">D196+C197*(Prices!C197-Prices!C196)/Prices!C196</f>
        <v>8.2278345381731025E-2</v>
      </c>
      <c r="E197" s="9">
        <f t="shared" ca="1" si="19"/>
        <v>9.5857176995221283E-3</v>
      </c>
      <c r="F197" s="9">
        <f t="shared" ca="1" si="20"/>
        <v>9.1864063081253153E-2</v>
      </c>
      <c r="G197" s="13">
        <f ca="1">IF((Prices!C197-Prices!C196)*C197&gt;0,1,0)</f>
        <v>0</v>
      </c>
      <c r="H197" s="9">
        <f>ABS(Prices!C197-Prices!C196)/Prices!C196</f>
        <v>2.1522518931845038E-3</v>
      </c>
      <c r="I197" s="13"/>
      <c r="J197" s="1">
        <f t="shared" ca="1" si="21"/>
        <v>-5.7594018062060218E-4</v>
      </c>
      <c r="K197" s="9"/>
      <c r="L197" s="9">
        <f ca="1">L196-O197*Prices!C197</f>
        <v>1.4423891926539283</v>
      </c>
      <c r="M197" s="1">
        <f t="shared" ca="1" si="22"/>
        <v>6.7175207581380517E-3</v>
      </c>
      <c r="N197" s="9">
        <f ca="1">IF(Prices!D196&gt;OFFSET(Prices!D196,-$N$3,0),1,IF(Prices!D196&lt;OFFSET(Prices!D196,-$N$3,0),-1,0))</f>
        <v>-1</v>
      </c>
      <c r="O197" s="1">
        <f ca="1">IF(N197=1,O$3*L196/Prices!C196,O$3*M196*N197)</f>
        <v>-7.4639119534867246E-4</v>
      </c>
      <c r="P197" s="14"/>
      <c r="Q197" s="9">
        <f ca="1">Q196-T197*Prices!C197</f>
        <v>1.0477248883102079</v>
      </c>
      <c r="R197" s="1">
        <f t="shared" ca="1" si="23"/>
        <v>9.6251768421493269E-3</v>
      </c>
      <c r="S197" s="9">
        <f ca="1">IF(Prices!C196&lt;OFFSET(Prices!C196,-S$3,0),1,IF(Prices!C196&gt;OFFSET(Prices!C196,-S$3,0),-1,0))</f>
        <v>1</v>
      </c>
      <c r="T197" s="1">
        <f ca="1">IF(S197=1,T$3*Q196/Prices!C196,T$3*R196*S197)</f>
        <v>1.7045101472807031E-4</v>
      </c>
      <c r="V197" s="9"/>
      <c r="W197" s="1"/>
      <c r="X197" s="1"/>
      <c r="Y197" s="1"/>
      <c r="Z197" s="1"/>
      <c r="AA197" s="1"/>
      <c r="AB197" s="1"/>
      <c r="AC197" s="1"/>
      <c r="AD197" s="1"/>
      <c r="AE197" s="16"/>
    </row>
    <row r="198" spans="1:31" x14ac:dyDescent="0.2">
      <c r="A198" s="4">
        <v>33784</v>
      </c>
      <c r="B198" s="9">
        <f ca="1">Prices!C197*(1+J198/(50*(ABS(O198)+ABS(T198)+0.0001)))</f>
        <v>124.36671188638276</v>
      </c>
      <c r="C198" s="13">
        <f t="shared" ca="1" si="18"/>
        <v>-1</v>
      </c>
      <c r="D198" s="9">
        <f ca="1">D197+C198*(Prices!C198-Prices!C197)/Prices!C197</f>
        <v>8.6016811815074951E-2</v>
      </c>
      <c r="E198" s="9">
        <f t="shared" ca="1" si="19"/>
        <v>5.8472512661782022E-3</v>
      </c>
      <c r="F198" s="9">
        <f t="shared" ca="1" si="20"/>
        <v>9.1864063081253153E-2</v>
      </c>
      <c r="G198" s="13">
        <f ca="1">IF((Prices!C198-Prices!C197)*C198&gt;0,1,0)</f>
        <v>1</v>
      </c>
      <c r="H198" s="9">
        <f>ABS(Prices!C198-Prices!C197)/Prices!C197</f>
        <v>3.7384664333439299E-3</v>
      </c>
      <c r="I198" s="13"/>
      <c r="J198" s="1">
        <f t="shared" ca="1" si="21"/>
        <v>-5.0507614703394397E-4</v>
      </c>
      <c r="K198" s="9"/>
      <c r="L198" s="9">
        <f ca="1">L197-O198*Prices!C198</f>
        <v>1.5265261401496073</v>
      </c>
      <c r="M198" s="1">
        <f t="shared" ca="1" si="22"/>
        <v>6.0457686823242466E-3</v>
      </c>
      <c r="N198" s="9">
        <f ca="1">IF(Prices!D197&gt;OFFSET(Prices!D197,-$N$3,0),1,IF(Prices!D197&lt;OFFSET(Prices!D197,-$N$3,0),-1,0))</f>
        <v>-1</v>
      </c>
      <c r="O198" s="1">
        <f ca="1">IF(N198=1,O$3*L197/Prices!C197,O$3*M197*N198)</f>
        <v>-6.7175207581380517E-4</v>
      </c>
      <c r="P198" s="14"/>
      <c r="Q198" s="9">
        <f ca="1">Q197-T198*Prices!C198</f>
        <v>1.0268487282305303</v>
      </c>
      <c r="R198" s="1">
        <f t="shared" ca="1" si="23"/>
        <v>9.7918527709291887E-3</v>
      </c>
      <c r="S198" s="9">
        <f ca="1">IF(Prices!C197&lt;OFFSET(Prices!C197,-S$3,0),1,IF(Prices!C197&gt;OFFSET(Prices!C197,-S$3,0),-1,0))</f>
        <v>1</v>
      </c>
      <c r="T198" s="1">
        <f ca="1">IF(S198=1,T$3*Q197/Prices!C197,T$3*R197*S198)</f>
        <v>1.6667592877986126E-4</v>
      </c>
      <c r="V198" s="9"/>
      <c r="W198" s="1"/>
      <c r="X198" s="1"/>
      <c r="Y198" s="1"/>
      <c r="Z198" s="1"/>
      <c r="AA198" s="1"/>
      <c r="AB198" s="1"/>
      <c r="AC198" s="1"/>
      <c r="AD198" s="1"/>
      <c r="AE198" s="16"/>
    </row>
    <row r="199" spans="1:31" x14ac:dyDescent="0.2">
      <c r="A199" s="4">
        <v>33785</v>
      </c>
      <c r="B199" s="9">
        <f ca="1">Prices!C198*(1+J199/(50*(ABS(O199)+ABS(T199)+0.0001)))</f>
        <v>123.97922426820141</v>
      </c>
      <c r="C199" s="13">
        <f t="shared" ca="1" si="18"/>
        <v>-1</v>
      </c>
      <c r="D199" s="9">
        <f ca="1">D198+C199*(Prices!C199-Prices!C198)/Prices!C198</f>
        <v>8.1066712014675718E-2</v>
      </c>
      <c r="E199" s="9">
        <f t="shared" ca="1" si="19"/>
        <v>1.0797351066577435E-2</v>
      </c>
      <c r="F199" s="9">
        <f t="shared" ca="1" si="20"/>
        <v>9.1864063081253153E-2</v>
      </c>
      <c r="G199" s="13">
        <f ca="1">IF((Prices!C199-Prices!C198)*C199&gt;0,1,0)</f>
        <v>0</v>
      </c>
      <c r="H199" s="9">
        <f>ABS(Prices!C199-Prices!C198)/Prices!C198</f>
        <v>4.9500998003992377E-3</v>
      </c>
      <c r="I199" s="13"/>
      <c r="J199" s="1">
        <f t="shared" ca="1" si="21"/>
        <v>-4.4060900743713035E-4</v>
      </c>
      <c r="K199" s="9"/>
      <c r="L199" s="9">
        <f ca="1">L198-O199*Prices!C199</f>
        <v>1.6026242305540226</v>
      </c>
      <c r="M199" s="1">
        <f t="shared" ca="1" si="22"/>
        <v>5.4411918140918215E-3</v>
      </c>
      <c r="N199" s="9">
        <f ca="1">IF(Prices!D198&gt;OFFSET(Prices!D198,-$N$3,0),1,IF(Prices!D198&lt;OFFSET(Prices!D198,-$N$3,0),-1,0))</f>
        <v>-1</v>
      </c>
      <c r="O199" s="1">
        <f ca="1">IF(N199=1,O$3*L198/Prices!C198,O$3*M198*N199)</f>
        <v>-6.0457686823242466E-4</v>
      </c>
      <c r="P199" s="14"/>
      <c r="Q199" s="9">
        <f ca="1">Q198-T199*Prices!C199</f>
        <v>1.0062100935922267</v>
      </c>
      <c r="R199" s="1">
        <f t="shared" ca="1" si="23"/>
        <v>9.9558206317244824E-3</v>
      </c>
      <c r="S199" s="9">
        <f ca="1">IF(Prices!C198&lt;OFFSET(Prices!C198,-S$3,0),1,IF(Prices!C198&gt;OFFSET(Prices!C198,-S$3,0),-1,0))</f>
        <v>1</v>
      </c>
      <c r="T199" s="1">
        <f ca="1">IF(S199=1,T$3*Q198/Prices!C198,T$3*R198*S199)</f>
        <v>1.6396786079529428E-4</v>
      </c>
      <c r="V199" s="9"/>
      <c r="W199" s="1"/>
      <c r="X199" s="1"/>
      <c r="Y199" s="1"/>
      <c r="Z199" s="1"/>
      <c r="AA199" s="1"/>
      <c r="AB199" s="1"/>
      <c r="AC199" s="1"/>
      <c r="AD199" s="1"/>
      <c r="AE199" s="16"/>
    </row>
    <row r="200" spans="1:31" x14ac:dyDescent="0.2">
      <c r="A200" s="4">
        <v>33786</v>
      </c>
      <c r="B200" s="9">
        <f ca="1">Prices!C199*(1+J200/(50*(ABS(O200)+ABS(T200)+0.0001)))</f>
        <v>124.66691348393769</v>
      </c>
      <c r="C200" s="13">
        <f t="shared" ca="1" si="18"/>
        <v>-1</v>
      </c>
      <c r="D200" s="9">
        <f ca="1">D199+C200*(Prices!C200-Prices!C199)/Prices!C199</f>
        <v>8.8614181626179678E-2</v>
      </c>
      <c r="E200" s="9">
        <f t="shared" ca="1" si="19"/>
        <v>3.249881455073475E-3</v>
      </c>
      <c r="F200" s="9">
        <f t="shared" ca="1" si="20"/>
        <v>9.1864063081253153E-2</v>
      </c>
      <c r="G200" s="13">
        <f ca="1">IF((Prices!C200-Prices!C199)*C200&gt;0,1,0)</f>
        <v>1</v>
      </c>
      <c r="H200" s="9">
        <f>ABS(Prices!C200-Prices!C199)/Prices!C199</f>
        <v>7.5474696115039553E-3</v>
      </c>
      <c r="I200" s="13"/>
      <c r="J200" s="1">
        <f t="shared" ca="1" si="21"/>
        <v>-3.8423833711074304E-4</v>
      </c>
      <c r="K200" s="9"/>
      <c r="L200" s="9">
        <f ca="1">L199-O200*Prices!C200</f>
        <v>1.6705955986956575</v>
      </c>
      <c r="M200" s="1">
        <f t="shared" ca="1" si="22"/>
        <v>4.8970726326826395E-3</v>
      </c>
      <c r="N200" s="9">
        <f ca="1">IF(Prices!D199&gt;OFFSET(Prices!D199,-$N$3,0),1,IF(Prices!D199&lt;OFFSET(Prices!D199,-$N$3,0),-1,0))</f>
        <v>-1</v>
      </c>
      <c r="O200" s="1">
        <f ca="1">IF(N200=1,O$3*L199/Prices!C199,O$3*M199*N200)</f>
        <v>-5.4411918140918219E-4</v>
      </c>
      <c r="P200" s="14"/>
      <c r="Q200" s="9">
        <f ca="1">Q199-T200*Prices!C200</f>
        <v>0.98623777852246564</v>
      </c>
      <c r="R200" s="1">
        <f t="shared" ca="1" si="23"/>
        <v>1.0115701476022922E-2</v>
      </c>
      <c r="S200" s="9">
        <f ca="1">IF(Prices!C199&lt;OFFSET(Prices!C199,-S$3,0),1,IF(Prices!C199&gt;OFFSET(Prices!C199,-S$3,0),-1,0))</f>
        <v>1</v>
      </c>
      <c r="T200" s="1">
        <f ca="1">IF(S200=1,T$3*Q199/Prices!C199,T$3*R199*S200)</f>
        <v>1.5988084429843915E-4</v>
      </c>
      <c r="V200" s="9"/>
      <c r="W200" s="1"/>
      <c r="X200" s="1"/>
      <c r="Y200" s="1"/>
      <c r="Z200" s="1"/>
      <c r="AA200" s="1"/>
      <c r="AB200" s="1"/>
      <c r="AC200" s="1"/>
      <c r="AD200" s="1"/>
      <c r="AE200" s="16"/>
    </row>
    <row r="201" spans="1:31" x14ac:dyDescent="0.2">
      <c r="A201" s="4">
        <v>33787</v>
      </c>
      <c r="B201" s="9">
        <f ca="1">Prices!C200*(1+J201/(50*(ABS(O201)+ABS(T201)+0.0001)))</f>
        <v>123.81114170787663</v>
      </c>
      <c r="C201" s="13">
        <f t="shared" ca="1" si="18"/>
        <v>-1</v>
      </c>
      <c r="D201" s="9">
        <f ca="1">D200+C201*(Prices!C201-Prices!C200)/Prices!C200</f>
        <v>9.1175821075427252E-2</v>
      </c>
      <c r="E201" s="9">
        <f t="shared" ca="1" si="19"/>
        <v>6.8824200582590089E-4</v>
      </c>
      <c r="F201" s="9">
        <f t="shared" ca="1" si="20"/>
        <v>9.1864063081253153E-2</v>
      </c>
      <c r="G201" s="13">
        <f ca="1">IF((Prices!C201-Prices!C200)*C201&gt;0,1,0)</f>
        <v>1</v>
      </c>
      <c r="H201" s="9">
        <f>ABS(Prices!C201-Prices!C200)/Prices!C200</f>
        <v>2.5616394492475776E-3</v>
      </c>
      <c r="I201" s="13"/>
      <c r="J201" s="1">
        <f t="shared" ca="1" si="21"/>
        <v>-3.3180816328067745E-4</v>
      </c>
      <c r="K201" s="9"/>
      <c r="L201" s="9">
        <f ca="1">L200-O201*Prices!C201</f>
        <v>1.7316131236988832</v>
      </c>
      <c r="M201" s="1">
        <f t="shared" ca="1" si="22"/>
        <v>4.4073653694143757E-3</v>
      </c>
      <c r="N201" s="9">
        <f ca="1">IF(Prices!D200&gt;OFFSET(Prices!D200,-$N$3,0),1,IF(Prices!D200&lt;OFFSET(Prices!D200,-$N$3,0),-1,0))</f>
        <v>-1</v>
      </c>
      <c r="O201" s="1">
        <f ca="1">IF(N201=1,O$3*L200/Prices!C200,O$3*M200*N201)</f>
        <v>-4.8970726326826399E-4</v>
      </c>
      <c r="P201" s="14"/>
      <c r="Q201" s="9">
        <f ca="1">Q200-T201*Prices!C201</f>
        <v>0.96656355066401234</v>
      </c>
      <c r="R201" s="1">
        <f t="shared" ca="1" si="23"/>
        <v>1.0273600576010509E-2</v>
      </c>
      <c r="S201" s="9">
        <f ca="1">IF(Prices!C200&lt;OFFSET(Prices!C200,-S$3,0),1,IF(Prices!C200&gt;OFFSET(Prices!C200,-S$3,0),-1,0))</f>
        <v>1</v>
      </c>
      <c r="T201" s="1">
        <f ca="1">IF(S201=1,T$3*Q200/Prices!C200,T$3*R200*S201)</f>
        <v>1.5789909998758654E-4</v>
      </c>
      <c r="V201" s="9"/>
      <c r="W201" s="1"/>
      <c r="X201" s="1"/>
      <c r="Y201" s="1"/>
      <c r="Z201" s="1"/>
      <c r="AA201" s="1"/>
      <c r="AB201" s="1"/>
      <c r="AC201" s="1"/>
      <c r="AD201" s="1"/>
      <c r="AE201" s="16"/>
    </row>
    <row r="202" spans="1:31" x14ac:dyDescent="0.2">
      <c r="A202" s="4">
        <v>33788</v>
      </c>
      <c r="B202" s="9">
        <f ca="1">Prices!C201*(1+J202/(50*(ABS(O202)+ABS(T202)+0.0001)))</f>
        <v>123.57728518796065</v>
      </c>
      <c r="C202" s="13">
        <f t="shared" ca="1" si="18"/>
        <v>-1</v>
      </c>
      <c r="D202" s="9">
        <f ca="1">D201+C202*(Prices!C202-Prices!C201)/Prices!C201</f>
        <v>8.9570684638830111E-2</v>
      </c>
      <c r="E202" s="9">
        <f t="shared" ca="1" si="19"/>
        <v>2.2933784424230413E-3</v>
      </c>
      <c r="F202" s="9">
        <f t="shared" ca="1" si="20"/>
        <v>9.1864063081253153E-2</v>
      </c>
      <c r="G202" s="13">
        <f ca="1">IF((Prices!C202-Prices!C201)*C202&gt;0,1,0)</f>
        <v>0</v>
      </c>
      <c r="H202" s="9">
        <f>ABS(Prices!C202-Prices!C201)/Prices!C201</f>
        <v>1.6051364365971337E-3</v>
      </c>
      <c r="I202" s="13"/>
      <c r="J202" s="1">
        <f t="shared" ca="1" si="21"/>
        <v>-2.8558989959568922E-4</v>
      </c>
      <c r="K202" s="9"/>
      <c r="L202" s="9">
        <f ca="1">L201-O202*Prices!C202</f>
        <v>1.7866170435091746</v>
      </c>
      <c r="M202" s="1">
        <f t="shared" ca="1" si="22"/>
        <v>3.9666288324729385E-3</v>
      </c>
      <c r="N202" s="9">
        <f ca="1">IF(Prices!D201&gt;OFFSET(Prices!D201,-$N$3,0),1,IF(Prices!D201&lt;OFFSET(Prices!D201,-$N$3,0),-1,0))</f>
        <v>-1</v>
      </c>
      <c r="O202" s="1">
        <f ca="1">IF(N202=1,O$3*L201/Prices!C201,O$3*M201*N202)</f>
        <v>-4.407365369414376E-4</v>
      </c>
      <c r="P202" s="14"/>
      <c r="Q202" s="9">
        <f ca="1">Q201-T202*Prices!C202</f>
        <v>0.94720125032326297</v>
      </c>
      <c r="R202" s="1">
        <f t="shared" ca="1" si="23"/>
        <v>1.0428747213356258E-2</v>
      </c>
      <c r="S202" s="9">
        <f ca="1">IF(Prices!C201&lt;OFFSET(Prices!C201,-S$3,0),1,IF(Prices!C201&gt;OFFSET(Prices!C201,-S$3,0),-1,0))</f>
        <v>1</v>
      </c>
      <c r="T202" s="1">
        <f ca="1">IF(S202=1,T$3*Q201/Prices!C201,T$3*R201*S202)</f>
        <v>1.5514663734574836E-4</v>
      </c>
      <c r="V202" s="9"/>
      <c r="W202" s="1"/>
      <c r="X202" s="1"/>
      <c r="Y202" s="1"/>
      <c r="Z202" s="1"/>
      <c r="AA202" s="1"/>
      <c r="AB202" s="1"/>
      <c r="AC202" s="1"/>
      <c r="AD202" s="1"/>
      <c r="AE202" s="16"/>
    </row>
    <row r="203" spans="1:31" x14ac:dyDescent="0.2">
      <c r="A203" s="4">
        <v>33791</v>
      </c>
      <c r="B203" s="9">
        <f ca="1">Prices!C202*(1+J203/(50*(ABS(O203)+ABS(T203)+0.0001)))</f>
        <v>123.85747157336473</v>
      </c>
      <c r="C203" s="13">
        <f t="shared" ca="1" si="18"/>
        <v>-1</v>
      </c>
      <c r="D203" s="9">
        <f ca="1">D202+C203*(Prices!C203-Prices!C202)/Prices!C202</f>
        <v>9.1573889767035246E-2</v>
      </c>
      <c r="E203" s="9">
        <f t="shared" ca="1" si="19"/>
        <v>2.9017331421790638E-4</v>
      </c>
      <c r="F203" s="9">
        <f t="shared" ca="1" si="20"/>
        <v>9.1864063081253153E-2</v>
      </c>
      <c r="G203" s="13">
        <f ca="1">IF((Prices!C203-Prices!C202)*C203&gt;0,1,0)</f>
        <v>1</v>
      </c>
      <c r="H203" s="9">
        <f>ABS(Prices!C203-Prices!C202)/Prices!C202</f>
        <v>2.0032051282051285E-3</v>
      </c>
      <c r="I203" s="13"/>
      <c r="J203" s="1">
        <f t="shared" ca="1" si="21"/>
        <v>-2.448678110801043E-4</v>
      </c>
      <c r="K203" s="9"/>
      <c r="L203" s="9">
        <f ca="1">L202-O203*Prices!C203</f>
        <v>1.8360214056176249</v>
      </c>
      <c r="M203" s="1">
        <f t="shared" ca="1" si="22"/>
        <v>3.5699659492256447E-3</v>
      </c>
      <c r="N203" s="9">
        <f ca="1">IF(Prices!D202&gt;OFFSET(Prices!D202,-$N$3,0),1,IF(Prices!D202&lt;OFFSET(Prices!D202,-$N$3,0),-1,0))</f>
        <v>-1</v>
      </c>
      <c r="O203" s="1">
        <f ca="1">IF(N203=1,O$3*L202/Prices!C202,O$3*M202*N203)</f>
        <v>-3.9666288324729387E-4</v>
      </c>
      <c r="P203" s="14"/>
      <c r="Q203" s="9">
        <f ca="1">Q202-T203*Prices!C203</f>
        <v>0.92829517408483953</v>
      </c>
      <c r="R203" s="1">
        <f t="shared" ca="1" si="23"/>
        <v>1.0580542285523449E-2</v>
      </c>
      <c r="S203" s="9">
        <f ca="1">IF(Prices!C202&lt;OFFSET(Prices!C202,-S$3,0),1,IF(Prices!C202&gt;OFFSET(Prices!C202,-S$3,0),-1,0))</f>
        <v>1</v>
      </c>
      <c r="T203" s="1">
        <f ca="1">IF(S203=1,T$3*Q202/Prices!C202,T$3*R202*S203)</f>
        <v>1.5179507216718958E-4</v>
      </c>
      <c r="V203" s="9"/>
      <c r="W203" s="1"/>
      <c r="X203" s="1"/>
      <c r="Y203" s="1"/>
      <c r="Z203" s="1"/>
      <c r="AA203" s="1"/>
      <c r="AB203" s="1"/>
      <c r="AC203" s="1"/>
      <c r="AD203" s="1"/>
      <c r="AE203" s="16"/>
    </row>
    <row r="204" spans="1:31" x14ac:dyDescent="0.2">
      <c r="A204" s="4">
        <v>33792</v>
      </c>
      <c r="B204" s="9">
        <f ca="1">Prices!C203*(1+J204/(50*(ABS(O204)+ABS(T204)+0.0001)))</f>
        <v>123.69536504396316</v>
      </c>
      <c r="C204" s="13">
        <f t="shared" ca="1" si="18"/>
        <v>-1</v>
      </c>
      <c r="D204" s="9">
        <f ca="1">D203+C204*(Prices!C204-Prices!C203)/Prices!C203</f>
        <v>9.2617647294132757E-2</v>
      </c>
      <c r="E204" s="9">
        <f t="shared" ca="1" si="19"/>
        <v>0</v>
      </c>
      <c r="F204" s="9">
        <f t="shared" ca="1" si="20"/>
        <v>9.2617647294132757E-2</v>
      </c>
      <c r="G204" s="13">
        <f ca="1">IF((Prices!C204-Prices!C203)*C204&gt;0,1,0)</f>
        <v>1</v>
      </c>
      <c r="H204" s="9">
        <f>ABS(Prices!C204-Prices!C203)/Prices!C203</f>
        <v>1.0437575270975147E-3</v>
      </c>
      <c r="I204" s="13"/>
      <c r="J204" s="1">
        <f t="shared" ca="1" si="21"/>
        <v>-2.0793273718112097E-4</v>
      </c>
      <c r="K204" s="9"/>
      <c r="L204" s="9">
        <f ca="1">L203-O204*Prices!C204</f>
        <v>1.8804389219578903</v>
      </c>
      <c r="M204" s="1">
        <f t="shared" ca="1" si="22"/>
        <v>3.2129693543030803E-3</v>
      </c>
      <c r="N204" s="9">
        <f ca="1">IF(Prices!D203&gt;OFFSET(Prices!D203,-$N$3,0),1,IF(Prices!D203&lt;OFFSET(Prices!D203,-$N$3,0),-1,0))</f>
        <v>-1</v>
      </c>
      <c r="O204" s="1">
        <f ca="1">IF(N204=1,O$3*L203/Prices!C203,O$3*M203*N204)</f>
        <v>-3.5699659492256449E-4</v>
      </c>
      <c r="P204" s="14"/>
      <c r="Q204" s="9">
        <f ca="1">Q203-T204*Prices!C204</f>
        <v>0.90974864890464913</v>
      </c>
      <c r="R204" s="1">
        <f t="shared" ca="1" si="23"/>
        <v>1.0729606143264892E-2</v>
      </c>
      <c r="S204" s="9">
        <f ca="1">IF(Prices!C203&lt;OFFSET(Prices!C203,-S$3,0),1,IF(Prices!C203&gt;OFFSET(Prices!C203,-S$3,0),-1,0))</f>
        <v>1</v>
      </c>
      <c r="T204" s="1">
        <f ca="1">IF(S204=1,T$3*Q203/Prices!C203,T$3*R203*S204)</f>
        <v>1.4906385774144352E-4</v>
      </c>
      <c r="V204" s="9"/>
      <c r="W204" s="1"/>
      <c r="X204" s="1"/>
      <c r="Y204" s="1"/>
      <c r="Z204" s="1"/>
      <c r="AA204" s="1"/>
      <c r="AB204" s="1"/>
      <c r="AC204" s="1"/>
      <c r="AD204" s="1"/>
      <c r="AE204" s="16"/>
    </row>
    <row r="205" spans="1:31" x14ac:dyDescent="0.2">
      <c r="A205" s="4">
        <v>33793</v>
      </c>
      <c r="B205" s="9">
        <f ca="1">Prices!C204*(1+J205/(50*(ABS(O205)+ABS(T205)+0.0001)))</f>
        <v>123.65244270207153</v>
      </c>
      <c r="C205" s="13">
        <f t="shared" ca="1" si="18"/>
        <v>-1</v>
      </c>
      <c r="D205" s="9">
        <f ca="1">D204+C205*(Prices!C205-Prices!C204)/Prices!C204</f>
        <v>8.9161611287060002E-2</v>
      </c>
      <c r="E205" s="9">
        <f t="shared" ca="1" si="19"/>
        <v>3.4560360070727547E-3</v>
      </c>
      <c r="F205" s="9">
        <f t="shared" ca="1" si="20"/>
        <v>9.2617647294132757E-2</v>
      </c>
      <c r="G205" s="13">
        <f ca="1">IF((Prices!C205-Prices!C204)*C205&gt;0,1,0)</f>
        <v>0</v>
      </c>
      <c r="H205" s="9">
        <f>ABS(Prices!C205-Prices!C204)/Prices!C204</f>
        <v>3.4560360070727586E-3</v>
      </c>
      <c r="I205" s="13"/>
      <c r="J205" s="1">
        <f t="shared" ca="1" si="21"/>
        <v>-1.7505860575587487E-4</v>
      </c>
      <c r="K205" s="9"/>
      <c r="L205" s="9">
        <f ca="1">L204-O205*Prices!C205</f>
        <v>1.9205528443463642</v>
      </c>
      <c r="M205" s="1">
        <f t="shared" ca="1" si="22"/>
        <v>2.8916724188727721E-3</v>
      </c>
      <c r="N205" s="9">
        <f ca="1">IF(Prices!D204&gt;OFFSET(Prices!D204,-$N$3,0),1,IF(Prices!D204&lt;OFFSET(Prices!D204,-$N$3,0),-1,0))</f>
        <v>-1</v>
      </c>
      <c r="O205" s="1">
        <f ca="1">IF(N205=1,O$3*L204/Prices!C204,O$3*M204*N205)</f>
        <v>-3.2129693543030808E-4</v>
      </c>
      <c r="P205" s="14"/>
      <c r="Q205" s="9">
        <f ca="1">Q204-T205*Prices!C205</f>
        <v>0.89149079344479609</v>
      </c>
      <c r="R205" s="1">
        <f t="shared" ca="1" si="23"/>
        <v>1.0875844472939326E-2</v>
      </c>
      <c r="S205" s="9">
        <f ca="1">IF(Prices!C204&lt;OFFSET(Prices!C204,-S$3,0),1,IF(Prices!C204&gt;OFFSET(Prices!C204,-S$3,0),-1,0))</f>
        <v>1</v>
      </c>
      <c r="T205" s="1">
        <f ca="1">IF(S205=1,T$3*Q204/Prices!C204,T$3*R204*S205)</f>
        <v>1.4623832967443321E-4</v>
      </c>
      <c r="V205" s="9"/>
      <c r="W205" s="1"/>
      <c r="X205" s="1"/>
      <c r="Y205" s="1"/>
      <c r="Z205" s="1"/>
      <c r="AA205" s="1"/>
      <c r="AB205" s="1"/>
      <c r="AC205" s="1"/>
      <c r="AD205" s="1"/>
      <c r="AE205" s="16"/>
    </row>
    <row r="206" spans="1:31" x14ac:dyDescent="0.2">
      <c r="A206" s="4">
        <v>33794</v>
      </c>
      <c r="B206" s="9">
        <f ca="1">Prices!C205*(1+J206/(50*(ABS(O206)+ABS(T206)+0.0001)))</f>
        <v>126.62710794981581</v>
      </c>
      <c r="C206" s="13">
        <f t="shared" ca="1" si="18"/>
        <v>1</v>
      </c>
      <c r="D206" s="9">
        <f ca="1">D205+C206*(Prices!C206-Prices!C205)/Prices!C205</f>
        <v>9.6770742244208605E-2</v>
      </c>
      <c r="E206" s="9">
        <f t="shared" ca="1" si="19"/>
        <v>0</v>
      </c>
      <c r="F206" s="9">
        <f t="shared" ca="1" si="20"/>
        <v>9.6770742244208605E-2</v>
      </c>
      <c r="G206" s="13">
        <f ca="1">IF((Prices!C206-Prices!C205)*C206&gt;0,1,0)</f>
        <v>1</v>
      </c>
      <c r="H206" s="9">
        <f>ABS(Prices!C206-Prices!C205)/Prices!C205</f>
        <v>7.6091309571486012E-3</v>
      </c>
      <c r="I206" s="13"/>
      <c r="J206" s="1">
        <f t="shared" ca="1" si="21"/>
        <v>1.3207713318839163E-3</v>
      </c>
      <c r="K206" s="9"/>
      <c r="L206" s="9">
        <f ca="1">L205-O206*Prices!C206</f>
        <v>1.7270361861014523</v>
      </c>
      <c r="M206" s="1">
        <f t="shared" ca="1" si="22"/>
        <v>4.4299606402154745E-3</v>
      </c>
      <c r="N206" s="9">
        <f ca="1">IF(Prices!D205&gt;OFFSET(Prices!D205,-$N$3,0),1,IF(Prices!D205&lt;OFFSET(Prices!D205,-$N$3,0),-1,0))</f>
        <v>1</v>
      </c>
      <c r="O206" s="1">
        <f ca="1">IF(N206=1,O$3*L205/Prices!C205,O$3*M205*N206)</f>
        <v>1.5382882213427027E-3</v>
      </c>
      <c r="P206" s="14"/>
      <c r="Q206" s="9">
        <f ca="1">Q205-T206*Prices!C206</f>
        <v>0.91885441813871149</v>
      </c>
      <c r="R206" s="1">
        <f t="shared" ca="1" si="23"/>
        <v>1.0658327583480539E-2</v>
      </c>
      <c r="S206" s="9">
        <f ca="1">IF(Prices!C205&lt;OFFSET(Prices!C205,-S$3,0),1,IF(Prices!C205&gt;OFFSET(Prices!C205,-S$3,0),-1,0))</f>
        <v>-1</v>
      </c>
      <c r="T206" s="1">
        <f ca="1">IF(S206=1,T$3*Q205/Prices!C205,T$3*R205*S206)</f>
        <v>-2.1751688945878653E-4</v>
      </c>
      <c r="V206" s="9"/>
      <c r="W206" s="1"/>
      <c r="X206" s="1"/>
      <c r="Y206" s="1"/>
      <c r="Z206" s="1"/>
      <c r="AA206" s="1"/>
      <c r="AB206" s="1"/>
      <c r="AC206" s="1"/>
      <c r="AD206" s="1"/>
      <c r="AE206" s="16"/>
    </row>
    <row r="207" spans="1:31" x14ac:dyDescent="0.2">
      <c r="A207" s="4">
        <v>33795</v>
      </c>
      <c r="B207" s="9">
        <f ca="1">Prices!C206*(1+J207/(50*(ABS(O207)+ABS(T207)+0.0001)))</f>
        <v>127.53056300236986</v>
      </c>
      <c r="C207" s="13">
        <f t="shared" ca="1" si="18"/>
        <v>1</v>
      </c>
      <c r="D207" s="9">
        <f ca="1">D206+C207*(Prices!C207-Prices!C206)/Prices!C206</f>
        <v>9.3591092005734899E-2</v>
      </c>
      <c r="E207" s="9">
        <f t="shared" ca="1" si="19"/>
        <v>3.1796502384737052E-3</v>
      </c>
      <c r="F207" s="9">
        <f t="shared" ca="1" si="20"/>
        <v>9.6770742244208605E-2</v>
      </c>
      <c r="G207" s="13">
        <f ca="1">IF((Prices!C207-Prices!C206)*C207&gt;0,1,0)</f>
        <v>0</v>
      </c>
      <c r="H207" s="9">
        <f>ABS(Prices!C207-Prices!C206)/Prices!C206</f>
        <v>3.1796502384737E-3</v>
      </c>
      <c r="I207" s="13"/>
      <c r="J207" s="1">
        <f t="shared" ca="1" si="21"/>
        <v>1.1596762035779669E-3</v>
      </c>
      <c r="K207" s="9"/>
      <c r="L207" s="9">
        <f ca="1">L206-O207*Prices!C207</f>
        <v>1.554881704593406</v>
      </c>
      <c r="M207" s="1">
        <f t="shared" ca="1" si="22"/>
        <v>5.8028033954630517E-3</v>
      </c>
      <c r="N207" s="9">
        <f ca="1">IF(Prices!D206&gt;OFFSET(Prices!D206,-$N$3,0),1,IF(Prices!D206&lt;OFFSET(Prices!D206,-$N$3,0),-1,0))</f>
        <v>1</v>
      </c>
      <c r="O207" s="1">
        <f ca="1">IF(N207=1,O$3*L206/Prices!C206,O$3*M206*N207)</f>
        <v>1.3728427552475776E-3</v>
      </c>
      <c r="P207" s="14"/>
      <c r="Q207" s="9">
        <f ca="1">Q206-T207*Prices!C207</f>
        <v>0.9455855037180807</v>
      </c>
      <c r="R207" s="1">
        <f t="shared" ca="1" si="23"/>
        <v>1.0445161031810929E-2</v>
      </c>
      <c r="S207" s="9">
        <f ca="1">IF(Prices!C206&lt;OFFSET(Prices!C206,-S$3,0),1,IF(Prices!C206&gt;OFFSET(Prices!C206,-S$3,0),-1,0))</f>
        <v>-1</v>
      </c>
      <c r="T207" s="1">
        <f ca="1">IF(S207=1,T$3*Q206/Prices!C206,T$3*R206*S207)</f>
        <v>-2.1316655166961078E-4</v>
      </c>
      <c r="V207" s="9"/>
      <c r="W207" s="1"/>
      <c r="X207" s="1"/>
      <c r="Y207" s="1"/>
      <c r="Z207" s="1"/>
      <c r="AA207" s="1"/>
      <c r="AB207" s="1"/>
      <c r="AC207" s="1"/>
      <c r="AD207" s="1"/>
      <c r="AE207" s="16"/>
    </row>
    <row r="208" spans="1:31" x14ac:dyDescent="0.2">
      <c r="A208" s="4">
        <v>33798</v>
      </c>
      <c r="B208" s="9">
        <f ca="1">Prices!C207*(1+J208/(50*(ABS(O208)+ABS(T208)+0.0001)))</f>
        <v>127.06952869421028</v>
      </c>
      <c r="C208" s="13">
        <f t="shared" ca="1" si="18"/>
        <v>1</v>
      </c>
      <c r="D208" s="9">
        <f ca="1">D207+C208*(Prices!C208-Prices!C207)/Prices!C207</f>
        <v>9.0002575259323397E-2</v>
      </c>
      <c r="E208" s="9">
        <f t="shared" ca="1" si="19"/>
        <v>6.7681669848852072E-3</v>
      </c>
      <c r="F208" s="9">
        <f t="shared" ca="1" si="20"/>
        <v>9.6770742244208605E-2</v>
      </c>
      <c r="G208" s="13">
        <f ca="1">IF((Prices!C208-Prices!C207)*C208&gt;0,1,0)</f>
        <v>0</v>
      </c>
      <c r="H208" s="9">
        <f>ABS(Prices!C208-Prices!C207)/Prices!C207</f>
        <v>3.5885167464115059E-3</v>
      </c>
      <c r="I208" s="13"/>
      <c r="J208" s="1">
        <f t="shared" ca="1" si="21"/>
        <v>1.0310343428353969E-3</v>
      </c>
      <c r="K208" s="9"/>
      <c r="L208" s="9">
        <f ca="1">L207-O208*Prices!C208</f>
        <v>1.3999515060376277</v>
      </c>
      <c r="M208" s="1">
        <f t="shared" ca="1" si="22"/>
        <v>7.0427409589346674E-3</v>
      </c>
      <c r="N208" s="9">
        <f ca="1">IF(Prices!D207&gt;OFFSET(Prices!D207,-$N$3,0),1,IF(Prices!D207&lt;OFFSET(Prices!D207,-$N$3,0),-1,0))</f>
        <v>1</v>
      </c>
      <c r="O208" s="1">
        <f ca="1">IF(N208=1,O$3*L207/Prices!C207,O$3*M207*N208)</f>
        <v>1.2399375634716155E-3</v>
      </c>
      <c r="P208" s="14"/>
      <c r="Q208" s="9">
        <f ca="1">Q207-T208*Prices!C208</f>
        <v>0.97168796113657618</v>
      </c>
      <c r="R208" s="1">
        <f t="shared" ca="1" si="23"/>
        <v>1.0236257811174709E-2</v>
      </c>
      <c r="S208" s="9">
        <f ca="1">IF(Prices!C207&lt;OFFSET(Prices!C207,-S$3,0),1,IF(Prices!C207&gt;OFFSET(Prices!C207,-S$3,0),-1,0))</f>
        <v>-1</v>
      </c>
      <c r="T208" s="1">
        <f ca="1">IF(S208=1,T$3*Q207/Prices!C207,T$3*R207*S208)</f>
        <v>-2.0890322063621858E-4</v>
      </c>
      <c r="V208" s="9"/>
      <c r="W208" s="1"/>
      <c r="X208" s="1"/>
      <c r="Y208" s="1"/>
      <c r="Z208" s="1"/>
      <c r="AA208" s="1"/>
      <c r="AB208" s="1"/>
      <c r="AC208" s="1"/>
      <c r="AD208" s="1"/>
      <c r="AE208" s="16"/>
    </row>
    <row r="209" spans="1:31" x14ac:dyDescent="0.2">
      <c r="A209" s="4">
        <v>33799</v>
      </c>
      <c r="B209" s="9">
        <f ca="1">Prices!C208*(1+J209/(50*(ABS(O209)+ABS(T209)+0.0001)))</f>
        <v>126.55566936443577</v>
      </c>
      <c r="C209" s="13">
        <f t="shared" ca="1" si="18"/>
        <v>1</v>
      </c>
      <c r="D209" s="9">
        <f ca="1">D208+C209*(Prices!C209-Prices!C208)/Prices!C208</f>
        <v>9.2803695707502618E-2</v>
      </c>
      <c r="E209" s="9">
        <f t="shared" ca="1" si="19"/>
        <v>3.9670465367059871E-3</v>
      </c>
      <c r="F209" s="9">
        <f t="shared" ca="1" si="20"/>
        <v>9.6770742244208605E-2</v>
      </c>
      <c r="G209" s="13">
        <f ca="1">IF((Prices!C209-Prices!C208)*C209&gt;0,1,0)</f>
        <v>1</v>
      </c>
      <c r="H209" s="9">
        <f>ABS(Prices!C209-Prices!C208)/Prices!C208</f>
        <v>2.8011204481792262E-3</v>
      </c>
      <c r="I209" s="13"/>
      <c r="J209" s="1">
        <f t="shared" ca="1" si="21"/>
        <v>9.1568421235403903E-4</v>
      </c>
      <c r="K209" s="9"/>
      <c r="L209" s="9">
        <f ca="1">L208-O209*Prices!C209</f>
        <v>1.2595642121548629</v>
      </c>
      <c r="M209" s="1">
        <f t="shared" ca="1" si="22"/>
        <v>8.1631503275122006E-3</v>
      </c>
      <c r="N209" s="9">
        <f ca="1">IF(Prices!D208&gt;OFFSET(Prices!D208,-$N$3,0),1,IF(Prices!D208&lt;OFFSET(Prices!D208,-$N$3,0),-1,0))</f>
        <v>1</v>
      </c>
      <c r="O209" s="1">
        <f ca="1">IF(N209=1,O$3*L208/Prices!C208,O$3*M208*N209)</f>
        <v>1.1204093685775332E-3</v>
      </c>
      <c r="P209" s="14"/>
      <c r="Q209" s="9">
        <f ca="1">Q208-T209*Prices!C209</f>
        <v>0.99734002321138004</v>
      </c>
      <c r="R209" s="1">
        <f t="shared" ca="1" si="23"/>
        <v>1.0031532654951216E-2</v>
      </c>
      <c r="S209" s="9">
        <f ca="1">IF(Prices!C208&lt;OFFSET(Prices!C208,-S$3,0),1,IF(Prices!C208&gt;OFFSET(Prices!C208,-S$3,0),-1,0))</f>
        <v>-1</v>
      </c>
      <c r="T209" s="1">
        <f ca="1">IF(S209=1,T$3*Q208/Prices!C208,T$3*R208*S209)</f>
        <v>-2.0472515622349419E-4</v>
      </c>
      <c r="V209" s="9"/>
      <c r="W209" s="1"/>
      <c r="X209" s="1"/>
      <c r="Y209" s="1"/>
      <c r="Z209" s="1"/>
      <c r="AA209" s="1"/>
      <c r="AB209" s="1"/>
      <c r="AC209" s="1"/>
      <c r="AD209" s="1"/>
      <c r="AE209" s="16"/>
    </row>
    <row r="210" spans="1:31" x14ac:dyDescent="0.2">
      <c r="A210" s="4">
        <v>33800</v>
      </c>
      <c r="B210" s="9">
        <f ca="1">Prices!C209*(1+J210/(50*(ABS(O210)+ABS(T210)+0.0001)))</f>
        <v>126.84406553280631</v>
      </c>
      <c r="C210" s="13">
        <f t="shared" ref="C210:C273" ca="1" si="24">IF(J210&gt;0,1,IF(J210&lt;0,-1,0))</f>
        <v>1</v>
      </c>
      <c r="D210" s="9">
        <f ca="1">D209+C210*(Prices!C210-Prices!C209)/Prices!C209</f>
        <v>9.0409441916600802E-2</v>
      </c>
      <c r="E210" s="9">
        <f t="shared" ref="E210:E273" ca="1" si="25">F210-D210</f>
        <v>6.3613003276078023E-3</v>
      </c>
      <c r="F210" s="9">
        <f t="shared" ref="F210:F273" ca="1" si="26">MAX(F209,D210)</f>
        <v>9.6770742244208605E-2</v>
      </c>
      <c r="G210" s="13">
        <f ca="1">IF((Prices!C210-Prices!C209)*C210&gt;0,1,0)</f>
        <v>0</v>
      </c>
      <c r="H210" s="9">
        <f>ABS(Prices!C210-Prices!C209)/Prices!C209</f>
        <v>2.3942537909018131E-3</v>
      </c>
      <c r="I210" s="13"/>
      <c r="J210" s="1">
        <f t="shared" ref="J210:J273" ca="1" si="27">O210+T210</f>
        <v>8.0460814351299734E-4</v>
      </c>
      <c r="K210" s="9"/>
      <c r="L210" s="9">
        <f ca="1">L209-O210*Prices!C210</f>
        <v>1.1339093625783603</v>
      </c>
      <c r="M210" s="1">
        <f t="shared" ref="M210:M273" ca="1" si="28">M209+O210</f>
        <v>9.1683891241242221E-3</v>
      </c>
      <c r="N210" s="9">
        <f ca="1">IF(Prices!D209&gt;OFFSET(Prices!D209,-$N$3,0),1,IF(Prices!D209&lt;OFFSET(Prices!D209,-$N$3,0),-1,0))</f>
        <v>1</v>
      </c>
      <c r="O210" s="1">
        <f ca="1">IF(N210=1,O$3*L209/Prices!C209,O$3*M209*N210)</f>
        <v>1.0052387966120217E-3</v>
      </c>
      <c r="P210" s="14"/>
      <c r="Q210" s="9">
        <f ca="1">Q209-T210*Prices!C210</f>
        <v>1.0224188548487581</v>
      </c>
      <c r="R210" s="1">
        <f t="shared" ref="R210:R273" ca="1" si="29">R209+T210</f>
        <v>9.830902001852191E-3</v>
      </c>
      <c r="S210" s="9">
        <f ca="1">IF(Prices!C209&lt;OFFSET(Prices!C209,-S$3,0),1,IF(Prices!C209&gt;OFFSET(Prices!C209,-S$3,0),-1,0))</f>
        <v>-1</v>
      </c>
      <c r="T210" s="1">
        <f ca="1">IF(S210=1,T$3*Q209/Prices!C209,T$3*R209*S210)</f>
        <v>-2.0063065309902433E-4</v>
      </c>
      <c r="V210" s="9"/>
      <c r="W210" s="1"/>
      <c r="X210" s="1"/>
      <c r="Y210" s="1"/>
      <c r="Z210" s="1"/>
      <c r="AA210" s="1"/>
      <c r="AB210" s="1"/>
      <c r="AC210" s="1"/>
      <c r="AD210" s="1"/>
      <c r="AE210" s="16"/>
    </row>
    <row r="211" spans="1:31" x14ac:dyDescent="0.2">
      <c r="A211" s="4">
        <v>33801</v>
      </c>
      <c r="B211" s="9">
        <f ca="1">Prices!C210*(1+J211/(50*(ABS(O211)+ABS(T211)+0.0001)))</f>
        <v>123.40470317321258</v>
      </c>
      <c r="C211" s="13">
        <f t="shared" ca="1" si="24"/>
        <v>-1</v>
      </c>
      <c r="D211" s="9">
        <f ca="1">D210+C211*(Prices!C211-Prices!C210)/Prices!C210</f>
        <v>8.6809441916600782E-2</v>
      </c>
      <c r="E211" s="9">
        <f t="shared" ca="1" si="25"/>
        <v>9.9613003276078221E-3</v>
      </c>
      <c r="F211" s="9">
        <f t="shared" ca="1" si="26"/>
        <v>9.6770742244208605E-2</v>
      </c>
      <c r="G211" s="13">
        <f ca="1">IF((Prices!C211-Prices!C210)*C211&gt;0,1,0)</f>
        <v>0</v>
      </c>
      <c r="H211" s="9">
        <f>ABS(Prices!C211-Prices!C210)/Prices!C210</f>
        <v>3.6000000000000229E-3</v>
      </c>
      <c r="I211" s="13"/>
      <c r="J211" s="1">
        <f t="shared" ca="1" si="27"/>
        <v>-7.5325189563662089E-4</v>
      </c>
      <c r="K211" s="9"/>
      <c r="L211" s="9">
        <f ca="1">L210-O211*Prices!C211</f>
        <v>1.2489268041404986</v>
      </c>
      <c r="M211" s="1">
        <f t="shared" ca="1" si="28"/>
        <v>8.2515502117118007E-3</v>
      </c>
      <c r="N211" s="9">
        <f ca="1">IF(Prices!D210&gt;OFFSET(Prices!D210,-$N$3,0),1,IF(Prices!D210&lt;OFFSET(Prices!D210,-$N$3,0),-1,0))</f>
        <v>-1</v>
      </c>
      <c r="O211" s="1">
        <f ca="1">IF(N211=1,O$3*L210/Prices!C210,O$3*M210*N211)</f>
        <v>-9.1683891241242221E-4</v>
      </c>
      <c r="P211" s="14"/>
      <c r="Q211" s="9">
        <f ca="1">Q210-T211*Prices!C211</f>
        <v>1.0018968635942338</v>
      </c>
      <c r="R211" s="1">
        <f t="shared" ca="1" si="29"/>
        <v>9.994489018627992E-3</v>
      </c>
      <c r="S211" s="9">
        <f ca="1">IF(Prices!C210&lt;OFFSET(Prices!C210,-S$3,0),1,IF(Prices!C210&gt;OFFSET(Prices!C210,-S$3,0),-1,0))</f>
        <v>1</v>
      </c>
      <c r="T211" s="1">
        <f ca="1">IF(S211=1,T$3*Q210/Prices!C210,T$3*R210*S211)</f>
        <v>1.6358701677580129E-4</v>
      </c>
      <c r="V211" s="9"/>
      <c r="W211" s="1"/>
      <c r="X211" s="1"/>
      <c r="Y211" s="1"/>
      <c r="Z211" s="1"/>
      <c r="AA211" s="1"/>
      <c r="AB211" s="1"/>
      <c r="AC211" s="1"/>
      <c r="AD211" s="1"/>
      <c r="AE211" s="16"/>
    </row>
    <row r="212" spans="1:31" x14ac:dyDescent="0.2">
      <c r="A212" s="4">
        <v>33802</v>
      </c>
      <c r="B212" s="9">
        <f ca="1">Prices!C211*(1+J212/(50*(ABS(O212)+ABS(T212)+0.0001)))</f>
        <v>123.16401334102937</v>
      </c>
      <c r="C212" s="13">
        <f t="shared" ca="1" si="24"/>
        <v>-1</v>
      </c>
      <c r="D212" s="9">
        <f ca="1">D211+C212*(Prices!C212-Prices!C211)/Prices!C211</f>
        <v>9.3983614893882614E-2</v>
      </c>
      <c r="E212" s="9">
        <f t="shared" ca="1" si="25"/>
        <v>2.7871273503259908E-3</v>
      </c>
      <c r="F212" s="9">
        <f t="shared" ca="1" si="26"/>
        <v>9.6770742244208605E-2</v>
      </c>
      <c r="G212" s="13">
        <f ca="1">IF((Prices!C212-Prices!C211)*C212&gt;0,1,0)</f>
        <v>1</v>
      </c>
      <c r="H212" s="9">
        <f>ABS(Prices!C212-Prices!C211)/Prices!C211</f>
        <v>7.1741729772818305E-3</v>
      </c>
      <c r="I212" s="13"/>
      <c r="J212" s="1">
        <f t="shared" ca="1" si="27"/>
        <v>-1.0250448015437399E-3</v>
      </c>
      <c r="K212" s="9"/>
      <c r="L212" s="9">
        <f ca="1">L211-O212*Prices!C212</f>
        <v>1.351699862027369</v>
      </c>
      <c r="M212" s="1">
        <f t="shared" ca="1" si="28"/>
        <v>7.4263951905406203E-3</v>
      </c>
      <c r="N212" s="9">
        <f ca="1">IF(Prices!D211&gt;OFFSET(Prices!D211,-$N$3,0),1,IF(Prices!D211&lt;OFFSET(Prices!D211,-$N$3,0),-1,0))</f>
        <v>-1</v>
      </c>
      <c r="O212" s="1">
        <f ca="1">IF(N212=1,O$3*L211/Prices!C211,O$3*M211*N212)</f>
        <v>-8.2515502117118009E-4</v>
      </c>
      <c r="P212" s="14"/>
      <c r="Q212" s="9">
        <f ca="1">Q211-T212*Prices!C212</f>
        <v>1.026793135739636</v>
      </c>
      <c r="R212" s="1">
        <f t="shared" ca="1" si="29"/>
        <v>9.7945992382554321E-3</v>
      </c>
      <c r="S212" s="9">
        <f ca="1">IF(Prices!C211&lt;OFFSET(Prices!C211,-S$3,0),1,IF(Prices!C211&gt;OFFSET(Prices!C211,-S$3,0),-1,0))</f>
        <v>-1</v>
      </c>
      <c r="T212" s="1">
        <f ca="1">IF(S212=1,T$3*Q211/Prices!C211,T$3*R211*S212)</f>
        <v>-1.9988978037255984E-4</v>
      </c>
      <c r="V212" s="9"/>
      <c r="W212" s="1"/>
      <c r="X212" s="1"/>
      <c r="Y212" s="1"/>
      <c r="Z212" s="1"/>
      <c r="AA212" s="1"/>
      <c r="AB212" s="1"/>
      <c r="AC212" s="1"/>
      <c r="AD212" s="1"/>
      <c r="AE212" s="16"/>
    </row>
    <row r="213" spans="1:31" x14ac:dyDescent="0.2">
      <c r="A213" s="4">
        <v>33805</v>
      </c>
      <c r="B213" s="9">
        <f ca="1">Prices!C212*(1+J213/(50*(ABS(O213)+ABS(T213)+0.0001)))</f>
        <v>126.10057582048655</v>
      </c>
      <c r="C213" s="13">
        <f t="shared" ca="1" si="24"/>
        <v>1</v>
      </c>
      <c r="D213" s="9">
        <f ca="1">D212+C213*(Prices!C213-Prices!C212)/Prices!C212</f>
        <v>9.9603847732100223E-2</v>
      </c>
      <c r="E213" s="9">
        <f t="shared" ca="1" si="25"/>
        <v>0</v>
      </c>
      <c r="F213" s="9">
        <f t="shared" ca="1" si="26"/>
        <v>9.9603847732100223E-2</v>
      </c>
      <c r="G213" s="13">
        <f ca="1">IF((Prices!C213-Prices!C212)*C213&gt;0,1,0)</f>
        <v>1</v>
      </c>
      <c r="H213" s="9">
        <f>ABS(Prices!C213-Prices!C212)/Prices!C212</f>
        <v>5.6202328382176066E-3</v>
      </c>
      <c r="I213" s="13"/>
      <c r="J213" s="1">
        <f t="shared" ca="1" si="27"/>
        <v>1.6488047141543735E-4</v>
      </c>
      <c r="K213" s="9"/>
      <c r="L213" s="9">
        <f ca="1">L212-O213*Prices!C213</f>
        <v>1.351699862027369</v>
      </c>
      <c r="M213" s="1">
        <f t="shared" ca="1" si="28"/>
        <v>7.4263951905406203E-3</v>
      </c>
      <c r="N213" s="9">
        <f ca="1">IF(Prices!D212&gt;OFFSET(Prices!D212,-$N$3,0),1,IF(Prices!D212&lt;OFFSET(Prices!D212,-$N$3,0),-1,0))</f>
        <v>0</v>
      </c>
      <c r="O213" s="1">
        <f ca="1">IF(N213=1,O$3*L212/Prices!C212,O$3*M212*N213)</f>
        <v>0</v>
      </c>
      <c r="P213" s="14"/>
      <c r="Q213" s="9">
        <f ca="1">Q212-T213*Prices!C213</f>
        <v>1.0061418566948526</v>
      </c>
      <c r="R213" s="1">
        <f t="shared" ca="1" si="29"/>
        <v>9.9594797096708692E-3</v>
      </c>
      <c r="S213" s="9">
        <f ca="1">IF(Prices!C212&lt;OFFSET(Prices!C212,-S$3,0),1,IF(Prices!C212&gt;OFFSET(Prices!C212,-S$3,0),-1,0))</f>
        <v>1</v>
      </c>
      <c r="T213" s="1">
        <f ca="1">IF(S213=1,T$3*Q212/Prices!C212,T$3*R212*S213)</f>
        <v>1.6488047141543735E-4</v>
      </c>
      <c r="V213" s="9"/>
      <c r="W213" s="1"/>
      <c r="X213" s="1"/>
      <c r="Y213" s="1"/>
      <c r="Z213" s="1"/>
      <c r="AA213" s="1"/>
      <c r="AB213" s="1"/>
      <c r="AC213" s="1"/>
      <c r="AD213" s="1"/>
      <c r="AE213" s="16"/>
    </row>
    <row r="214" spans="1:31" x14ac:dyDescent="0.2">
      <c r="A214" s="4">
        <v>33806</v>
      </c>
      <c r="B214" s="9">
        <f ca="1">Prices!C213*(1+J214/(50*(ABS(O214)+ABS(T214)+0.0001)))</f>
        <v>127.56804056758581</v>
      </c>
      <c r="C214" s="13">
        <f t="shared" ca="1" si="24"/>
        <v>1</v>
      </c>
      <c r="D214" s="9">
        <f ca="1">D213+C214*(Prices!C214-Prices!C213)/Prices!C213</f>
        <v>0.10000304932890659</v>
      </c>
      <c r="E214" s="9">
        <f t="shared" ca="1" si="25"/>
        <v>0</v>
      </c>
      <c r="F214" s="9">
        <f t="shared" ca="1" si="26"/>
        <v>0.10000304932890659</v>
      </c>
      <c r="G214" s="13">
        <f ca="1">IF((Prices!C214-Prices!C213)*C214&gt;0,1,0)</f>
        <v>1</v>
      </c>
      <c r="H214" s="9">
        <f>ABS(Prices!C214-Prices!C213)/Prices!C213</f>
        <v>3.9920159680636454E-4</v>
      </c>
      <c r="I214" s="13"/>
      <c r="J214" s="1">
        <f t="shared" ca="1" si="27"/>
        <v>1.2398628609711295E-3</v>
      </c>
      <c r="K214" s="9"/>
      <c r="L214" s="9">
        <f ca="1">L213-O214*Prices!C214</f>
        <v>1.2164759157502998</v>
      </c>
      <c r="M214" s="1">
        <f t="shared" ca="1" si="28"/>
        <v>8.5055966771892186E-3</v>
      </c>
      <c r="N214" s="9">
        <f ca="1">IF(Prices!D213&gt;OFFSET(Prices!D213,-$N$3,0),1,IF(Prices!D213&lt;OFFSET(Prices!D213,-$N$3,0),-1,0))</f>
        <v>1</v>
      </c>
      <c r="O214" s="1">
        <f ca="1">IF(N214=1,O$3*L213/Prices!C213,O$3*M213*N214)</f>
        <v>1.0792014866485981E-3</v>
      </c>
      <c r="P214" s="14"/>
      <c r="Q214" s="9">
        <f ca="1">Q213-T214*Prices!C214</f>
        <v>0.98601098649223939</v>
      </c>
      <c r="R214" s="1">
        <f t="shared" ca="1" si="29"/>
        <v>1.01201410839934E-2</v>
      </c>
      <c r="S214" s="9">
        <f ca="1">IF(Prices!C213&lt;OFFSET(Prices!C213,-S$3,0),1,IF(Prices!C213&gt;OFFSET(Prices!C213,-S$3,0),-1,0))</f>
        <v>1</v>
      </c>
      <c r="T214" s="1">
        <f ca="1">IF(S214=1,T$3*Q213/Prices!C213,T$3*R213*S214)</f>
        <v>1.6066137432253134E-4</v>
      </c>
      <c r="V214" s="9"/>
      <c r="W214" s="1"/>
      <c r="X214" s="1"/>
      <c r="Y214" s="1"/>
      <c r="Z214" s="1"/>
      <c r="AA214" s="1"/>
      <c r="AB214" s="1"/>
      <c r="AC214" s="1"/>
      <c r="AD214" s="1"/>
      <c r="AE214" s="16"/>
    </row>
    <row r="215" spans="1:31" x14ac:dyDescent="0.2">
      <c r="A215" s="4">
        <v>33807</v>
      </c>
      <c r="B215" s="9">
        <f ca="1">Prices!C214*(1+J215/(50*(ABS(O215)+ABS(T215)+0.0001)))</f>
        <v>123.01135312493182</v>
      </c>
      <c r="C215" s="13">
        <f t="shared" ca="1" si="24"/>
        <v>-1</v>
      </c>
      <c r="D215" s="9">
        <f ca="1">D214+C215*(Prices!C215-Prices!C214)/Prices!C214</f>
        <v>8.7233695777430065E-2</v>
      </c>
      <c r="E215" s="9">
        <f t="shared" ca="1" si="25"/>
        <v>1.2769353551476528E-2</v>
      </c>
      <c r="F215" s="9">
        <f t="shared" ca="1" si="26"/>
        <v>0.10000304932890659</v>
      </c>
      <c r="G215" s="13">
        <f ca="1">IF((Prices!C215-Prices!C214)*C215&gt;0,1,0)</f>
        <v>0</v>
      </c>
      <c r="H215" s="9">
        <f>ABS(Prices!C215-Prices!C214)/Prices!C214</f>
        <v>1.2769353551476525E-2</v>
      </c>
      <c r="I215" s="13"/>
      <c r="J215" s="1">
        <f t="shared" ca="1" si="27"/>
        <v>-1.0529624893987899E-3</v>
      </c>
      <c r="K215" s="9"/>
      <c r="L215" s="9">
        <f ca="1">L214-O215*Prices!C215</f>
        <v>1.324411937583831</v>
      </c>
      <c r="M215" s="1">
        <f t="shared" ca="1" si="28"/>
        <v>7.6550370094702969E-3</v>
      </c>
      <c r="N215" s="9">
        <f ca="1">IF(Prices!D214&gt;OFFSET(Prices!D214,-$N$3,0),1,IF(Prices!D214&lt;OFFSET(Prices!D214,-$N$3,0),-1,0))</f>
        <v>-1</v>
      </c>
      <c r="O215" s="1">
        <f ca="1">IF(N215=1,O$3*L214/Prices!C214,O$3*M214*N215)</f>
        <v>-8.505596677189219E-4</v>
      </c>
      <c r="P215" s="14"/>
      <c r="Q215" s="9">
        <f ca="1">Q214-T215*Prices!C215</f>
        <v>1.0116959045634146</v>
      </c>
      <c r="R215" s="1">
        <f t="shared" ca="1" si="29"/>
        <v>9.9177382623135326E-3</v>
      </c>
      <c r="S215" s="9">
        <f ca="1">IF(Prices!C214&lt;OFFSET(Prices!C214,-S$3,0),1,IF(Prices!C214&gt;OFFSET(Prices!C214,-S$3,0),-1,0))</f>
        <v>-1</v>
      </c>
      <c r="T215" s="1">
        <f ca="1">IF(S215=1,T$3*Q214/Prices!C214,T$3*R214*S215)</f>
        <v>-2.0240282167986799E-4</v>
      </c>
      <c r="V215" s="9"/>
      <c r="W215" s="1"/>
      <c r="X215" s="1"/>
      <c r="Y215" s="1"/>
      <c r="Z215" s="1"/>
      <c r="AA215" s="1"/>
      <c r="AB215" s="1"/>
      <c r="AC215" s="1"/>
      <c r="AD215" s="1"/>
      <c r="AE215" s="16"/>
    </row>
    <row r="216" spans="1:31" x14ac:dyDescent="0.2">
      <c r="A216" s="4">
        <v>33808</v>
      </c>
      <c r="B216" s="9">
        <f ca="1">Prices!C215*(1+J216/(50*(ABS(O216)+ABS(T216)+0.0001)))</f>
        <v>124.60056556869651</v>
      </c>
      <c r="C216" s="13">
        <f t="shared" ca="1" si="24"/>
        <v>-1</v>
      </c>
      <c r="D216" s="9">
        <f ca="1">D215+C216*(Prices!C216-Prices!C215)/Prices!C215</f>
        <v>8.9361355351898236E-2</v>
      </c>
      <c r="E216" s="9">
        <f t="shared" ca="1" si="25"/>
        <v>1.0641693977008357E-2</v>
      </c>
      <c r="F216" s="9">
        <f t="shared" ca="1" si="26"/>
        <v>0.10000304932890659</v>
      </c>
      <c r="G216" s="13">
        <f ca="1">IF((Prices!C216-Prices!C215)*C216&gt;0,1,0)</f>
        <v>1</v>
      </c>
      <c r="H216" s="9">
        <f>ABS(Prices!C216-Prices!C215)/Prices!C215</f>
        <v>2.1276595744681658E-3</v>
      </c>
      <c r="I216" s="13"/>
      <c r="J216" s="1">
        <f t="shared" ca="1" si="27"/>
        <v>-9.6385846619330038E-4</v>
      </c>
      <c r="K216" s="9"/>
      <c r="L216" s="9">
        <f ca="1">L215-O216*Prices!C216</f>
        <v>1.4213476712347535</v>
      </c>
      <c r="M216" s="1">
        <f t="shared" ca="1" si="28"/>
        <v>6.8895333085232675E-3</v>
      </c>
      <c r="N216" s="9">
        <f ca="1">IF(Prices!D215&gt;OFFSET(Prices!D215,-$N$3,0),1,IF(Prices!D215&lt;OFFSET(Prices!D215,-$N$3,0),-1,0))</f>
        <v>-1</v>
      </c>
      <c r="O216" s="1">
        <f ca="1">IF(N216=1,O$3*L215/Prices!C215,O$3*M215*N216)</f>
        <v>-7.6550370094702975E-4</v>
      </c>
      <c r="P216" s="14"/>
      <c r="Q216" s="9">
        <f ca="1">Q215-T216*Prices!C216</f>
        <v>1.0368135684865498</v>
      </c>
      <c r="R216" s="1">
        <f t="shared" ca="1" si="29"/>
        <v>9.7193834970672622E-3</v>
      </c>
      <c r="S216" s="9">
        <f ca="1">IF(Prices!C215&lt;OFFSET(Prices!C215,-S$3,0),1,IF(Prices!C215&gt;OFFSET(Prices!C215,-S$3,0),-1,0))</f>
        <v>-1</v>
      </c>
      <c r="T216" s="1">
        <f ca="1">IF(S216=1,T$3*Q215/Prices!C215,T$3*R215*S216)</f>
        <v>-1.9835476524627065E-4</v>
      </c>
      <c r="V216" s="9"/>
      <c r="W216" s="1"/>
      <c r="X216" s="1"/>
      <c r="Y216" s="1"/>
      <c r="Z216" s="1"/>
      <c r="AA216" s="1"/>
      <c r="AB216" s="1"/>
      <c r="AC216" s="1"/>
      <c r="AD216" s="1"/>
      <c r="AE216" s="16"/>
    </row>
    <row r="217" spans="1:31" x14ac:dyDescent="0.2">
      <c r="A217" s="4">
        <v>33809</v>
      </c>
      <c r="B217" s="9">
        <f ca="1">Prices!C216*(1+J217/(50*(ABS(O217)+ABS(T217)+0.0001)))</f>
        <v>124.3549505341439</v>
      </c>
      <c r="C217" s="13">
        <f t="shared" ca="1" si="24"/>
        <v>-1</v>
      </c>
      <c r="D217" s="9">
        <f ca="1">D216+C217*(Prices!C217-Prices!C216)/Prices!C216</f>
        <v>7.7752731802976191E-2</v>
      </c>
      <c r="E217" s="9">
        <f t="shared" ca="1" si="25"/>
        <v>2.2250317525930402E-2</v>
      </c>
      <c r="F217" s="9">
        <f t="shared" ca="1" si="26"/>
        <v>0.10000304932890659</v>
      </c>
      <c r="G217" s="13">
        <f ca="1">IF((Prices!C217-Prices!C216)*C217&gt;0,1,0)</f>
        <v>0</v>
      </c>
      <c r="H217" s="9">
        <f>ABS(Prices!C217-Prices!C216)/Prices!C216</f>
        <v>1.1608623548922049E-2</v>
      </c>
      <c r="I217" s="13"/>
      <c r="J217" s="1">
        <f t="shared" ca="1" si="27"/>
        <v>-8.8334100079367215E-4</v>
      </c>
      <c r="K217" s="9"/>
      <c r="L217" s="9">
        <f ca="1">L216-O217*Prices!C217</f>
        <v>1.5096025929169365</v>
      </c>
      <c r="M217" s="1">
        <f t="shared" ca="1" si="28"/>
        <v>6.2005799776709402E-3</v>
      </c>
      <c r="N217" s="9">
        <f ca="1">IF(Prices!D216&gt;OFFSET(Prices!D216,-$N$3,0),1,IF(Prices!D216&lt;OFFSET(Prices!D216,-$N$3,0),-1,0))</f>
        <v>-1</v>
      </c>
      <c r="O217" s="1">
        <f ca="1">IF(N217=1,O$3*L216/Prices!C216,O$3*M216*N217)</f>
        <v>-6.8895333085232683E-4</v>
      </c>
      <c r="P217" s="14"/>
      <c r="Q217" s="9">
        <f ca="1">Q216-T217*Prices!C217</f>
        <v>1.0617146290060362</v>
      </c>
      <c r="R217" s="1">
        <f t="shared" ca="1" si="29"/>
        <v>9.5249958271259177E-3</v>
      </c>
      <c r="S217" s="9">
        <f ca="1">IF(Prices!C216&lt;OFFSET(Prices!C216,-S$3,0),1,IF(Prices!C216&gt;OFFSET(Prices!C216,-S$3,0),-1,0))</f>
        <v>-1</v>
      </c>
      <c r="T217" s="1">
        <f ca="1">IF(S217=1,T$3*Q216/Prices!C216,T$3*R216*S217)</f>
        <v>-1.9438766994134526E-4</v>
      </c>
      <c r="V217" s="9"/>
      <c r="W217" s="1"/>
      <c r="X217" s="1"/>
      <c r="Y217" s="1"/>
      <c r="Z217" s="1"/>
      <c r="AA217" s="1"/>
      <c r="AB217" s="1"/>
      <c r="AC217" s="1"/>
      <c r="AD217" s="1"/>
      <c r="AE217" s="16"/>
    </row>
    <row r="218" spans="1:31" x14ac:dyDescent="0.2">
      <c r="A218" s="4">
        <v>33812</v>
      </c>
      <c r="B218" s="9">
        <f ca="1">Prices!C217*(1+J218/(50*(ABS(O218)+ABS(T218)+0.0001)))</f>
        <v>125.81936595813815</v>
      </c>
      <c r="C218" s="13">
        <f t="shared" ca="1" si="24"/>
        <v>-1</v>
      </c>
      <c r="D218" s="9">
        <f ca="1">D217+C218*(Prices!C218-Prices!C217)/Prices!C217</f>
        <v>8.2046252489939478E-2</v>
      </c>
      <c r="E218" s="9">
        <f t="shared" ca="1" si="25"/>
        <v>1.7956796838967115E-2</v>
      </c>
      <c r="F218" s="9">
        <f t="shared" ca="1" si="26"/>
        <v>0.10000304932890659</v>
      </c>
      <c r="G218" s="13">
        <f ca="1">IF((Prices!C218-Prices!C217)*C218&gt;0,1,0)</f>
        <v>1</v>
      </c>
      <c r="H218" s="9">
        <f>ABS(Prices!C218-Prices!C217)/Prices!C217</f>
        <v>4.2935206869632878E-3</v>
      </c>
      <c r="I218" s="13"/>
      <c r="J218" s="1">
        <f t="shared" ca="1" si="27"/>
        <v>-8.1055791430961234E-4</v>
      </c>
      <c r="K218" s="9"/>
      <c r="L218" s="9">
        <f ca="1">L217-O218*Prices!C218</f>
        <v>1.5886909905321294</v>
      </c>
      <c r="M218" s="1">
        <f t="shared" ca="1" si="28"/>
        <v>5.5805219799038462E-3</v>
      </c>
      <c r="N218" s="9">
        <f ca="1">IF(Prices!D217&gt;OFFSET(Prices!D217,-$N$3,0),1,IF(Prices!D217&lt;OFFSET(Prices!D217,-$N$3,0),-1,0))</f>
        <v>-1</v>
      </c>
      <c r="O218" s="1">
        <f ca="1">IF(N218=1,O$3*L217/Prices!C217,O$3*M217*N218)</f>
        <v>-6.2005799776709402E-4</v>
      </c>
      <c r="P218" s="14"/>
      <c r="Q218" s="9">
        <f ca="1">Q217-T218*Prices!C218</f>
        <v>1.0860128933610345</v>
      </c>
      <c r="R218" s="1">
        <f t="shared" ca="1" si="29"/>
        <v>9.3344959105833986E-3</v>
      </c>
      <c r="S218" s="9">
        <f ca="1">IF(Prices!C217&lt;OFFSET(Prices!C217,-S$3,0),1,IF(Prices!C217&gt;OFFSET(Prices!C217,-S$3,0),-1,0))</f>
        <v>-1</v>
      </c>
      <c r="T218" s="1">
        <f ca="1">IF(S218=1,T$3*Q217/Prices!C217,T$3*R217*S218)</f>
        <v>-1.9049991654251835E-4</v>
      </c>
      <c r="V218" s="9"/>
      <c r="W218" s="1"/>
      <c r="X218" s="1"/>
      <c r="Y218" s="1"/>
      <c r="Z218" s="1"/>
      <c r="AA218" s="1"/>
      <c r="AB218" s="1"/>
      <c r="AC218" s="1"/>
      <c r="AD218" s="1"/>
      <c r="AE218" s="16"/>
    </row>
    <row r="219" spans="1:31" x14ac:dyDescent="0.2">
      <c r="A219" s="4">
        <v>33813</v>
      </c>
      <c r="B219" s="9">
        <f ca="1">Prices!C218*(1+J219/(50*(ABS(O219)+ABS(T219)+0.0001)))</f>
        <v>125.30098565349969</v>
      </c>
      <c r="C219" s="13">
        <f t="shared" ca="1" si="24"/>
        <v>-1</v>
      </c>
      <c r="D219" s="9">
        <f ca="1">D218+C219*(Prices!C219-Prices!C218)/Prices!C218</f>
        <v>8.330066252521974E-2</v>
      </c>
      <c r="E219" s="9">
        <f t="shared" ca="1" si="25"/>
        <v>1.6702386803686853E-2</v>
      </c>
      <c r="F219" s="9">
        <f t="shared" ca="1" si="26"/>
        <v>0.10000304932890659</v>
      </c>
      <c r="G219" s="13">
        <f ca="1">IF((Prices!C219-Prices!C218)*C219&gt;0,1,0)</f>
        <v>1</v>
      </c>
      <c r="H219" s="9">
        <f>ABS(Prices!C219-Prices!C218)/Prices!C218</f>
        <v>1.2544100352802556E-3</v>
      </c>
      <c r="I219" s="13"/>
      <c r="J219" s="1">
        <f t="shared" ca="1" si="27"/>
        <v>-7.447421162020526E-4</v>
      </c>
      <c r="K219" s="9"/>
      <c r="L219" s="9">
        <f ca="1">L218-O219*Prices!C219</f>
        <v>1.6597812600341244</v>
      </c>
      <c r="M219" s="1">
        <f t="shared" ca="1" si="28"/>
        <v>5.0224697819134618E-3</v>
      </c>
      <c r="N219" s="9">
        <f ca="1">IF(Prices!D218&gt;OFFSET(Prices!D218,-$N$3,0),1,IF(Prices!D218&lt;OFFSET(Prices!D218,-$N$3,0),-1,0))</f>
        <v>-1</v>
      </c>
      <c r="O219" s="1">
        <f ca="1">IF(N219=1,O$3*L218/Prices!C218,O$3*M218*N219)</f>
        <v>-5.5805219799038468E-4</v>
      </c>
      <c r="P219" s="14"/>
      <c r="Q219" s="9">
        <f ca="1">Q218-T219*Prices!C219</f>
        <v>1.1097953220420189</v>
      </c>
      <c r="R219" s="1">
        <f t="shared" ca="1" si="29"/>
        <v>9.1478059923717301E-3</v>
      </c>
      <c r="S219" s="9">
        <f ca="1">IF(Prices!C218&lt;OFFSET(Prices!C218,-S$3,0),1,IF(Prices!C218&gt;OFFSET(Prices!C218,-S$3,0),-1,0))</f>
        <v>-1</v>
      </c>
      <c r="T219" s="1">
        <f ca="1">IF(S219=1,T$3*Q218/Prices!C218,T$3*R218*S219)</f>
        <v>-1.8668991821166797E-4</v>
      </c>
      <c r="V219" s="9"/>
      <c r="W219" s="1"/>
      <c r="X219" s="1"/>
      <c r="Y219" s="1"/>
      <c r="Z219" s="1"/>
      <c r="AA219" s="1"/>
      <c r="AB219" s="1"/>
      <c r="AC219" s="1"/>
      <c r="AD219" s="1"/>
      <c r="AE219" s="16"/>
    </row>
    <row r="220" spans="1:31" x14ac:dyDescent="0.2">
      <c r="A220" s="4">
        <v>33814</v>
      </c>
      <c r="B220" s="9">
        <f ca="1">Prices!C219*(1+J220/(50*(ABS(O220)+ABS(T220)+0.0001)))</f>
        <v>125.1666765598052</v>
      </c>
      <c r="C220" s="13">
        <f t="shared" ca="1" si="24"/>
        <v>-1</v>
      </c>
      <c r="D220" s="9">
        <f ca="1">D219+C220*(Prices!C220-Prices!C219)/Prices!C219</f>
        <v>7.9846702245762971E-2</v>
      </c>
      <c r="E220" s="9">
        <f t="shared" ca="1" si="25"/>
        <v>2.0156347083143622E-2</v>
      </c>
      <c r="F220" s="9">
        <f t="shared" ca="1" si="26"/>
        <v>0.10000304932890659</v>
      </c>
      <c r="G220" s="13">
        <f ca="1">IF((Prices!C220-Prices!C219)*C220&gt;0,1,0)</f>
        <v>0</v>
      </c>
      <c r="H220" s="9">
        <f>ABS(Prices!C220-Prices!C219)/Prices!C219</f>
        <v>3.4539602794567683E-3</v>
      </c>
      <c r="I220" s="13"/>
      <c r="J220" s="1">
        <f t="shared" ca="1" si="27"/>
        <v>-6.8520309803878077E-4</v>
      </c>
      <c r="K220" s="9"/>
      <c r="L220" s="9">
        <f ca="1">L219-O220*Prices!C220</f>
        <v>1.7239834912563241</v>
      </c>
      <c r="M220" s="1">
        <f t="shared" ca="1" si="28"/>
        <v>4.5202228037221157E-3</v>
      </c>
      <c r="N220" s="9">
        <f ca="1">IF(Prices!D219&gt;OFFSET(Prices!D219,-$N$3,0),1,IF(Prices!D219&lt;OFFSET(Prices!D219,-$N$3,0),-1,0))</f>
        <v>-1</v>
      </c>
      <c r="O220" s="1">
        <f ca="1">IF(N220=1,O$3*L219/Prices!C219,O$3*M219*N220)</f>
        <v>-5.022469781913462E-4</v>
      </c>
      <c r="P220" s="14"/>
      <c r="Q220" s="9">
        <f ca="1">Q219-T220*Prices!C220</f>
        <v>1.1331826028421166</v>
      </c>
      <c r="R220" s="1">
        <f t="shared" ca="1" si="29"/>
        <v>8.9648498725242963E-3</v>
      </c>
      <c r="S220" s="9">
        <f ca="1">IF(Prices!C219&lt;OFFSET(Prices!C219,-S$3,0),1,IF(Prices!C219&gt;OFFSET(Prices!C219,-S$3,0),-1,0))</f>
        <v>-1</v>
      </c>
      <c r="T220" s="1">
        <f ca="1">IF(S220=1,T$3*Q219/Prices!C219,T$3*R219*S220)</f>
        <v>-1.8295611984743462E-4</v>
      </c>
      <c r="V220" s="9"/>
      <c r="W220" s="1"/>
      <c r="X220" s="1"/>
      <c r="Y220" s="1"/>
      <c r="Z220" s="1"/>
      <c r="AA220" s="1"/>
      <c r="AB220" s="1"/>
      <c r="AC220" s="1"/>
      <c r="AD220" s="1"/>
      <c r="AE220" s="16"/>
    </row>
    <row r="221" spans="1:31" x14ac:dyDescent="0.2">
      <c r="A221" s="4">
        <v>33815</v>
      </c>
      <c r="B221" s="9">
        <f ca="1">Prices!C220*(1+J221/(50*(ABS(O221)+ABS(T221)+0.0001)))</f>
        <v>125.62298739329442</v>
      </c>
      <c r="C221" s="13">
        <f t="shared" ca="1" si="24"/>
        <v>-1</v>
      </c>
      <c r="D221" s="9">
        <f ca="1">D220+C221*(Prices!C221-Prices!C220)/Prices!C220</f>
        <v>8.2037111382898237E-2</v>
      </c>
      <c r="E221" s="9">
        <f t="shared" ca="1" si="25"/>
        <v>1.7965937946008356E-2</v>
      </c>
      <c r="F221" s="9">
        <f t="shared" ca="1" si="26"/>
        <v>0.10000304932890659</v>
      </c>
      <c r="G221" s="13">
        <f ca="1">IF((Prices!C221-Prices!C220)*C221&gt;0,1,0)</f>
        <v>1</v>
      </c>
      <c r="H221" s="9">
        <f>ABS(Prices!C221-Prices!C220)/Prices!C220</f>
        <v>2.1904091371352666E-3</v>
      </c>
      <c r="I221" s="13"/>
      <c r="J221" s="1">
        <f t="shared" ca="1" si="27"/>
        <v>-6.3131927782269755E-4</v>
      </c>
      <c r="K221" s="9"/>
      <c r="L221" s="9">
        <f ca="1">L220-O221*Prices!C221</f>
        <v>1.7816389331177998</v>
      </c>
      <c r="M221" s="1">
        <f t="shared" ca="1" si="28"/>
        <v>4.0682005233499043E-3</v>
      </c>
      <c r="N221" s="9">
        <f ca="1">IF(Prices!D220&gt;OFFSET(Prices!D220,-$N$3,0),1,IF(Prices!D220&lt;OFFSET(Prices!D220,-$N$3,0),-1,0))</f>
        <v>-1</v>
      </c>
      <c r="O221" s="1">
        <f ca="1">IF(N221=1,O$3*L220/Prices!C220,O$3*M220*N221)</f>
        <v>-4.5202228037221162E-4</v>
      </c>
      <c r="P221" s="14"/>
      <c r="Q221" s="9">
        <f ca="1">Q220-T221*Prices!C221</f>
        <v>1.156051934866926</v>
      </c>
      <c r="R221" s="1">
        <f t="shared" ca="1" si="29"/>
        <v>8.7855528750738106E-3</v>
      </c>
      <c r="S221" s="9">
        <f ca="1">IF(Prices!C220&lt;OFFSET(Prices!C220,-S$3,0),1,IF(Prices!C220&gt;OFFSET(Prices!C220,-S$3,0),-1,0))</f>
        <v>-1</v>
      </c>
      <c r="T221" s="1">
        <f ca="1">IF(S221=1,T$3*Q220/Prices!C220,T$3*R220*S221)</f>
        <v>-1.7929699745048593E-4</v>
      </c>
      <c r="V221" s="9"/>
      <c r="W221" s="1"/>
      <c r="X221" s="1"/>
      <c r="Y221" s="1"/>
      <c r="Z221" s="1"/>
      <c r="AA221" s="1"/>
      <c r="AB221" s="1"/>
      <c r="AC221" s="1"/>
      <c r="AD221" s="1"/>
      <c r="AE221" s="16"/>
    </row>
    <row r="222" spans="1:31" x14ac:dyDescent="0.2">
      <c r="A222" s="4">
        <v>33816</v>
      </c>
      <c r="B222" s="9">
        <f ca="1">Prices!C221*(1+J222/(50*(ABS(O222)+ABS(T222)+0.0001)))</f>
        <v>129.9489816140167</v>
      </c>
      <c r="C222" s="13">
        <f t="shared" ca="1" si="24"/>
        <v>1</v>
      </c>
      <c r="D222" s="9">
        <f ca="1">D221+C222*(Prices!C222-Prices!C221)/Prices!C221</f>
        <v>7.9293089430722663E-2</v>
      </c>
      <c r="E222" s="9">
        <f t="shared" ca="1" si="25"/>
        <v>2.070995989818393E-2</v>
      </c>
      <c r="F222" s="9">
        <f t="shared" ca="1" si="26"/>
        <v>0.10000304932890659</v>
      </c>
      <c r="G222" s="13">
        <f ca="1">IF((Prices!C222-Prices!C221)*C222&gt;0,1,0)</f>
        <v>0</v>
      </c>
      <c r="H222" s="9">
        <f>ABS(Prices!C222-Prices!C221)/Prices!C221</f>
        <v>2.7440219521755729E-3</v>
      </c>
      <c r="I222" s="13"/>
      <c r="J222" s="1">
        <f t="shared" ca="1" si="27"/>
        <v>1.5780864916434224E-3</v>
      </c>
      <c r="K222" s="9"/>
      <c r="L222" s="9">
        <f ca="1">L221-O222*Prices!C222</f>
        <v>1.6039639254403524</v>
      </c>
      <c r="M222" s="1">
        <f t="shared" ca="1" si="28"/>
        <v>5.4650166214430442E-3</v>
      </c>
      <c r="N222" s="9">
        <f ca="1">IF(Prices!D221&gt;OFFSET(Prices!D221,-$N$3,0),1,IF(Prices!D221&lt;OFFSET(Prices!D221,-$N$3,0),-1,0))</f>
        <v>1</v>
      </c>
      <c r="O222" s="1">
        <f ca="1">IF(N222=1,O$3*L221/Prices!C221,O$3*M221*N222)</f>
        <v>1.3968160980931399E-3</v>
      </c>
      <c r="P222" s="14"/>
      <c r="Q222" s="9">
        <f ca="1">Q221-T222*Prices!C222</f>
        <v>1.1329943408073302</v>
      </c>
      <c r="R222" s="1">
        <f t="shared" ca="1" si="29"/>
        <v>8.9668232686240922E-3</v>
      </c>
      <c r="S222" s="9">
        <f ca="1">IF(Prices!C221&lt;OFFSET(Prices!C221,-S$3,0),1,IF(Prices!C221&gt;OFFSET(Prices!C221,-S$3,0),-1,0))</f>
        <v>1</v>
      </c>
      <c r="T222" s="1">
        <f ca="1">IF(S222=1,T$3*Q221/Prices!C221,T$3*R221*S222)</f>
        <v>1.812703935502824E-4</v>
      </c>
      <c r="V222" s="9"/>
      <c r="W222" s="1"/>
      <c r="X222" s="1"/>
      <c r="Y222" s="1"/>
      <c r="Z222" s="1"/>
      <c r="AA222" s="1"/>
      <c r="AB222" s="1"/>
      <c r="AC222" s="1"/>
      <c r="AD222" s="1"/>
      <c r="AE222" s="16"/>
    </row>
    <row r="223" spans="1:31" x14ac:dyDescent="0.2">
      <c r="A223" s="4">
        <v>33819</v>
      </c>
      <c r="B223" s="9">
        <f ca="1">Prices!C222*(1+J223/(50*(ABS(O223)+ABS(T223)+0.0001)))</f>
        <v>129.57871092562513</v>
      </c>
      <c r="C223" s="13">
        <f t="shared" ca="1" si="24"/>
        <v>1</v>
      </c>
      <c r="D223" s="9">
        <f ca="1">D222+C223*(Prices!C223-Prices!C222)/Prices!C222</f>
        <v>7.9135856726320175E-2</v>
      </c>
      <c r="E223" s="9">
        <f t="shared" ca="1" si="25"/>
        <v>2.0867192602586418E-2</v>
      </c>
      <c r="F223" s="9">
        <f t="shared" ca="1" si="26"/>
        <v>0.10000304932890659</v>
      </c>
      <c r="G223" s="13">
        <f ca="1">IF((Prices!C223-Prices!C222)*C223&gt;0,1,0)</f>
        <v>0</v>
      </c>
      <c r="H223" s="9">
        <f>ABS(Prices!C223-Prices!C222)/Prices!C222</f>
        <v>1.5723270440248444E-4</v>
      </c>
      <c r="I223" s="13"/>
      <c r="J223" s="1">
        <f t="shared" ca="1" si="27"/>
        <v>1.4391216930831907E-3</v>
      </c>
      <c r="K223" s="9"/>
      <c r="L223" s="9">
        <f ca="1">L222-O223*Prices!C223</f>
        <v>1.4435927524548933</v>
      </c>
      <c r="M223" s="1">
        <f t="shared" ca="1" si="28"/>
        <v>6.7259945502483529E-3</v>
      </c>
      <c r="N223" s="9">
        <f ca="1">IF(Prices!D222&gt;OFFSET(Prices!D222,-$N$3,0),1,IF(Prices!D222&lt;OFFSET(Prices!D222,-$N$3,0),-1,0))</f>
        <v>1</v>
      </c>
      <c r="O223" s="1">
        <f ca="1">IF(N223=1,O$3*L222/Prices!C222,O$3*M222*N223)</f>
        <v>1.2609779288053086E-3</v>
      </c>
      <c r="P223" s="14"/>
      <c r="Q223" s="9">
        <f ca="1">Q222-T223*Prices!C223</f>
        <v>1.1103380168664692</v>
      </c>
      <c r="R223" s="1">
        <f t="shared" ca="1" si="29"/>
        <v>9.1449670329019749E-3</v>
      </c>
      <c r="S223" s="9">
        <f ca="1">IF(Prices!C222&lt;OFFSET(Prices!C222,-S$3,0),1,IF(Prices!C222&gt;OFFSET(Prices!C222,-S$3,0),-1,0))</f>
        <v>1</v>
      </c>
      <c r="T223" s="1">
        <f ca="1">IF(S223=1,T$3*Q222/Prices!C222,T$3*R222*S223)</f>
        <v>1.7814376427788213E-4</v>
      </c>
      <c r="V223" s="9"/>
      <c r="W223" s="1"/>
      <c r="X223" s="1"/>
      <c r="Y223" s="1"/>
      <c r="Z223" s="1"/>
      <c r="AA223" s="1"/>
      <c r="AB223" s="1"/>
      <c r="AC223" s="1"/>
      <c r="AD223" s="1"/>
      <c r="AE223" s="16"/>
    </row>
    <row r="224" spans="1:31" x14ac:dyDescent="0.2">
      <c r="A224" s="4">
        <v>33820</v>
      </c>
      <c r="B224" s="9">
        <f ca="1">Prices!C223*(1+J224/(50*(ABS(O224)+ABS(T224)+0.0001)))</f>
        <v>129.54316282557542</v>
      </c>
      <c r="C224" s="13">
        <f t="shared" ca="1" si="24"/>
        <v>1</v>
      </c>
      <c r="D224" s="9">
        <f ca="1">D223+C224*(Prices!C224-Prices!C223)/Prices!C223</f>
        <v>7.9686257732767676E-2</v>
      </c>
      <c r="E224" s="9">
        <f t="shared" ca="1" si="25"/>
        <v>2.0316791596138917E-2</v>
      </c>
      <c r="F224" s="9">
        <f t="shared" ca="1" si="26"/>
        <v>0.10000304932890659</v>
      </c>
      <c r="G224" s="13">
        <f ca="1">IF((Prices!C224-Prices!C223)*C224&gt;0,1,0)</f>
        <v>1</v>
      </c>
      <c r="H224" s="9">
        <f>ABS(Prices!C224-Prices!C223)/Prices!C223</f>
        <v>5.5040100644750101E-4</v>
      </c>
      <c r="I224" s="13"/>
      <c r="J224" s="1">
        <f t="shared" ca="1" si="27"/>
        <v>1.3096873374966089E-3</v>
      </c>
      <c r="K224" s="9"/>
      <c r="L224" s="9">
        <f ca="1">L223-O224*Prices!C224</f>
        <v>1.2991540217190187</v>
      </c>
      <c r="M224" s="1">
        <f t="shared" ca="1" si="28"/>
        <v>7.8610729843220234E-3</v>
      </c>
      <c r="N224" s="9">
        <f ca="1">IF(Prices!D223&gt;OFFSET(Prices!D223,-$N$3,0),1,IF(Prices!D223&lt;OFFSET(Prices!D223,-$N$3,0),-1,0))</f>
        <v>1</v>
      </c>
      <c r="O224" s="1">
        <f ca="1">IF(N224=1,O$3*L223/Prices!C223,O$3*M223*N224)</f>
        <v>1.1350784340736699E-3</v>
      </c>
      <c r="P224" s="14"/>
      <c r="Q224" s="9">
        <f ca="1">Q223-T224*Prices!C224</f>
        <v>1.0881190339059001</v>
      </c>
      <c r="R224" s="1">
        <f t="shared" ca="1" si="29"/>
        <v>9.3195759363249135E-3</v>
      </c>
      <c r="S224" s="9">
        <f ca="1">IF(Prices!C223&lt;OFFSET(Prices!C223,-S$3,0),1,IF(Prices!C223&gt;OFFSET(Prices!C223,-S$3,0),-1,0))</f>
        <v>1</v>
      </c>
      <c r="T224" s="1">
        <f ca="1">IF(S224=1,T$3*Q223/Prices!C223,T$3*R223*S224)</f>
        <v>1.74608903422939E-4</v>
      </c>
      <c r="V224" s="9"/>
      <c r="W224" s="1"/>
      <c r="X224" s="1"/>
      <c r="Y224" s="1"/>
      <c r="Z224" s="1"/>
      <c r="AA224" s="1"/>
      <c r="AB224" s="1"/>
      <c r="AC224" s="1"/>
      <c r="AD224" s="1"/>
      <c r="AE224" s="16"/>
    </row>
    <row r="225" spans="1:31" x14ac:dyDescent="0.2">
      <c r="A225" s="4">
        <v>33821</v>
      </c>
      <c r="B225" s="9">
        <f ca="1">Prices!C224*(1+J225/(50*(ABS(O225)+ABS(T225)+0.0001)))</f>
        <v>125.76919965907771</v>
      </c>
      <c r="C225" s="13">
        <f t="shared" ca="1" si="24"/>
        <v>-1</v>
      </c>
      <c r="D225" s="9">
        <f ca="1">D224+C225*(Prices!C225-Prices!C224)/Prices!C224</f>
        <v>7.6935766573632158E-2</v>
      </c>
      <c r="E225" s="9">
        <f t="shared" ca="1" si="25"/>
        <v>2.3067282755274435E-2</v>
      </c>
      <c r="F225" s="9">
        <f t="shared" ca="1" si="26"/>
        <v>0.10000304932890659</v>
      </c>
      <c r="G225" s="13">
        <f ca="1">IF((Prices!C225-Prices!C224)*C225&gt;0,1,0)</f>
        <v>0</v>
      </c>
      <c r="H225" s="9">
        <f>ABS(Prices!C225-Prices!C224)/Prices!C224</f>
        <v>2.7504911591355154E-3</v>
      </c>
      <c r="I225" s="13"/>
      <c r="J225" s="1">
        <f t="shared" ca="1" si="27"/>
        <v>-6.1508662512675639E-4</v>
      </c>
      <c r="K225" s="9"/>
      <c r="L225" s="9">
        <f ca="1">L224-O225*Prices!C225</f>
        <v>1.3994613129989677</v>
      </c>
      <c r="M225" s="1">
        <f t="shared" ca="1" si="28"/>
        <v>7.0749656858898214E-3</v>
      </c>
      <c r="N225" s="9">
        <f ca="1">IF(Prices!D224&gt;OFFSET(Prices!D224,-$N$3,0),1,IF(Prices!D224&lt;OFFSET(Prices!D224,-$N$3,0),-1,0))</f>
        <v>-1</v>
      </c>
      <c r="O225" s="1">
        <f ca="1">IF(N225=1,O$3*L224/Prices!C224,O$3*M224*N225)</f>
        <v>-7.8610729843220243E-4</v>
      </c>
      <c r="P225" s="14"/>
      <c r="Q225" s="9">
        <f ca="1">Q224-T225*Prices!C225</f>
        <v>1.0662967959921252</v>
      </c>
      <c r="R225" s="1">
        <f t="shared" ca="1" si="29"/>
        <v>9.4905966096303588E-3</v>
      </c>
      <c r="S225" s="9">
        <f ca="1">IF(Prices!C224&lt;OFFSET(Prices!C224,-S$3,0),1,IF(Prices!C224&gt;OFFSET(Prices!C224,-S$3,0),-1,0))</f>
        <v>1</v>
      </c>
      <c r="T225" s="1">
        <f ca="1">IF(S225=1,T$3*Q224/Prices!C224,T$3*R224*S225)</f>
        <v>1.7102067330544601E-4</v>
      </c>
      <c r="V225" s="9"/>
      <c r="W225" s="1"/>
      <c r="X225" s="1"/>
      <c r="Y225" s="1"/>
      <c r="Z225" s="1"/>
      <c r="AA225" s="1"/>
      <c r="AB225" s="1"/>
      <c r="AC225" s="1"/>
      <c r="AD225" s="1"/>
      <c r="AE225" s="16"/>
    </row>
    <row r="226" spans="1:31" x14ac:dyDescent="0.2">
      <c r="A226" s="4">
        <v>33822</v>
      </c>
      <c r="B226" s="9">
        <f ca="1">Prices!C225*(1+J226/(50*(ABS(O226)+ABS(T226)+0.0001)))</f>
        <v>125.30388872430144</v>
      </c>
      <c r="C226" s="13">
        <f t="shared" ca="1" si="24"/>
        <v>-1</v>
      </c>
      <c r="D226" s="9">
        <f ca="1">D225+C226*(Prices!C226-Prices!C225)/Prices!C225</f>
        <v>7.6152067514070956E-2</v>
      </c>
      <c r="E226" s="9">
        <f t="shared" ca="1" si="25"/>
        <v>2.3850981814835637E-2</v>
      </c>
      <c r="F226" s="9">
        <f t="shared" ca="1" si="26"/>
        <v>0.10000304932890659</v>
      </c>
      <c r="G226" s="13">
        <f ca="1">IF((Prices!C226-Prices!C225)*C226&gt;0,1,0)</f>
        <v>0</v>
      </c>
      <c r="H226" s="9">
        <f>ABS(Prices!C226-Prices!C225)/Prices!C225</f>
        <v>7.8369905956119539E-4</v>
      </c>
      <c r="I226" s="13"/>
      <c r="J226" s="1">
        <f t="shared" ca="1" si="27"/>
        <v>-8.9730850078158936E-4</v>
      </c>
      <c r="K226" s="9"/>
      <c r="L226" s="9">
        <f ca="1">L225-O226*Prices!C226</f>
        <v>1.4898086248077806</v>
      </c>
      <c r="M226" s="1">
        <f t="shared" ca="1" si="28"/>
        <v>6.3674691173008389E-3</v>
      </c>
      <c r="N226" s="9">
        <f ca="1">IF(Prices!D225&gt;OFFSET(Prices!D225,-$N$3,0),1,IF(Prices!D225&lt;OFFSET(Prices!D225,-$N$3,0),-1,0))</f>
        <v>-1</v>
      </c>
      <c r="O226" s="1">
        <f ca="1">IF(N226=1,O$3*L225/Prices!C225,O$3*M225*N226)</f>
        <v>-7.0749656858898216E-4</v>
      </c>
      <c r="P226" s="14"/>
      <c r="Q226" s="9">
        <f ca="1">Q225-T226*Prices!C226</f>
        <v>1.0905357797331212</v>
      </c>
      <c r="R226" s="1">
        <f t="shared" ca="1" si="29"/>
        <v>9.3007846774377512E-3</v>
      </c>
      <c r="S226" s="9">
        <f ca="1">IF(Prices!C225&lt;OFFSET(Prices!C225,-S$3,0),1,IF(Prices!C225&gt;OFFSET(Prices!C225,-S$3,0),-1,0))</f>
        <v>-1</v>
      </c>
      <c r="T226" s="1">
        <f ca="1">IF(S226=1,T$3*Q225/Prices!C225,T$3*R225*S226)</f>
        <v>-1.8981193219260719E-4</v>
      </c>
      <c r="V226" s="9"/>
      <c r="W226" s="1"/>
      <c r="X226" s="1"/>
      <c r="Y226" s="1"/>
      <c r="Z226" s="1"/>
      <c r="AA226" s="1"/>
      <c r="AB226" s="1"/>
      <c r="AC226" s="1"/>
      <c r="AD226" s="1"/>
      <c r="AE226" s="16"/>
    </row>
    <row r="227" spans="1:31" x14ac:dyDescent="0.2">
      <c r="A227" s="4">
        <v>33823</v>
      </c>
      <c r="B227" s="9">
        <f ca="1">Prices!C226*(1+J227/(50*(ABS(O227)+ABS(T227)+0.0001)))</f>
        <v>125.42277757912916</v>
      </c>
      <c r="C227" s="13">
        <f t="shared" ca="1" si="24"/>
        <v>-1</v>
      </c>
      <c r="D227" s="9">
        <f ca="1">D226+C227*(Prices!C227-Prices!C226)/Prices!C226</f>
        <v>7.7874855297939388E-2</v>
      </c>
      <c r="E227" s="9">
        <f t="shared" ca="1" si="25"/>
        <v>2.2128194030967205E-2</v>
      </c>
      <c r="F227" s="9">
        <f t="shared" ca="1" si="26"/>
        <v>0.10000304932890659</v>
      </c>
      <c r="G227" s="13">
        <f ca="1">IF((Prices!C227-Prices!C226)*C227&gt;0,1,0)</f>
        <v>1</v>
      </c>
      <c r="H227" s="9">
        <f>ABS(Prices!C227-Prices!C226)/Prices!C226</f>
        <v>1.7227877838684328E-3</v>
      </c>
      <c r="I227" s="13"/>
      <c r="J227" s="1">
        <f t="shared" ca="1" si="27"/>
        <v>-8.2276260527883887E-4</v>
      </c>
      <c r="K227" s="9"/>
      <c r="L227" s="9">
        <f ca="1">L226-O227*Prices!C227</f>
        <v>1.5709811211151317</v>
      </c>
      <c r="M227" s="1">
        <f t="shared" ca="1" si="28"/>
        <v>5.7307222055707555E-3</v>
      </c>
      <c r="N227" s="9">
        <f ca="1">IF(Prices!D226&gt;OFFSET(Prices!D226,-$N$3,0),1,IF(Prices!D226&lt;OFFSET(Prices!D226,-$N$3,0),-1,0))</f>
        <v>-1</v>
      </c>
      <c r="O227" s="1">
        <f ca="1">IF(N227=1,O$3*L226/Prices!C226,O$3*M226*N227)</f>
        <v>-6.3674691173008389E-4</v>
      </c>
      <c r="P227" s="14"/>
      <c r="Q227" s="9">
        <f ca="1">Q226-T227*Prices!C227</f>
        <v>1.1142490603467166</v>
      </c>
      <c r="R227" s="1">
        <f t="shared" ca="1" si="29"/>
        <v>9.1147689838889968E-3</v>
      </c>
      <c r="S227" s="9">
        <f ca="1">IF(Prices!C226&lt;OFFSET(Prices!C226,-S$3,0),1,IF(Prices!C226&gt;OFFSET(Prices!C226,-S$3,0),-1,0))</f>
        <v>-1</v>
      </c>
      <c r="T227" s="1">
        <f ca="1">IF(S227=1,T$3*Q226/Prices!C226,T$3*R226*S227)</f>
        <v>-1.8601569354875503E-4</v>
      </c>
      <c r="V227" s="9"/>
      <c r="W227" s="1"/>
      <c r="X227" s="1"/>
      <c r="Y227" s="1"/>
      <c r="Z227" s="1"/>
      <c r="AA227" s="1"/>
      <c r="AB227" s="1"/>
      <c r="AC227" s="1"/>
      <c r="AD227" s="1"/>
      <c r="AE227" s="16"/>
    </row>
    <row r="228" spans="1:31" x14ac:dyDescent="0.2">
      <c r="A228" s="4">
        <v>33826</v>
      </c>
      <c r="B228" s="9">
        <f ca="1">Prices!C227*(1+J228/(50*(ABS(O228)+ABS(T228)+0.0001)))</f>
        <v>125.22847067736726</v>
      </c>
      <c r="C228" s="13">
        <f t="shared" ca="1" si="24"/>
        <v>-1</v>
      </c>
      <c r="D228" s="9">
        <f ca="1">D227+C228*(Prices!C228-Prices!C227)/Prices!C227</f>
        <v>7.4423333490597071E-2</v>
      </c>
      <c r="E228" s="9">
        <f t="shared" ca="1" si="25"/>
        <v>2.5579715838309522E-2</v>
      </c>
      <c r="F228" s="9">
        <f t="shared" ca="1" si="26"/>
        <v>0.10000304932890659</v>
      </c>
      <c r="G228" s="13">
        <f ca="1">IF((Prices!C228-Prices!C227)*C228&gt;0,1,0)</f>
        <v>0</v>
      </c>
      <c r="H228" s="9">
        <f>ABS(Prices!C228-Prices!C227)/Prices!C227</f>
        <v>3.4515218073423101E-3</v>
      </c>
      <c r="I228" s="13"/>
      <c r="J228" s="1">
        <f t="shared" ca="1" si="27"/>
        <v>-7.5536760023485548E-4</v>
      </c>
      <c r="K228" s="9"/>
      <c r="L228" s="9">
        <f ca="1">L227-O228*Prices!C228</f>
        <v>1.6442885195687929</v>
      </c>
      <c r="M228" s="1">
        <f t="shared" ca="1" si="28"/>
        <v>5.1576499850136803E-3</v>
      </c>
      <c r="N228" s="9">
        <f ca="1">IF(Prices!D227&gt;OFFSET(Prices!D227,-$N$3,0),1,IF(Prices!D227&lt;OFFSET(Prices!D227,-$N$3,0),-1,0))</f>
        <v>-1</v>
      </c>
      <c r="O228" s="1">
        <f ca="1">IF(N228=1,O$3*L227/Prices!C227,O$3*M227*N228)</f>
        <v>-5.7307222055707552E-4</v>
      </c>
      <c r="P228" s="14"/>
      <c r="Q228" s="9">
        <f ca="1">Q227-T228*Prices!C228</f>
        <v>1.1375682853150981</v>
      </c>
      <c r="R228" s="1">
        <f t="shared" ca="1" si="29"/>
        <v>8.9324736042112173E-3</v>
      </c>
      <c r="S228" s="9">
        <f ca="1">IF(Prices!C227&lt;OFFSET(Prices!C227,-S$3,0),1,IF(Prices!C227&gt;OFFSET(Prices!C227,-S$3,0),-1,0))</f>
        <v>-1</v>
      </c>
      <c r="T228" s="1">
        <f ca="1">IF(S228=1,T$3*Q227/Prices!C227,T$3*R227*S228)</f>
        <v>-1.8229537967777995E-4</v>
      </c>
      <c r="V228" s="9"/>
      <c r="W228" s="1"/>
      <c r="X228" s="1"/>
      <c r="Y228" s="1"/>
      <c r="Z228" s="1"/>
      <c r="AA228" s="1"/>
      <c r="AB228" s="1"/>
      <c r="AC228" s="1"/>
      <c r="AD228" s="1"/>
      <c r="AE228" s="16"/>
    </row>
    <row r="229" spans="1:31" x14ac:dyDescent="0.2">
      <c r="A229" s="4">
        <v>33827</v>
      </c>
      <c r="B229" s="9">
        <f ca="1">Prices!C228*(1+J229/(50*(ABS(O229)+ABS(T229)+0.0001)))</f>
        <v>125.68364851431194</v>
      </c>
      <c r="C229" s="13">
        <f t="shared" ca="1" si="24"/>
        <v>-1</v>
      </c>
      <c r="D229" s="9">
        <f ca="1">D228+C229*(Prices!C229-Prices!C228)/Prices!C228</f>
        <v>7.3797942621303778E-2</v>
      </c>
      <c r="E229" s="9">
        <f t="shared" ca="1" si="25"/>
        <v>2.6205106707602815E-2</v>
      </c>
      <c r="F229" s="9">
        <f t="shared" ca="1" si="26"/>
        <v>0.10000304932890659</v>
      </c>
      <c r="G229" s="13">
        <f ca="1">IF((Prices!C229-Prices!C228)*C229&gt;0,1,0)</f>
        <v>0</v>
      </c>
      <c r="H229" s="9">
        <f>ABS(Prices!C229-Prices!C228)/Prices!C228</f>
        <v>6.2539086929329498E-4</v>
      </c>
      <c r="I229" s="13"/>
      <c r="J229" s="1">
        <f t="shared" ca="1" si="27"/>
        <v>-6.9441447058559238E-4</v>
      </c>
      <c r="K229" s="9"/>
      <c r="L229" s="9">
        <f ca="1">L228-O229*Prices!C229</f>
        <v>1.710306439376968</v>
      </c>
      <c r="M229" s="1">
        <f t="shared" ca="1" si="28"/>
        <v>4.6418849865123126E-3</v>
      </c>
      <c r="N229" s="9">
        <f ca="1">IF(Prices!D228&gt;OFFSET(Prices!D228,-$N$3,0),1,IF(Prices!D228&lt;OFFSET(Prices!D228,-$N$3,0),-1,0))</f>
        <v>-1</v>
      </c>
      <c r="O229" s="1">
        <f ca="1">IF(N229=1,O$3*L228/Prices!C228,O$3*M228*N229)</f>
        <v>-5.15764998501368E-4</v>
      </c>
      <c r="P229" s="14"/>
      <c r="Q229" s="9">
        <f ca="1">Q228-T229*Prices!C229</f>
        <v>1.1604354177418787</v>
      </c>
      <c r="R229" s="1">
        <f t="shared" ca="1" si="29"/>
        <v>8.7538241321269937E-3</v>
      </c>
      <c r="S229" s="9">
        <f ca="1">IF(Prices!C228&lt;OFFSET(Prices!C228,-S$3,0),1,IF(Prices!C228&gt;OFFSET(Prices!C228,-S$3,0),-1,0))</f>
        <v>-1</v>
      </c>
      <c r="T229" s="1">
        <f ca="1">IF(S229=1,T$3*Q228/Prices!C228,T$3*R228*S229)</f>
        <v>-1.7864947208422435E-4</v>
      </c>
      <c r="V229" s="9"/>
      <c r="W229" s="1"/>
      <c r="X229" s="1"/>
      <c r="Y229" s="1"/>
      <c r="Z229" s="1"/>
      <c r="AA229" s="1"/>
      <c r="AB229" s="1"/>
      <c r="AC229" s="1"/>
      <c r="AD229" s="1"/>
      <c r="AE229" s="16"/>
    </row>
    <row r="230" spans="1:31" x14ac:dyDescent="0.2">
      <c r="A230" s="4">
        <v>33828</v>
      </c>
      <c r="B230" s="9">
        <f ca="1">Prices!C229*(1+J230/(50*(ABS(O230)+ABS(T230)+0.0001)))</f>
        <v>125.78628990480786</v>
      </c>
      <c r="C230" s="13">
        <f t="shared" ca="1" si="24"/>
        <v>-1</v>
      </c>
      <c r="D230" s="9">
        <f ca="1">D229+C230*(Prices!C230-Prices!C229)/Prices!C229</f>
        <v>7.9501067621303809E-2</v>
      </c>
      <c r="E230" s="9">
        <f t="shared" ca="1" si="25"/>
        <v>2.0501981707602784E-2</v>
      </c>
      <c r="F230" s="9">
        <f t="shared" ca="1" si="26"/>
        <v>0.10000304932890659</v>
      </c>
      <c r="G230" s="13">
        <f ca="1">IF((Prices!C230-Prices!C229)*C230&gt;0,1,0)</f>
        <v>1</v>
      </c>
      <c r="H230" s="9">
        <f>ABS(Prices!C230-Prices!C229)/Prices!C229</f>
        <v>5.7031250000000311E-3</v>
      </c>
      <c r="I230" s="13"/>
      <c r="J230" s="1">
        <f t="shared" ca="1" si="27"/>
        <v>-6.3926498129377113E-4</v>
      </c>
      <c r="K230" s="9"/>
      <c r="L230" s="9">
        <f ca="1">L229-O230*Prices!C230</f>
        <v>1.7693837096003102</v>
      </c>
      <c r="M230" s="1">
        <f t="shared" ca="1" si="28"/>
        <v>4.1776964878610812E-3</v>
      </c>
      <c r="N230" s="9">
        <f ca="1">IF(Prices!D229&gt;OFFSET(Prices!D229,-$N$3,0),1,IF(Prices!D229&lt;OFFSET(Prices!D229,-$N$3,0),-1,0))</f>
        <v>-1</v>
      </c>
      <c r="O230" s="1">
        <f ca="1">IF(N230=1,O$3*L229/Prices!C229,O$3*M229*N230)</f>
        <v>-4.6418849865123129E-4</v>
      </c>
      <c r="P230" s="14"/>
      <c r="Q230" s="9">
        <f ca="1">Q229-T230*Prices!C230</f>
        <v>1.1827174016877948</v>
      </c>
      <c r="R230" s="1">
        <f t="shared" ca="1" si="29"/>
        <v>8.5787476494844535E-3</v>
      </c>
      <c r="S230" s="9">
        <f ca="1">IF(Prices!C229&lt;OFFSET(Prices!C229,-S$3,0),1,IF(Prices!C229&gt;OFFSET(Prices!C229,-S$3,0),-1,0))</f>
        <v>-1</v>
      </c>
      <c r="T230" s="1">
        <f ca="1">IF(S230=1,T$3*Q229/Prices!C229,T$3*R229*S230)</f>
        <v>-1.7507648264253987E-4</v>
      </c>
      <c r="V230" s="9"/>
      <c r="W230" s="1"/>
      <c r="X230" s="1"/>
      <c r="Y230" s="1"/>
      <c r="Z230" s="1"/>
      <c r="AA230" s="1"/>
      <c r="AB230" s="1"/>
      <c r="AC230" s="1"/>
      <c r="AD230" s="1"/>
      <c r="AE230" s="16"/>
    </row>
    <row r="231" spans="1:31" x14ac:dyDescent="0.2">
      <c r="A231" s="4">
        <v>33829</v>
      </c>
      <c r="B231" s="9">
        <f ca="1">Prices!C230*(1+J231/(50*(ABS(O231)+ABS(T231)+0.0001)))</f>
        <v>126.43105829051136</v>
      </c>
      <c r="C231" s="13">
        <f t="shared" ca="1" si="24"/>
        <v>-1</v>
      </c>
      <c r="D231" s="9">
        <f ca="1">D230+C231*(Prices!C231-Prices!C230)/Prices!C230</f>
        <v>8.6572647726591706E-2</v>
      </c>
      <c r="E231" s="9">
        <f t="shared" ca="1" si="25"/>
        <v>1.3430401602314887E-2</v>
      </c>
      <c r="F231" s="9">
        <f t="shared" ca="1" si="26"/>
        <v>0.10000304932890659</v>
      </c>
      <c r="G231" s="13">
        <f ca="1">IF((Prices!C231-Prices!C230)*C231&gt;0,1,0)</f>
        <v>1</v>
      </c>
      <c r="H231" s="9">
        <f>ABS(Prices!C231-Prices!C230)/Prices!C230</f>
        <v>7.0715801052879034E-3</v>
      </c>
      <c r="I231" s="13"/>
      <c r="J231" s="1">
        <f t="shared" ca="1" si="27"/>
        <v>-2.3191007438714612E-4</v>
      </c>
      <c r="K231" s="9"/>
      <c r="L231" s="9">
        <f ca="1">L230-O231*Prices!C231</f>
        <v>1.8221772601174107</v>
      </c>
      <c r="M231" s="1">
        <f t="shared" ca="1" si="28"/>
        <v>3.7599268390749729E-3</v>
      </c>
      <c r="N231" s="9">
        <f ca="1">IF(Prices!D230&gt;OFFSET(Prices!D230,-$N$3,0),1,IF(Prices!D230&lt;OFFSET(Prices!D230,-$N$3,0),-1,0))</f>
        <v>-1</v>
      </c>
      <c r="O231" s="1">
        <f ca="1">IF(N231=1,O$3*L230/Prices!C230,O$3*M230*N231)</f>
        <v>-4.1776964878610813E-4</v>
      </c>
      <c r="P231" s="14"/>
      <c r="Q231" s="9">
        <f ca="1">Q230-T231*Prices!C231</f>
        <v>1.1592303272709981</v>
      </c>
      <c r="R231" s="1">
        <f t="shared" ca="1" si="29"/>
        <v>8.7646072238834159E-3</v>
      </c>
      <c r="S231" s="9">
        <f ca="1">IF(Prices!C230&lt;OFFSET(Prices!C230,-S$3,0),1,IF(Prices!C230&gt;OFFSET(Prices!C230,-S$3,0),-1,0))</f>
        <v>1</v>
      </c>
      <c r="T231" s="1">
        <f ca="1">IF(S231=1,T$3*Q230/Prices!C230,T$3*R230*S231)</f>
        <v>1.8585957439896201E-4</v>
      </c>
      <c r="V231" s="9"/>
      <c r="W231" s="1"/>
      <c r="X231" s="1"/>
      <c r="Y231" s="1"/>
      <c r="Z231" s="1"/>
      <c r="AA231" s="1"/>
      <c r="AB231" s="1"/>
      <c r="AC231" s="1"/>
      <c r="AD231" s="1"/>
      <c r="AE231" s="16"/>
    </row>
    <row r="232" spans="1:31" x14ac:dyDescent="0.2">
      <c r="A232" s="4">
        <v>33830</v>
      </c>
      <c r="B232" s="9">
        <f ca="1">Prices!C231*(1+J232/(50*(ABS(O232)+ABS(T232)+0.0001)))</f>
        <v>128.75091838392908</v>
      </c>
      <c r="C232" s="13">
        <f t="shared" ca="1" si="24"/>
        <v>1</v>
      </c>
      <c r="D232" s="9">
        <f ca="1">D231+C232*(Prices!C232-Prices!C231)/Prices!C231</f>
        <v>8.4040401149081165E-2</v>
      </c>
      <c r="E232" s="9">
        <f t="shared" ca="1" si="25"/>
        <v>1.5962648179825428E-2</v>
      </c>
      <c r="F232" s="9">
        <f t="shared" ca="1" si="26"/>
        <v>0.10000304932890659</v>
      </c>
      <c r="G232" s="13">
        <f ca="1">IF((Prices!C232-Prices!C231)*C232&gt;0,1,0)</f>
        <v>0</v>
      </c>
      <c r="H232" s="9">
        <f>ABS(Prices!C232-Prices!C231)/Prices!C231</f>
        <v>2.5322465775105434E-3</v>
      </c>
      <c r="I232" s="13"/>
      <c r="J232" s="1">
        <f t="shared" ca="1" si="27"/>
        <v>1.625404230095442E-3</v>
      </c>
      <c r="K232" s="9"/>
      <c r="L232" s="9">
        <f ca="1">L231-O232*Prices!C232</f>
        <v>1.6404209543187247</v>
      </c>
      <c r="M232" s="1">
        <f t="shared" ca="1" si="28"/>
        <v>5.2018650048717687E-3</v>
      </c>
      <c r="N232" s="9">
        <f ca="1">IF(Prices!D231&gt;OFFSET(Prices!D231,-$N$3,0),1,IF(Prices!D231&lt;OFFSET(Prices!D231,-$N$3,0),-1,0))</f>
        <v>1</v>
      </c>
      <c r="O232" s="1">
        <f ca="1">IF(N232=1,O$3*L231/Prices!C231,O$3*M231*N232)</f>
        <v>1.4419381657967956E-3</v>
      </c>
      <c r="P232" s="14"/>
      <c r="Q232" s="9">
        <f ca="1">Q231-T232*Prices!C232</f>
        <v>1.1361044298661536</v>
      </c>
      <c r="R232" s="1">
        <f t="shared" ca="1" si="29"/>
        <v>8.9480732881820624E-3</v>
      </c>
      <c r="S232" s="9">
        <f ca="1">IF(Prices!C231&lt;OFFSET(Prices!C231,-S$3,0),1,IF(Prices!C231&gt;OFFSET(Prices!C231,-S$3,0),-1,0))</f>
        <v>1</v>
      </c>
      <c r="T232" s="1">
        <f ca="1">IF(S232=1,T$3*Q231/Prices!C231,T$3*R231*S232)</f>
        <v>1.8346606429864653E-4</v>
      </c>
      <c r="V232" s="9"/>
      <c r="W232" s="1"/>
      <c r="X232" s="1"/>
      <c r="Y232" s="1"/>
      <c r="Z232" s="1"/>
      <c r="AA232" s="1"/>
      <c r="AB232" s="1"/>
      <c r="AC232" s="1"/>
      <c r="AD232" s="1"/>
      <c r="AE232" s="16"/>
    </row>
    <row r="233" spans="1:31" x14ac:dyDescent="0.2">
      <c r="A233" s="4">
        <v>33833</v>
      </c>
      <c r="B233" s="9">
        <f ca="1">Prices!C232*(1+J233/(50*(ABS(O233)+ABS(T233)+0.0001)))</f>
        <v>128.41161125015515</v>
      </c>
      <c r="C233" s="13">
        <f t="shared" ca="1" si="24"/>
        <v>1</v>
      </c>
      <c r="D233" s="9">
        <f ca="1">D232+C233*(Prices!C233-Prices!C232)/Prices!C232</f>
        <v>8.1184391629049432E-2</v>
      </c>
      <c r="E233" s="9">
        <f t="shared" ca="1" si="25"/>
        <v>1.8818657699857161E-2</v>
      </c>
      <c r="F233" s="9">
        <f t="shared" ca="1" si="26"/>
        <v>0.10000304932890659</v>
      </c>
      <c r="G233" s="13">
        <f ca="1">IF((Prices!C233-Prices!C232)*C233&gt;0,1,0)</f>
        <v>0</v>
      </c>
      <c r="H233" s="9">
        <f>ABS(Prices!C233-Prices!C232)/Prices!C232</f>
        <v>2.8560095200317291E-3</v>
      </c>
      <c r="I233" s="13"/>
      <c r="J233" s="1">
        <f t="shared" ca="1" si="27"/>
        <v>1.4816674655231698E-3</v>
      </c>
      <c r="K233" s="9"/>
      <c r="L233" s="9">
        <f ca="1">L232-O233*Prices!C233</f>
        <v>1.4768473646730915</v>
      </c>
      <c r="M233" s="1">
        <f t="shared" ca="1" si="28"/>
        <v>6.5032699666478302E-3</v>
      </c>
      <c r="N233" s="9">
        <f ca="1">IF(Prices!D232&gt;OFFSET(Prices!D232,-$N$3,0),1,IF(Prices!D232&lt;OFFSET(Prices!D232,-$N$3,0),-1,0))</f>
        <v>1</v>
      </c>
      <c r="O233" s="1">
        <f ca="1">IF(N233=1,O$3*L232/Prices!C232,O$3*M232*N233)</f>
        <v>1.3014049617760611E-3</v>
      </c>
      <c r="P233" s="14"/>
      <c r="Q233" s="9">
        <f ca="1">Q232-T233*Prices!C233</f>
        <v>1.1134472357701795</v>
      </c>
      <c r="R233" s="1">
        <f t="shared" ca="1" si="29"/>
        <v>9.1283357919291711E-3</v>
      </c>
      <c r="S233" s="9">
        <f ca="1">IF(Prices!C232&lt;OFFSET(Prices!C232,-S$3,0),1,IF(Prices!C232&gt;OFFSET(Prices!C232,-S$3,0),-1,0))</f>
        <v>1</v>
      </c>
      <c r="T233" s="1">
        <f ca="1">IF(S233=1,T$3*Q232/Prices!C232,T$3*R232*S233)</f>
        <v>1.8026250374710885E-4</v>
      </c>
      <c r="V233" s="9"/>
      <c r="W233" s="1"/>
      <c r="X233" s="1"/>
      <c r="Y233" s="1"/>
      <c r="Z233" s="1"/>
      <c r="AA233" s="1"/>
      <c r="AB233" s="1"/>
      <c r="AC233" s="1"/>
      <c r="AD233" s="1"/>
      <c r="AE233" s="16"/>
    </row>
    <row r="234" spans="1:31" x14ac:dyDescent="0.2">
      <c r="A234" s="4">
        <v>33834</v>
      </c>
      <c r="B234" s="9">
        <f ca="1">Prices!C233*(1+J234/(50*(ABS(O234)+ABS(T234)+0.0001)))</f>
        <v>128.03069300860986</v>
      </c>
      <c r="C234" s="13">
        <f t="shared" ca="1" si="24"/>
        <v>1</v>
      </c>
      <c r="D234" s="9">
        <f ca="1">D233+C234*(Prices!C234-Prices!C233)/Prices!C233</f>
        <v>8.5003311193056152E-2</v>
      </c>
      <c r="E234" s="9">
        <f t="shared" ca="1" si="25"/>
        <v>1.4999738135850441E-2</v>
      </c>
      <c r="F234" s="9">
        <f t="shared" ca="1" si="26"/>
        <v>0.10000304932890659</v>
      </c>
      <c r="G234" s="13">
        <f ca="1">IF((Prices!C234-Prices!C233)*C234&gt;0,1,0)</f>
        <v>1</v>
      </c>
      <c r="H234" s="9">
        <f>ABS(Prices!C234-Prices!C233)/Prices!C233</f>
        <v>3.8189195640067146E-3</v>
      </c>
      <c r="I234" s="13"/>
      <c r="J234" s="1">
        <f t="shared" ca="1" si="27"/>
        <v>1.3521654959242004E-3</v>
      </c>
      <c r="K234" s="9"/>
      <c r="L234" s="9">
        <f ca="1">L233-O234*Prices!C234</f>
        <v>1.3285986320763823</v>
      </c>
      <c r="M234" s="1">
        <f t="shared" ca="1" si="28"/>
        <v>7.6782619028982011E-3</v>
      </c>
      <c r="N234" s="9">
        <f ca="1">IF(Prices!D233&gt;OFFSET(Prices!D233,-$N$3,0),1,IF(Prices!D233&lt;OFFSET(Prices!D233,-$N$3,0),-1,0))</f>
        <v>1</v>
      </c>
      <c r="O234" s="1">
        <f ca="1">IF(N234=1,O$3*L233/Prices!C233,O$3*M233*N234)</f>
        <v>1.1749919362503711E-3</v>
      </c>
      <c r="P234" s="14"/>
      <c r="Q234" s="9">
        <f ca="1">Q233-T234*Prices!C234</f>
        <v>1.0910932477461324</v>
      </c>
      <c r="R234" s="1">
        <f t="shared" ca="1" si="29"/>
        <v>9.3055093516030002E-3</v>
      </c>
      <c r="S234" s="9">
        <f ca="1">IF(Prices!C233&lt;OFFSET(Prices!C233,-S$3,0),1,IF(Prices!C233&gt;OFFSET(Prices!C233,-S$3,0),-1,0))</f>
        <v>1</v>
      </c>
      <c r="T234" s="1">
        <f ca="1">IF(S234=1,T$3*Q233/Prices!C233,T$3*R233*S234)</f>
        <v>1.7717355967382918E-4</v>
      </c>
      <c r="V234" s="9"/>
      <c r="W234" s="1"/>
      <c r="X234" s="1"/>
      <c r="Y234" s="1"/>
      <c r="Z234" s="1"/>
      <c r="AA234" s="1"/>
      <c r="AB234" s="1"/>
      <c r="AC234" s="1"/>
      <c r="AD234" s="1"/>
      <c r="AE234" s="16"/>
    </row>
    <row r="235" spans="1:31" x14ac:dyDescent="0.2">
      <c r="A235" s="4">
        <v>33835</v>
      </c>
      <c r="B235" s="9">
        <f ca="1">Prices!C234*(1+J235/(50*(ABS(O235)+ABS(T235)+0.0001)))</f>
        <v>124.72772394077774</v>
      </c>
      <c r="C235" s="13">
        <f t="shared" ca="1" si="24"/>
        <v>-1</v>
      </c>
      <c r="D235" s="9">
        <f ca="1">D234+C235*(Prices!C235-Prices!C234)/Prices!C234</f>
        <v>8.215001801718233E-2</v>
      </c>
      <c r="E235" s="9">
        <f t="shared" ca="1" si="25"/>
        <v>1.7853031311724263E-2</v>
      </c>
      <c r="F235" s="9">
        <f t="shared" ca="1" si="26"/>
        <v>0.10000304932890659</v>
      </c>
      <c r="G235" s="13">
        <f ca="1">IF((Prices!C235-Prices!C234)*C235&gt;0,1,0)</f>
        <v>0</v>
      </c>
      <c r="H235" s="9">
        <f>ABS(Prices!C235-Prices!C234)/Prices!C234</f>
        <v>2.8532931758738166E-3</v>
      </c>
      <c r="I235" s="13"/>
      <c r="J235" s="1">
        <f t="shared" ca="1" si="27"/>
        <v>-5.9487013928781766E-4</v>
      </c>
      <c r="K235" s="9"/>
      <c r="L235" s="9">
        <f ca="1">L234-O235*Prices!C235</f>
        <v>1.4257516799337533</v>
      </c>
      <c r="M235" s="1">
        <f t="shared" ca="1" si="28"/>
        <v>6.9104357126083807E-3</v>
      </c>
      <c r="N235" s="9">
        <f ca="1">IF(Prices!D234&gt;OFFSET(Prices!D234,-$N$3,0),1,IF(Prices!D234&lt;OFFSET(Prices!D234,-$N$3,0),-1,0))</f>
        <v>-1</v>
      </c>
      <c r="O235" s="1">
        <f ca="1">IF(N235=1,O$3*L234/Prices!C234,O$3*M234*N235)</f>
        <v>-7.6782619028982013E-4</v>
      </c>
      <c r="P235" s="14"/>
      <c r="Q235" s="9">
        <f ca="1">Q234-T235*Prices!C235</f>
        <v>1.069209118612849</v>
      </c>
      <c r="R235" s="1">
        <f t="shared" ca="1" si="29"/>
        <v>9.4784654026050033E-3</v>
      </c>
      <c r="S235" s="9">
        <f ca="1">IF(Prices!C234&lt;OFFSET(Prices!C234,-S$3,0),1,IF(Prices!C234&gt;OFFSET(Prices!C234,-S$3,0),-1,0))</f>
        <v>1</v>
      </c>
      <c r="T235" s="1">
        <f ca="1">IF(S235=1,T$3*Q234/Prices!C234,T$3*R234*S235)</f>
        <v>1.7295605100200244E-4</v>
      </c>
      <c r="V235" s="9"/>
      <c r="W235" s="1"/>
      <c r="X235" s="1"/>
      <c r="Y235" s="1"/>
      <c r="Z235" s="1"/>
      <c r="AA235" s="1"/>
      <c r="AB235" s="1"/>
      <c r="AC235" s="1"/>
      <c r="AD235" s="1"/>
      <c r="AE235" s="16"/>
    </row>
    <row r="236" spans="1:31" x14ac:dyDescent="0.2">
      <c r="A236" s="4">
        <v>33836</v>
      </c>
      <c r="B236" s="9">
        <f ca="1">Prices!C235*(1+J236/(50*(ABS(O236)+ABS(T236)+0.0001)))</f>
        <v>124.25746310047376</v>
      </c>
      <c r="C236" s="13">
        <f t="shared" ca="1" si="24"/>
        <v>-1</v>
      </c>
      <c r="D236" s="9">
        <f ca="1">D235+C236*(Prices!C236-Prices!C235)/Prices!C235</f>
        <v>8.2387115938623898E-2</v>
      </c>
      <c r="E236" s="9">
        <f t="shared" ca="1" si="25"/>
        <v>1.7615933390282695E-2</v>
      </c>
      <c r="F236" s="9">
        <f t="shared" ca="1" si="26"/>
        <v>0.10000304932890659</v>
      </c>
      <c r="G236" s="13">
        <f ca="1">IF((Prices!C236-Prices!C235)*C236&gt;0,1,0)</f>
        <v>1</v>
      </c>
      <c r="H236" s="9">
        <f>ABS(Prices!C236-Prices!C235)/Prices!C235</f>
        <v>2.3709792144156435E-4</v>
      </c>
      <c r="I236" s="13"/>
      <c r="J236" s="1">
        <f t="shared" ca="1" si="27"/>
        <v>-8.8061287931293824E-4</v>
      </c>
      <c r="K236" s="9"/>
      <c r="L236" s="9">
        <f ca="1">L235-O236*Prices!C236</f>
        <v>1.5131686916982494</v>
      </c>
      <c r="M236" s="1">
        <f t="shared" ca="1" si="28"/>
        <v>6.2193921413475428E-3</v>
      </c>
      <c r="N236" s="9">
        <f ca="1">IF(Prices!D235&gt;OFFSET(Prices!D235,-$N$3,0),1,IF(Prices!D235&lt;OFFSET(Prices!D235,-$N$3,0),-1,0))</f>
        <v>-1</v>
      </c>
      <c r="O236" s="1">
        <f ca="1">IF(N236=1,O$3*L235/Prices!C235,O$3*M235*N236)</f>
        <v>-6.9104357126083813E-4</v>
      </c>
      <c r="P236" s="14"/>
      <c r="Q236" s="9">
        <f ca="1">Q235-T236*Prices!C236</f>
        <v>1.0931896360814397</v>
      </c>
      <c r="R236" s="1">
        <f t="shared" ca="1" si="29"/>
        <v>9.2888960945529033E-3</v>
      </c>
      <c r="S236" s="9">
        <f ca="1">IF(Prices!C235&lt;OFFSET(Prices!C235,-S$3,0),1,IF(Prices!C235&gt;OFFSET(Prices!C235,-S$3,0),-1,0))</f>
        <v>-1</v>
      </c>
      <c r="T236" s="1">
        <f ca="1">IF(S236=1,T$3*Q235/Prices!C235,T$3*R235*S236)</f>
        <v>-1.8956930805210008E-4</v>
      </c>
      <c r="V236" s="9"/>
      <c r="W236" s="1"/>
      <c r="X236" s="1"/>
      <c r="Y236" s="1"/>
      <c r="Z236" s="1"/>
      <c r="AA236" s="1"/>
      <c r="AB236" s="1"/>
      <c r="AC236" s="1"/>
      <c r="AD236" s="1"/>
      <c r="AE236" s="16"/>
    </row>
    <row r="237" spans="1:31" x14ac:dyDescent="0.2">
      <c r="A237" s="4">
        <v>33837</v>
      </c>
      <c r="B237" s="9">
        <f ca="1">Prices!C236*(1+J237/(50*(ABS(O237)+ABS(T237)+0.0001)))</f>
        <v>124.24872118962928</v>
      </c>
      <c r="C237" s="13">
        <f t="shared" ca="1" si="24"/>
        <v>-1</v>
      </c>
      <c r="D237" s="9">
        <f ca="1">D236+C237*(Prices!C237-Prices!C236)/Prices!C236</f>
        <v>8.8474072460362999E-2</v>
      </c>
      <c r="E237" s="9">
        <f t="shared" ca="1" si="25"/>
        <v>1.1528976868543594E-2</v>
      </c>
      <c r="F237" s="9">
        <f t="shared" ca="1" si="26"/>
        <v>0.10000304932890659</v>
      </c>
      <c r="G237" s="13">
        <f ca="1">IF((Prices!C237-Prices!C236)*C237&gt;0,1,0)</f>
        <v>1</v>
      </c>
      <c r="H237" s="9">
        <f>ABS(Prices!C237-Prices!C236)/Prices!C236</f>
        <v>6.0869565217390991E-3</v>
      </c>
      <c r="I237" s="13"/>
      <c r="J237" s="1">
        <f t="shared" ca="1" si="27"/>
        <v>-8.0771713602581247E-4</v>
      </c>
      <c r="K237" s="9"/>
      <c r="L237" s="9">
        <f ca="1">L236-O237*Prices!C237</f>
        <v>1.591365109091412</v>
      </c>
      <c r="M237" s="1">
        <f t="shared" ca="1" si="28"/>
        <v>5.5974529272127885E-3</v>
      </c>
      <c r="N237" s="9">
        <f ca="1">IF(Prices!D236&gt;OFFSET(Prices!D236,-$N$3,0),1,IF(Prices!D236&lt;OFFSET(Prices!D236,-$N$3,0),-1,0))</f>
        <v>-1</v>
      </c>
      <c r="O237" s="1">
        <f ca="1">IF(N237=1,O$3*L236/Prices!C236,O$3*M236*N237)</f>
        <v>-6.2193921413475437E-4</v>
      </c>
      <c r="P237" s="14"/>
      <c r="Q237" s="9">
        <f ca="1">Q236-T237*Prices!C237</f>
        <v>1.1165474942008025</v>
      </c>
      <c r="R237" s="1">
        <f t="shared" ca="1" si="29"/>
        <v>9.1031181726618452E-3</v>
      </c>
      <c r="S237" s="9">
        <f ca="1">IF(Prices!C236&lt;OFFSET(Prices!C236,-S$3,0),1,IF(Prices!C236&gt;OFFSET(Prices!C236,-S$3,0),-1,0))</f>
        <v>-1</v>
      </c>
      <c r="T237" s="1">
        <f ca="1">IF(S237=1,T$3*Q236/Prices!C236,T$3*R236*S237)</f>
        <v>-1.8577792189105807E-4</v>
      </c>
      <c r="V237" s="9"/>
      <c r="W237" s="1"/>
      <c r="X237" s="1"/>
      <c r="Y237" s="1"/>
      <c r="Z237" s="1"/>
      <c r="AA237" s="1"/>
      <c r="AB237" s="1"/>
      <c r="AC237" s="1"/>
      <c r="AD237" s="1"/>
      <c r="AE237" s="16"/>
    </row>
    <row r="238" spans="1:31" x14ac:dyDescent="0.2">
      <c r="A238" s="4">
        <v>33840</v>
      </c>
      <c r="B238" s="9">
        <f ca="1">Prices!C237*(1+J238/(50*(ABS(O238)+ABS(T238)+0.0001)))</f>
        <v>127.49055159663149</v>
      </c>
      <c r="C238" s="13">
        <f t="shared" ca="1" si="24"/>
        <v>1</v>
      </c>
      <c r="D238" s="9">
        <f ca="1">D237+C238*(Prices!C238-Prices!C237)/Prices!C237</f>
        <v>7.8929810947597531E-2</v>
      </c>
      <c r="E238" s="9">
        <f t="shared" ca="1" si="25"/>
        <v>2.1073238381309062E-2</v>
      </c>
      <c r="F238" s="9">
        <f t="shared" ca="1" si="26"/>
        <v>0.10000304932890659</v>
      </c>
      <c r="G238" s="13">
        <f ca="1">IF((Prices!C238-Prices!C237)*C238&gt;0,1,0)</f>
        <v>0</v>
      </c>
      <c r="H238" s="9">
        <f>ABS(Prices!C238-Prices!C237)/Prices!C237</f>
        <v>9.5442615127654725E-3</v>
      </c>
      <c r="I238" s="13"/>
      <c r="J238" s="1">
        <f t="shared" ca="1" si="27"/>
        <v>1.0836380335016761E-3</v>
      </c>
      <c r="K238" s="9"/>
      <c r="L238" s="9">
        <f ca="1">L237-O238*Prices!C238</f>
        <v>1.4337474386586166</v>
      </c>
      <c r="M238" s="1">
        <f t="shared" ca="1" si="28"/>
        <v>6.8631533241677017E-3</v>
      </c>
      <c r="N238" s="9">
        <f ca="1">IF(Prices!D237&gt;OFFSET(Prices!D237,-$N$3,0),1,IF(Prices!D237&lt;OFFSET(Prices!D237,-$N$3,0),-1,0))</f>
        <v>1</v>
      </c>
      <c r="O238" s="1">
        <f ca="1">IF(N238=1,O$3*L237/Prices!C237,O$3*M237*N238)</f>
        <v>1.265700396954913E-3</v>
      </c>
      <c r="P238" s="14"/>
      <c r="Q238" s="9">
        <f ca="1">Q237-T238*Prices!C238</f>
        <v>1.1392197203216341</v>
      </c>
      <c r="R238" s="1">
        <f t="shared" ca="1" si="29"/>
        <v>8.9210558092086088E-3</v>
      </c>
      <c r="S238" s="9">
        <f ca="1">IF(Prices!C237&lt;OFFSET(Prices!C237,-S$3,0),1,IF(Prices!C237&gt;OFFSET(Prices!C237,-S$3,0),-1,0))</f>
        <v>-1</v>
      </c>
      <c r="T238" s="1">
        <f ca="1">IF(S238=1,T$3*Q237/Prices!C237,T$3*R237*S238)</f>
        <v>-1.8206236345323691E-4</v>
      </c>
      <c r="V238" s="9"/>
      <c r="W238" s="1"/>
      <c r="X238" s="1"/>
      <c r="Y238" s="1"/>
      <c r="Z238" s="1"/>
      <c r="AA238" s="1"/>
      <c r="AB238" s="1"/>
      <c r="AC238" s="1"/>
      <c r="AD238" s="1"/>
      <c r="AE238" s="16"/>
    </row>
    <row r="239" spans="1:31" x14ac:dyDescent="0.2">
      <c r="A239" s="4">
        <v>33841</v>
      </c>
      <c r="B239" s="9">
        <f ca="1">Prices!C238*(1+J239/(50*(ABS(O239)+ABS(T239)+0.0001)))</f>
        <v>126.84695311295185</v>
      </c>
      <c r="C239" s="13">
        <f t="shared" ca="1" si="24"/>
        <v>1</v>
      </c>
      <c r="D239" s="9">
        <f ca="1">D238+C239*(Prices!C239-Prices!C238)/Prices!C238</f>
        <v>7.8769207077044281E-2</v>
      </c>
      <c r="E239" s="9">
        <f t="shared" ca="1" si="25"/>
        <v>2.1233842251862312E-2</v>
      </c>
      <c r="F239" s="9">
        <f t="shared" ca="1" si="26"/>
        <v>0.10000304932890659</v>
      </c>
      <c r="G239" s="13">
        <f ca="1">IF((Prices!C239-Prices!C238)*C239&gt;0,1,0)</f>
        <v>0</v>
      </c>
      <c r="H239" s="9">
        <f>ABS(Prices!C239-Prices!C238)/Prices!C238</f>
        <v>1.6060387055324838E-4</v>
      </c>
      <c r="I239" s="13"/>
      <c r="J239" s="1">
        <f t="shared" ca="1" si="27"/>
        <v>1.3342900367164085E-3</v>
      </c>
      <c r="K239" s="9"/>
      <c r="L239" s="9">
        <f ca="1">L238-O239*Prices!C239</f>
        <v>1.2903957213315593</v>
      </c>
      <c r="M239" s="1">
        <f t="shared" ca="1" si="28"/>
        <v>8.0144802643898304E-3</v>
      </c>
      <c r="N239" s="9">
        <f ca="1">IF(Prices!D238&gt;OFFSET(Prices!D238,-$N$3,0),1,IF(Prices!D238&lt;OFFSET(Prices!D238,-$N$3,0),-1,0))</f>
        <v>1</v>
      </c>
      <c r="O239" s="1">
        <f ca="1">IF(N239=1,O$3*L238/Prices!C238,O$3*M238*N239)</f>
        <v>1.1513269402221285E-3</v>
      </c>
      <c r="P239" s="14"/>
      <c r="Q239" s="9">
        <f ca="1">Q238-T239*Prices!C239</f>
        <v>1.1164389851771312</v>
      </c>
      <c r="R239" s="1">
        <f t="shared" ca="1" si="29"/>
        <v>9.1040189057028879E-3</v>
      </c>
      <c r="S239" s="9">
        <f ca="1">IF(Prices!C238&lt;OFFSET(Prices!C238,-S$3,0),1,IF(Prices!C238&gt;OFFSET(Prices!C238,-S$3,0),-1,0))</f>
        <v>1</v>
      </c>
      <c r="T239" s="1">
        <f ca="1">IF(S239=1,T$3*Q238/Prices!C238,T$3*R238*S239)</f>
        <v>1.8296309649427995E-4</v>
      </c>
      <c r="V239" s="9"/>
      <c r="W239" s="1"/>
      <c r="X239" s="1"/>
      <c r="Y239" s="1"/>
      <c r="Z239" s="1"/>
      <c r="AA239" s="1"/>
      <c r="AB239" s="1"/>
      <c r="AC239" s="1"/>
      <c r="AD239" s="1"/>
      <c r="AE239" s="16"/>
    </row>
    <row r="240" spans="1:31" x14ac:dyDescent="0.2">
      <c r="A240" s="4">
        <v>33842</v>
      </c>
      <c r="B240" s="9">
        <f ca="1">Prices!C239*(1+J240/(50*(ABS(O240)+ABS(T240)+0.0001)))</f>
        <v>126.81093371459249</v>
      </c>
      <c r="C240" s="13">
        <f t="shared" ca="1" si="24"/>
        <v>1</v>
      </c>
      <c r="D240" s="9">
        <f ca="1">D239+C240*(Prices!C240-Prices!C239)/Prices!C239</f>
        <v>8.1258966935690083E-2</v>
      </c>
      <c r="E240" s="9">
        <f t="shared" ca="1" si="25"/>
        <v>1.874408239321651E-2</v>
      </c>
      <c r="F240" s="9">
        <f t="shared" ca="1" si="26"/>
        <v>0.10000304932890659</v>
      </c>
      <c r="G240" s="13">
        <f ca="1">IF((Prices!C240-Prices!C239)*C240&gt;0,1,0)</f>
        <v>1</v>
      </c>
      <c r="H240" s="9">
        <f>ABS(Prices!C240-Prices!C239)/Prices!C239</f>
        <v>2.4897598586457958E-3</v>
      </c>
      <c r="I240" s="13"/>
      <c r="J240" s="1">
        <f t="shared" ca="1" si="27"/>
        <v>1.2157124073303234E-3</v>
      </c>
      <c r="K240" s="9"/>
      <c r="L240" s="9">
        <f ca="1">L239-O240*Prices!C240</f>
        <v>1.1610348716515295</v>
      </c>
      <c r="M240" s="1">
        <f t="shared" ca="1" si="28"/>
        <v>9.0508594478542585E-3</v>
      </c>
      <c r="N240" s="9">
        <f ca="1">IF(Prices!D239&gt;OFFSET(Prices!D239,-$N$3,0),1,IF(Prices!D239&lt;OFFSET(Prices!D239,-$N$3,0),-1,0))</f>
        <v>1</v>
      </c>
      <c r="O240" s="1">
        <f ca="1">IF(N240=1,O$3*L239/Prices!C239,O$3*M239*N240)</f>
        <v>1.0363791834644281E-3</v>
      </c>
      <c r="P240" s="14"/>
      <c r="Q240" s="9">
        <f ca="1">Q239-T240*Prices!C240</f>
        <v>1.0940546121741901</v>
      </c>
      <c r="R240" s="1">
        <f t="shared" ca="1" si="29"/>
        <v>9.2833521295687827E-3</v>
      </c>
      <c r="S240" s="9">
        <f ca="1">IF(Prices!C239&lt;OFFSET(Prices!C239,-S$3,0),1,IF(Prices!C239&gt;OFFSET(Prices!C239,-S$3,0),-1,0))</f>
        <v>1</v>
      </c>
      <c r="T240" s="1">
        <f ca="1">IF(S240=1,T$3*Q239/Prices!C239,T$3*R239*S240)</f>
        <v>1.7933322386589533E-4</v>
      </c>
      <c r="V240" s="9"/>
      <c r="W240" s="1"/>
      <c r="X240" s="1"/>
      <c r="Y240" s="1"/>
      <c r="Z240" s="1"/>
      <c r="AA240" s="1"/>
      <c r="AB240" s="1"/>
      <c r="AC240" s="1"/>
      <c r="AD240" s="1"/>
      <c r="AE240" s="16"/>
    </row>
    <row r="241" spans="1:31" x14ac:dyDescent="0.2">
      <c r="A241" s="4">
        <v>33843</v>
      </c>
      <c r="B241" s="9">
        <f ca="1">Prices!C240*(1+J241/(50*(ABS(O241)+ABS(T241)+0.0001)))</f>
        <v>126.4096112692533</v>
      </c>
      <c r="C241" s="13">
        <f t="shared" ca="1" si="24"/>
        <v>1</v>
      </c>
      <c r="D241" s="9">
        <f ca="1">D240+C241*(Prices!C241-Prices!C240)/Prices!C240</f>
        <v>8.0938505471181255E-2</v>
      </c>
      <c r="E241" s="9">
        <f t="shared" ca="1" si="25"/>
        <v>1.9064543857725338E-2</v>
      </c>
      <c r="F241" s="9">
        <f t="shared" ca="1" si="26"/>
        <v>0.10000304932890659</v>
      </c>
      <c r="G241" s="13">
        <f ca="1">IF((Prices!C241-Prices!C240)*C241&gt;0,1,0)</f>
        <v>0</v>
      </c>
      <c r="H241" s="9">
        <f>ABS(Prices!C241-Prices!C240)/Prices!C240</f>
        <v>3.2046146450882905E-4</v>
      </c>
      <c r="I241" s="13"/>
      <c r="J241" s="1">
        <f t="shared" ca="1" si="27"/>
        <v>1.7530117163502487E-4</v>
      </c>
      <c r="K241" s="9"/>
      <c r="L241" s="9">
        <f ca="1">L240-O241*Prices!C241</f>
        <v>1.1610348716515295</v>
      </c>
      <c r="M241" s="1">
        <f t="shared" ca="1" si="28"/>
        <v>9.0508594478542585E-3</v>
      </c>
      <c r="N241" s="9">
        <f ca="1">IF(Prices!D240&gt;OFFSET(Prices!D240,-$N$3,0),1,IF(Prices!D240&lt;OFFSET(Prices!D240,-$N$3,0),-1,0))</f>
        <v>0</v>
      </c>
      <c r="O241" s="1">
        <f ca="1">IF(N241=1,O$3*L240/Prices!C240,O$3*M240*N241)</f>
        <v>0</v>
      </c>
      <c r="P241" s="14"/>
      <c r="Q241" s="9">
        <f ca="1">Q240-T241*Prices!C241</f>
        <v>1.0721805319775717</v>
      </c>
      <c r="R241" s="1">
        <f t="shared" ca="1" si="29"/>
        <v>9.4586533012038076E-3</v>
      </c>
      <c r="S241" s="9">
        <f ca="1">IF(Prices!C240&lt;OFFSET(Prices!C240,-S$3,0),1,IF(Prices!C240&gt;OFFSET(Prices!C240,-S$3,0),-1,0))</f>
        <v>1</v>
      </c>
      <c r="T241" s="1">
        <f ca="1">IF(S241=1,T$3*Q240/Prices!C240,T$3*R240*S241)</f>
        <v>1.7530117163502487E-4</v>
      </c>
      <c r="V241" s="9"/>
      <c r="W241" s="1"/>
      <c r="X241" s="1"/>
      <c r="Y241" s="1"/>
      <c r="Z241" s="1"/>
      <c r="AA241" s="1"/>
      <c r="AB241" s="1"/>
      <c r="AC241" s="1"/>
      <c r="AD241" s="1"/>
      <c r="AE241" s="16"/>
    </row>
    <row r="242" spans="1:31" x14ac:dyDescent="0.2">
      <c r="A242" s="4">
        <v>33844</v>
      </c>
      <c r="B242" s="9">
        <f ca="1">Prices!C241*(1+J242/(50*(ABS(O242)+ABS(T242)+0.0001)))</f>
        <v>123.22523553696657</v>
      </c>
      <c r="C242" s="13">
        <f t="shared" ca="1" si="24"/>
        <v>-1</v>
      </c>
      <c r="D242" s="9">
        <f ca="1">D241+C242*(Prices!C242-Prices!C241)/Prices!C241</f>
        <v>9.2799380611428117E-2</v>
      </c>
      <c r="E242" s="9">
        <f t="shared" ca="1" si="25"/>
        <v>7.2036687174784758E-3</v>
      </c>
      <c r="F242" s="9">
        <f t="shared" ca="1" si="26"/>
        <v>0.10000304932890659</v>
      </c>
      <c r="G242" s="13">
        <f ca="1">IF((Prices!C242-Prices!C241)*C242&gt;0,1,0)</f>
        <v>1</v>
      </c>
      <c r="H242" s="9">
        <f>ABS(Prices!C242-Prices!C241)/Prices!C241</f>
        <v>1.1860875140246866E-2</v>
      </c>
      <c r="I242" s="13"/>
      <c r="J242" s="1">
        <f t="shared" ca="1" si="27"/>
        <v>-7.3323460130448801E-4</v>
      </c>
      <c r="K242" s="9"/>
      <c r="L242" s="9">
        <f ca="1">L241-O242*Prices!C242</f>
        <v>1.2726319686435725</v>
      </c>
      <c r="M242" s="1">
        <f t="shared" ca="1" si="28"/>
        <v>8.1457735030688334E-3</v>
      </c>
      <c r="N242" s="9">
        <f ca="1">IF(Prices!D241&gt;OFFSET(Prices!D241,-$N$3,0),1,IF(Prices!D241&lt;OFFSET(Prices!D241,-$N$3,0),-1,0))</f>
        <v>-1</v>
      </c>
      <c r="O242" s="1">
        <f ca="1">IF(N242=1,O$3*L241/Prices!C241,O$3*M241*N242)</f>
        <v>-9.0508594478542592E-4</v>
      </c>
      <c r="P242" s="14"/>
      <c r="Q242" s="9">
        <f ca="1">Q241-T242*Prices!C242</f>
        <v>1.0509912613263721</v>
      </c>
      <c r="R242" s="1">
        <f t="shared" ca="1" si="29"/>
        <v>9.6305046446847464E-3</v>
      </c>
      <c r="S242" s="9">
        <f ca="1">IF(Prices!C241&lt;OFFSET(Prices!C241,-S$3,0),1,IF(Prices!C241&gt;OFFSET(Prices!C241,-S$3,0),-1,0))</f>
        <v>1</v>
      </c>
      <c r="T242" s="1">
        <f ca="1">IF(S242=1,T$3*Q241/Prices!C241,T$3*R241*S242)</f>
        <v>1.7185134348093794E-4</v>
      </c>
      <c r="V242" s="9"/>
      <c r="W242" s="1"/>
      <c r="X242" s="1"/>
      <c r="Y242" s="1"/>
      <c r="Z242" s="1"/>
      <c r="AA242" s="1"/>
      <c r="AB242" s="1"/>
      <c r="AC242" s="1"/>
      <c r="AD242" s="1"/>
      <c r="AE242" s="16"/>
    </row>
    <row r="243" spans="1:31" x14ac:dyDescent="0.2">
      <c r="A243" s="4">
        <v>33847</v>
      </c>
      <c r="B243" s="9">
        <f ca="1">Prices!C242*(1+J243/(50*(ABS(O243)+ABS(T243)+0.0001)))</f>
        <v>121.83615525454516</v>
      </c>
      <c r="C243" s="13">
        <f t="shared" ca="1" si="24"/>
        <v>-1</v>
      </c>
      <c r="D243" s="9">
        <f ca="1">D242+C243*(Prices!C243-Prices!C242)/Prices!C242</f>
        <v>9.4583646629270768E-2</v>
      </c>
      <c r="E243" s="9">
        <f t="shared" ca="1" si="25"/>
        <v>5.4194026996358252E-3</v>
      </c>
      <c r="F243" s="9">
        <f t="shared" ca="1" si="26"/>
        <v>0.10000304932890659</v>
      </c>
      <c r="G243" s="13">
        <f ca="1">IF((Prices!C243-Prices!C242)*C243&gt;0,1,0)</f>
        <v>1</v>
      </c>
      <c r="H243" s="9">
        <f>ABS(Prices!C243-Prices!C242)/Prices!C242</f>
        <v>1.784266017842651E-3</v>
      </c>
      <c r="I243" s="13"/>
      <c r="J243" s="1">
        <f t="shared" ca="1" si="27"/>
        <v>-6.4410026006740694E-4</v>
      </c>
      <c r="K243" s="9"/>
      <c r="L243" s="9">
        <f ca="1">L242-O243*Prices!C243</f>
        <v>1.3728901489193437</v>
      </c>
      <c r="M243" s="1">
        <f t="shared" ca="1" si="28"/>
        <v>7.3311961527619497E-3</v>
      </c>
      <c r="N243" s="9">
        <f ca="1">IF(Prices!D242&gt;OFFSET(Prices!D242,-$N$3,0),1,IF(Prices!D242&lt;OFFSET(Prices!D242,-$N$3,0),-1,0))</f>
        <v>-1</v>
      </c>
      <c r="O243" s="1">
        <f ca="1">IF(N243=1,O$3*L242/Prices!C242,O$3*M242*N243)</f>
        <v>-8.1457735030688336E-4</v>
      </c>
      <c r="P243" s="14"/>
      <c r="Q243" s="9">
        <f ca="1">Q242-T243*Prices!C243</f>
        <v>1.0300089410596973</v>
      </c>
      <c r="R243" s="1">
        <f t="shared" ca="1" si="29"/>
        <v>9.8009817349242224E-3</v>
      </c>
      <c r="S243" s="9">
        <f ca="1">IF(Prices!C242&lt;OFFSET(Prices!C242,-S$3,0),1,IF(Prices!C242&gt;OFFSET(Prices!C242,-S$3,0),-1,0))</f>
        <v>1</v>
      </c>
      <c r="T243" s="1">
        <f ca="1">IF(S243=1,T$3*Q242/Prices!C242,T$3*R242*S243)</f>
        <v>1.7047709023947641E-4</v>
      </c>
      <c r="V243" s="9"/>
      <c r="W243" s="1"/>
      <c r="X243" s="1"/>
      <c r="Y243" s="1"/>
      <c r="Z243" s="1"/>
      <c r="AA243" s="1"/>
      <c r="AB243" s="1"/>
      <c r="AC243" s="1"/>
      <c r="AD243" s="1"/>
      <c r="AE243" s="16"/>
    </row>
    <row r="244" spans="1:31" x14ac:dyDescent="0.2">
      <c r="A244" s="4">
        <v>33848</v>
      </c>
      <c r="B244" s="9">
        <f ca="1">Prices!C243*(1+J244/(50*(ABS(O244)+ABS(T244)+0.0001)))</f>
        <v>121.68804101366325</v>
      </c>
      <c r="C244" s="13">
        <f t="shared" ca="1" si="24"/>
        <v>-1</v>
      </c>
      <c r="D244" s="9">
        <f ca="1">D243+C244*(Prices!C244-Prices!C243)/Prices!C243</f>
        <v>9.6208606005286385E-2</v>
      </c>
      <c r="E244" s="9">
        <f t="shared" ca="1" si="25"/>
        <v>3.7944433236202085E-3</v>
      </c>
      <c r="F244" s="9">
        <f t="shared" ca="1" si="26"/>
        <v>0.10000304932890659</v>
      </c>
      <c r="G244" s="13">
        <f ca="1">IF((Prices!C244-Prices!C243)*C244&gt;0,1,0)</f>
        <v>1</v>
      </c>
      <c r="H244" s="9">
        <f>ABS(Prices!C244-Prices!C243)/Prices!C243</f>
        <v>1.6249593760156228E-3</v>
      </c>
      <c r="I244" s="13"/>
      <c r="J244" s="1">
        <f t="shared" ca="1" si="27"/>
        <v>-5.6574734666070959E-4</v>
      </c>
      <c r="K244" s="9"/>
      <c r="L244" s="9">
        <f ca="1">L243-O244*Prices!C244</f>
        <v>1.4629758872444825</v>
      </c>
      <c r="M244" s="1">
        <f t="shared" ca="1" si="28"/>
        <v>6.5980765374857551E-3</v>
      </c>
      <c r="N244" s="9">
        <f ca="1">IF(Prices!D243&gt;OFFSET(Prices!D243,-$N$3,0),1,IF(Prices!D243&lt;OFFSET(Prices!D243,-$N$3,0),-1,0))</f>
        <v>-1</v>
      </c>
      <c r="O244" s="1">
        <f ca="1">IF(N244=1,O$3*L243/Prices!C243,O$3*M243*N244)</f>
        <v>-7.3311961527619497E-4</v>
      </c>
      <c r="P244" s="14"/>
      <c r="Q244" s="9">
        <f ca="1">Q243-T244*Prices!C244</f>
        <v>1.0094422366922264</v>
      </c>
      <c r="R244" s="1">
        <f t="shared" ca="1" si="29"/>
        <v>9.9683540035397072E-3</v>
      </c>
      <c r="S244" s="9">
        <f ca="1">IF(Prices!C243&lt;OFFSET(Prices!C243,-S$3,0),1,IF(Prices!C243&gt;OFFSET(Prices!C243,-S$3,0),-1,0))</f>
        <v>1</v>
      </c>
      <c r="T244" s="1">
        <f ca="1">IF(S244=1,T$3*Q243/Prices!C243,T$3*R243*S244)</f>
        <v>1.6737226861548543E-4</v>
      </c>
      <c r="V244" s="9"/>
      <c r="W244" s="1"/>
      <c r="X244" s="1"/>
      <c r="Y244" s="1"/>
      <c r="Z244" s="1"/>
      <c r="AA244" s="1"/>
      <c r="AB244" s="1"/>
      <c r="AC244" s="1"/>
      <c r="AD244" s="1"/>
      <c r="AE244" s="16"/>
    </row>
    <row r="245" spans="1:31" x14ac:dyDescent="0.2">
      <c r="A245" s="4">
        <v>33849</v>
      </c>
      <c r="B245" s="9">
        <f ca="1">Prices!C244*(1+J245/(50*(ABS(O245)+ABS(T245)+0.0001)))</f>
        <v>121.56222059565732</v>
      </c>
      <c r="C245" s="13">
        <f t="shared" ca="1" si="24"/>
        <v>-1</v>
      </c>
      <c r="D245" s="9">
        <f ca="1">D244+C245*(Prices!C245-Prices!C244)/Prices!C244</f>
        <v>9.4255481005286315E-2</v>
      </c>
      <c r="E245" s="9">
        <f t="shared" ca="1" si="25"/>
        <v>5.7475683236202779E-3</v>
      </c>
      <c r="F245" s="9">
        <f t="shared" ca="1" si="26"/>
        <v>0.10000304932890659</v>
      </c>
      <c r="G245" s="13">
        <f ca="1">IF((Prices!C245-Prices!C244)*C245&gt;0,1,0)</f>
        <v>0</v>
      </c>
      <c r="H245" s="9">
        <f>ABS(Prices!C245-Prices!C244)/Prices!C244</f>
        <v>1.9531250000000742E-3</v>
      </c>
      <c r="I245" s="13"/>
      <c r="J245" s="1">
        <f t="shared" ca="1" si="27"/>
        <v>-4.9551041470361683E-4</v>
      </c>
      <c r="K245" s="9"/>
      <c r="L245" s="9">
        <f ca="1">L244-O245*Prices!C245</f>
        <v>1.544211405574007</v>
      </c>
      <c r="M245" s="1">
        <f t="shared" ca="1" si="28"/>
        <v>5.9382688837371798E-3</v>
      </c>
      <c r="N245" s="9">
        <f ca="1">IF(Prices!D244&gt;OFFSET(Prices!D244,-$N$3,0),1,IF(Prices!D244&lt;OFFSET(Prices!D244,-$N$3,0),-1,0))</f>
        <v>-1</v>
      </c>
      <c r="O245" s="1">
        <f ca="1">IF(N245=1,O$3*L244/Prices!C244,O$3*M244*N245)</f>
        <v>-6.5980765374857556E-4</v>
      </c>
      <c r="P245" s="14"/>
      <c r="Q245" s="9">
        <f ca="1">Q244-T245*Prices!C245</f>
        <v>0.98921396062101108</v>
      </c>
      <c r="R245" s="1">
        <f t="shared" ca="1" si="29"/>
        <v>1.0132651242584665E-2</v>
      </c>
      <c r="S245" s="9">
        <f ca="1">IF(Prices!C244&lt;OFFSET(Prices!C244,-S$3,0),1,IF(Prices!C244&gt;OFFSET(Prices!C244,-S$3,0),-1,0))</f>
        <v>1</v>
      </c>
      <c r="T245" s="1">
        <f ca="1">IF(S245=1,T$3*Q244/Prices!C244,T$3*R244*S245)</f>
        <v>1.6429723904495873E-4</v>
      </c>
      <c r="V245" s="9"/>
      <c r="W245" s="1"/>
      <c r="X245" s="1"/>
      <c r="Y245" s="1"/>
      <c r="Z245" s="1"/>
      <c r="AA245" s="1"/>
      <c r="AB245" s="1"/>
      <c r="AC245" s="1"/>
      <c r="AD245" s="1"/>
      <c r="AE245" s="16"/>
    </row>
    <row r="246" spans="1:31" x14ac:dyDescent="0.2">
      <c r="A246" s="4">
        <v>33850</v>
      </c>
      <c r="B246" s="9">
        <f ca="1">Prices!C245*(1+J246/(50*(ABS(O246)+ABS(T246)+0.0001)))</f>
        <v>121.87186496758332</v>
      </c>
      <c r="C246" s="13">
        <f t="shared" ca="1" si="24"/>
        <v>-1</v>
      </c>
      <c r="D246" s="9">
        <f ca="1">D245+C246*(Prices!C246-Prices!C245)/Prices!C245</f>
        <v>8.5889659042973118E-2</v>
      </c>
      <c r="E246" s="9">
        <f t="shared" ca="1" si="25"/>
        <v>1.4113390285933475E-2</v>
      </c>
      <c r="F246" s="9">
        <f t="shared" ca="1" si="26"/>
        <v>0.10000304932890659</v>
      </c>
      <c r="G246" s="13">
        <f ca="1">IF((Prices!C246-Prices!C245)*C246&gt;0,1,0)</f>
        <v>0</v>
      </c>
      <c r="H246" s="9">
        <f>ABS(Prices!C246-Prices!C245)/Prices!C245</f>
        <v>8.3658219623131986E-3</v>
      </c>
      <c r="I246" s="13"/>
      <c r="J246" s="1">
        <f t="shared" ca="1" si="27"/>
        <v>-4.3313586163216326E-4</v>
      </c>
      <c r="K246" s="9"/>
      <c r="L246" s="9">
        <f ca="1">L245-O246*Prices!C246</f>
        <v>1.6179350137656041</v>
      </c>
      <c r="M246" s="1">
        <f t="shared" ca="1" si="28"/>
        <v>5.3444419953634619E-3</v>
      </c>
      <c r="N246" s="9">
        <f ca="1">IF(Prices!D245&gt;OFFSET(Prices!D245,-$N$3,0),1,IF(Prices!D245&lt;OFFSET(Prices!D245,-$N$3,0),-1,0))</f>
        <v>-1</v>
      </c>
      <c r="O246" s="1">
        <f ca="1">IF(N246=1,O$3*L245/Prices!C245,O$3*M245*N246)</f>
        <v>-5.93826888373718E-4</v>
      </c>
      <c r="P246" s="14"/>
      <c r="Q246" s="9">
        <f ca="1">Q245-T246*Prices!C246</f>
        <v>0.969264169651047</v>
      </c>
      <c r="R246" s="1">
        <f t="shared" ca="1" si="29"/>
        <v>1.029334226932622E-2</v>
      </c>
      <c r="S246" s="9">
        <f ca="1">IF(Prices!C245&lt;OFFSET(Prices!C245,-S$3,0),1,IF(Prices!C245&gt;OFFSET(Prices!C245,-S$3,0),-1,0))</f>
        <v>1</v>
      </c>
      <c r="T246" s="1">
        <f ca="1">IF(S246=1,T$3*Q245/Prices!C245,T$3*R245*S246)</f>
        <v>1.6069102674155477E-4</v>
      </c>
      <c r="V246" s="9"/>
      <c r="W246" s="1"/>
      <c r="X246" s="1"/>
      <c r="Y246" s="1"/>
      <c r="Z246" s="1"/>
      <c r="AA246" s="1"/>
      <c r="AB246" s="1"/>
      <c r="AC246" s="1"/>
      <c r="AD246" s="1"/>
      <c r="AE246" s="16"/>
    </row>
    <row r="247" spans="1:31" x14ac:dyDescent="0.2">
      <c r="A247" s="4">
        <v>33851</v>
      </c>
      <c r="B247" s="9">
        <f ca="1">Prices!C246*(1+J247/(50*(ABS(O247)+ABS(T247)+0.0001)))</f>
        <v>121.9624858221848</v>
      </c>
      <c r="C247" s="13">
        <f t="shared" ca="1" si="24"/>
        <v>-1</v>
      </c>
      <c r="D247" s="9">
        <f ca="1">D246+C247*(Prices!C247-Prices!C246)/Prices!C246</f>
        <v>9.4024979220178148E-2</v>
      </c>
      <c r="E247" s="9">
        <f t="shared" ca="1" si="25"/>
        <v>5.9780701087284449E-3</v>
      </c>
      <c r="F247" s="9">
        <f t="shared" ca="1" si="26"/>
        <v>0.10000304932890659</v>
      </c>
      <c r="G247" s="13">
        <f ca="1">IF((Prices!C247-Prices!C246)*C247&gt;0,1,0)</f>
        <v>1</v>
      </c>
      <c r="H247" s="9">
        <f>ABS(Prices!C247-Prices!C246)/Prices!C246</f>
        <v>8.1353201772050351E-3</v>
      </c>
      <c r="I247" s="13"/>
      <c r="J247" s="1">
        <f t="shared" ca="1" si="27"/>
        <v>-7.4031104492287066E-4</v>
      </c>
      <c r="K247" s="9"/>
      <c r="L247" s="9">
        <f ca="1">L246-O247*Prices!C247</f>
        <v>1.6837464724965099</v>
      </c>
      <c r="M247" s="1">
        <f t="shared" ca="1" si="28"/>
        <v>4.8099977958271159E-3</v>
      </c>
      <c r="N247" s="9">
        <f ca="1">IF(Prices!D246&gt;OFFSET(Prices!D246,-$N$3,0),1,IF(Prices!D246&lt;OFFSET(Prices!D246,-$N$3,0),-1,0))</f>
        <v>-1</v>
      </c>
      <c r="O247" s="1">
        <f ca="1">IF(N247=1,O$3*L246/Prices!C246,O$3*M246*N247)</f>
        <v>-5.3444419953634623E-4</v>
      </c>
      <c r="P247" s="14"/>
      <c r="Q247" s="9">
        <f ca="1">Q246-T247*Prices!C247</f>
        <v>0.99461461299194365</v>
      </c>
      <c r="R247" s="1">
        <f t="shared" ca="1" si="29"/>
        <v>1.0087475423939696E-2</v>
      </c>
      <c r="S247" s="9">
        <f ca="1">IF(Prices!C246&lt;OFFSET(Prices!C246,-S$3,0),1,IF(Prices!C246&gt;OFFSET(Prices!C246,-S$3,0),-1,0))</f>
        <v>-1</v>
      </c>
      <c r="T247" s="1">
        <f ca="1">IF(S247=1,T$3*Q246/Prices!C246,T$3*R246*S247)</f>
        <v>-2.058668453865244E-4</v>
      </c>
      <c r="V247" s="9"/>
      <c r="W247" s="1"/>
      <c r="X247" s="1"/>
      <c r="Y247" s="1"/>
      <c r="Z247" s="1"/>
      <c r="AA247" s="1"/>
      <c r="AB247" s="1"/>
      <c r="AC247" s="1"/>
      <c r="AD247" s="1"/>
      <c r="AE247" s="16"/>
    </row>
    <row r="248" spans="1:31" x14ac:dyDescent="0.2">
      <c r="A248" s="4">
        <v>33854</v>
      </c>
      <c r="B248" s="9">
        <f ca="1">Prices!C247*(1+J248/(50*(ABS(O248)+ABS(T248)+0.0001)))</f>
        <v>120.99183458831105</v>
      </c>
      <c r="C248" s="13">
        <f t="shared" ca="1" si="24"/>
        <v>-1</v>
      </c>
      <c r="D248" s="9">
        <f ca="1">D247+C248*(Prices!C248-Prices!C247)/Prices!C247</f>
        <v>9.1101477514802159E-2</v>
      </c>
      <c r="E248" s="9">
        <f t="shared" ca="1" si="25"/>
        <v>8.9015718141044337E-3</v>
      </c>
      <c r="F248" s="9">
        <f t="shared" ca="1" si="26"/>
        <v>0.10000304932890659</v>
      </c>
      <c r="G248" s="13">
        <f ca="1">IF((Prices!C248-Prices!C247)*C248&gt;0,1,0)</f>
        <v>0</v>
      </c>
      <c r="H248" s="9">
        <f>ABS(Prices!C248-Prices!C247)/Prices!C247</f>
        <v>2.92350170537599E-3</v>
      </c>
      <c r="I248" s="13"/>
      <c r="J248" s="1">
        <f t="shared" ca="1" si="27"/>
        <v>-6.8274928806150549E-4</v>
      </c>
      <c r="K248" s="9"/>
      <c r="L248" s="9">
        <f ca="1">L247-O248*Prices!C248</f>
        <v>1.7431499452749748</v>
      </c>
      <c r="M248" s="1">
        <f t="shared" ca="1" si="28"/>
        <v>4.328998016244404E-3</v>
      </c>
      <c r="N248" s="9">
        <f ca="1">IF(Prices!D247&gt;OFFSET(Prices!D247,-$N$3,0),1,IF(Prices!D247&lt;OFFSET(Prices!D247,-$N$3,0),-1,0))</f>
        <v>-1</v>
      </c>
      <c r="O248" s="1">
        <f ca="1">IF(N248=1,O$3*L247/Prices!C247,O$3*M247*N248)</f>
        <v>-4.8099977958271161E-4</v>
      </c>
      <c r="P248" s="14"/>
      <c r="Q248" s="9">
        <f ca="1">Q247-T248*Prices!C248</f>
        <v>1.0195306772890746</v>
      </c>
      <c r="R248" s="1">
        <f t="shared" ca="1" si="29"/>
        <v>9.885725915460903E-3</v>
      </c>
      <c r="S248" s="9">
        <f ca="1">IF(Prices!C247&lt;OFFSET(Prices!C247,-S$3,0),1,IF(Prices!C247&gt;OFFSET(Prices!C247,-S$3,0),-1,0))</f>
        <v>-1</v>
      </c>
      <c r="T248" s="1">
        <f ca="1">IF(S248=1,T$3*Q247/Prices!C247,T$3*R247*S248)</f>
        <v>-2.0174950847879394E-4</v>
      </c>
      <c r="V248" s="9"/>
      <c r="W248" s="1"/>
      <c r="X248" s="1"/>
      <c r="Y248" s="1"/>
      <c r="Z248" s="1"/>
      <c r="AA248" s="1"/>
      <c r="AB248" s="1"/>
      <c r="AC248" s="1"/>
      <c r="AD248" s="1"/>
      <c r="AE248" s="16"/>
    </row>
    <row r="249" spans="1:31" x14ac:dyDescent="0.2">
      <c r="A249" s="4">
        <v>33855</v>
      </c>
      <c r="B249" s="9">
        <f ca="1">Prices!C248*(1+J249/(50*(ABS(O249)+ABS(T249)+0.0001)))</f>
        <v>121.36807166552994</v>
      </c>
      <c r="C249" s="13">
        <f t="shared" ca="1" si="24"/>
        <v>-1</v>
      </c>
      <c r="D249" s="9">
        <f ca="1">D248+C249*(Prices!C249-Prices!C248)/Prices!C248</f>
        <v>9.6202692089700906E-2</v>
      </c>
      <c r="E249" s="9">
        <f t="shared" ca="1" si="25"/>
        <v>3.8003572392056872E-3</v>
      </c>
      <c r="F249" s="9">
        <f t="shared" ca="1" si="26"/>
        <v>0.10000304932890659</v>
      </c>
      <c r="G249" s="13">
        <f ca="1">IF((Prices!C249-Prices!C248)*C249&gt;0,1,0)</f>
        <v>1</v>
      </c>
      <c r="H249" s="9">
        <f>ABS(Prices!C249-Prices!C248)/Prices!C248</f>
        <v>5.101214574898749E-3</v>
      </c>
      <c r="I249" s="13"/>
      <c r="J249" s="1">
        <f t="shared" ca="1" si="27"/>
        <v>-6.3061431993365849E-4</v>
      </c>
      <c r="K249" s="9"/>
      <c r="L249" s="9">
        <f ca="1">L248-O249*Prices!C249</f>
        <v>1.7963403439005698</v>
      </c>
      <c r="M249" s="1">
        <f t="shared" ca="1" si="28"/>
        <v>3.8960982146199635E-3</v>
      </c>
      <c r="N249" s="9">
        <f ca="1">IF(Prices!D248&gt;OFFSET(Prices!D248,-$N$3,0),1,IF(Prices!D248&lt;OFFSET(Prices!D248,-$N$3,0),-1,0))</f>
        <v>-1</v>
      </c>
      <c r="O249" s="1">
        <f ca="1">IF(N249=1,O$3*L248/Prices!C248,O$3*M248*N249)</f>
        <v>-4.3289980162444043E-4</v>
      </c>
      <c r="P249" s="14"/>
      <c r="Q249" s="9">
        <f ca="1">Q248-T249*Prices!C249</f>
        <v>1.0438238601537282</v>
      </c>
      <c r="R249" s="1">
        <f t="shared" ca="1" si="29"/>
        <v>9.6880113971516846E-3</v>
      </c>
      <c r="S249" s="9">
        <f ca="1">IF(Prices!C248&lt;OFFSET(Prices!C248,-S$3,0),1,IF(Prices!C248&gt;OFFSET(Prices!C248,-S$3,0),-1,0))</f>
        <v>-1</v>
      </c>
      <c r="T249" s="1">
        <f ca="1">IF(S249=1,T$3*Q248/Prices!C248,T$3*R248*S249)</f>
        <v>-1.9771451830921807E-4</v>
      </c>
      <c r="V249" s="9"/>
      <c r="W249" s="1"/>
      <c r="X249" s="1"/>
      <c r="Y249" s="1"/>
      <c r="Z249" s="1"/>
      <c r="AA249" s="1"/>
      <c r="AB249" s="1"/>
      <c r="AC249" s="1"/>
      <c r="AD249" s="1"/>
      <c r="AE249" s="16"/>
    </row>
    <row r="250" spans="1:31" x14ac:dyDescent="0.2">
      <c r="A250" s="4">
        <v>33856</v>
      </c>
      <c r="B250" s="9">
        <f ca="1">Prices!C249*(1+J250/(50*(ABS(O250)+ABS(T250)+0.0001)))</f>
        <v>122.05137402075829</v>
      </c>
      <c r="C250" s="13">
        <f t="shared" ca="1" si="24"/>
        <v>-1</v>
      </c>
      <c r="D250" s="9">
        <f ca="1">D249+C250*(Prices!C250-Prices!C249)/Prices!C249</f>
        <v>9.2133350509168641E-2</v>
      </c>
      <c r="E250" s="9">
        <f t="shared" ca="1" si="25"/>
        <v>7.8696988197379525E-3</v>
      </c>
      <c r="F250" s="9">
        <f t="shared" ca="1" si="26"/>
        <v>0.10000304932890659</v>
      </c>
      <c r="G250" s="13">
        <f ca="1">IF((Prices!C250-Prices!C249)*C250&gt;0,1,0)</f>
        <v>0</v>
      </c>
      <c r="H250" s="9">
        <f>ABS(Prices!C250-Prices!C249)/Prices!C249</f>
        <v>4.0693415805322696E-3</v>
      </c>
      <c r="I250" s="13"/>
      <c r="J250" s="1">
        <f t="shared" ca="1" si="27"/>
        <v>-2.1970278798698567E-4</v>
      </c>
      <c r="K250" s="9"/>
      <c r="L250" s="9">
        <f ca="1">L249-O250*Prices!C250</f>
        <v>1.8444065075743363</v>
      </c>
      <c r="M250" s="1">
        <f t="shared" ca="1" si="28"/>
        <v>3.506488393157967E-3</v>
      </c>
      <c r="N250" s="9">
        <f ca="1">IF(Prices!D249&gt;OFFSET(Prices!D249,-$N$3,0),1,IF(Prices!D249&lt;OFFSET(Prices!D249,-$N$3,0),-1,0))</f>
        <v>-1</v>
      </c>
      <c r="O250" s="1">
        <f ca="1">IF(N250=1,O$3*L249/Prices!C249,O$3*M249*N250)</f>
        <v>-3.8960982146199637E-4</v>
      </c>
      <c r="P250" s="14"/>
      <c r="Q250" s="9">
        <f ca="1">Q249-T250*Prices!C250</f>
        <v>1.0228624294339161</v>
      </c>
      <c r="R250" s="1">
        <f t="shared" ca="1" si="29"/>
        <v>9.857918430626696E-3</v>
      </c>
      <c r="S250" s="9">
        <f ca="1">IF(Prices!C249&lt;OFFSET(Prices!C249,-S$3,0),1,IF(Prices!C249&gt;OFFSET(Prices!C249,-S$3,0),-1,0))</f>
        <v>1</v>
      </c>
      <c r="T250" s="1">
        <f ca="1">IF(S250=1,T$3*Q249/Prices!C249,T$3*R249*S250)</f>
        <v>1.699070334750107E-4</v>
      </c>
      <c r="V250" s="9"/>
      <c r="W250" s="1"/>
      <c r="X250" s="1"/>
      <c r="Y250" s="1"/>
      <c r="Z250" s="1"/>
      <c r="AA250" s="1"/>
      <c r="AB250" s="1"/>
      <c r="AC250" s="1"/>
      <c r="AD250" s="1"/>
      <c r="AE250" s="16"/>
    </row>
    <row r="251" spans="1:31" x14ac:dyDescent="0.2">
      <c r="A251" s="4">
        <v>33857</v>
      </c>
      <c r="B251" s="9">
        <f ca="1">Prices!C250*(1+J251/(50*(ABS(O251)+ABS(T251)+0.0001)))</f>
        <v>122.63022901034806</v>
      </c>
      <c r="C251" s="13">
        <f t="shared" ca="1" si="24"/>
        <v>-1</v>
      </c>
      <c r="D251" s="9">
        <f ca="1">D250+C251*(Prices!C251-Prices!C250)/Prices!C250</f>
        <v>9.5132458882355025E-2</v>
      </c>
      <c r="E251" s="9">
        <f t="shared" ca="1" si="25"/>
        <v>4.8705904465515676E-3</v>
      </c>
      <c r="F251" s="9">
        <f t="shared" ca="1" si="26"/>
        <v>0.10000304932890659</v>
      </c>
      <c r="G251" s="13">
        <f ca="1">IF((Prices!C251-Prices!C250)*C251&gt;0,1,0)</f>
        <v>1</v>
      </c>
      <c r="H251" s="9">
        <f>ABS(Prices!C251-Prices!C250)/Prices!C250</f>
        <v>2.9991083731863866E-3</v>
      </c>
      <c r="I251" s="13"/>
      <c r="J251" s="1">
        <f t="shared" ca="1" si="27"/>
        <v>-1.8482855408698647E-4</v>
      </c>
      <c r="K251" s="9"/>
      <c r="L251" s="9">
        <f ca="1">L250-O251*Prices!C251</f>
        <v>1.8875363148101794</v>
      </c>
      <c r="M251" s="1">
        <f t="shared" ca="1" si="28"/>
        <v>3.1558395538421702E-3</v>
      </c>
      <c r="N251" s="9">
        <f ca="1">IF(Prices!D250&gt;OFFSET(Prices!D250,-$N$3,0),1,IF(Prices!D250&lt;OFFSET(Prices!D250,-$N$3,0),-1,0))</f>
        <v>-1</v>
      </c>
      <c r="O251" s="1">
        <f ca="1">IF(N251=1,O$3*L250/Prices!C250,O$3*M250*N251)</f>
        <v>-3.5064883931579672E-4</v>
      </c>
      <c r="P251" s="14"/>
      <c r="Q251" s="9">
        <f ca="1">Q250-T251*Prices!C251</f>
        <v>1.0024665343507724</v>
      </c>
      <c r="R251" s="1">
        <f t="shared" ca="1" si="29"/>
        <v>1.0023738715855506E-2</v>
      </c>
      <c r="S251" s="9">
        <f ca="1">IF(Prices!C250&lt;OFFSET(Prices!C250,-S$3,0),1,IF(Prices!C250&gt;OFFSET(Prices!C250,-S$3,0),-1,0))</f>
        <v>1</v>
      </c>
      <c r="T251" s="1">
        <f ca="1">IF(S251=1,T$3*Q250/Prices!C250,T$3*R250*S251)</f>
        <v>1.6582028522881025E-4</v>
      </c>
      <c r="V251" s="9"/>
      <c r="W251" s="1"/>
      <c r="X251" s="1"/>
      <c r="Y251" s="1"/>
      <c r="Z251" s="1"/>
      <c r="AA251" s="1"/>
      <c r="AB251" s="1"/>
      <c r="AC251" s="1"/>
      <c r="AD251" s="1"/>
      <c r="AE251" s="16"/>
    </row>
    <row r="252" spans="1:31" x14ac:dyDescent="0.2">
      <c r="A252" s="4">
        <v>33858</v>
      </c>
      <c r="B252" s="9">
        <f ca="1">Prices!C251*(1+J252/(50*(ABS(O252)+ABS(T252)+0.0001)))</f>
        <v>125.32314973031883</v>
      </c>
      <c r="C252" s="13">
        <f t="shared" ca="1" si="24"/>
        <v>1</v>
      </c>
      <c r="D252" s="9">
        <f ca="1">D251+C252*(Prices!C252-Prices!C251)/Prices!C251</f>
        <v>0.10578286538642008</v>
      </c>
      <c r="E252" s="9">
        <f t="shared" ca="1" si="25"/>
        <v>0</v>
      </c>
      <c r="F252" s="9">
        <f t="shared" ca="1" si="26"/>
        <v>0.10578286538642008</v>
      </c>
      <c r="G252" s="13">
        <f ca="1">IF((Prices!C252-Prices!C251)*C252&gt;0,1,0)</f>
        <v>1</v>
      </c>
      <c r="H252" s="9">
        <f>ABS(Prices!C252-Prices!C251)/Prices!C251</f>
        <v>1.065040650406506E-2</v>
      </c>
      <c r="I252" s="13"/>
      <c r="J252" s="1">
        <f t="shared" ca="1" si="27"/>
        <v>1.6975850582766944E-3</v>
      </c>
      <c r="K252" s="9"/>
      <c r="L252" s="9">
        <f ca="1">L251-O252*Prices!C252</f>
        <v>1.6967723804247701</v>
      </c>
      <c r="M252" s="1">
        <f t="shared" ca="1" si="28"/>
        <v>4.6904219236065438E-3</v>
      </c>
      <c r="N252" s="9">
        <f ca="1">IF(Prices!D251&gt;OFFSET(Prices!D251,-$N$3,0),1,IF(Prices!D251&lt;OFFSET(Prices!D251,-$N$3,0),-1,0))</f>
        <v>1</v>
      </c>
      <c r="O252" s="1">
        <f ca="1">IF(N252=1,O$3*L251/Prices!C251,O$3*M251*N252)</f>
        <v>1.5345823697643737E-3</v>
      </c>
      <c r="P252" s="14"/>
      <c r="Q252" s="9">
        <f ca="1">Q251-T252*Prices!C252</f>
        <v>0.98220367014180576</v>
      </c>
      <c r="R252" s="1">
        <f t="shared" ca="1" si="29"/>
        <v>1.0186741404367827E-2</v>
      </c>
      <c r="S252" s="9">
        <f ca="1">IF(Prices!C251&lt;OFFSET(Prices!C251,-S$3,0),1,IF(Prices!C251&gt;OFFSET(Prices!C251,-S$3,0),-1,0))</f>
        <v>1</v>
      </c>
      <c r="T252" s="1">
        <f ca="1">IF(S252=1,T$3*Q251/Prices!C251,T$3*R251*S252)</f>
        <v>1.6300268851232073E-4</v>
      </c>
      <c r="V252" s="9"/>
      <c r="W252" s="1"/>
      <c r="X252" s="1"/>
      <c r="Y252" s="1"/>
      <c r="Z252" s="1"/>
      <c r="AA252" s="1"/>
      <c r="AB252" s="1"/>
      <c r="AC252" s="1"/>
      <c r="AD252" s="1"/>
      <c r="AE252" s="16"/>
    </row>
    <row r="253" spans="1:31" x14ac:dyDescent="0.2">
      <c r="A253" s="4">
        <v>33861</v>
      </c>
      <c r="B253" s="9">
        <f ca="1">Prices!C252*(1+J253/(50*(ABS(O253)+ABS(T253)+0.0001)))</f>
        <v>126.04011401436613</v>
      </c>
      <c r="C253" s="13">
        <f t="shared" ca="1" si="24"/>
        <v>1</v>
      </c>
      <c r="D253" s="9">
        <f ca="1">D252+C253*(Prices!C253-Prices!C252)/Prices!C252</f>
        <v>0.10715041425618117</v>
      </c>
      <c r="E253" s="9">
        <f t="shared" ca="1" si="25"/>
        <v>0</v>
      </c>
      <c r="F253" s="9">
        <f t="shared" ca="1" si="26"/>
        <v>0.10715041425618117</v>
      </c>
      <c r="G253" s="13">
        <f ca="1">IF((Prices!C253-Prices!C252)*C253&gt;0,1,0)</f>
        <v>1</v>
      </c>
      <c r="H253" s="9">
        <f>ABS(Prices!C253-Prices!C252)/Prices!C252</f>
        <v>1.3675488697610949E-3</v>
      </c>
      <c r="I253" s="13"/>
      <c r="J253" s="1">
        <f t="shared" ca="1" si="27"/>
        <v>1.1612176137312986E-3</v>
      </c>
      <c r="K253" s="9"/>
      <c r="L253" s="9">
        <f ca="1">L252-O253*Prices!C253</f>
        <v>1.526863100467184</v>
      </c>
      <c r="M253" s="1">
        <f t="shared" ca="1" si="28"/>
        <v>6.0553743654251993E-3</v>
      </c>
      <c r="N253" s="9">
        <f ca="1">IF(Prices!D252&gt;OFFSET(Prices!D252,-$N$3,0),1,IF(Prices!D252&lt;OFFSET(Prices!D252,-$N$3,0),-1,0))</f>
        <v>1</v>
      </c>
      <c r="O253" s="1">
        <f ca="1">IF(N253=1,O$3*L252/Prices!C252,O$3*M252*N253)</f>
        <v>1.3649524418186552E-3</v>
      </c>
      <c r="P253" s="14"/>
      <c r="Q253" s="9">
        <f ca="1">Q252-T253*Prices!C253</f>
        <v>1.0075645815421199</v>
      </c>
      <c r="R253" s="1">
        <f t="shared" ca="1" si="29"/>
        <v>9.9830065762804704E-3</v>
      </c>
      <c r="S253" s="9">
        <f ca="1">IF(Prices!C252&lt;OFFSET(Prices!C252,-S$3,0),1,IF(Prices!C252&gt;OFFSET(Prices!C252,-S$3,0),-1,0))</f>
        <v>-1</v>
      </c>
      <c r="T253" s="1">
        <f ca="1">IF(S253=1,T$3*Q252/Prices!C252,T$3*R252*S253)</f>
        <v>-2.0373482808735654E-4</v>
      </c>
      <c r="V253" s="9"/>
      <c r="W253" s="1"/>
      <c r="X253" s="1"/>
      <c r="Y253" s="1"/>
      <c r="Z253" s="1"/>
      <c r="AA253" s="1"/>
      <c r="AB253" s="1"/>
      <c r="AC253" s="1"/>
      <c r="AD253" s="1"/>
      <c r="AE253" s="16"/>
    </row>
    <row r="254" spans="1:31" x14ac:dyDescent="0.2">
      <c r="A254" s="4">
        <v>33862</v>
      </c>
      <c r="B254" s="9">
        <f ca="1">Prices!C253*(1+J254/(50*(ABS(O254)+ABS(T254)+0.0001)))</f>
        <v>126.15511673146878</v>
      </c>
      <c r="C254" s="13">
        <f t="shared" ca="1" si="24"/>
        <v>1</v>
      </c>
      <c r="D254" s="9">
        <f ca="1">D253+C254*(Prices!C254-Prices!C253)/Prices!C253</f>
        <v>0.10602573559294209</v>
      </c>
      <c r="E254" s="9">
        <f t="shared" ca="1" si="25"/>
        <v>1.1246786632390787E-3</v>
      </c>
      <c r="F254" s="9">
        <f t="shared" ca="1" si="26"/>
        <v>0.10715041425618117</v>
      </c>
      <c r="G254" s="13">
        <f ca="1">IF((Prices!C254-Prices!C253)*C254&gt;0,1,0)</f>
        <v>0</v>
      </c>
      <c r="H254" s="9">
        <f>ABS(Prices!C254-Prices!C253)/Prices!C253</f>
        <v>1.1246786632390792E-3</v>
      </c>
      <c r="I254" s="13"/>
      <c r="J254" s="1">
        <f t="shared" ca="1" si="27"/>
        <v>1.0269329761761772E-3</v>
      </c>
      <c r="K254" s="9"/>
      <c r="L254" s="9">
        <f ca="1">L253-O254*Prices!C254</f>
        <v>1.3743485134555438</v>
      </c>
      <c r="M254" s="1">
        <f t="shared" ca="1" si="28"/>
        <v>7.2819674731269858E-3</v>
      </c>
      <c r="N254" s="9">
        <f ca="1">IF(Prices!D253&gt;OFFSET(Prices!D253,-$N$3,0),1,IF(Prices!D253&lt;OFFSET(Prices!D253,-$N$3,0),-1,0))</f>
        <v>1</v>
      </c>
      <c r="O254" s="1">
        <f ca="1">IF(N254=1,O$3*L253/Prices!C253,O$3*M253*N254)</f>
        <v>1.2265931077017865E-3</v>
      </c>
      <c r="P254" s="14"/>
      <c r="Q254" s="9">
        <f ca="1">Q253-T254*Prices!C254</f>
        <v>1.0323903222960142</v>
      </c>
      <c r="R254" s="1">
        <f t="shared" ca="1" si="29"/>
        <v>9.7833464447548615E-3</v>
      </c>
      <c r="S254" s="9">
        <f ca="1">IF(Prices!C253&lt;OFFSET(Prices!C253,-S$3,0),1,IF(Prices!C253&gt;OFFSET(Prices!C253,-S$3,0),-1,0))</f>
        <v>-1</v>
      </c>
      <c r="T254" s="1">
        <f ca="1">IF(S254=1,T$3*Q253/Prices!C253,T$3*R253*S254)</f>
        <v>-1.9966013152560941E-4</v>
      </c>
      <c r="V254" s="9"/>
      <c r="W254" s="1"/>
      <c r="X254" s="1"/>
      <c r="Y254" s="1"/>
      <c r="Z254" s="1"/>
      <c r="AA254" s="1"/>
      <c r="AB254" s="1"/>
      <c r="AC254" s="1"/>
      <c r="AD254" s="1"/>
      <c r="AE254" s="16"/>
    </row>
    <row r="255" spans="1:31" x14ac:dyDescent="0.2">
      <c r="A255" s="4">
        <v>33863</v>
      </c>
      <c r="B255" s="9">
        <f ca="1">Prices!C254*(1+J255/(50*(ABS(O255)+ABS(T255)+0.0001)))</f>
        <v>125.95466230653231</v>
      </c>
      <c r="C255" s="13">
        <f t="shared" ca="1" si="24"/>
        <v>1</v>
      </c>
      <c r="D255" s="9">
        <f ca="1">D254+C255*(Prices!C255-Prices!C254)/Prices!C254</f>
        <v>0.1153549940777418</v>
      </c>
      <c r="E255" s="9">
        <f t="shared" ca="1" si="25"/>
        <v>0</v>
      </c>
      <c r="F255" s="9">
        <f t="shared" ca="1" si="26"/>
        <v>0.1153549940777418</v>
      </c>
      <c r="G255" s="13">
        <f ca="1">IF((Prices!C255-Prices!C254)*C255&gt;0,1,0)</f>
        <v>1</v>
      </c>
      <c r="H255" s="9">
        <f>ABS(Prices!C255-Prices!C254)/Prices!C254</f>
        <v>9.3292584847997143E-3</v>
      </c>
      <c r="I255" s="13"/>
      <c r="J255" s="1">
        <f t="shared" ca="1" si="27"/>
        <v>9.0964794440033764E-4</v>
      </c>
      <c r="K255" s="9"/>
      <c r="L255" s="9">
        <f ca="1">L254-O255*Prices!C255</f>
        <v>1.2356314968569666</v>
      </c>
      <c r="M255" s="1">
        <f t="shared" ca="1" si="28"/>
        <v>8.3872823464224214E-3</v>
      </c>
      <c r="N255" s="9">
        <f ca="1">IF(Prices!D254&gt;OFFSET(Prices!D254,-$N$3,0),1,IF(Prices!D254&lt;OFFSET(Prices!D254,-$N$3,0),-1,0))</f>
        <v>1</v>
      </c>
      <c r="O255" s="1">
        <f ca="1">IF(N255=1,O$3*L254/Prices!C254,O$3*M254*N255)</f>
        <v>1.1053148732954349E-3</v>
      </c>
      <c r="P255" s="14"/>
      <c r="Q255" s="9">
        <f ca="1">Q254-T255*Prices!C255</f>
        <v>1.0569465218723488</v>
      </c>
      <c r="R255" s="1">
        <f t="shared" ca="1" si="29"/>
        <v>9.5876795158597646E-3</v>
      </c>
      <c r="S255" s="9">
        <f ca="1">IF(Prices!C254&lt;OFFSET(Prices!C254,-S$3,0),1,IF(Prices!C254&gt;OFFSET(Prices!C254,-S$3,0),-1,0))</f>
        <v>-1</v>
      </c>
      <c r="T255" s="1">
        <f ca="1">IF(S255=1,T$3*Q254/Prices!C254,T$3*R254*S255)</f>
        <v>-1.9566692889509723E-4</v>
      </c>
      <c r="V255" s="9"/>
      <c r="W255" s="1"/>
      <c r="X255" s="1"/>
      <c r="Y255" s="1"/>
      <c r="Z255" s="1"/>
      <c r="AA255" s="1"/>
      <c r="AB255" s="1"/>
      <c r="AC255" s="1"/>
      <c r="AD255" s="1"/>
      <c r="AE255" s="16"/>
    </row>
    <row r="256" spans="1:31" x14ac:dyDescent="0.2">
      <c r="A256" s="4">
        <v>33864</v>
      </c>
      <c r="B256" s="9">
        <f ca="1">Prices!C255*(1+J256/(50*(ABS(O256)+ABS(T256)+0.0001)))</f>
        <v>127.05913929981106</v>
      </c>
      <c r="C256" s="13">
        <f t="shared" ca="1" si="24"/>
        <v>1</v>
      </c>
      <c r="D256" s="9">
        <f ca="1">D255+C256*(Prices!C256-Prices!C255)/Prices!C255</f>
        <v>0.10659005383869802</v>
      </c>
      <c r="E256" s="9">
        <f t="shared" ca="1" si="25"/>
        <v>8.7649402390437836E-3</v>
      </c>
      <c r="F256" s="9">
        <f t="shared" ca="1" si="26"/>
        <v>0.1153549940777418</v>
      </c>
      <c r="G256" s="13">
        <f ca="1">IF((Prices!C256-Prices!C255)*C256&gt;0,1,0)</f>
        <v>0</v>
      </c>
      <c r="H256" s="9">
        <f>ABS(Prices!C256-Prices!C255)/Prices!C255</f>
        <v>8.7649402390437801E-3</v>
      </c>
      <c r="I256" s="13"/>
      <c r="J256" s="1">
        <f t="shared" ca="1" si="27"/>
        <v>7.9281333944931204E-4</v>
      </c>
      <c r="K256" s="9"/>
      <c r="L256" s="9">
        <f ca="1">L255-O256*Prices!C256</f>
        <v>1.1131513707940131</v>
      </c>
      <c r="M256" s="1">
        <f t="shared" ca="1" si="28"/>
        <v>9.3718492761889292E-3</v>
      </c>
      <c r="N256" s="9">
        <f ca="1">IF(Prices!D255&gt;OFFSET(Prices!D255,-$N$3,0),1,IF(Prices!D255&lt;OFFSET(Prices!D255,-$N$3,0),-1,0))</f>
        <v>1</v>
      </c>
      <c r="O256" s="1">
        <f ca="1">IF(N256=1,O$3*L255/Prices!C255,O$3*M255*N256)</f>
        <v>9.8456692976650736E-4</v>
      </c>
      <c r="P256" s="14"/>
      <c r="Q256" s="9">
        <f ca="1">Q255-T256*Prices!C256</f>
        <v>1.080800668507808</v>
      </c>
      <c r="R256" s="1">
        <f t="shared" ca="1" si="29"/>
        <v>9.3959259255425691E-3</v>
      </c>
      <c r="S256" s="9">
        <f ca="1">IF(Prices!C255&lt;OFFSET(Prices!C255,-S$3,0),1,IF(Prices!C255&gt;OFFSET(Prices!C255,-S$3,0),-1,0))</f>
        <v>-1</v>
      </c>
      <c r="T256" s="1">
        <f ca="1">IF(S256=1,T$3*Q255/Prices!C255,T$3*R255*S256)</f>
        <v>-1.9175359031719529E-4</v>
      </c>
      <c r="V256" s="9"/>
      <c r="W256" s="1"/>
      <c r="X256" s="1"/>
      <c r="Y256" s="1"/>
      <c r="Z256" s="1"/>
      <c r="AA256" s="1"/>
      <c r="AB256" s="1"/>
      <c r="AC256" s="1"/>
      <c r="AD256" s="1"/>
      <c r="AE256" s="16"/>
    </row>
    <row r="257" spans="1:31" x14ac:dyDescent="0.2">
      <c r="A257" s="4">
        <v>33865</v>
      </c>
      <c r="B257" s="9">
        <f ca="1">Prices!C256*(1+J257/(50*(ABS(O257)+ABS(T257)+0.0001)))</f>
        <v>122.77613337108993</v>
      </c>
      <c r="C257" s="13">
        <f t="shared" ca="1" si="24"/>
        <v>-1</v>
      </c>
      <c r="D257" s="9">
        <f ca="1">D256+C257*(Prices!C257-Prices!C256)/Prices!C256</f>
        <v>0.10594696702197777</v>
      </c>
      <c r="E257" s="9">
        <f t="shared" ca="1" si="25"/>
        <v>9.4080270557640316E-3</v>
      </c>
      <c r="F257" s="9">
        <f t="shared" ca="1" si="26"/>
        <v>0.1153549940777418</v>
      </c>
      <c r="G257" s="13">
        <f ca="1">IF((Prices!C257-Prices!C256)*C257&gt;0,1,0)</f>
        <v>0</v>
      </c>
      <c r="H257" s="9">
        <f>ABS(Prices!C257-Prices!C256)/Prices!C256</f>
        <v>6.4308681672024348E-4</v>
      </c>
      <c r="I257" s="13"/>
      <c r="J257" s="1">
        <f t="shared" ca="1" si="27"/>
        <v>-1.8791851851085139E-4</v>
      </c>
      <c r="K257" s="9"/>
      <c r="L257" s="9">
        <f ca="1">L256-O257*Prices!C257</f>
        <v>1.1131513707940131</v>
      </c>
      <c r="M257" s="1">
        <f t="shared" ca="1" si="28"/>
        <v>9.3718492761889292E-3</v>
      </c>
      <c r="N257" s="9">
        <f ca="1">IF(Prices!D256&gt;OFFSET(Prices!D256,-$N$3,0),1,IF(Prices!D256&lt;OFFSET(Prices!D256,-$N$3,0),-1,0))</f>
        <v>0</v>
      </c>
      <c r="O257" s="1">
        <f ca="1">IF(N257=1,O$3*L256/Prices!C256,O$3*M256*N257)</f>
        <v>0</v>
      </c>
      <c r="P257" s="14"/>
      <c r="Q257" s="9">
        <f ca="1">Q256-T257*Prices!C257</f>
        <v>1.1041927656920387</v>
      </c>
      <c r="R257" s="1">
        <f t="shared" ca="1" si="29"/>
        <v>9.2080074070317181E-3</v>
      </c>
      <c r="S257" s="9">
        <f ca="1">IF(Prices!C256&lt;OFFSET(Prices!C256,-S$3,0),1,IF(Prices!C256&gt;OFFSET(Prices!C256,-S$3,0),-1,0))</f>
        <v>-1</v>
      </c>
      <c r="T257" s="1">
        <f ca="1">IF(S257=1,T$3*Q256/Prices!C256,T$3*R256*S257)</f>
        <v>-1.8791851851085139E-4</v>
      </c>
      <c r="V257" s="9"/>
      <c r="W257" s="1"/>
      <c r="X257" s="1"/>
      <c r="Y257" s="1"/>
      <c r="Z257" s="1"/>
      <c r="AA257" s="1"/>
      <c r="AB257" s="1"/>
      <c r="AC257" s="1"/>
      <c r="AD257" s="1"/>
      <c r="AE257" s="16"/>
    </row>
    <row r="258" spans="1:31" x14ac:dyDescent="0.2">
      <c r="A258" s="4">
        <v>33868</v>
      </c>
      <c r="B258" s="9">
        <f ca="1">Prices!C257*(1+J258/(50*(ABS(O258)+ABS(T258)+0.0001)))</f>
        <v>124.48</v>
      </c>
      <c r="C258" s="13">
        <f t="shared" ca="1" si="24"/>
        <v>0</v>
      </c>
      <c r="D258" s="9">
        <f ca="1">D257+C258*(Prices!C258-Prices!C257)/Prices!C257</f>
        <v>0.10594696702197777</v>
      </c>
      <c r="E258" s="9">
        <f t="shared" ca="1" si="25"/>
        <v>9.4080270557640316E-3</v>
      </c>
      <c r="F258" s="9">
        <f t="shared" ca="1" si="26"/>
        <v>0.1153549940777418</v>
      </c>
      <c r="G258" s="13">
        <f ca="1">IF((Prices!C258-Prices!C257)*C258&gt;0,1,0)</f>
        <v>0</v>
      </c>
      <c r="H258" s="9">
        <f>ABS(Prices!C258-Prices!C257)/Prices!C257</f>
        <v>6.0250642673521848E-3</v>
      </c>
      <c r="I258" s="13"/>
      <c r="J258" s="1">
        <f t="shared" ca="1" si="27"/>
        <v>0</v>
      </c>
      <c r="K258" s="9"/>
      <c r="L258" s="9">
        <f ca="1">L257-O258*Prices!C258</f>
        <v>1.1131513707940131</v>
      </c>
      <c r="M258" s="1">
        <f t="shared" ca="1" si="28"/>
        <v>9.3718492761889292E-3</v>
      </c>
      <c r="N258" s="9">
        <f ca="1">IF(Prices!D257&gt;OFFSET(Prices!D257,-$N$3,0),1,IF(Prices!D257&lt;OFFSET(Prices!D257,-$N$3,0),-1,0))</f>
        <v>0</v>
      </c>
      <c r="O258" s="1">
        <f ca="1">IF(N258=1,O$3*L257/Prices!C257,O$3*M257*N258)</f>
        <v>0</v>
      </c>
      <c r="P258" s="14"/>
      <c r="Q258" s="9">
        <f ca="1">Q257-T258*Prices!C258</f>
        <v>1.1041927656920387</v>
      </c>
      <c r="R258" s="1">
        <f t="shared" ca="1" si="29"/>
        <v>9.2080074070317181E-3</v>
      </c>
      <c r="S258" s="9">
        <f ca="1">IF(Prices!C257&lt;OFFSET(Prices!C257,-S$3,0),1,IF(Prices!C257&gt;OFFSET(Prices!C257,-S$3,0),-1,0))</f>
        <v>0</v>
      </c>
      <c r="T258" s="1">
        <f ca="1">IF(S258=1,T$3*Q257/Prices!C257,T$3*R257*S258)</f>
        <v>0</v>
      </c>
      <c r="V258" s="9"/>
      <c r="W258" s="1"/>
      <c r="X258" s="1"/>
      <c r="Y258" s="1"/>
      <c r="Z258" s="1"/>
      <c r="AA258" s="1"/>
      <c r="AB258" s="1"/>
      <c r="AC258" s="1"/>
      <c r="AD258" s="1"/>
      <c r="AE258" s="16"/>
    </row>
    <row r="259" spans="1:31" x14ac:dyDescent="0.2">
      <c r="A259" s="4">
        <v>33869</v>
      </c>
      <c r="B259" s="9">
        <f ca="1">Prices!C258*(1+J259/(50*(ABS(O259)+ABS(T259)+0.0001)))</f>
        <v>125.99455810308058</v>
      </c>
      <c r="C259" s="13">
        <f t="shared" ca="1" si="24"/>
        <v>1</v>
      </c>
      <c r="D259" s="9">
        <f ca="1">D258+C259*(Prices!C259-Prices!C258)/Prices!C258</f>
        <v>8.4206079605829723E-2</v>
      </c>
      <c r="E259" s="9">
        <f t="shared" ca="1" si="25"/>
        <v>3.1148914471912079E-2</v>
      </c>
      <c r="F259" s="9">
        <f t="shared" ca="1" si="26"/>
        <v>0.1153549940777418</v>
      </c>
      <c r="G259" s="13">
        <f ca="1">IF((Prices!C259-Prices!C258)*C259&gt;0,1,0)</f>
        <v>0</v>
      </c>
      <c r="H259" s="9">
        <f>ABS(Prices!C259-Prices!C258)/Prices!C258</f>
        <v>2.1740887416148047E-2</v>
      </c>
      <c r="I259" s="13"/>
      <c r="J259" s="1">
        <f t="shared" ca="1" si="27"/>
        <v>1.0781459015052298E-3</v>
      </c>
      <c r="K259" s="9"/>
      <c r="L259" s="9">
        <f ca="1">L258-O259*Prices!C259</f>
        <v>1.0042563235775681</v>
      </c>
      <c r="M259" s="1">
        <f t="shared" ca="1" si="28"/>
        <v>1.027151093528051E-2</v>
      </c>
      <c r="N259" s="9">
        <f ca="1">IF(Prices!D258&gt;OFFSET(Prices!D258,-$N$3,0),1,IF(Prices!D258&lt;OFFSET(Prices!D258,-$N$3,0),-1,0))</f>
        <v>1</v>
      </c>
      <c r="O259" s="1">
        <f ca="1">IF(N259=1,O$3*L258/Prices!C258,O$3*M258*N259)</f>
        <v>8.9966165909158096E-4</v>
      </c>
      <c r="P259" s="14"/>
      <c r="Q259" s="9">
        <f ca="1">Q258-T259*Prices!C259</f>
        <v>1.0825890329902907</v>
      </c>
      <c r="R259" s="1">
        <f t="shared" ca="1" si="29"/>
        <v>9.3864916494453676E-3</v>
      </c>
      <c r="S259" s="9">
        <f ca="1">IF(Prices!C258&lt;OFFSET(Prices!C258,-S$3,0),1,IF(Prices!C258&gt;OFFSET(Prices!C258,-S$3,0),-1,0))</f>
        <v>1</v>
      </c>
      <c r="T259" s="1">
        <f ca="1">IF(S259=1,T$3*Q258/Prices!C258,T$3*R258*S259)</f>
        <v>1.7848424241364888E-4</v>
      </c>
      <c r="V259" s="9"/>
      <c r="W259" s="1"/>
      <c r="X259" s="1"/>
      <c r="Y259" s="1"/>
      <c r="Z259" s="1"/>
      <c r="AA259" s="1"/>
      <c r="AB259" s="1"/>
      <c r="AC259" s="1"/>
      <c r="AD259" s="1"/>
      <c r="AE259" s="16"/>
    </row>
    <row r="260" spans="1:31" x14ac:dyDescent="0.2">
      <c r="A260" s="4">
        <v>33870</v>
      </c>
      <c r="B260" s="9">
        <f ca="1">Prices!C259*(1+J260/(50*(ABS(O260)+ABS(T260)+0.0001)))</f>
        <v>123.24242874767042</v>
      </c>
      <c r="C260" s="13">
        <f t="shared" ca="1" si="24"/>
        <v>1</v>
      </c>
      <c r="D260" s="9">
        <f ca="1">D259+C260*(Prices!C260-Prices!C259)/Prices!C259</f>
        <v>7.6192199896642568E-2</v>
      </c>
      <c r="E260" s="9">
        <f t="shared" ca="1" si="25"/>
        <v>3.9162794181099234E-2</v>
      </c>
      <c r="F260" s="9">
        <f t="shared" ca="1" si="26"/>
        <v>0.1153549940777418</v>
      </c>
      <c r="G260" s="13">
        <f ca="1">IF((Prices!C260-Prices!C259)*C260&gt;0,1,0)</f>
        <v>0</v>
      </c>
      <c r="H260" s="9">
        <f>ABS(Prices!C260-Prices!C259)/Prices!C259</f>
        <v>8.0138797091871532E-3</v>
      </c>
      <c r="I260" s="13"/>
      <c r="J260" s="1">
        <f t="shared" ca="1" si="27"/>
        <v>1.0085708279706099E-3</v>
      </c>
      <c r="K260" s="9"/>
      <c r="L260" s="9">
        <f ca="1">L259-O260*Prices!C260</f>
        <v>0.90463549015724543</v>
      </c>
      <c r="M260" s="1">
        <f t="shared" ca="1" si="28"/>
        <v>1.1101200561501238E-2</v>
      </c>
      <c r="N260" s="9">
        <f ca="1">IF(Prices!D259&gt;OFFSET(Prices!D259,-$N$3,0),1,IF(Prices!D259&lt;OFFSET(Prices!D259,-$N$3,0),-1,0))</f>
        <v>1</v>
      </c>
      <c r="O260" s="1">
        <f ca="1">IF(N260=1,O$3*L259/Prices!C259,O$3*M259*N260)</f>
        <v>8.2968962622072707E-4</v>
      </c>
      <c r="P260" s="14"/>
      <c r="Q260" s="9">
        <f ca="1">Q259-T260*Prices!C260</f>
        <v>1.0611107670961824</v>
      </c>
      <c r="R260" s="1">
        <f t="shared" ca="1" si="29"/>
        <v>9.5653728511952505E-3</v>
      </c>
      <c r="S260" s="9">
        <f ca="1">IF(Prices!C259&lt;OFFSET(Prices!C259,-S$3,0),1,IF(Prices!C259&gt;OFFSET(Prices!C259,-S$3,0),-1,0))</f>
        <v>1</v>
      </c>
      <c r="T260" s="1">
        <f ca="1">IF(S260=1,T$3*Q259/Prices!C259,T$3*R259*S260)</f>
        <v>1.7888120174988282E-4</v>
      </c>
      <c r="V260" s="9"/>
      <c r="W260" s="1"/>
      <c r="X260" s="1"/>
      <c r="Y260" s="1"/>
      <c r="Z260" s="1"/>
      <c r="AA260" s="1"/>
      <c r="AB260" s="1"/>
      <c r="AC260" s="1"/>
      <c r="AD260" s="1"/>
      <c r="AE260" s="16"/>
    </row>
    <row r="261" spans="1:31" x14ac:dyDescent="0.2">
      <c r="A261" s="4">
        <v>33871</v>
      </c>
      <c r="B261" s="9">
        <f ca="1">Prices!C260*(1+J261/(50*(ABS(O261)+ABS(T261)+0.0001)))</f>
        <v>122.23829331870188</v>
      </c>
      <c r="C261" s="13">
        <f t="shared" ca="1" si="24"/>
        <v>1</v>
      </c>
      <c r="D261" s="9">
        <f ca="1">D260+C261*(Prices!C261-Prices!C260)/Prices!C260</f>
        <v>7.9690159420253814E-2</v>
      </c>
      <c r="E261" s="9">
        <f t="shared" ca="1" si="25"/>
        <v>3.5664834657487987E-2</v>
      </c>
      <c r="F261" s="9">
        <f t="shared" ca="1" si="26"/>
        <v>0.1153549940777418</v>
      </c>
      <c r="G261" s="13">
        <f ca="1">IF((Prices!C261-Prices!C260)*C261&gt;0,1,0)</f>
        <v>1</v>
      </c>
      <c r="H261" s="9">
        <f>ABS(Prices!C261-Prices!C260)/Prices!C260</f>
        <v>3.4979595236112413E-3</v>
      </c>
      <c r="I261" s="13"/>
      <c r="J261" s="1">
        <f t="shared" ca="1" si="27"/>
        <v>9.3017210258722588E-4</v>
      </c>
      <c r="K261" s="9"/>
      <c r="L261" s="9">
        <f ca="1">L260-O261*Prices!C261</f>
        <v>0.8138555033087016</v>
      </c>
      <c r="M261" s="1">
        <f t="shared" ca="1" si="28"/>
        <v>1.1854623972975584E-2</v>
      </c>
      <c r="N261" s="9">
        <f ca="1">IF(Prices!D260&gt;OFFSET(Prices!D260,-$N$3,0),1,IF(Prices!D260&lt;OFFSET(Prices!D260,-$N$3,0),-1,0))</f>
        <v>1</v>
      </c>
      <c r="O261" s="1">
        <f ca="1">IF(N261=1,O$3*L260/Prices!C260,O$3*M260*N261)</f>
        <v>7.5342341147434464E-4</v>
      </c>
      <c r="P261" s="14"/>
      <c r="Q261" s="9">
        <f ca="1">Q260-T261*Prices!C261</f>
        <v>1.0398143173039913</v>
      </c>
      <c r="R261" s="1">
        <f t="shared" ca="1" si="29"/>
        <v>9.7421215423081318E-3</v>
      </c>
      <c r="S261" s="9">
        <f ca="1">IF(Prices!C260&lt;OFFSET(Prices!C260,-S$3,0),1,IF(Prices!C260&gt;OFFSET(Prices!C260,-S$3,0),-1,0))</f>
        <v>1</v>
      </c>
      <c r="T261" s="1">
        <f ca="1">IF(S261=1,T$3*Q260/Prices!C260,T$3*R260*S261)</f>
        <v>1.7674869111288123E-4</v>
      </c>
      <c r="V261" s="9"/>
      <c r="W261" s="1"/>
      <c r="X261" s="1"/>
      <c r="Y261" s="1"/>
      <c r="Z261" s="1"/>
      <c r="AA261" s="1"/>
      <c r="AB261" s="1"/>
      <c r="AC261" s="1"/>
      <c r="AD261" s="1"/>
      <c r="AE261" s="16"/>
    </row>
    <row r="262" spans="1:31" x14ac:dyDescent="0.2">
      <c r="A262" s="4">
        <v>33872</v>
      </c>
      <c r="B262" s="9">
        <f ca="1">Prices!C261*(1+J262/(50*(ABS(O262)+ABS(T262)+0.0001)))</f>
        <v>118.81599375782667</v>
      </c>
      <c r="C262" s="13">
        <f t="shared" ca="1" si="24"/>
        <v>-1</v>
      </c>
      <c r="D262" s="9">
        <f ca="1">D261+C262*(Prices!C262-Prices!C261)/Prices!C261</f>
        <v>7.7864281754057463E-2</v>
      </c>
      <c r="E262" s="9">
        <f t="shared" ca="1" si="25"/>
        <v>3.7490712323684339E-2</v>
      </c>
      <c r="F262" s="9">
        <f t="shared" ca="1" si="26"/>
        <v>0.1153549940777418</v>
      </c>
      <c r="G262" s="13">
        <f ca="1">IF((Prices!C262-Prices!C261)*C262&gt;0,1,0)</f>
        <v>0</v>
      </c>
      <c r="H262" s="9">
        <f>ABS(Prices!C262-Prices!C261)/Prices!C261</f>
        <v>1.8258776661963555E-3</v>
      </c>
      <c r="I262" s="13"/>
      <c r="J262" s="1">
        <f t="shared" ca="1" si="27"/>
        <v>-1.0128647846651424E-3</v>
      </c>
      <c r="K262" s="9"/>
      <c r="L262" s="9">
        <f ca="1">L261-O262*Prices!C262</f>
        <v>0.95695266928648992</v>
      </c>
      <c r="M262" s="1">
        <f t="shared" ca="1" si="28"/>
        <v>1.0669161575678026E-2</v>
      </c>
      <c r="N262" s="9">
        <f ca="1">IF(Prices!D261&gt;OFFSET(Prices!D261,-$N$3,0),1,IF(Prices!D261&lt;OFFSET(Prices!D261,-$N$3,0),-1,0))</f>
        <v>-1</v>
      </c>
      <c r="O262" s="1">
        <f ca="1">IF(N262=1,O$3*L261/Prices!C261,O$3*M261*N262)</f>
        <v>-1.1854623972975585E-3</v>
      </c>
      <c r="P262" s="14"/>
      <c r="Q262" s="9">
        <f ca="1">Q261-T262*Prices!C262</f>
        <v>1.0189800594831324</v>
      </c>
      <c r="R262" s="1">
        <f t="shared" ca="1" si="29"/>
        <v>9.9147191549405489E-3</v>
      </c>
      <c r="S262" s="9">
        <f ca="1">IF(Prices!C261&lt;OFFSET(Prices!C261,-S$3,0),1,IF(Prices!C261&gt;OFFSET(Prices!C261,-S$3,0),-1,0))</f>
        <v>1</v>
      </c>
      <c r="T262" s="1">
        <f ca="1">IF(S262=1,T$3*Q261/Prices!C261,T$3*R261*S262)</f>
        <v>1.7259761263241618E-4</v>
      </c>
      <c r="V262" s="9"/>
      <c r="W262" s="1"/>
      <c r="X262" s="1"/>
      <c r="Y262" s="1"/>
      <c r="Z262" s="1"/>
      <c r="AA262" s="1"/>
      <c r="AB262" s="1"/>
      <c r="AC262" s="1"/>
      <c r="AD262" s="1"/>
      <c r="AE262" s="16"/>
    </row>
    <row r="263" spans="1:31" x14ac:dyDescent="0.2">
      <c r="A263" s="4">
        <v>33875</v>
      </c>
      <c r="B263" s="9">
        <f ca="1">Prices!C262*(1+J263/(50*(ABS(O263)+ABS(T263)+0.0001)))</f>
        <v>119.08682094160493</v>
      </c>
      <c r="C263" s="13">
        <f t="shared" ca="1" si="24"/>
        <v>-1</v>
      </c>
      <c r="D263" s="9">
        <f ca="1">D262+C263*(Prices!C263-Prices!C262)/Prices!C262</f>
        <v>8.6148599540487758E-2</v>
      </c>
      <c r="E263" s="9">
        <f t="shared" ca="1" si="25"/>
        <v>2.9206394537254043E-2</v>
      </c>
      <c r="F263" s="9">
        <f t="shared" ca="1" si="26"/>
        <v>0.1153549940777418</v>
      </c>
      <c r="G263" s="13">
        <f ca="1">IF((Prices!C263-Prices!C262)*C263&gt;0,1,0)</f>
        <v>1</v>
      </c>
      <c r="H263" s="9">
        <f>ABS(Prices!C263-Prices!C262)/Prices!C262</f>
        <v>8.2843177864302883E-3</v>
      </c>
      <c r="I263" s="13"/>
      <c r="J263" s="1">
        <f t="shared" ca="1" si="27"/>
        <v>-8.9808506495192445E-4</v>
      </c>
      <c r="K263" s="9"/>
      <c r="L263" s="9">
        <f ca="1">L262-O263*Prices!C263</f>
        <v>1.0846732025089316</v>
      </c>
      <c r="M263" s="1">
        <f t="shared" ca="1" si="28"/>
        <v>9.6022454181102241E-3</v>
      </c>
      <c r="N263" s="9">
        <f ca="1">IF(Prices!D262&gt;OFFSET(Prices!D262,-$N$3,0),1,IF(Prices!D262&lt;OFFSET(Prices!D262,-$N$3,0),-1,0))</f>
        <v>-1</v>
      </c>
      <c r="O263" s="1">
        <f ca="1">IF(N263=1,O$3*L262/Prices!C262,O$3*M262*N263)</f>
        <v>-1.0669161575678026E-3</v>
      </c>
      <c r="P263" s="14"/>
      <c r="Q263" s="9">
        <f ca="1">Q262-T263*Prices!C263</f>
        <v>0.99876928938608567</v>
      </c>
      <c r="R263" s="1">
        <f t="shared" ca="1" si="29"/>
        <v>1.0083550247556427E-2</v>
      </c>
      <c r="S263" s="9">
        <f ca="1">IF(Prices!C262&lt;OFFSET(Prices!C262,-S$3,0),1,IF(Prices!C262&gt;OFFSET(Prices!C262,-S$3,0),-1,0))</f>
        <v>1</v>
      </c>
      <c r="T263" s="1">
        <f ca="1">IF(S263=1,T$3*Q262/Prices!C262,T$3*R262*S263)</f>
        <v>1.6883109261587811E-4</v>
      </c>
      <c r="V263" s="9"/>
      <c r="W263" s="1"/>
      <c r="X263" s="1"/>
      <c r="Y263" s="1"/>
      <c r="Z263" s="1"/>
      <c r="AA263" s="1"/>
      <c r="AB263" s="1"/>
      <c r="AC263" s="1"/>
      <c r="AD263" s="1"/>
      <c r="AE263" s="16"/>
    </row>
    <row r="264" spans="1:31" x14ac:dyDescent="0.2">
      <c r="A264" s="4">
        <v>33876</v>
      </c>
      <c r="B264" s="9">
        <f ca="1">Prices!C263*(1+J264/(50*(ABS(O264)+ABS(T264)+0.0001)))</f>
        <v>118.16205902289892</v>
      </c>
      <c r="C264" s="13">
        <f t="shared" ca="1" si="24"/>
        <v>-1</v>
      </c>
      <c r="D264" s="9">
        <f ca="1">D263+C264*(Prices!C264-Prices!C263)/Prices!C263</f>
        <v>8.9490007944129826E-2</v>
      </c>
      <c r="E264" s="9">
        <f t="shared" ca="1" si="25"/>
        <v>2.5864986133611975E-2</v>
      </c>
      <c r="F264" s="9">
        <f t="shared" ca="1" si="26"/>
        <v>0.1153549940777418</v>
      </c>
      <c r="G264" s="13">
        <f ca="1">IF((Prices!C264-Prices!C263)*C264&gt;0,1,0)</f>
        <v>1</v>
      </c>
      <c r="H264" s="9">
        <f>ABS(Prices!C264-Prices!C263)/Prices!C263</f>
        <v>3.3414084036420639E-3</v>
      </c>
      <c r="I264" s="13"/>
      <c r="J264" s="1">
        <f t="shared" ca="1" si="27"/>
        <v>-7.9335973696830495E-4</v>
      </c>
      <c r="K264" s="9"/>
      <c r="L264" s="9">
        <f ca="1">L263-O264*Prices!C264</f>
        <v>1.1992375925924048</v>
      </c>
      <c r="M264" s="1">
        <f t="shared" ca="1" si="28"/>
        <v>8.6420208762992019E-3</v>
      </c>
      <c r="N264" s="9">
        <f ca="1">IF(Prices!D263&gt;OFFSET(Prices!D263,-$N$3,0),1,IF(Prices!D263&lt;OFFSET(Prices!D263,-$N$3,0),-1,0))</f>
        <v>-1</v>
      </c>
      <c r="O264" s="1">
        <f ca="1">IF(N264=1,O$3*L263/Prices!C263,O$3*M263*N264)</f>
        <v>-9.6022454181102245E-4</v>
      </c>
      <c r="P264" s="14"/>
      <c r="Q264" s="9">
        <f ca="1">Q263-T264*Prices!C264</f>
        <v>0.97886064952030105</v>
      </c>
      <c r="R264" s="1">
        <f t="shared" ca="1" si="29"/>
        <v>1.0250415052399145E-2</v>
      </c>
      <c r="S264" s="9">
        <f ca="1">IF(Prices!C263&lt;OFFSET(Prices!C263,-S$3,0),1,IF(Prices!C263&gt;OFFSET(Prices!C263,-S$3,0),-1,0))</f>
        <v>1</v>
      </c>
      <c r="T264" s="1">
        <f ca="1">IF(S264=1,T$3*Q263/Prices!C263,T$3*R263*S264)</f>
        <v>1.668648048427175E-4</v>
      </c>
      <c r="V264" s="9"/>
      <c r="W264" s="1"/>
      <c r="X264" s="1"/>
      <c r="Y264" s="1"/>
      <c r="Z264" s="1"/>
      <c r="AA264" s="1"/>
      <c r="AB264" s="1"/>
      <c r="AC264" s="1"/>
      <c r="AD264" s="1"/>
      <c r="AE264" s="16"/>
    </row>
    <row r="265" spans="1:31" x14ac:dyDescent="0.2">
      <c r="A265" s="4">
        <v>33877</v>
      </c>
      <c r="B265" s="9">
        <f ca="1">Prices!C264*(1+J265/(50*(ABS(O265)+ABS(T265)+0.0001)))</f>
        <v>117.82933793685632</v>
      </c>
      <c r="C265" s="13">
        <f t="shared" ca="1" si="24"/>
        <v>-1</v>
      </c>
      <c r="D265" s="9">
        <f ca="1">D264+C265*(Prices!C265-Prices!C264)/Prices!C264</f>
        <v>8.3120047337307337E-2</v>
      </c>
      <c r="E265" s="9">
        <f t="shared" ca="1" si="25"/>
        <v>3.2234946740434464E-2</v>
      </c>
      <c r="F265" s="9">
        <f t="shared" ca="1" si="26"/>
        <v>0.1153549940777418</v>
      </c>
      <c r="G265" s="13">
        <f ca="1">IF((Prices!C265-Prices!C264)*C265&gt;0,1,0)</f>
        <v>0</v>
      </c>
      <c r="H265" s="9">
        <f>ABS(Prices!C265-Prices!C264)/Prices!C264</f>
        <v>6.3699606068224864E-3</v>
      </c>
      <c r="I265" s="13"/>
      <c r="J265" s="1">
        <f t="shared" ca="1" si="27"/>
        <v>-7.0011514612957639E-4</v>
      </c>
      <c r="K265" s="9"/>
      <c r="L265" s="9">
        <f ca="1">L264-O265*Prices!C265</f>
        <v>1.3030023372541293</v>
      </c>
      <c r="M265" s="1">
        <f t="shared" ca="1" si="28"/>
        <v>7.7778187886692815E-3</v>
      </c>
      <c r="N265" s="9">
        <f ca="1">IF(Prices!D264&gt;OFFSET(Prices!D264,-$N$3,0),1,IF(Prices!D264&lt;OFFSET(Prices!D264,-$N$3,0),-1,0))</f>
        <v>-1</v>
      </c>
      <c r="O265" s="1">
        <f ca="1">IF(N265=1,O$3*L264/Prices!C264,O$3*M264*N265)</f>
        <v>-8.6420208762992025E-4</v>
      </c>
      <c r="P265" s="14"/>
      <c r="Q265" s="9">
        <f ca="1">Q264-T265*Prices!C265</f>
        <v>0.95915873045435474</v>
      </c>
      <c r="R265" s="1">
        <f t="shared" ca="1" si="29"/>
        <v>1.0414501993899488E-2</v>
      </c>
      <c r="S265" s="9">
        <f ca="1">IF(Prices!C264&lt;OFFSET(Prices!C264,-S$3,0),1,IF(Prices!C264&gt;OFFSET(Prices!C264,-S$3,0),-1,0))</f>
        <v>1</v>
      </c>
      <c r="T265" s="1">
        <f ca="1">IF(S265=1,T$3*Q264/Prices!C264,T$3*R264*S265)</f>
        <v>1.6408694150034381E-4</v>
      </c>
      <c r="V265" s="9"/>
      <c r="W265" s="1"/>
      <c r="X265" s="1"/>
      <c r="Y265" s="1"/>
      <c r="Z265" s="1"/>
      <c r="AA265" s="1"/>
      <c r="AB265" s="1"/>
      <c r="AC265" s="1"/>
      <c r="AD265" s="1"/>
      <c r="AE265" s="16"/>
    </row>
    <row r="266" spans="1:31" x14ac:dyDescent="0.2">
      <c r="A266" s="4">
        <v>33878</v>
      </c>
      <c r="B266" s="9">
        <f ca="1">Prices!C265*(1+J266/(50*(ABS(O266)+ABS(T266)+0.0001)))</f>
        <v>121.54695471678572</v>
      </c>
      <c r="C266" s="13">
        <f t="shared" ca="1" si="24"/>
        <v>1</v>
      </c>
      <c r="D266" s="9">
        <f ca="1">D265+C266*(Prices!C266-Prices!C265)/Prices!C265</f>
        <v>8.1454352326063989E-2</v>
      </c>
      <c r="E266" s="9">
        <f t="shared" ca="1" si="25"/>
        <v>3.3900641751677812E-2</v>
      </c>
      <c r="F266" s="9">
        <f t="shared" ca="1" si="26"/>
        <v>0.1153549940777418</v>
      </c>
      <c r="G266" s="13">
        <f ca="1">IF((Prices!C266-Prices!C265)*C266&gt;0,1,0)</f>
        <v>0</v>
      </c>
      <c r="H266" s="9">
        <f>ABS(Prices!C266-Prices!C265)/Prices!C265</f>
        <v>1.6656950112433468E-3</v>
      </c>
      <c r="I266" s="13"/>
      <c r="J266" s="1">
        <f t="shared" ca="1" si="27"/>
        <v>1.5976659123084113E-4</v>
      </c>
      <c r="K266" s="9"/>
      <c r="L266" s="9">
        <f ca="1">L265-O266*Prices!C266</f>
        <v>1.3030023372541293</v>
      </c>
      <c r="M266" s="1">
        <f t="shared" ca="1" si="28"/>
        <v>7.7778187886692815E-3</v>
      </c>
      <c r="N266" s="9">
        <f ca="1">IF(Prices!D265&gt;OFFSET(Prices!D265,-$N$3,0),1,IF(Prices!D265&lt;OFFSET(Prices!D265,-$N$3,0),-1,0))</f>
        <v>0</v>
      </c>
      <c r="O266" s="1">
        <f ca="1">IF(N266=1,O$3*L265/Prices!C265,O$3*M265*N266)</f>
        <v>0</v>
      </c>
      <c r="P266" s="14"/>
      <c r="Q266" s="9">
        <f ca="1">Q265-T266*Prices!C266</f>
        <v>0.94000750916351383</v>
      </c>
      <c r="R266" s="1">
        <f t="shared" ca="1" si="29"/>
        <v>1.0574268585130329E-2</v>
      </c>
      <c r="S266" s="9">
        <f ca="1">IF(Prices!C265&lt;OFFSET(Prices!C265,-S$3,0),1,IF(Prices!C265&gt;OFFSET(Prices!C265,-S$3,0),-1,0))</f>
        <v>1</v>
      </c>
      <c r="T266" s="1">
        <f ca="1">IF(S266=1,T$3*Q265/Prices!C265,T$3*R265*S266)</f>
        <v>1.5976659123084113E-4</v>
      </c>
      <c r="V266" s="9"/>
      <c r="W266" s="1"/>
      <c r="X266" s="1"/>
      <c r="Y266" s="1"/>
      <c r="Z266" s="1"/>
      <c r="AA266" s="1"/>
      <c r="AB266" s="1"/>
      <c r="AC266" s="1"/>
      <c r="AD266" s="1"/>
      <c r="AE266" s="16"/>
    </row>
    <row r="267" spans="1:31" x14ac:dyDescent="0.2">
      <c r="A267" s="4">
        <v>33879</v>
      </c>
      <c r="B267" s="9">
        <f ca="1">Prices!C266*(1+J267/(50*(ABS(O267)+ABS(T267)+0.0001)))</f>
        <v>118.43116091162801</v>
      </c>
      <c r="C267" s="13">
        <f t="shared" ca="1" si="24"/>
        <v>-1</v>
      </c>
      <c r="D267" s="9">
        <f ca="1">D266+C267*(Prices!C267-Prices!C266)/Prices!C266</f>
        <v>8.5792385195005427E-2</v>
      </c>
      <c r="E267" s="9">
        <f t="shared" ca="1" si="25"/>
        <v>2.9562608882736374E-2</v>
      </c>
      <c r="F267" s="9">
        <f t="shared" ca="1" si="26"/>
        <v>0.1153549940777418</v>
      </c>
      <c r="G267" s="13">
        <f ca="1">IF((Prices!C267-Prices!C266)*C267&gt;0,1,0)</f>
        <v>1</v>
      </c>
      <c r="H267" s="9">
        <f>ABS(Prices!C267-Prices!C266)/Prices!C266</f>
        <v>4.3380328689414382E-3</v>
      </c>
      <c r="I267" s="13"/>
      <c r="J267" s="1">
        <f t="shared" ca="1" si="27"/>
        <v>-6.2094405302835082E-4</v>
      </c>
      <c r="K267" s="9"/>
      <c r="L267" s="9">
        <f ca="1">L266-O267*Prices!C267</f>
        <v>1.3958306044968971</v>
      </c>
      <c r="M267" s="1">
        <f t="shared" ca="1" si="28"/>
        <v>7.0000369098023535E-3</v>
      </c>
      <c r="N267" s="9">
        <f ca="1">IF(Prices!D266&gt;OFFSET(Prices!D266,-$N$3,0),1,IF(Prices!D266&lt;OFFSET(Prices!D266,-$N$3,0),-1,0))</f>
        <v>-1</v>
      </c>
      <c r="O267" s="1">
        <f ca="1">IF(N267=1,O$3*L266/Prices!C266,O$3*M266*N267)</f>
        <v>-7.7778187886692819E-4</v>
      </c>
      <c r="P267" s="14"/>
      <c r="Q267" s="9">
        <f ca="1">Q266-T267*Prices!C267</f>
        <v>0.92128891464967966</v>
      </c>
      <c r="R267" s="1">
        <f t="shared" ca="1" si="29"/>
        <v>1.0731106410968907E-2</v>
      </c>
      <c r="S267" s="9">
        <f ca="1">IF(Prices!C266&lt;OFFSET(Prices!C266,-S$3,0),1,IF(Prices!C266&gt;OFFSET(Prices!C266,-S$3,0),-1,0))</f>
        <v>1</v>
      </c>
      <c r="T267" s="1">
        <f ca="1">IF(S267=1,T$3*Q266/Prices!C266,T$3*R266*S267)</f>
        <v>1.568378258385774E-4</v>
      </c>
      <c r="V267" s="9"/>
      <c r="W267" s="1"/>
      <c r="X267" s="1"/>
      <c r="Y267" s="1"/>
      <c r="Z267" s="1"/>
      <c r="AA267" s="1"/>
      <c r="AB267" s="1"/>
      <c r="AC267" s="1"/>
      <c r="AD267" s="1"/>
      <c r="AE267" s="16"/>
    </row>
    <row r="268" spans="1:31" x14ac:dyDescent="0.2">
      <c r="A268" s="4">
        <v>33882</v>
      </c>
      <c r="B268" s="9">
        <f ca="1">Prices!C267*(1+J268/(50*(ABS(O268)+ABS(T268)+0.0001)))</f>
        <v>117.98536306134858</v>
      </c>
      <c r="C268" s="13">
        <f t="shared" ca="1" si="24"/>
        <v>-1</v>
      </c>
      <c r="D268" s="9">
        <f ca="1">D267+C268*(Prices!C268-Prices!C267)/Prices!C267</f>
        <v>8.2189536430866281E-2</v>
      </c>
      <c r="E268" s="9">
        <f t="shared" ca="1" si="25"/>
        <v>3.3165457646875521E-2</v>
      </c>
      <c r="F268" s="9">
        <f t="shared" ca="1" si="26"/>
        <v>0.1153549940777418</v>
      </c>
      <c r="G268" s="13">
        <f ca="1">IF((Prices!C268-Prices!C267)*C268&gt;0,1,0)</f>
        <v>0</v>
      </c>
      <c r="H268" s="9">
        <f>ABS(Prices!C268-Prices!C267)/Prices!C267</f>
        <v>3.602848764139144E-3</v>
      </c>
      <c r="I268" s="13"/>
      <c r="J268" s="1">
        <f t="shared" ca="1" si="27"/>
        <v>-5.4561928969834518E-4</v>
      </c>
      <c r="K268" s="9"/>
      <c r="L268" s="9">
        <f ca="1">L267-O268*Prices!C268</f>
        <v>1.4796770466025098</v>
      </c>
      <c r="M268" s="1">
        <f t="shared" ca="1" si="28"/>
        <v>6.3000332188221184E-3</v>
      </c>
      <c r="N268" s="9">
        <f ca="1">IF(Prices!D267&gt;OFFSET(Prices!D267,-$N$3,0),1,IF(Prices!D267&lt;OFFSET(Prices!D267,-$N$3,0),-1,0))</f>
        <v>-1</v>
      </c>
      <c r="O268" s="1">
        <f ca="1">IF(N268=1,O$3*L267/Prices!C267,O$3*M267*N268)</f>
        <v>-7.0000369098023542E-4</v>
      </c>
      <c r="P268" s="14"/>
      <c r="Q268" s="9">
        <f ca="1">Q267-T268*Prices!C268</f>
        <v>0.90279675106413482</v>
      </c>
      <c r="R268" s="1">
        <f t="shared" ca="1" si="29"/>
        <v>1.0885490812250797E-2</v>
      </c>
      <c r="S268" s="9">
        <f ca="1">IF(Prices!C267&lt;OFFSET(Prices!C267,-S$3,0),1,IF(Prices!C267&gt;OFFSET(Prices!C267,-S$3,0),-1,0))</f>
        <v>1</v>
      </c>
      <c r="T268" s="1">
        <f ca="1">IF(S268=1,T$3*Q267/Prices!C267,T$3*R267*S268)</f>
        <v>1.5438440128189021E-4</v>
      </c>
      <c r="V268" s="9"/>
      <c r="W268" s="1"/>
      <c r="X268" s="1"/>
      <c r="Y268" s="1"/>
      <c r="Z268" s="1"/>
      <c r="AA268" s="1"/>
      <c r="AB268" s="1"/>
      <c r="AC268" s="1"/>
      <c r="AD268" s="1"/>
      <c r="AE268" s="16"/>
    </row>
    <row r="269" spans="1:31" x14ac:dyDescent="0.2">
      <c r="A269" s="4">
        <v>33883</v>
      </c>
      <c r="B269" s="9">
        <f ca="1">Prices!C268*(1+J269/(50*(ABS(O269)+ABS(T269)+0.0001)))</f>
        <v>121.34970223196986</v>
      </c>
      <c r="C269" s="13">
        <f t="shared" ca="1" si="24"/>
        <v>1</v>
      </c>
      <c r="D269" s="9">
        <f ca="1">D268+C269*(Prices!C269-Prices!C268)/Prices!C268</f>
        <v>8.1855590863993632E-2</v>
      </c>
      <c r="E269" s="9">
        <f t="shared" ca="1" si="25"/>
        <v>3.3499403213748169E-2</v>
      </c>
      <c r="F269" s="9">
        <f t="shared" ca="1" si="26"/>
        <v>0.1153549940777418</v>
      </c>
      <c r="G269" s="13">
        <f ca="1">IF((Prices!C269-Prices!C268)*C269&gt;0,1,0)</f>
        <v>0</v>
      </c>
      <c r="H269" s="9">
        <f>ABS(Prices!C269-Prices!C268)/Prices!C268</f>
        <v>3.3394556687265194E-4</v>
      </c>
      <c r="I269" s="13"/>
      <c r="J269" s="1">
        <f t="shared" ca="1" si="27"/>
        <v>1.0176191590451074E-3</v>
      </c>
      <c r="K269" s="9"/>
      <c r="L269" s="9">
        <f ca="1">L268-O269*Prices!C269</f>
        <v>1.3317587551012704</v>
      </c>
      <c r="M269" s="1">
        <f t="shared" ca="1" si="28"/>
        <v>7.5353621941122422E-3</v>
      </c>
      <c r="N269" s="9">
        <f ca="1">IF(Prices!D268&gt;OFFSET(Prices!D268,-$N$3,0),1,IF(Prices!D268&lt;OFFSET(Prices!D268,-$N$3,0),-1,0))</f>
        <v>1</v>
      </c>
      <c r="O269" s="1">
        <f ca="1">IF(N269=1,O$3*L268/Prices!C268,O$3*M268*N269)</f>
        <v>1.2353289752901233E-3</v>
      </c>
      <c r="P269" s="14"/>
      <c r="Q269" s="9">
        <f ca="1">Q268-T269*Prices!C269</f>
        <v>0.92886532446131298</v>
      </c>
      <c r="R269" s="1">
        <f t="shared" ca="1" si="29"/>
        <v>1.0667780996005781E-2</v>
      </c>
      <c r="S269" s="9">
        <f ca="1">IF(Prices!C268&lt;OFFSET(Prices!C268,-S$3,0),1,IF(Prices!C268&gt;OFFSET(Prices!C268,-S$3,0),-1,0))</f>
        <v>-1</v>
      </c>
      <c r="T269" s="1">
        <f ca="1">IF(S269=1,T$3*Q268/Prices!C268,T$3*R268*S269)</f>
        <v>-2.1770981624501595E-4</v>
      </c>
      <c r="V269" s="9"/>
      <c r="W269" s="1"/>
      <c r="X269" s="1"/>
      <c r="Y269" s="1"/>
      <c r="Z269" s="1"/>
      <c r="AA269" s="1"/>
      <c r="AB269" s="1"/>
      <c r="AC269" s="1"/>
      <c r="AD269" s="1"/>
      <c r="AE269" s="16"/>
    </row>
    <row r="270" spans="1:31" x14ac:dyDescent="0.2">
      <c r="A270" s="4">
        <v>33884</v>
      </c>
      <c r="B270" s="9">
        <f ca="1">Prices!C269*(1+J270/(50*(ABS(O270)+ABS(T270)+0.0001)))</f>
        <v>121.95965904386901</v>
      </c>
      <c r="C270" s="13">
        <f t="shared" ca="1" si="24"/>
        <v>1</v>
      </c>
      <c r="D270" s="9">
        <f ca="1">D269+C270*(Prices!C270-Prices!C269)/Prices!C269</f>
        <v>8.7785104810878617E-2</v>
      </c>
      <c r="E270" s="9">
        <f t="shared" ca="1" si="25"/>
        <v>2.7569889266863185E-2</v>
      </c>
      <c r="F270" s="9">
        <f t="shared" ca="1" si="26"/>
        <v>0.1153549940777418</v>
      </c>
      <c r="G270" s="13">
        <f ca="1">IF((Prices!C270-Prices!C269)*C270&gt;0,1,0)</f>
        <v>1</v>
      </c>
      <c r="H270" s="9">
        <f>ABS(Prices!C270-Prices!C269)/Prices!C269</f>
        <v>5.9295139468849845E-3</v>
      </c>
      <c r="I270" s="13"/>
      <c r="J270" s="1">
        <f t="shared" ca="1" si="27"/>
        <v>1.2673557875342684E-3</v>
      </c>
      <c r="K270" s="9"/>
      <c r="L270" s="9">
        <f ca="1">L269-O270*Prices!C270</f>
        <v>1.1977932113799175</v>
      </c>
      <c r="M270" s="1">
        <f t="shared" ca="1" si="28"/>
        <v>8.6475709423177467E-3</v>
      </c>
      <c r="N270" s="9">
        <f ca="1">IF(Prices!D269&gt;OFFSET(Prices!D269,-$N$3,0),1,IF(Prices!D269&lt;OFFSET(Prices!D269,-$N$3,0),-1,0))</f>
        <v>1</v>
      </c>
      <c r="O270" s="1">
        <f ca="1">IF(N270=1,O$3*L269/Prices!C269,O$3*M269*N270)</f>
        <v>1.112208748205504E-3</v>
      </c>
      <c r="P270" s="14"/>
      <c r="Q270" s="9">
        <f ca="1">Q269-T270*Prices!C270</f>
        <v>0.9101778635741633</v>
      </c>
      <c r="R270" s="1">
        <f t="shared" ca="1" si="29"/>
        <v>1.0822928035334545E-2</v>
      </c>
      <c r="S270" s="9">
        <f ca="1">IF(Prices!C269&lt;OFFSET(Prices!C269,-S$3,0),1,IF(Prices!C269&gt;OFFSET(Prices!C269,-S$3,0),-1,0))</f>
        <v>1</v>
      </c>
      <c r="T270" s="1">
        <f ca="1">IF(S270=1,T$3*Q269/Prices!C269,T$3*R269*S270)</f>
        <v>1.5514703932876449E-4</v>
      </c>
      <c r="V270" s="9"/>
      <c r="W270" s="1"/>
      <c r="X270" s="1"/>
      <c r="Y270" s="1"/>
      <c r="Z270" s="1"/>
      <c r="AA270" s="1"/>
      <c r="AB270" s="1"/>
      <c r="AC270" s="1"/>
      <c r="AD270" s="1"/>
      <c r="AE270" s="16"/>
    </row>
    <row r="271" spans="1:31" x14ac:dyDescent="0.2">
      <c r="A271" s="4">
        <v>33885</v>
      </c>
      <c r="B271" s="9">
        <f ca="1">Prices!C270*(1+J271/(50*(ABS(O271)+ABS(T271)+0.0001)))</f>
        <v>121.87966771110092</v>
      </c>
      <c r="C271" s="13">
        <f t="shared" ca="1" si="24"/>
        <v>1</v>
      </c>
      <c r="D271" s="9">
        <f ca="1">D270+C271*(Prices!C271-Prices!C270)/Prices!C270</f>
        <v>0.10106862494371377</v>
      </c>
      <c r="E271" s="9">
        <f t="shared" ca="1" si="25"/>
        <v>1.4286369134028032E-2</v>
      </c>
      <c r="F271" s="9">
        <f t="shared" ca="1" si="26"/>
        <v>0.1153549940777418</v>
      </c>
      <c r="G271" s="13">
        <f ca="1">IF((Prices!C271-Prices!C270)*C271&gt;0,1,0)</f>
        <v>1</v>
      </c>
      <c r="H271" s="9">
        <f>ABS(Prices!C271-Prices!C270)/Prices!C270</f>
        <v>1.3283520132835154E-2</v>
      </c>
      <c r="I271" s="13"/>
      <c r="J271" s="1">
        <f t="shared" ca="1" si="27"/>
        <v>7.7797332918946307E-4</v>
      </c>
      <c r="K271" s="9"/>
      <c r="L271" s="9">
        <f ca="1">L270-O271*Prices!C271</f>
        <v>1.0764227992180919</v>
      </c>
      <c r="M271" s="1">
        <f t="shared" ca="1" si="28"/>
        <v>9.6420028322139004E-3</v>
      </c>
      <c r="N271" s="9">
        <f ca="1">IF(Prices!D270&gt;OFFSET(Prices!D270,-$N$3,0),1,IF(Prices!D270&lt;OFFSET(Prices!D270,-$N$3,0),-1,0))</f>
        <v>1</v>
      </c>
      <c r="O271" s="1">
        <f ca="1">IF(N271=1,O$3*L270/Prices!C270,O$3*M270*N271)</f>
        <v>9.9443188989615399E-4</v>
      </c>
      <c r="P271" s="14"/>
      <c r="Q271" s="9">
        <f ca="1">Q270-T271*Prices!C271</f>
        <v>0.93659663090841494</v>
      </c>
      <c r="R271" s="1">
        <f t="shared" ca="1" si="29"/>
        <v>1.0606469474627855E-2</v>
      </c>
      <c r="S271" s="9">
        <f ca="1">IF(Prices!C270&lt;OFFSET(Prices!C270,-S$3,0),1,IF(Prices!C270&gt;OFFSET(Prices!C270,-S$3,0),-1,0))</f>
        <v>-1</v>
      </c>
      <c r="T271" s="1">
        <f ca="1">IF(S271=1,T$3*Q270/Prices!C270,T$3*R270*S271)</f>
        <v>-2.164585607066909E-4</v>
      </c>
      <c r="V271" s="9"/>
      <c r="W271" s="1"/>
      <c r="X271" s="1"/>
      <c r="Y271" s="1"/>
      <c r="Z271" s="1"/>
      <c r="AA271" s="1"/>
      <c r="AB271" s="1"/>
      <c r="AC271" s="1"/>
      <c r="AD271" s="1"/>
      <c r="AE271" s="16"/>
    </row>
    <row r="272" spans="1:31" x14ac:dyDescent="0.2">
      <c r="A272" s="4">
        <v>33886</v>
      </c>
      <c r="B272" s="9">
        <f ca="1">Prices!C271*(1+J272/(50*(ABS(O272)+ABS(T272)+0.0001)))</f>
        <v>123.41928465943641</v>
      </c>
      <c r="C272" s="13">
        <f t="shared" ca="1" si="24"/>
        <v>1</v>
      </c>
      <c r="D272" s="9">
        <f ca="1">D271+C272*(Prices!C272-Prices!C271)/Prices!C271</f>
        <v>9.9348018634824023E-2</v>
      </c>
      <c r="E272" s="9">
        <f t="shared" ca="1" si="25"/>
        <v>1.6006975442917779E-2</v>
      </c>
      <c r="F272" s="9">
        <f t="shared" ca="1" si="26"/>
        <v>0.1153549940777418</v>
      </c>
      <c r="G272" s="13">
        <f ca="1">IF((Prices!C272-Prices!C271)*C272&gt;0,1,0)</f>
        <v>0</v>
      </c>
      <c r="H272" s="9">
        <f>ABS(Prices!C272-Prices!C271)/Prices!C271</f>
        <v>1.7206063088897482E-3</v>
      </c>
      <c r="I272" s="13"/>
      <c r="J272" s="1">
        <f t="shared" ca="1" si="27"/>
        <v>6.6982292449195091E-4</v>
      </c>
      <c r="K272" s="9"/>
      <c r="L272" s="9">
        <f ca="1">L271-O272*Prices!C272</f>
        <v>0.96896572928221947</v>
      </c>
      <c r="M272" s="1">
        <f t="shared" ca="1" si="28"/>
        <v>1.0523955146198409E-2</v>
      </c>
      <c r="N272" s="9">
        <f ca="1">IF(Prices!D271&gt;OFFSET(Prices!D271,-$N$3,0),1,IF(Prices!D271&lt;OFFSET(Prices!D271,-$N$3,0),-1,0))</f>
        <v>1</v>
      </c>
      <c r="O272" s="1">
        <f ca="1">IF(N272=1,O$3*L271/Prices!C271,O$3*M271*N272)</f>
        <v>8.8195231398450796E-4</v>
      </c>
      <c r="P272" s="14"/>
      <c r="Q272" s="9">
        <f ca="1">Q271-T272*Prices!C272</f>
        <v>0.96244247572418806</v>
      </c>
      <c r="R272" s="1">
        <f t="shared" ca="1" si="29"/>
        <v>1.0394340085135298E-2</v>
      </c>
      <c r="S272" s="9">
        <f ca="1">IF(Prices!C271&lt;OFFSET(Prices!C271,-S$3,0),1,IF(Prices!C271&gt;OFFSET(Prices!C271,-S$3,0),-1,0))</f>
        <v>-1</v>
      </c>
      <c r="T272" s="1">
        <f ca="1">IF(S272=1,T$3*Q271/Prices!C271,T$3*R271*S272)</f>
        <v>-2.121293894925571E-4</v>
      </c>
      <c r="V272" s="9"/>
      <c r="W272" s="1"/>
      <c r="X272" s="1"/>
      <c r="Y272" s="1"/>
      <c r="Z272" s="1"/>
      <c r="AA272" s="1"/>
      <c r="AB272" s="1"/>
      <c r="AC272" s="1"/>
      <c r="AD272" s="1"/>
      <c r="AE272" s="16"/>
    </row>
    <row r="273" spans="1:31" x14ac:dyDescent="0.2">
      <c r="A273" s="4">
        <v>33889</v>
      </c>
      <c r="B273" s="9">
        <f ca="1">Prices!C272*(1+J273/(50*(ABS(O273)+ABS(T273)+0.0001)))</f>
        <v>123.13749784247018</v>
      </c>
      <c r="C273" s="13">
        <f t="shared" ca="1" si="24"/>
        <v>1</v>
      </c>
      <c r="D273" s="9">
        <f ca="1">D272+C273*(Prices!C273-Prices!C272)/Prices!C272</f>
        <v>9.0401859737910012E-2</v>
      </c>
      <c r="E273" s="9">
        <f t="shared" ca="1" si="25"/>
        <v>2.495313433983179E-2</v>
      </c>
      <c r="F273" s="9">
        <f t="shared" ca="1" si="26"/>
        <v>0.1153549940777418</v>
      </c>
      <c r="G273" s="13">
        <f ca="1">IF((Prices!C273-Prices!C272)*C273&gt;0,1,0)</f>
        <v>0</v>
      </c>
      <c r="H273" s="9">
        <f>ABS(Prices!C273-Prices!C272)/Prices!C272</f>
        <v>8.9461588969140127E-3</v>
      </c>
      <c r="I273" s="13"/>
      <c r="J273" s="1">
        <f t="shared" ca="1" si="27"/>
        <v>5.8739038910673232E-4</v>
      </c>
      <c r="K273" s="9"/>
      <c r="L273" s="9">
        <f ca="1">L272-O273*Prices!C273</f>
        <v>0.87293600849197983</v>
      </c>
      <c r="M273" s="1">
        <f t="shared" ca="1" si="28"/>
        <v>1.1319232337007847E-2</v>
      </c>
      <c r="N273" s="9">
        <f ca="1">IF(Prices!D272&gt;OFFSET(Prices!D272,-$N$3,0),1,IF(Prices!D272&lt;OFFSET(Prices!D272,-$N$3,0),-1,0))</f>
        <v>1</v>
      </c>
      <c r="O273" s="1">
        <f ca="1">IF(N273=1,O$3*L272/Prices!C272,O$3*M272*N273)</f>
        <v>7.9527719080943829E-4</v>
      </c>
      <c r="P273" s="14"/>
      <c r="Q273" s="9">
        <f ca="1">Q272-T273*Prices!C273</f>
        <v>0.98754480702978986</v>
      </c>
      <c r="R273" s="1">
        <f t="shared" ca="1" si="29"/>
        <v>1.0186453283432591E-2</v>
      </c>
      <c r="S273" s="9">
        <f ca="1">IF(Prices!C272&lt;OFFSET(Prices!C272,-S$3,0),1,IF(Prices!C272&gt;OFFSET(Prices!C272,-S$3,0),-1,0))</f>
        <v>-1</v>
      </c>
      <c r="T273" s="1">
        <f ca="1">IF(S273=1,T$3*Q272/Prices!C272,T$3*R272*S273)</f>
        <v>-2.0788680170270597E-4</v>
      </c>
      <c r="V273" s="9"/>
      <c r="W273" s="1"/>
      <c r="X273" s="1"/>
      <c r="Y273" s="1"/>
      <c r="Z273" s="1"/>
      <c r="AA273" s="1"/>
      <c r="AB273" s="1"/>
      <c r="AC273" s="1"/>
      <c r="AD273" s="1"/>
      <c r="AE273" s="16"/>
    </row>
    <row r="274" spans="1:31" x14ac:dyDescent="0.2">
      <c r="A274" s="4">
        <v>33890</v>
      </c>
      <c r="B274" s="9">
        <f ca="1">Prices!C273*(1+J274/(50*(ABS(O274)+ABS(T274)+0.0001)))</f>
        <v>121.97130934632632</v>
      </c>
      <c r="C274" s="13">
        <f t="shared" ref="C274:C337" ca="1" si="30">IF(J274&gt;0,1,IF(J274&lt;0,-1,0))</f>
        <v>1</v>
      </c>
      <c r="D274" s="9">
        <f ca="1">D273+C274*(Prices!C274-Prices!C273)/Prices!C273</f>
        <v>9.5619251042257797E-2</v>
      </c>
      <c r="E274" s="9">
        <f t="shared" ref="E274:E337" ca="1" si="31">F274-D274</f>
        <v>1.9735743035484005E-2</v>
      </c>
      <c r="F274" s="9">
        <f t="shared" ref="F274:F337" ca="1" si="32">MAX(F273,D274)</f>
        <v>0.1153549940777418</v>
      </c>
      <c r="G274" s="13">
        <f ca="1">IF((Prices!C274-Prices!C273)*C274&gt;0,1,0)</f>
        <v>1</v>
      </c>
      <c r="H274" s="9">
        <f>ABS(Prices!C274-Prices!C273)/Prices!C273</f>
        <v>5.2173913043477883E-3</v>
      </c>
      <c r="I274" s="13"/>
      <c r="J274" s="1">
        <f t="shared" ref="J274:J337" ca="1" si="33">O274+T274</f>
        <v>5.1919930575327765E-4</v>
      </c>
      <c r="K274" s="9"/>
      <c r="L274" s="9">
        <f ca="1">L273-O274*Prices!C274</f>
        <v>0.78518696276878597</v>
      </c>
      <c r="M274" s="1">
        <f t="shared" ref="M274:M337" ca="1" si="34">M273+O274</f>
        <v>1.2042160708429776E-2</v>
      </c>
      <c r="N274" s="9">
        <f ca="1">IF(Prices!D273&gt;OFFSET(Prices!D273,-$N$3,0),1,IF(Prices!D273&lt;OFFSET(Prices!D273,-$N$3,0),-1,0))</f>
        <v>1</v>
      </c>
      <c r="O274" s="1">
        <f ca="1">IF(N274=1,O$3*L273/Prices!C273,O$3*M273*N274)</f>
        <v>7.2292837142192952E-4</v>
      </c>
      <c r="P274" s="14"/>
      <c r="Q274" s="9">
        <f ca="1">Q273-T274*Prices!C274</f>
        <v>1.0122734410206509</v>
      </c>
      <c r="R274" s="1">
        <f t="shared" ref="R274:R337" ca="1" si="35">R273+T274</f>
        <v>9.9827242177639389E-3</v>
      </c>
      <c r="S274" s="9">
        <f ca="1">IF(Prices!C273&lt;OFFSET(Prices!C273,-S$3,0),1,IF(Prices!C273&gt;OFFSET(Prices!C273,-S$3,0),-1,0))</f>
        <v>-1</v>
      </c>
      <c r="T274" s="1">
        <f ca="1">IF(S274=1,T$3*Q273/Prices!C273,T$3*R273*S274)</f>
        <v>-2.0372906566865185E-4</v>
      </c>
      <c r="V274" s="9"/>
      <c r="W274" s="1"/>
      <c r="X274" s="1"/>
      <c r="Y274" s="1"/>
      <c r="Z274" s="1"/>
      <c r="AA274" s="1"/>
      <c r="AB274" s="1"/>
      <c r="AC274" s="1"/>
      <c r="AD274" s="1"/>
      <c r="AE274" s="16"/>
    </row>
    <row r="275" spans="1:31" x14ac:dyDescent="0.2">
      <c r="A275" s="4">
        <v>33891</v>
      </c>
      <c r="B275" s="9">
        <f ca="1">Prices!C274*(1+J275/(50*(ABS(O275)+ABS(T275)+0.0001)))</f>
        <v>119.1138234677053</v>
      </c>
      <c r="C275" s="13">
        <f t="shared" ca="1" si="30"/>
        <v>-1</v>
      </c>
      <c r="D275" s="9">
        <f ca="1">D274+C275*(Prices!C275-Prices!C274)/Prices!C274</f>
        <v>9.7596512535090177E-2</v>
      </c>
      <c r="E275" s="9">
        <f t="shared" ca="1" si="31"/>
        <v>1.7758481542651625E-2</v>
      </c>
      <c r="F275" s="9">
        <f t="shared" ca="1" si="32"/>
        <v>0.1153549940777418</v>
      </c>
      <c r="G275" s="13">
        <f ca="1">IF((Prices!C275-Prices!C274)*C275&gt;0,1,0)</f>
        <v>1</v>
      </c>
      <c r="H275" s="9">
        <f>ABS(Prices!C275-Prices!C274)/Prices!C274</f>
        <v>1.9772614928323848E-3</v>
      </c>
      <c r="I275" s="13"/>
      <c r="J275" s="1">
        <f t="shared" ca="1" si="33"/>
        <v>-1.4038705551982565E-3</v>
      </c>
      <c r="K275" s="9"/>
      <c r="L275" s="9">
        <f ca="1">L274-O275*Prices!C275</f>
        <v>0.93106569759070434</v>
      </c>
      <c r="M275" s="1">
        <f t="shared" ca="1" si="34"/>
        <v>1.0837944637586798E-2</v>
      </c>
      <c r="N275" s="9">
        <f ca="1">IF(Prices!D274&gt;OFFSET(Prices!D274,-$N$3,0),1,IF(Prices!D274&lt;OFFSET(Prices!D274,-$N$3,0),-1,0))</f>
        <v>-1</v>
      </c>
      <c r="O275" s="1">
        <f ca="1">IF(N275=1,O$3*L274/Prices!C274,O$3*M274*N275)</f>
        <v>-1.2042160708429777E-3</v>
      </c>
      <c r="P275" s="14"/>
      <c r="Q275" s="9">
        <f ca="1">Q274-T275*Prices!C275</f>
        <v>1.0364595852554492</v>
      </c>
      <c r="R275" s="1">
        <f t="shared" ca="1" si="35"/>
        <v>9.7830697334086603E-3</v>
      </c>
      <c r="S275" s="9">
        <f ca="1">IF(Prices!C274&lt;OFFSET(Prices!C274,-S$3,0),1,IF(Prices!C274&gt;OFFSET(Prices!C274,-S$3,0),-1,0))</f>
        <v>-1</v>
      </c>
      <c r="T275" s="1">
        <f ca="1">IF(S275=1,T$3*Q274/Prices!C274,T$3*R274*S275)</f>
        <v>-1.996544843552788E-4</v>
      </c>
      <c r="V275" s="9"/>
      <c r="W275" s="1"/>
      <c r="X275" s="1"/>
      <c r="Y275" s="1"/>
      <c r="Z275" s="1"/>
      <c r="AA275" s="1"/>
      <c r="AB275" s="1"/>
      <c r="AC275" s="1"/>
      <c r="AD275" s="1"/>
      <c r="AE275" s="16"/>
    </row>
    <row r="276" spans="1:31" x14ac:dyDescent="0.2">
      <c r="A276" s="4">
        <v>33892</v>
      </c>
      <c r="B276" s="9">
        <f ca="1">Prices!C275*(1+J276/(50*(ABS(O276)+ABS(T276)+0.0001)))</f>
        <v>119.50798757953305</v>
      </c>
      <c r="C276" s="13">
        <f t="shared" ca="1" si="30"/>
        <v>-1</v>
      </c>
      <c r="D276" s="9">
        <f ca="1">D275+C276*(Prices!C276-Prices!C275)/Prices!C275</f>
        <v>0.1051084821570152</v>
      </c>
      <c r="E276" s="9">
        <f t="shared" ca="1" si="31"/>
        <v>1.0246511920726606E-2</v>
      </c>
      <c r="F276" s="9">
        <f t="shared" ca="1" si="32"/>
        <v>0.1153549940777418</v>
      </c>
      <c r="G276" s="13">
        <f ca="1">IF((Prices!C276-Prices!C275)*C276&gt;0,1,0)</f>
        <v>1</v>
      </c>
      <c r="H276" s="9">
        <f>ABS(Prices!C276-Prices!C275)/Prices!C275</f>
        <v>7.511969621925017E-3</v>
      </c>
      <c r="I276" s="13"/>
      <c r="J276" s="1">
        <f t="shared" ca="1" si="33"/>
        <v>-9.1267681719182339E-4</v>
      </c>
      <c r="K276" s="9"/>
      <c r="L276" s="9">
        <f ca="1">L275-O276*Prices!C276</f>
        <v>1.0613703059684103</v>
      </c>
      <c r="M276" s="1">
        <f t="shared" ca="1" si="34"/>
        <v>9.7541501738281182E-3</v>
      </c>
      <c r="N276" s="9">
        <f ca="1">IF(Prices!D275&gt;OFFSET(Prices!D275,-$N$3,0),1,IF(Prices!D275&lt;OFFSET(Prices!D275,-$N$3,0),-1,0))</f>
        <v>-1</v>
      </c>
      <c r="O276" s="1">
        <f ca="1">IF(N276=1,O$3*L275/Prices!C275,O$3*M275*N276)</f>
        <v>-1.0837944637586798E-3</v>
      </c>
      <c r="P276" s="14"/>
      <c r="Q276" s="9">
        <f ca="1">Q275-T276*Prices!C276</f>
        <v>1.015886110608716</v>
      </c>
      <c r="R276" s="1">
        <f t="shared" ca="1" si="35"/>
        <v>9.9541873799755161E-3</v>
      </c>
      <c r="S276" s="9">
        <f ca="1">IF(Prices!C275&lt;OFFSET(Prices!C275,-S$3,0),1,IF(Prices!C275&gt;OFFSET(Prices!C275,-S$3,0),-1,0))</f>
        <v>1</v>
      </c>
      <c r="T276" s="1">
        <f ca="1">IF(S276=1,T$3*Q275/Prices!C275,T$3*R275*S276)</f>
        <v>1.7111764656685641E-4</v>
      </c>
      <c r="V276" s="9"/>
      <c r="W276" s="1"/>
      <c r="X276" s="1"/>
      <c r="Y276" s="1"/>
      <c r="Z276" s="1"/>
      <c r="AA276" s="1"/>
      <c r="AB276" s="1"/>
      <c r="AC276" s="1"/>
      <c r="AD276" s="1"/>
      <c r="AE276" s="16"/>
    </row>
    <row r="277" spans="1:31" x14ac:dyDescent="0.2">
      <c r="A277" s="4">
        <v>33893</v>
      </c>
      <c r="B277" s="9">
        <f ca="1">Prices!C276*(1+J277/(50*(ABS(O277)+ABS(T277)+0.0001)))</f>
        <v>122.42582635070579</v>
      </c>
      <c r="C277" s="13">
        <f t="shared" ca="1" si="30"/>
        <v>1</v>
      </c>
      <c r="D277" s="9">
        <f ca="1">D276+C277*(Prices!C277-Prices!C276)/Prices!C276</f>
        <v>9.8288220990916816E-2</v>
      </c>
      <c r="E277" s="9">
        <f t="shared" ca="1" si="31"/>
        <v>1.7066773086824985E-2</v>
      </c>
      <c r="F277" s="9">
        <f t="shared" ca="1" si="32"/>
        <v>0.1153549940777418</v>
      </c>
      <c r="G277" s="13">
        <f ca="1">IF((Prices!C277-Prices!C276)*C277&gt;0,1,0)</f>
        <v>0</v>
      </c>
      <c r="H277" s="9">
        <f>ABS(Prices!C277-Prices!C276)/Prices!C276</f>
        <v>6.8202611660983731E-3</v>
      </c>
      <c r="I277" s="13"/>
      <c r="J277" s="1">
        <f t="shared" ca="1" si="33"/>
        <v>1.0517737071364499E-3</v>
      </c>
      <c r="K277" s="9"/>
      <c r="L277" s="9">
        <f ca="1">L276-O277*Prices!C277</f>
        <v>0.95595715763963396</v>
      </c>
      <c r="M277" s="1">
        <f t="shared" ca="1" si="34"/>
        <v>1.0636933427565463E-2</v>
      </c>
      <c r="N277" s="9">
        <f ca="1">IF(Prices!D276&gt;OFFSET(Prices!D276,-$N$3,0),1,IF(Prices!D276&lt;OFFSET(Prices!D276,-$N$3,0),-1,0))</f>
        <v>1</v>
      </c>
      <c r="O277" s="1">
        <f ca="1">IF(N277=1,O$3*L276/Prices!C276,O$3*M276*N277)</f>
        <v>8.8278325373734542E-4</v>
      </c>
      <c r="P277" s="14"/>
      <c r="Q277" s="9">
        <f ca="1">Q276-T277*Prices!C277</f>
        <v>0.99570696056832897</v>
      </c>
      <c r="R277" s="1">
        <f t="shared" ca="1" si="35"/>
        <v>1.012317783337462E-2</v>
      </c>
      <c r="S277" s="9">
        <f ca="1">IF(Prices!C276&lt;OFFSET(Prices!C276,-S$3,0),1,IF(Prices!C276&gt;OFFSET(Prices!C276,-S$3,0),-1,0))</f>
        <v>1</v>
      </c>
      <c r="T277" s="1">
        <f ca="1">IF(S277=1,T$3*Q276/Prices!C276,T$3*R276*S277)</f>
        <v>1.6899045339910439E-4</v>
      </c>
      <c r="V277" s="9"/>
      <c r="W277" s="1"/>
      <c r="X277" s="1"/>
      <c r="Y277" s="1"/>
      <c r="Z277" s="1"/>
      <c r="AA277" s="1"/>
      <c r="AB277" s="1"/>
      <c r="AC277" s="1"/>
      <c r="AD277" s="1"/>
      <c r="AE277" s="16"/>
    </row>
    <row r="278" spans="1:31" x14ac:dyDescent="0.2">
      <c r="A278" s="4">
        <v>33896</v>
      </c>
      <c r="B278" s="9">
        <f ca="1">Prices!C277*(1+J278/(50*(ABS(O278)+ABS(T278)+0.0001)))</f>
        <v>121.57444711732597</v>
      </c>
      <c r="C278" s="13">
        <f t="shared" ca="1" si="30"/>
        <v>1</v>
      </c>
      <c r="D278" s="9">
        <f ca="1">D277+C278*(Prices!C278-Prices!C277)/Prices!C277</f>
        <v>0.10800265026819675</v>
      </c>
      <c r="E278" s="9">
        <f t="shared" ca="1" si="31"/>
        <v>7.3523438095450533E-3</v>
      </c>
      <c r="F278" s="9">
        <f t="shared" ca="1" si="32"/>
        <v>0.1153549940777418</v>
      </c>
      <c r="G278" s="13">
        <f ca="1">IF((Prices!C278-Prices!C277)*C278&gt;0,1,0)</f>
        <v>1</v>
      </c>
      <c r="H278" s="9">
        <f>ABS(Prices!C278-Prices!C277)/Prices!C277</f>
        <v>9.7144292772799318E-3</v>
      </c>
      <c r="I278" s="13"/>
      <c r="J278" s="1">
        <f t="shared" ca="1" si="33"/>
        <v>9.6733820429888606E-4</v>
      </c>
      <c r="K278" s="9"/>
      <c r="L278" s="9">
        <f ca="1">L277-O278*Prices!C278</f>
        <v>0.85943278405567058</v>
      </c>
      <c r="M278" s="1">
        <f t="shared" ca="1" si="34"/>
        <v>1.1437500513772342E-2</v>
      </c>
      <c r="N278" s="9">
        <f ca="1">IF(Prices!D277&gt;OFFSET(Prices!D277,-$N$3,0),1,IF(Prices!D277&lt;OFFSET(Prices!D277,-$N$3,0),-1,0))</f>
        <v>1</v>
      </c>
      <c r="O278" s="1">
        <f ca="1">IF(N278=1,O$3*L277/Prices!C277,O$3*M277*N278)</f>
        <v>8.0056708620687884E-4</v>
      </c>
      <c r="P278" s="14"/>
      <c r="Q278" s="9">
        <f ca="1">Q277-T278*Prices!C278</f>
        <v>0.97559936685997561</v>
      </c>
      <c r="R278" s="1">
        <f t="shared" ca="1" si="35"/>
        <v>1.0289948951466628E-2</v>
      </c>
      <c r="S278" s="9">
        <f ca="1">IF(Prices!C277&lt;OFFSET(Prices!C277,-S$3,0),1,IF(Prices!C277&gt;OFFSET(Prices!C277,-S$3,0),-1,0))</f>
        <v>1</v>
      </c>
      <c r="T278" s="1">
        <f ca="1">IF(S278=1,T$3*Q277/Prices!C277,T$3*R277*S278)</f>
        <v>1.6677111809200722E-4</v>
      </c>
      <c r="V278" s="9"/>
      <c r="W278" s="1"/>
      <c r="X278" s="1"/>
      <c r="Y278" s="1"/>
      <c r="Z278" s="1"/>
      <c r="AA278" s="1"/>
      <c r="AB278" s="1"/>
      <c r="AC278" s="1"/>
      <c r="AD278" s="1"/>
      <c r="AE278" s="16"/>
    </row>
    <row r="279" spans="1:31" x14ac:dyDescent="0.2">
      <c r="A279" s="4">
        <v>33897</v>
      </c>
      <c r="B279" s="9">
        <f ca="1">Prices!C278*(1+J279/(50*(ABS(O279)+ABS(T279)+0.0001)))</f>
        <v>122.73398540360677</v>
      </c>
      <c r="C279" s="13">
        <f t="shared" ca="1" si="30"/>
        <v>1</v>
      </c>
      <c r="D279" s="9">
        <f ca="1">D278+C279*(Prices!C279-Prices!C278)/Prices!C278</f>
        <v>0.12400994893287293</v>
      </c>
      <c r="E279" s="9">
        <f t="shared" ca="1" si="31"/>
        <v>0</v>
      </c>
      <c r="F279" s="9">
        <f t="shared" ca="1" si="32"/>
        <v>0.12400994893287293</v>
      </c>
      <c r="G279" s="13">
        <f ca="1">IF((Prices!C279-Prices!C278)*C279&gt;0,1,0)</f>
        <v>1</v>
      </c>
      <c r="H279" s="9">
        <f>ABS(Prices!C279-Prices!C278)/Prices!C278</f>
        <v>1.6007298664676178E-2</v>
      </c>
      <c r="I279" s="13"/>
      <c r="J279" s="1">
        <f t="shared" ca="1" si="33"/>
        <v>8.7463934430427625E-4</v>
      </c>
      <c r="K279" s="9"/>
      <c r="L279" s="9">
        <f ca="1">L278-O279*Prices!C279</f>
        <v>0.77211378592444424</v>
      </c>
      <c r="M279" s="1">
        <f t="shared" ca="1" si="34"/>
        <v>1.2150308661782353E-2</v>
      </c>
      <c r="N279" s="9">
        <f ca="1">IF(Prices!D278&gt;OFFSET(Prices!D278,-$N$3,0),1,IF(Prices!D278&lt;OFFSET(Prices!D278,-$N$3,0),-1,0))</f>
        <v>1</v>
      </c>
      <c r="O279" s="1">
        <f ca="1">IF(N279=1,O$3*L278/Prices!C278,O$3*M278*N279)</f>
        <v>7.1280814801001136E-4</v>
      </c>
      <c r="P279" s="14"/>
      <c r="Q279" s="9">
        <f ca="1">Q278-T279*Prices!C279</f>
        <v>0.95577504531392821</v>
      </c>
      <c r="R279" s="1">
        <f t="shared" ca="1" si="35"/>
        <v>1.0451780147760893E-2</v>
      </c>
      <c r="S279" s="9">
        <f ca="1">IF(Prices!C278&lt;OFFSET(Prices!C278,-S$3,0),1,IF(Prices!C278&gt;OFFSET(Prices!C278,-S$3,0),-1,0))</f>
        <v>1</v>
      </c>
      <c r="T279" s="1">
        <f ca="1">IF(S279=1,T$3*Q278/Prices!C278,T$3*R278*S279)</f>
        <v>1.6183119629426486E-4</v>
      </c>
      <c r="V279" s="9"/>
      <c r="W279" s="1"/>
      <c r="X279" s="1"/>
      <c r="Y279" s="1"/>
      <c r="Z279" s="1"/>
      <c r="AA279" s="1"/>
      <c r="AB279" s="1"/>
      <c r="AC279" s="1"/>
      <c r="AD279" s="1"/>
      <c r="AE279" s="16"/>
    </row>
    <row r="280" spans="1:31" x14ac:dyDescent="0.2">
      <c r="A280" s="4">
        <v>33898</v>
      </c>
      <c r="B280" s="9">
        <f ca="1">Prices!C279*(1+J280/(50*(ABS(O280)+ABS(T280)+0.0001)))</f>
        <v>123.59874859704635</v>
      </c>
      <c r="C280" s="13">
        <f t="shared" ca="1" si="30"/>
        <v>1</v>
      </c>
      <c r="D280" s="9">
        <f ca="1">D279+C280*(Prices!C280-Prices!C279)/Prices!C279</f>
        <v>0.12523443872879134</v>
      </c>
      <c r="E280" s="9">
        <f t="shared" ca="1" si="31"/>
        <v>0</v>
      </c>
      <c r="F280" s="9">
        <f t="shared" ca="1" si="32"/>
        <v>0.12523443872879134</v>
      </c>
      <c r="G280" s="13">
        <f ca="1">IF((Prices!C280-Prices!C279)*C280&gt;0,1,0)</f>
        <v>1</v>
      </c>
      <c r="H280" s="9">
        <f>ABS(Prices!C280-Prices!C279)/Prices!C279</f>
        <v>1.2244897959184137E-3</v>
      </c>
      <c r="I280" s="13"/>
      <c r="J280" s="1">
        <f t="shared" ca="1" si="33"/>
        <v>4.2126136514636923E-4</v>
      </c>
      <c r="K280" s="9"/>
      <c r="L280" s="9">
        <f ca="1">L279-O280*Prices!C280</f>
        <v>0.69480786278678464</v>
      </c>
      <c r="M280" s="1">
        <f t="shared" ca="1" si="34"/>
        <v>1.2780605629883941E-2</v>
      </c>
      <c r="N280" s="9">
        <f ca="1">IF(Prices!D279&gt;OFFSET(Prices!D279,-$N$3,0),1,IF(Prices!D279&lt;OFFSET(Prices!D279,-$N$3,0),-1,0))</f>
        <v>1</v>
      </c>
      <c r="O280" s="1">
        <f ca="1">IF(N280=1,O$3*L279/Prices!C279,O$3*M279*N280)</f>
        <v>6.3029696810158709E-4</v>
      </c>
      <c r="P280" s="14"/>
      <c r="Q280" s="9">
        <f ca="1">Q279-T280*Prices!C280</f>
        <v>0.98141326201638568</v>
      </c>
      <c r="R280" s="1">
        <f t="shared" ca="1" si="35"/>
        <v>1.0242744544805674E-2</v>
      </c>
      <c r="S280" s="9">
        <f ca="1">IF(Prices!C279&lt;OFFSET(Prices!C279,-S$3,0),1,IF(Prices!C279&gt;OFFSET(Prices!C279,-S$3,0),-1,0))</f>
        <v>-1</v>
      </c>
      <c r="T280" s="1">
        <f ca="1">IF(S280=1,T$3*Q279/Prices!C279,T$3*R279*S280)</f>
        <v>-2.0903560295521787E-4</v>
      </c>
      <c r="V280" s="9"/>
      <c r="W280" s="1"/>
      <c r="X280" s="1"/>
      <c r="Y280" s="1"/>
      <c r="Z280" s="1"/>
      <c r="AA280" s="1"/>
      <c r="AB280" s="1"/>
      <c r="AC280" s="1"/>
      <c r="AD280" s="1"/>
      <c r="AE280" s="16"/>
    </row>
    <row r="281" spans="1:31" x14ac:dyDescent="0.2">
      <c r="A281" s="4">
        <v>33899</v>
      </c>
      <c r="B281" s="9">
        <f ca="1">Prices!C280*(1+J281/(50*(ABS(O281)+ABS(T281)+0.0001)))</f>
        <v>123.66808152931762</v>
      </c>
      <c r="C281" s="13">
        <f t="shared" ca="1" si="30"/>
        <v>1</v>
      </c>
      <c r="D281" s="9">
        <f ca="1">D280+C281*(Prices!C281-Prices!C280)/Prices!C280</f>
        <v>0.10974320350661436</v>
      </c>
      <c r="E281" s="9">
        <f t="shared" ca="1" si="31"/>
        <v>1.5491235222176977E-2</v>
      </c>
      <c r="F281" s="9">
        <f t="shared" ca="1" si="32"/>
        <v>0.12523443872879134</v>
      </c>
      <c r="G281" s="13">
        <f ca="1">IF((Prices!C281-Prices!C280)*C281&gt;0,1,0)</f>
        <v>0</v>
      </c>
      <c r="H281" s="9">
        <f>ABS(Prices!C281-Prices!C280)/Prices!C280</f>
        <v>1.5491235222176972E-2</v>
      </c>
      <c r="I281" s="13"/>
      <c r="J281" s="1">
        <f t="shared" ca="1" si="33"/>
        <v>3.6164153208536611E-4</v>
      </c>
      <c r="K281" s="9"/>
      <c r="L281" s="9">
        <f ca="1">L280-O281*Prices!C281</f>
        <v>0.62640341971177094</v>
      </c>
      <c r="M281" s="1">
        <f t="shared" ca="1" si="34"/>
        <v>1.334710205286542E-2</v>
      </c>
      <c r="N281" s="9">
        <f ca="1">IF(Prices!D280&gt;OFFSET(Prices!D280,-$N$3,0),1,IF(Prices!D280&lt;OFFSET(Prices!D280,-$N$3,0),-1,0))</f>
        <v>1</v>
      </c>
      <c r="O281" s="1">
        <f ca="1">IF(N281=1,O$3*L280/Prices!C280,O$3*M280*N281)</f>
        <v>5.6649642298147959E-4</v>
      </c>
      <c r="P281" s="14"/>
      <c r="Q281" s="9">
        <f ca="1">Q280-T281*Prices!C281</f>
        <v>1.0061494900920913</v>
      </c>
      <c r="R281" s="1">
        <f t="shared" ca="1" si="35"/>
        <v>1.0037889653909561E-2</v>
      </c>
      <c r="S281" s="9">
        <f ca="1">IF(Prices!C280&lt;OFFSET(Prices!C280,-S$3,0),1,IF(Prices!C280&gt;OFFSET(Prices!C280,-S$3,0),-1,0))</f>
        <v>-1</v>
      </c>
      <c r="T281" s="1">
        <f ca="1">IF(S281=1,T$3*Q280/Prices!C280,T$3*R280*S281)</f>
        <v>-2.048548908961135E-4</v>
      </c>
      <c r="V281" s="9"/>
      <c r="W281" s="1"/>
      <c r="X281" s="1"/>
      <c r="Y281" s="1"/>
      <c r="Z281" s="1"/>
      <c r="AA281" s="1"/>
      <c r="AB281" s="1"/>
      <c r="AC281" s="1"/>
      <c r="AD281" s="1"/>
      <c r="AE281" s="16"/>
    </row>
    <row r="282" spans="1:31" x14ac:dyDescent="0.2">
      <c r="A282" s="4">
        <v>33900</v>
      </c>
      <c r="B282" s="9">
        <f ca="1">Prices!C281*(1+J282/(50*(ABS(O282)+ABS(T282)+0.0001)))</f>
        <v>118.48266415499508</v>
      </c>
      <c r="C282" s="13">
        <f t="shared" ca="1" si="30"/>
        <v>-1</v>
      </c>
      <c r="D282" s="9">
        <f ca="1">D281+C282*(Prices!C282-Prices!C281)/Prices!C281</f>
        <v>0.10245541882752537</v>
      </c>
      <c r="E282" s="9">
        <f t="shared" ca="1" si="31"/>
        <v>2.2779019901265962E-2</v>
      </c>
      <c r="F282" s="9">
        <f t="shared" ca="1" si="32"/>
        <v>0.12523443872879134</v>
      </c>
      <c r="G282" s="13">
        <f ca="1">IF((Prices!C282-Prices!C281)*C282&gt;0,1,0)</f>
        <v>0</v>
      </c>
      <c r="H282" s="9">
        <f>ABS(Prices!C282-Prices!C281)/Prices!C281</f>
        <v>7.2877846790889893E-3</v>
      </c>
      <c r="I282" s="13"/>
      <c r="J282" s="1">
        <f t="shared" ca="1" si="33"/>
        <v>-1.5354679983647333E-3</v>
      </c>
      <c r="K282" s="9"/>
      <c r="L282" s="9">
        <f ca="1">L281-O282*Prices!C282</f>
        <v>0.78874422198077299</v>
      </c>
      <c r="M282" s="1">
        <f t="shared" ca="1" si="34"/>
        <v>1.2012391847578878E-2</v>
      </c>
      <c r="N282" s="9">
        <f ca="1">IF(Prices!D281&gt;OFFSET(Prices!D281,-$N$3,0),1,IF(Prices!D281&lt;OFFSET(Prices!D281,-$N$3,0),-1,0))</f>
        <v>-1</v>
      </c>
      <c r="O282" s="1">
        <f ca="1">IF(N282=1,O$3*L281/Prices!C281,O$3*M281*N282)</f>
        <v>-1.3347102052865421E-3</v>
      </c>
      <c r="P282" s="14"/>
      <c r="Q282" s="9">
        <f ca="1">Q281-T282*Prices!C282</f>
        <v>1.0305676604641918</v>
      </c>
      <c r="R282" s="1">
        <f t="shared" ca="1" si="35"/>
        <v>9.8371318608313704E-3</v>
      </c>
      <c r="S282" s="9">
        <f ca="1">IF(Prices!C281&lt;OFFSET(Prices!C281,-S$3,0),1,IF(Prices!C281&gt;OFFSET(Prices!C281,-S$3,0),-1,0))</f>
        <v>-1</v>
      </c>
      <c r="T282" s="1">
        <f ca="1">IF(S282=1,T$3*Q281/Prices!C281,T$3*R281*S282)</f>
        <v>-2.0075779307819123E-4</v>
      </c>
      <c r="V282" s="9"/>
      <c r="W282" s="1"/>
      <c r="X282" s="1"/>
      <c r="Y282" s="1"/>
      <c r="Z282" s="1"/>
      <c r="AA282" s="1"/>
      <c r="AB282" s="1"/>
      <c r="AC282" s="1"/>
      <c r="AD282" s="1"/>
      <c r="AE282" s="16"/>
    </row>
    <row r="283" spans="1:31" x14ac:dyDescent="0.2">
      <c r="A283" s="4">
        <v>33903</v>
      </c>
      <c r="B283" s="9">
        <f ca="1">Prices!C282*(1+J283/(50*(ABS(O283)+ABS(T283)+0.0001)))</f>
        <v>122.79257712732748</v>
      </c>
      <c r="C283" s="13">
        <f t="shared" ca="1" si="30"/>
        <v>1</v>
      </c>
      <c r="D283" s="9">
        <f ca="1">D282+C283*(Prices!C283-Prices!C282)/Prices!C282</f>
        <v>0.1059085142809497</v>
      </c>
      <c r="E283" s="9">
        <f t="shared" ca="1" si="31"/>
        <v>1.9325924447841633E-2</v>
      </c>
      <c r="F283" s="9">
        <f t="shared" ca="1" si="32"/>
        <v>0.12523443872879134</v>
      </c>
      <c r="G283" s="13">
        <f ca="1">IF((Prices!C283-Prices!C282)*C283&gt;0,1,0)</f>
        <v>1</v>
      </c>
      <c r="H283" s="9">
        <f>ABS(Prices!C283-Prices!C282)/Prices!C282</f>
        <v>3.4530954534243339E-3</v>
      </c>
      <c r="I283" s="13"/>
      <c r="J283" s="1">
        <f t="shared" ca="1" si="33"/>
        <v>4.5173571679206536E-4</v>
      </c>
      <c r="K283" s="9"/>
      <c r="L283" s="9">
        <f ca="1">L282-O283*Prices!C283</f>
        <v>0.70959743887401205</v>
      </c>
      <c r="M283" s="1">
        <f t="shared" ca="1" si="34"/>
        <v>1.2660870201587571E-2</v>
      </c>
      <c r="N283" s="9">
        <f ca="1">IF(Prices!D282&gt;OFFSET(Prices!D282,-$N$3,0),1,IF(Prices!D282&lt;OFFSET(Prices!D282,-$N$3,0),-1,0))</f>
        <v>1</v>
      </c>
      <c r="O283" s="1">
        <f ca="1">IF(N283=1,O$3*L282/Prices!C282,O$3*M282*N283)</f>
        <v>6.4847835400869277E-4</v>
      </c>
      <c r="P283" s="14"/>
      <c r="Q283" s="9">
        <f ca="1">Q282-T283*Prices!C283</f>
        <v>1.0545800993364811</v>
      </c>
      <c r="R283" s="1">
        <f t="shared" ca="1" si="35"/>
        <v>9.6403892236147423E-3</v>
      </c>
      <c r="S283" s="9">
        <f ca="1">IF(Prices!C282&lt;OFFSET(Prices!C282,-S$3,0),1,IF(Prices!C282&gt;OFFSET(Prices!C282,-S$3,0),-1,0))</f>
        <v>-1</v>
      </c>
      <c r="T283" s="1">
        <f ca="1">IF(S283=1,T$3*Q282/Prices!C282,T$3*R282*S283)</f>
        <v>-1.9674263721662741E-4</v>
      </c>
      <c r="V283" s="9"/>
      <c r="W283" s="1"/>
      <c r="X283" s="1"/>
      <c r="Y283" s="1"/>
      <c r="Z283" s="1"/>
      <c r="AA283" s="1"/>
      <c r="AB283" s="1"/>
      <c r="AC283" s="1"/>
      <c r="AD283" s="1"/>
      <c r="AE283" s="16"/>
    </row>
    <row r="284" spans="1:31" x14ac:dyDescent="0.2">
      <c r="A284" s="4">
        <v>33904</v>
      </c>
      <c r="B284" s="9">
        <f ca="1">Prices!C283*(1+J284/(50*(ABS(O284)+ABS(T284)+0.0001)))</f>
        <v>124.20523892953271</v>
      </c>
      <c r="C284" s="13">
        <f t="shared" ca="1" si="30"/>
        <v>1</v>
      </c>
      <c r="D284" s="9">
        <f ca="1">D283+C284*(Prices!C284-Prices!C283)/Prices!C283</f>
        <v>0.1071375187872996</v>
      </c>
      <c r="E284" s="9">
        <f t="shared" ca="1" si="31"/>
        <v>1.8096919941491735E-2</v>
      </c>
      <c r="F284" s="9">
        <f t="shared" ca="1" si="32"/>
        <v>0.12523443872879134</v>
      </c>
      <c r="G284" s="13">
        <f ca="1">IF((Prices!C284-Prices!C283)*C284&gt;0,1,0)</f>
        <v>1</v>
      </c>
      <c r="H284" s="9">
        <f>ABS(Prices!C284-Prices!C283)/Prices!C283</f>
        <v>1.2290045063499033E-3</v>
      </c>
      <c r="I284" s="13"/>
      <c r="J284" s="1">
        <f t="shared" ca="1" si="33"/>
        <v>7.5421012596584057E-4</v>
      </c>
      <c r="K284" s="9"/>
      <c r="L284" s="9">
        <f ca="1">L283-O284*Prices!C284</f>
        <v>0.63855048514160373</v>
      </c>
      <c r="M284" s="1">
        <f t="shared" ca="1" si="34"/>
        <v>1.3242269168301223E-2</v>
      </c>
      <c r="N284" s="9">
        <f ca="1">IF(Prices!D283&gt;OFFSET(Prices!D283,-$N$3,0),1,IF(Prices!D283&lt;OFFSET(Prices!D283,-$N$3,0),-1,0))</f>
        <v>1</v>
      </c>
      <c r="O284" s="1">
        <f ca="1">IF(N284=1,O$3*L283/Prices!C283,O$3*M283*N284)</f>
        <v>5.8139896671365195E-4</v>
      </c>
      <c r="P284" s="14"/>
      <c r="Q284" s="9">
        <f ca="1">Q283-T284*Prices!C284</f>
        <v>1.0334625756758637</v>
      </c>
      <c r="R284" s="1">
        <f t="shared" ca="1" si="35"/>
        <v>9.8132003828669302E-3</v>
      </c>
      <c r="S284" s="9">
        <f ca="1">IF(Prices!C283&lt;OFFSET(Prices!C283,-S$3,0),1,IF(Prices!C283&gt;OFFSET(Prices!C283,-S$3,0),-1,0))</f>
        <v>1</v>
      </c>
      <c r="T284" s="1">
        <f ca="1">IF(S284=1,T$3*Q283/Prices!C283,T$3*R283*S284)</f>
        <v>1.7281115925218865E-4</v>
      </c>
      <c r="V284" s="9"/>
      <c r="W284" s="1"/>
      <c r="X284" s="1"/>
      <c r="Y284" s="1"/>
      <c r="Z284" s="1"/>
      <c r="AA284" s="1"/>
      <c r="AB284" s="1"/>
      <c r="AC284" s="1"/>
      <c r="AD284" s="1"/>
      <c r="AE284" s="16"/>
    </row>
    <row r="285" spans="1:31" x14ac:dyDescent="0.2">
      <c r="A285" s="4">
        <v>33905</v>
      </c>
      <c r="B285" s="9">
        <f ca="1">Prices!C284*(1+J285/(50*(ABS(O285)+ABS(T285)+0.0001)))</f>
        <v>120.42826710899558</v>
      </c>
      <c r="C285" s="13">
        <f t="shared" ca="1" si="30"/>
        <v>-1</v>
      </c>
      <c r="D285" s="9">
        <f ca="1">D284+C285*(Prices!C285-Prices!C284)/Prices!C284</f>
        <v>9.903604579220962E-2</v>
      </c>
      <c r="E285" s="9">
        <f t="shared" ca="1" si="31"/>
        <v>2.6198392936581716E-2</v>
      </c>
      <c r="F285" s="9">
        <f t="shared" ca="1" si="32"/>
        <v>0.12523443872879134</v>
      </c>
      <c r="G285" s="13">
        <f ca="1">IF((Prices!C285-Prices!C284)*C285&gt;0,1,0)</f>
        <v>0</v>
      </c>
      <c r="H285" s="9">
        <f>ABS(Prices!C285-Prices!C284)/Prices!C284</f>
        <v>8.1014729950899741E-3</v>
      </c>
      <c r="I285" s="13"/>
      <c r="J285" s="1">
        <f t="shared" ca="1" si="33"/>
        <v>-1.1550841057538764E-3</v>
      </c>
      <c r="K285" s="9"/>
      <c r="L285" s="9">
        <f ca="1">L284-O285*Prices!C285</f>
        <v>0.80168199902590653</v>
      </c>
      <c r="M285" s="1">
        <f t="shared" ca="1" si="34"/>
        <v>1.1918042251471101E-2</v>
      </c>
      <c r="N285" s="9">
        <f ca="1">IF(Prices!D284&gt;OFFSET(Prices!D284,-$N$3,0),1,IF(Prices!D284&lt;OFFSET(Prices!D284,-$N$3,0),-1,0))</f>
        <v>-1</v>
      </c>
      <c r="O285" s="1">
        <f ca="1">IF(N285=1,O$3*L284/Prices!C284,O$3*M284*N285)</f>
        <v>-1.3242269168301224E-3</v>
      </c>
      <c r="P285" s="14"/>
      <c r="Q285" s="9">
        <f ca="1">Q284-T285*Prices!C285</f>
        <v>1.0126258727793811</v>
      </c>
      <c r="R285" s="1">
        <f t="shared" ca="1" si="35"/>
        <v>9.9823431939431769E-3</v>
      </c>
      <c r="S285" s="9">
        <f ca="1">IF(Prices!C284&lt;OFFSET(Prices!C284,-S$3,0),1,IF(Prices!C284&gt;OFFSET(Prices!C284,-S$3,0),-1,0))</f>
        <v>1</v>
      </c>
      <c r="T285" s="1">
        <f ca="1">IF(S285=1,T$3*Q284/Prices!C284,T$3*R284*S285)</f>
        <v>1.6914281107624612E-4</v>
      </c>
      <c r="V285" s="9"/>
      <c r="W285" s="1"/>
      <c r="X285" s="1"/>
      <c r="Y285" s="1"/>
      <c r="Z285" s="1"/>
      <c r="AA285" s="1"/>
      <c r="AB285" s="1"/>
      <c r="AC285" s="1"/>
      <c r="AD285" s="1"/>
      <c r="AE285" s="16"/>
    </row>
    <row r="286" spans="1:31" x14ac:dyDescent="0.2">
      <c r="A286" s="4">
        <v>33906</v>
      </c>
      <c r="B286" s="9">
        <f ca="1">Prices!C285*(1+J286/(50*(ABS(O286)+ABS(T286)+0.0001)))</f>
        <v>120.89139482389524</v>
      </c>
      <c r="C286" s="13">
        <f t="shared" ca="1" si="30"/>
        <v>-1</v>
      </c>
      <c r="D286" s="9">
        <f ca="1">D285+C286*(Prices!C286-Prices!C285)/Prices!C285</f>
        <v>9.8386642431547239E-2</v>
      </c>
      <c r="E286" s="9">
        <f t="shared" ca="1" si="31"/>
        <v>2.6847796297244098E-2</v>
      </c>
      <c r="F286" s="9">
        <f t="shared" ca="1" si="32"/>
        <v>0.12523443872879134</v>
      </c>
      <c r="G286" s="13">
        <f ca="1">IF((Prices!C286-Prices!C285)*C286&gt;0,1,0)</f>
        <v>0</v>
      </c>
      <c r="H286" s="9">
        <f>ABS(Prices!C286-Prices!C285)/Prices!C285</f>
        <v>6.4940336066237757E-4</v>
      </c>
      <c r="I286" s="13"/>
      <c r="J286" s="1">
        <f t="shared" ca="1" si="33"/>
        <v>-1.3914510890259738E-3</v>
      </c>
      <c r="K286" s="9"/>
      <c r="L286" s="9">
        <f ca="1">L285-O286*Prices!C286</f>
        <v>0.94859570585979081</v>
      </c>
      <c r="M286" s="1">
        <f t="shared" ca="1" si="34"/>
        <v>1.0726238026323991E-2</v>
      </c>
      <c r="N286" s="9">
        <f ca="1">IF(Prices!D285&gt;OFFSET(Prices!D285,-$N$3,0),1,IF(Prices!D285&lt;OFFSET(Prices!D285,-$N$3,0),-1,0))</f>
        <v>-1</v>
      </c>
      <c r="O286" s="1">
        <f ca="1">IF(N286=1,O$3*L285/Prices!C285,O$3*M285*N286)</f>
        <v>-1.1918042251471102E-3</v>
      </c>
      <c r="P286" s="14"/>
      <c r="Q286" s="9">
        <f ca="1">Q285-T286*Prices!C286</f>
        <v>1.0372363416897286</v>
      </c>
      <c r="R286" s="1">
        <f t="shared" ca="1" si="35"/>
        <v>9.7826963300643131E-3</v>
      </c>
      <c r="S286" s="9">
        <f ca="1">IF(Prices!C285&lt;OFFSET(Prices!C285,-S$3,0),1,IF(Prices!C285&gt;OFFSET(Prices!C285,-S$3,0),-1,0))</f>
        <v>-1</v>
      </c>
      <c r="T286" s="1">
        <f ca="1">IF(S286=1,T$3*Q285/Prices!C285,T$3*R285*S286)</f>
        <v>-1.9964686387886354E-4</v>
      </c>
      <c r="V286" s="9"/>
      <c r="W286" s="1"/>
      <c r="X286" s="1"/>
      <c r="Y286" s="1"/>
      <c r="Z286" s="1"/>
      <c r="AA286" s="1"/>
      <c r="AB286" s="1"/>
      <c r="AC286" s="1"/>
      <c r="AD286" s="1"/>
      <c r="AE286" s="16"/>
    </row>
    <row r="287" spans="1:31" x14ac:dyDescent="0.2">
      <c r="A287" s="4">
        <v>33907</v>
      </c>
      <c r="B287" s="9">
        <f ca="1">Prices!C286*(1+J287/(50*(ABS(O287)+ABS(T287)+0.0001)))</f>
        <v>120.9847827178303</v>
      </c>
      <c r="C287" s="13">
        <f t="shared" ca="1" si="30"/>
        <v>-1</v>
      </c>
      <c r="D287" s="9">
        <f ca="1">D286+C287*(Prices!C287-Prices!C286)/Prices!C286</f>
        <v>9.6926433134881335E-2</v>
      </c>
      <c r="E287" s="9">
        <f t="shared" ca="1" si="31"/>
        <v>2.8308005593910002E-2</v>
      </c>
      <c r="F287" s="9">
        <f t="shared" ca="1" si="32"/>
        <v>0.12523443872879134</v>
      </c>
      <c r="G287" s="13">
        <f ca="1">IF((Prices!C287-Prices!C286)*C287&gt;0,1,0)</f>
        <v>0</v>
      </c>
      <c r="H287" s="9">
        <f>ABS(Prices!C287-Prices!C286)/Prices!C286</f>
        <v>1.4602092966659109E-3</v>
      </c>
      <c r="I287" s="13"/>
      <c r="J287" s="1">
        <f t="shared" ca="1" si="33"/>
        <v>-1.2682777292336853E-3</v>
      </c>
      <c r="K287" s="9"/>
      <c r="L287" s="9">
        <f ca="1">L286-O287*Prices!C287</f>
        <v>1.0810111142947605</v>
      </c>
      <c r="M287" s="1">
        <f t="shared" ca="1" si="34"/>
        <v>9.6536142236915909E-3</v>
      </c>
      <c r="N287" s="9">
        <f ca="1">IF(Prices!D286&gt;OFFSET(Prices!D286,-$N$3,0),1,IF(Prices!D286&lt;OFFSET(Prices!D286,-$N$3,0),-1,0))</f>
        <v>-1</v>
      </c>
      <c r="O287" s="1">
        <f ca="1">IF(N287=1,O$3*L286/Prices!C286,O$3*M286*N287)</f>
        <v>-1.0726238026323991E-3</v>
      </c>
      <c r="P287" s="14"/>
      <c r="Q287" s="9">
        <f ca="1">Q286-T287*Prices!C287</f>
        <v>1.0613898189286572</v>
      </c>
      <c r="R287" s="1">
        <f t="shared" ca="1" si="35"/>
        <v>9.5870424034630274E-3</v>
      </c>
      <c r="S287" s="9">
        <f ca="1">IF(Prices!C286&lt;OFFSET(Prices!C286,-S$3,0),1,IF(Prices!C286&gt;OFFSET(Prices!C286,-S$3,0),-1,0))</f>
        <v>-1</v>
      </c>
      <c r="T287" s="1">
        <f ca="1">IF(S287=1,T$3*Q286/Prices!C286,T$3*R286*S287)</f>
        <v>-1.9565392660128626E-4</v>
      </c>
      <c r="V287" s="9"/>
      <c r="W287" s="1"/>
      <c r="X287" s="1"/>
      <c r="Y287" s="1"/>
      <c r="Z287" s="1"/>
      <c r="AA287" s="1"/>
      <c r="AB287" s="1"/>
      <c r="AC287" s="1"/>
      <c r="AD287" s="1"/>
      <c r="AE287" s="16"/>
    </row>
    <row r="288" spans="1:31" x14ac:dyDescent="0.2">
      <c r="A288" s="4">
        <v>33910</v>
      </c>
      <c r="B288" s="9">
        <f ca="1">Prices!C287*(1+J288/(50*(ABS(O288)+ABS(T288)+0.0001)))</f>
        <v>124.89646435252644</v>
      </c>
      <c r="C288" s="13">
        <f t="shared" ca="1" si="30"/>
        <v>1</v>
      </c>
      <c r="D288" s="9">
        <f ca="1">D287+C288*(Prices!C288-Prices!C287)/Prices!C287</f>
        <v>9.9356566792232467E-2</v>
      </c>
      <c r="E288" s="9">
        <f t="shared" ca="1" si="31"/>
        <v>2.5877871936558869E-2</v>
      </c>
      <c r="F288" s="9">
        <f t="shared" ca="1" si="32"/>
        <v>0.12523443872879134</v>
      </c>
      <c r="G288" s="13">
        <f ca="1">IF((Prices!C288-Prices!C287)*C288&gt;0,1,0)</f>
        <v>1</v>
      </c>
      <c r="H288" s="9">
        <f>ABS(Prices!C288-Prices!C287)/Prices!C287</f>
        <v>2.4301336573511311E-3</v>
      </c>
      <c r="I288" s="13"/>
      <c r="J288" s="1">
        <f t="shared" ca="1" si="33"/>
        <v>6.8392631620353044E-4</v>
      </c>
      <c r="K288" s="9"/>
      <c r="L288" s="9">
        <f ca="1">L287-O288*Prices!C288</f>
        <v>0.97264730271600264</v>
      </c>
      <c r="M288" s="1">
        <f t="shared" ca="1" si="34"/>
        <v>1.0529281387964383E-2</v>
      </c>
      <c r="N288" s="9">
        <f ca="1">IF(Prices!D287&gt;OFFSET(Prices!D287,-$N$3,0),1,IF(Prices!D287&lt;OFFSET(Prices!D287,-$N$3,0),-1,0))</f>
        <v>1</v>
      </c>
      <c r="O288" s="1">
        <f ca="1">IF(N288=1,O$3*L287/Prices!C287,O$3*M287*N288)</f>
        <v>8.7566716427279101E-4</v>
      </c>
      <c r="P288" s="14"/>
      <c r="Q288" s="9">
        <f ca="1">Q287-T288*Prices!C288</f>
        <v>1.0851177488772283</v>
      </c>
      <c r="R288" s="1">
        <f t="shared" ca="1" si="35"/>
        <v>9.3953015553937674E-3</v>
      </c>
      <c r="S288" s="9">
        <f ca="1">IF(Prices!C287&lt;OFFSET(Prices!C287,-S$3,0),1,IF(Prices!C287&gt;OFFSET(Prices!C287,-S$3,0),-1,0))</f>
        <v>-1</v>
      </c>
      <c r="T288" s="1">
        <f ca="1">IF(S288=1,T$3*Q287/Prices!C287,T$3*R287*S288)</f>
        <v>-1.9174084806926055E-4</v>
      </c>
      <c r="V288" s="9"/>
      <c r="W288" s="1"/>
      <c r="X288" s="1"/>
      <c r="Y288" s="1"/>
      <c r="Z288" s="1"/>
      <c r="AA288" s="1"/>
      <c r="AB288" s="1"/>
      <c r="AC288" s="1"/>
      <c r="AD288" s="1"/>
      <c r="AE288" s="16"/>
    </row>
    <row r="289" spans="1:31" x14ac:dyDescent="0.2">
      <c r="A289" s="4">
        <v>33911</v>
      </c>
      <c r="B289" s="9">
        <f ca="1">Prices!C288*(1+J289/(50*(ABS(O289)+ABS(T289)+0.0001)))</f>
        <v>125.12838692225036</v>
      </c>
      <c r="C289" s="13">
        <f t="shared" ca="1" si="30"/>
        <v>1</v>
      </c>
      <c r="D289" s="9">
        <f ca="1">D288+C289*(Prices!C289-Prices!C288)/Prices!C288</f>
        <v>9.0467677903343618E-2</v>
      </c>
      <c r="E289" s="9">
        <f t="shared" ca="1" si="31"/>
        <v>3.4766760825447718E-2</v>
      </c>
      <c r="F289" s="9">
        <f t="shared" ca="1" si="32"/>
        <v>0.12523443872879134</v>
      </c>
      <c r="G289" s="13">
        <f ca="1">IF((Prices!C289-Prices!C288)*C289&gt;0,1,0)</f>
        <v>0</v>
      </c>
      <c r="H289" s="9">
        <f>ABS(Prices!C289-Prices!C288)/Prices!C288</f>
        <v>8.8888888888888438E-3</v>
      </c>
      <c r="I289" s="13"/>
      <c r="J289" s="1">
        <f t="shared" ca="1" si="33"/>
        <v>5.9807158724849044E-4</v>
      </c>
      <c r="K289" s="9"/>
      <c r="L289" s="9">
        <f ca="1">L288-O289*Prices!C289</f>
        <v>0.87624714782459434</v>
      </c>
      <c r="M289" s="1">
        <f t="shared" ca="1" si="34"/>
        <v>1.1315259006320749E-2</v>
      </c>
      <c r="N289" s="9">
        <f ca="1">IF(Prices!D288&gt;OFFSET(Prices!D288,-$N$3,0),1,IF(Prices!D288&lt;OFFSET(Prices!D288,-$N$3,0),-1,0))</f>
        <v>1</v>
      </c>
      <c r="O289" s="1">
        <f ca="1">IF(N289=1,O$3*L288/Prices!C288,O$3*M288*N289)</f>
        <v>7.8597761835636577E-4</v>
      </c>
      <c r="P289" s="14"/>
      <c r="Q289" s="9">
        <f ca="1">Q288-T289*Prices!C289</f>
        <v>1.1081644235926094</v>
      </c>
      <c r="R289" s="1">
        <f t="shared" ca="1" si="35"/>
        <v>9.2073955242858926E-3</v>
      </c>
      <c r="S289" s="9">
        <f ca="1">IF(Prices!C288&lt;OFFSET(Prices!C288,-S$3,0),1,IF(Prices!C288&gt;OFFSET(Prices!C288,-S$3,0),-1,0))</f>
        <v>-1</v>
      </c>
      <c r="T289" s="1">
        <f ca="1">IF(S289=1,T$3*Q288/Prices!C288,T$3*R288*S289)</f>
        <v>-1.8790603110787536E-4</v>
      </c>
      <c r="V289" s="9"/>
      <c r="W289" s="1"/>
      <c r="X289" s="1"/>
      <c r="Y289" s="1"/>
      <c r="Z289" s="1"/>
      <c r="AA289" s="1"/>
      <c r="AB289" s="1"/>
      <c r="AC289" s="1"/>
      <c r="AD289" s="1"/>
      <c r="AE289" s="16"/>
    </row>
    <row r="290" spans="1:31" x14ac:dyDescent="0.2">
      <c r="A290" s="4">
        <v>33912</v>
      </c>
      <c r="B290" s="9">
        <f ca="1">Prices!C289*(1+J290/(50*(ABS(O290)+ABS(T290)+0.0001)))</f>
        <v>124.85650016633912</v>
      </c>
      <c r="C290" s="13">
        <f t="shared" ca="1" si="30"/>
        <v>1</v>
      </c>
      <c r="D290" s="9">
        <f ca="1">D289+C290*(Prices!C290-Prices!C289)/Prices!C289</f>
        <v>9.4951982836079016E-2</v>
      </c>
      <c r="E290" s="9">
        <f t="shared" ca="1" si="31"/>
        <v>3.0282455892712321E-2</v>
      </c>
      <c r="F290" s="9">
        <f t="shared" ca="1" si="32"/>
        <v>0.12523443872879134</v>
      </c>
      <c r="G290" s="13">
        <f ca="1">IF((Prices!C290-Prices!C289)*C290&gt;0,1,0)</f>
        <v>1</v>
      </c>
      <c r="H290" s="9">
        <f>ABS(Prices!C290-Prices!C289)/Prices!C289</f>
        <v>4.4843049327354025E-3</v>
      </c>
      <c r="I290" s="13"/>
      <c r="J290" s="1">
        <f t="shared" ca="1" si="33"/>
        <v>8.9513251736087743E-4</v>
      </c>
      <c r="K290" s="9"/>
      <c r="L290" s="9">
        <f ca="1">L289-O290*Prices!C290</f>
        <v>0.78822949710140644</v>
      </c>
      <c r="M290" s="1">
        <f t="shared" ca="1" si="34"/>
        <v>1.2029687989463508E-2</v>
      </c>
      <c r="N290" s="9">
        <f ca="1">IF(Prices!D289&gt;OFFSET(Prices!D289,-$N$3,0),1,IF(Prices!D289&lt;OFFSET(Prices!D289,-$N$3,0),-1,0))</f>
        <v>1</v>
      </c>
      <c r="O290" s="1">
        <f ca="1">IF(N290=1,O$3*L289/Prices!C289,O$3*M289*N290)</f>
        <v>7.1442898314275929E-4</v>
      </c>
      <c r="P290" s="14"/>
      <c r="Q290" s="9">
        <f ca="1">Q289-T290*Prices!C290</f>
        <v>1.0859017481769373</v>
      </c>
      <c r="R290" s="1">
        <f t="shared" ca="1" si="35"/>
        <v>9.3880990585040111E-3</v>
      </c>
      <c r="S290" s="9">
        <f ca="1">IF(Prices!C289&lt;OFFSET(Prices!C289,-S$3,0),1,IF(Prices!C289&gt;OFFSET(Prices!C289,-S$3,0),-1,0))</f>
        <v>1</v>
      </c>
      <c r="T290" s="1">
        <f ca="1">IF(S290=1,T$3*Q289/Prices!C289,T$3*R289*S290)</f>
        <v>1.8070353421811811E-4</v>
      </c>
      <c r="V290" s="9"/>
      <c r="W290" s="1"/>
      <c r="X290" s="1"/>
      <c r="Y290" s="1"/>
      <c r="Z290" s="1"/>
      <c r="AA290" s="1"/>
      <c r="AB290" s="1"/>
      <c r="AC290" s="1"/>
      <c r="AD290" s="1"/>
      <c r="AE290" s="16"/>
    </row>
    <row r="291" spans="1:31" x14ac:dyDescent="0.2">
      <c r="A291" s="4">
        <v>33913</v>
      </c>
      <c r="B291" s="9">
        <f ca="1">Prices!C290*(1+J291/(50*(ABS(O291)+ABS(T291)+0.0001)))</f>
        <v>125.39502768784297</v>
      </c>
      <c r="C291" s="13">
        <f t="shared" ca="1" si="30"/>
        <v>1</v>
      </c>
      <c r="D291" s="9">
        <f ca="1">D290+C291*(Prices!C291-Prices!C290)/Prices!C290</f>
        <v>9.2029904914001093E-2</v>
      </c>
      <c r="E291" s="9">
        <f t="shared" ca="1" si="31"/>
        <v>3.3204533814790244E-2</v>
      </c>
      <c r="F291" s="9">
        <f t="shared" ca="1" si="32"/>
        <v>0.12523443872879134</v>
      </c>
      <c r="G291" s="13">
        <f ca="1">IF((Prices!C291-Prices!C290)*C291&gt;0,1,0)</f>
        <v>0</v>
      </c>
      <c r="H291" s="9">
        <f>ABS(Prices!C291-Prices!C290)/Prices!C290</f>
        <v>2.9220779220779174E-3</v>
      </c>
      <c r="I291" s="13"/>
      <c r="J291" s="1">
        <f t="shared" ca="1" si="33"/>
        <v>8.1607942105259247E-4</v>
      </c>
      <c r="K291" s="9"/>
      <c r="L291" s="9">
        <f ca="1">L290-O291*Prices!C291</f>
        <v>0.70963687419236687</v>
      </c>
      <c r="M291" s="1">
        <f t="shared" ca="1" si="34"/>
        <v>1.2669484659188676E-2</v>
      </c>
      <c r="N291" s="9">
        <f ca="1">IF(Prices!D290&gt;OFFSET(Prices!D290,-$N$3,0),1,IF(Prices!D290&lt;OFFSET(Prices!D290,-$N$3,0),-1,0))</f>
        <v>1</v>
      </c>
      <c r="O291" s="1">
        <f ca="1">IF(N291=1,O$3*L290/Prices!C290,O$3*M290*N291)</f>
        <v>6.3979666972516756E-4</v>
      </c>
      <c r="P291" s="14"/>
      <c r="Q291" s="9">
        <f ca="1">Q290-T291*Prices!C291</f>
        <v>1.0642471750038764</v>
      </c>
      <c r="R291" s="1">
        <f t="shared" ca="1" si="35"/>
        <v>9.5643818098314366E-3</v>
      </c>
      <c r="S291" s="9">
        <f ca="1">IF(Prices!C290&lt;OFFSET(Prices!C290,-S$3,0),1,IF(Prices!C290&gt;OFFSET(Prices!C290,-S$3,0),-1,0))</f>
        <v>1</v>
      </c>
      <c r="T291" s="1">
        <f ca="1">IF(S291=1,T$3*Q290/Prices!C290,T$3*R290*S291)</f>
        <v>1.7628275132742488E-4</v>
      </c>
      <c r="V291" s="9"/>
      <c r="W291" s="1"/>
      <c r="X291" s="1"/>
      <c r="Y291" s="1"/>
      <c r="Z291" s="1"/>
      <c r="AA291" s="1"/>
      <c r="AB291" s="1"/>
      <c r="AC291" s="1"/>
      <c r="AD291" s="1"/>
      <c r="AE291" s="16"/>
    </row>
    <row r="292" spans="1:31" x14ac:dyDescent="0.2">
      <c r="A292" s="4">
        <v>33914</v>
      </c>
      <c r="B292" s="9">
        <f ca="1">Prices!C291*(1+J292/(50*(ABS(O292)+ABS(T292)+0.0001)))</f>
        <v>124.39777464938298</v>
      </c>
      <c r="C292" s="13">
        <f t="shared" ca="1" si="30"/>
        <v>1</v>
      </c>
      <c r="D292" s="9">
        <f ca="1">D291+C292*(Prices!C292-Prices!C291)/Prices!C291</f>
        <v>9.691430738876497E-2</v>
      </c>
      <c r="E292" s="9">
        <f t="shared" ca="1" si="31"/>
        <v>2.8320131340026367E-2</v>
      </c>
      <c r="F292" s="9">
        <f t="shared" ca="1" si="32"/>
        <v>0.12523443872879134</v>
      </c>
      <c r="G292" s="13">
        <f ca="1">IF((Prices!C292-Prices!C291)*C292&gt;0,1,0)</f>
        <v>1</v>
      </c>
      <c r="H292" s="9">
        <f>ABS(Prices!C292-Prices!C291)/Prices!C291</f>
        <v>4.8844024747638744E-3</v>
      </c>
      <c r="I292" s="13"/>
      <c r="J292" s="1">
        <f t="shared" ca="1" si="33"/>
        <v>1.732737178449815E-4</v>
      </c>
      <c r="K292" s="9"/>
      <c r="L292" s="9">
        <f ca="1">L291-O292*Prices!C292</f>
        <v>0.70963687419236687</v>
      </c>
      <c r="M292" s="1">
        <f t="shared" ca="1" si="34"/>
        <v>1.2669484659188676E-2</v>
      </c>
      <c r="N292" s="9">
        <f ca="1">IF(Prices!D291&gt;OFFSET(Prices!D291,-$N$3,0),1,IF(Prices!D291&lt;OFFSET(Prices!D291,-$N$3,0),-1,0))</f>
        <v>0</v>
      </c>
      <c r="O292" s="1">
        <f ca="1">IF(N292=1,O$3*L291/Prices!C291,O$3*M291*N292)</f>
        <v>0</v>
      </c>
      <c r="P292" s="14"/>
      <c r="Q292" s="9">
        <f ca="1">Q291-T292*Prices!C292</f>
        <v>1.0428582672730919</v>
      </c>
      <c r="R292" s="1">
        <f t="shared" ca="1" si="35"/>
        <v>9.7376555276764178E-3</v>
      </c>
      <c r="S292" s="9">
        <f ca="1">IF(Prices!C291&lt;OFFSET(Prices!C291,-S$3,0),1,IF(Prices!C291&gt;OFFSET(Prices!C291,-S$3,0),-1,0))</f>
        <v>1</v>
      </c>
      <c r="T292" s="1">
        <f ca="1">IF(S292=1,T$3*Q291/Prices!C291,T$3*R291*S292)</f>
        <v>1.732737178449815E-4</v>
      </c>
      <c r="V292" s="9"/>
      <c r="W292" s="1"/>
      <c r="X292" s="1"/>
      <c r="Y292" s="1"/>
      <c r="Z292" s="1"/>
      <c r="AA292" s="1"/>
      <c r="AB292" s="1"/>
      <c r="AC292" s="1"/>
      <c r="AD292" s="1"/>
      <c r="AE292" s="16"/>
    </row>
    <row r="293" spans="1:31" x14ac:dyDescent="0.2">
      <c r="A293" s="4">
        <v>33917</v>
      </c>
      <c r="B293" s="9">
        <f ca="1">Prices!C292*(1+J293/(50*(ABS(O293)+ABS(T293)+0.0001)))</f>
        <v>125.61623618033194</v>
      </c>
      <c r="C293" s="13">
        <f t="shared" ca="1" si="30"/>
        <v>1</v>
      </c>
      <c r="D293" s="9">
        <f ca="1">D292+C293*(Prices!C293-Prices!C292)/Prices!C292</f>
        <v>0.10347619980613375</v>
      </c>
      <c r="E293" s="9">
        <f t="shared" ca="1" si="31"/>
        <v>2.1758238922657588E-2</v>
      </c>
      <c r="F293" s="9">
        <f t="shared" ca="1" si="32"/>
        <v>0.12523443872879134</v>
      </c>
      <c r="G293" s="13">
        <f ca="1">IF((Prices!C293-Prices!C292)*C293&gt;0,1,0)</f>
        <v>1</v>
      </c>
      <c r="H293" s="9">
        <f>ABS(Prices!C293-Prices!C292)/Prices!C292</f>
        <v>6.5618924173687808E-3</v>
      </c>
      <c r="I293" s="13"/>
      <c r="J293" s="1">
        <f t="shared" ca="1" si="33"/>
        <v>7.4385007100371452E-4</v>
      </c>
      <c r="K293" s="9"/>
      <c r="L293" s="9">
        <f ca="1">L292-O293*Prices!C293</f>
        <v>0.63820753069074532</v>
      </c>
      <c r="M293" s="1">
        <f t="shared" ca="1" si="34"/>
        <v>1.324436871151561E-2</v>
      </c>
      <c r="N293" s="9">
        <f ca="1">IF(Prices!D292&gt;OFFSET(Prices!D292,-$N$3,0),1,IF(Prices!D292&lt;OFFSET(Prices!D292,-$N$3,0),-1,0))</f>
        <v>1</v>
      </c>
      <c r="O293" s="1">
        <f ca="1">IF(N293=1,O$3*L292/Prices!C292,O$3*M292*N293)</f>
        <v>5.7488405232693359E-4</v>
      </c>
      <c r="P293" s="14"/>
      <c r="Q293" s="9">
        <f ca="1">Q292-T293*Prices!C293</f>
        <v>1.0218642394525019</v>
      </c>
      <c r="R293" s="1">
        <f t="shared" ca="1" si="35"/>
        <v>9.9066215463531979E-3</v>
      </c>
      <c r="S293" s="9">
        <f ca="1">IF(Prices!C292&lt;OFFSET(Prices!C292,-S$3,0),1,IF(Prices!C292&gt;OFFSET(Prices!C292,-S$3,0),-1,0))</f>
        <v>1</v>
      </c>
      <c r="T293" s="1">
        <f ca="1">IF(S293=1,T$3*Q292/Prices!C292,T$3*R292*S293)</f>
        <v>1.6896601867678096E-4</v>
      </c>
      <c r="V293" s="9"/>
      <c r="W293" s="1"/>
      <c r="X293" s="1"/>
      <c r="Y293" s="1"/>
      <c r="Z293" s="1"/>
      <c r="AA293" s="1"/>
      <c r="AB293" s="1"/>
      <c r="AC293" s="1"/>
      <c r="AD293" s="1"/>
      <c r="AE293" s="16"/>
    </row>
    <row r="294" spans="1:31" x14ac:dyDescent="0.2">
      <c r="A294" s="4">
        <v>33918</v>
      </c>
      <c r="B294" s="9">
        <f ca="1">Prices!C293*(1+J294/(50*(ABS(O294)+ABS(T294)+0.0001)))</f>
        <v>125.21584744547613</v>
      </c>
      <c r="C294" s="13">
        <f t="shared" ca="1" si="30"/>
        <v>1</v>
      </c>
      <c r="D294" s="9">
        <f ca="1">D293+C294*(Prices!C294-Prices!C293)/Prices!C293</f>
        <v>0.10347619980613375</v>
      </c>
      <c r="E294" s="9">
        <f t="shared" ca="1" si="31"/>
        <v>2.1758238922657588E-2</v>
      </c>
      <c r="F294" s="9">
        <f t="shared" ca="1" si="32"/>
        <v>0.12523443872879134</v>
      </c>
      <c r="G294" s="13">
        <f ca="1">IF((Prices!C294-Prices!C293)*C294&gt;0,1,0)</f>
        <v>0</v>
      </c>
      <c r="H294" s="9">
        <f>ABS(Prices!C294-Prices!C293)/Prices!C293</f>
        <v>0</v>
      </c>
      <c r="I294" s="13"/>
      <c r="J294" s="1">
        <f t="shared" ca="1" si="33"/>
        <v>3.1551548109768073E-4</v>
      </c>
      <c r="K294" s="9"/>
      <c r="L294" s="9">
        <f ca="1">L293-O294*Prices!C294</f>
        <v>0.57438677762167079</v>
      </c>
      <c r="M294" s="1">
        <f t="shared" ca="1" si="34"/>
        <v>1.3758016623540354E-2</v>
      </c>
      <c r="N294" s="9">
        <f ca="1">IF(Prices!D293&gt;OFFSET(Prices!D293,-$N$3,0),1,IF(Prices!D293&lt;OFFSET(Prices!D293,-$N$3,0),-1,0))</f>
        <v>1</v>
      </c>
      <c r="O294" s="1">
        <f ca="1">IF(N294=1,O$3*L293/Prices!C293,O$3*M293*N294)</f>
        <v>5.1364791202474468E-4</v>
      </c>
      <c r="P294" s="14"/>
      <c r="Q294" s="9">
        <f ca="1">Q293-T294*Prices!C294</f>
        <v>1.0464821939951896</v>
      </c>
      <c r="R294" s="1">
        <f t="shared" ca="1" si="35"/>
        <v>9.7084891154261346E-3</v>
      </c>
      <c r="S294" s="9">
        <f ca="1">IF(Prices!C293&lt;OFFSET(Prices!C293,-S$3,0),1,IF(Prices!C293&gt;OFFSET(Prices!C293,-S$3,0),-1,0))</f>
        <v>-1</v>
      </c>
      <c r="T294" s="1">
        <f ca="1">IF(S294=1,T$3*Q293/Prices!C293,T$3*R293*S294)</f>
        <v>-1.9813243092706395E-4</v>
      </c>
      <c r="V294" s="9"/>
      <c r="W294" s="1"/>
      <c r="X294" s="1"/>
      <c r="Y294" s="1"/>
      <c r="Z294" s="1"/>
      <c r="AA294" s="1"/>
      <c r="AB294" s="1"/>
      <c r="AC294" s="1"/>
      <c r="AD294" s="1"/>
      <c r="AE294" s="16"/>
    </row>
    <row r="295" spans="1:31" x14ac:dyDescent="0.2">
      <c r="A295" s="4">
        <v>33919</v>
      </c>
      <c r="B295" s="9">
        <f ca="1">Prices!C294*(1+J295/(50*(ABS(O295)+ABS(T295)+0.0001)))</f>
        <v>121.9138049396259</v>
      </c>
      <c r="C295" s="13">
        <f t="shared" ca="1" si="30"/>
        <v>-1</v>
      </c>
      <c r="D295" s="9">
        <f ca="1">D294+C295*(Prices!C295-Prices!C294)/Prices!C294</f>
        <v>0.10468344326689838</v>
      </c>
      <c r="E295" s="9">
        <f t="shared" ca="1" si="31"/>
        <v>2.0550995461892957E-2</v>
      </c>
      <c r="F295" s="9">
        <f t="shared" ca="1" si="32"/>
        <v>0.12523443872879134</v>
      </c>
      <c r="G295" s="13">
        <f ca="1">IF((Prices!C295-Prices!C294)*C295&gt;0,1,0)</f>
        <v>1</v>
      </c>
      <c r="H295" s="9">
        <f>ABS(Prices!C295-Prices!C294)/Prices!C294</f>
        <v>1.2072434607646332E-3</v>
      </c>
      <c r="I295" s="13"/>
      <c r="J295" s="1">
        <f t="shared" ca="1" si="33"/>
        <v>-1.5699714446625584E-3</v>
      </c>
      <c r="K295" s="9"/>
      <c r="L295" s="9">
        <f ca="1">L294-O295*Prices!C295</f>
        <v>0.74512376391980661</v>
      </c>
      <c r="M295" s="1">
        <f t="shared" ca="1" si="34"/>
        <v>1.2382214961186319E-2</v>
      </c>
      <c r="N295" s="9">
        <f ca="1">IF(Prices!D294&gt;OFFSET(Prices!D294,-$N$3,0),1,IF(Prices!D294&lt;OFFSET(Prices!D294,-$N$3,0),-1,0))</f>
        <v>-1</v>
      </c>
      <c r="O295" s="1">
        <f ca="1">IF(N295=1,O$3*L294/Prices!C294,O$3*M294*N295)</f>
        <v>-1.3758016623540356E-3</v>
      </c>
      <c r="P295" s="14"/>
      <c r="Q295" s="9">
        <f ca="1">Q294-T295*Prices!C295</f>
        <v>1.0705786639796773</v>
      </c>
      <c r="R295" s="1">
        <f t="shared" ca="1" si="35"/>
        <v>9.5143193331176119E-3</v>
      </c>
      <c r="S295" s="9">
        <f ca="1">IF(Prices!C294&lt;OFFSET(Prices!C294,-S$3,0),1,IF(Prices!C294&gt;OFFSET(Prices!C294,-S$3,0),-1,0))</f>
        <v>-1</v>
      </c>
      <c r="T295" s="1">
        <f ca="1">IF(S295=1,T$3*Q294/Prices!C294,T$3*R294*S295)</f>
        <v>-1.9416978230852271E-4</v>
      </c>
      <c r="V295" s="9"/>
      <c r="W295" s="1"/>
      <c r="X295" s="1"/>
      <c r="Y295" s="1"/>
      <c r="Z295" s="1"/>
      <c r="AA295" s="1"/>
      <c r="AB295" s="1"/>
      <c r="AC295" s="1"/>
      <c r="AD295" s="1"/>
      <c r="AE295" s="16"/>
    </row>
    <row r="296" spans="1:31" x14ac:dyDescent="0.2">
      <c r="A296" s="4">
        <v>33920</v>
      </c>
      <c r="B296" s="9">
        <f ca="1">Prices!C295*(1+J296/(50*(ABS(O296)+ABS(T296)+0.0001)))</f>
        <v>121.78038058226328</v>
      </c>
      <c r="C296" s="13">
        <f t="shared" ca="1" si="30"/>
        <v>-1</v>
      </c>
      <c r="D296" s="9">
        <f ca="1">D295+C296*(Prices!C296-Prices!C295)/Prices!C295</f>
        <v>0.10613388645787333</v>
      </c>
      <c r="E296" s="9">
        <f t="shared" ca="1" si="31"/>
        <v>1.9100552270918003E-2</v>
      </c>
      <c r="F296" s="9">
        <f t="shared" ca="1" si="32"/>
        <v>0.12523443872879134</v>
      </c>
      <c r="G296" s="13">
        <f ca="1">IF((Prices!C296-Prices!C295)*C296&gt;0,1,0)</f>
        <v>1</v>
      </c>
      <c r="H296" s="9">
        <f>ABS(Prices!C296-Prices!C295)/Prices!C295</f>
        <v>1.4504431909749607E-3</v>
      </c>
      <c r="I296" s="13"/>
      <c r="J296" s="1">
        <f t="shared" ca="1" si="33"/>
        <v>-1.4285078827809842E-3</v>
      </c>
      <c r="K296" s="9"/>
      <c r="L296" s="9">
        <f ca="1">L295-O296*Prices!C296</f>
        <v>0.89856417171882752</v>
      </c>
      <c r="M296" s="1">
        <f t="shared" ca="1" si="34"/>
        <v>1.1143993465067687E-2</v>
      </c>
      <c r="N296" s="9">
        <f ca="1">IF(Prices!D295&gt;OFFSET(Prices!D295,-$N$3,0),1,IF(Prices!D295&lt;OFFSET(Prices!D295,-$N$3,0),-1,0))</f>
        <v>-1</v>
      </c>
      <c r="O296" s="1">
        <f ca="1">IF(N296=1,O$3*L295/Prices!C295,O$3*M295*N296)</f>
        <v>-1.2382214961186319E-3</v>
      </c>
      <c r="P296" s="14"/>
      <c r="Q296" s="9">
        <f ca="1">Q295-T296*Prices!C296</f>
        <v>1.0941589530148759</v>
      </c>
      <c r="R296" s="1">
        <f t="shared" ca="1" si="35"/>
        <v>9.3240329464552591E-3</v>
      </c>
      <c r="S296" s="9">
        <f ca="1">IF(Prices!C295&lt;OFFSET(Prices!C295,-S$3,0),1,IF(Prices!C295&gt;OFFSET(Prices!C295,-S$3,0),-1,0))</f>
        <v>-1</v>
      </c>
      <c r="T296" s="1">
        <f ca="1">IF(S296=1,T$3*Q295/Prices!C295,T$3*R295*S296)</f>
        <v>-1.9028638666235224E-4</v>
      </c>
      <c r="V296" s="9"/>
      <c r="W296" s="1"/>
      <c r="X296" s="1"/>
      <c r="Y296" s="1"/>
      <c r="Z296" s="1"/>
      <c r="AA296" s="1"/>
      <c r="AB296" s="1"/>
      <c r="AC296" s="1"/>
      <c r="AD296" s="1"/>
      <c r="AE296" s="16"/>
    </row>
    <row r="297" spans="1:31" x14ac:dyDescent="0.2">
      <c r="A297" s="4">
        <v>33921</v>
      </c>
      <c r="B297" s="9">
        <f ca="1">Prices!C296*(1+J297/(50*(ABS(O297)+ABS(T297)+0.0001)))</f>
        <v>121.61851736554046</v>
      </c>
      <c r="C297" s="13">
        <f t="shared" ca="1" si="30"/>
        <v>-1</v>
      </c>
      <c r="D297" s="9">
        <f ca="1">D296+C297*(Prices!C297-Prices!C296)/Prices!C296</f>
        <v>0.1052462169937029</v>
      </c>
      <c r="E297" s="9">
        <f t="shared" ca="1" si="31"/>
        <v>1.9988221735088435E-2</v>
      </c>
      <c r="F297" s="9">
        <f t="shared" ca="1" si="32"/>
        <v>0.12523443872879134</v>
      </c>
      <c r="G297" s="13">
        <f ca="1">IF((Prices!C297-Prices!C296)*C297&gt;0,1,0)</f>
        <v>0</v>
      </c>
      <c r="H297" s="9">
        <f>ABS(Prices!C297-Prices!C296)/Prices!C296</f>
        <v>8.876694641704279E-4</v>
      </c>
      <c r="I297" s="13"/>
      <c r="J297" s="1">
        <f t="shared" ca="1" si="33"/>
        <v>-1.3008800054358739E-3</v>
      </c>
      <c r="K297" s="9"/>
      <c r="L297" s="9">
        <f ca="1">L296-O297*Prices!C297</f>
        <v>1.036783122666062</v>
      </c>
      <c r="M297" s="1">
        <f t="shared" ca="1" si="34"/>
        <v>1.0029594118560919E-2</v>
      </c>
      <c r="N297" s="9">
        <f ca="1">IF(Prices!D296&gt;OFFSET(Prices!D296,-$N$3,0),1,IF(Prices!D296&lt;OFFSET(Prices!D296,-$N$3,0),-1,0))</f>
        <v>-1</v>
      </c>
      <c r="O297" s="1">
        <f ca="1">IF(N297=1,O$3*L296/Prices!C296,O$3*M296*N297)</f>
        <v>-1.1143993465067687E-3</v>
      </c>
      <c r="P297" s="14"/>
      <c r="Q297" s="9">
        <f ca="1">Q296-T297*Prices!C297</f>
        <v>1.1172881491418527</v>
      </c>
      <c r="R297" s="1">
        <f t="shared" ca="1" si="35"/>
        <v>9.1375522875261541E-3</v>
      </c>
      <c r="S297" s="9">
        <f ca="1">IF(Prices!C296&lt;OFFSET(Prices!C296,-S$3,0),1,IF(Prices!C296&gt;OFFSET(Prices!C296,-S$3,0),-1,0))</f>
        <v>-1</v>
      </c>
      <c r="T297" s="1">
        <f ca="1">IF(S297=1,T$3*Q296/Prices!C296,T$3*R296*S297)</f>
        <v>-1.864806589291052E-4</v>
      </c>
      <c r="V297" s="9"/>
      <c r="W297" s="1"/>
      <c r="X297" s="1"/>
      <c r="Y297" s="1"/>
      <c r="Z297" s="1"/>
      <c r="AA297" s="1"/>
      <c r="AB297" s="1"/>
      <c r="AC297" s="1"/>
      <c r="AD297" s="1"/>
      <c r="AE297" s="16"/>
    </row>
    <row r="298" spans="1:31" x14ac:dyDescent="0.2">
      <c r="A298" s="4">
        <v>33924</v>
      </c>
      <c r="B298" s="9">
        <f ca="1">Prices!C297*(1+J298/(50*(ABS(O298)+ABS(T298)+0.0001)))</f>
        <v>122.43933026739194</v>
      </c>
      <c r="C298" s="13">
        <f t="shared" ca="1" si="30"/>
        <v>-1</v>
      </c>
      <c r="D298" s="9">
        <f ca="1">D297+C298*(Prices!C298-Prices!C297)/Prices!C297</f>
        <v>9.9199292862444333E-2</v>
      </c>
      <c r="E298" s="9">
        <f t="shared" ca="1" si="31"/>
        <v>2.6035145866347004E-2</v>
      </c>
      <c r="F298" s="9">
        <f t="shared" ca="1" si="32"/>
        <v>0.12523443872879134</v>
      </c>
      <c r="G298" s="13">
        <f ca="1">IF((Prices!C298-Prices!C297)*C298&gt;0,1,0)</f>
        <v>0</v>
      </c>
      <c r="H298" s="9">
        <f>ABS(Prices!C298-Prices!C297)/Prices!C297</f>
        <v>6.046924131258566E-3</v>
      </c>
      <c r="I298" s="13"/>
      <c r="J298" s="1">
        <f t="shared" ca="1" si="33"/>
        <v>-8.2279523397302289E-4</v>
      </c>
      <c r="K298" s="9"/>
      <c r="L298" s="9">
        <f ca="1">L297-O298*Prices!C298</f>
        <v>1.1619323980774652</v>
      </c>
      <c r="M298" s="1">
        <f t="shared" ca="1" si="34"/>
        <v>9.026634706704827E-3</v>
      </c>
      <c r="N298" s="9">
        <f ca="1">IF(Prices!D297&gt;OFFSET(Prices!D297,-$N$3,0),1,IF(Prices!D297&lt;OFFSET(Prices!D297,-$N$3,0),-1,0))</f>
        <v>-1</v>
      </c>
      <c r="O298" s="1">
        <f ca="1">IF(N298=1,O$3*L297/Prices!C297,O$3*M297*N298)</f>
        <v>-1.0029594118560919E-3</v>
      </c>
      <c r="P298" s="14"/>
      <c r="Q298" s="9">
        <f ca="1">Q297-T298*Prices!C298</f>
        <v>1.0948072630256034</v>
      </c>
      <c r="R298" s="1">
        <f t="shared" ca="1" si="35"/>
        <v>9.3177164654092235E-3</v>
      </c>
      <c r="S298" s="9">
        <f ca="1">IF(Prices!C297&lt;OFFSET(Prices!C297,-S$3,0),1,IF(Prices!C297&gt;OFFSET(Prices!C297,-S$3,0),-1,0))</f>
        <v>1</v>
      </c>
      <c r="T298" s="1">
        <f ca="1">IF(S298=1,T$3*Q297/Prices!C297,T$3*R297*S298)</f>
        <v>1.8016417788306902E-4</v>
      </c>
      <c r="V298" s="9"/>
      <c r="W298" s="1"/>
      <c r="X298" s="1"/>
      <c r="Y298" s="1"/>
      <c r="Z298" s="1"/>
      <c r="AA298" s="1"/>
      <c r="AB298" s="1"/>
      <c r="AC298" s="1"/>
      <c r="AD298" s="1"/>
      <c r="AE298" s="16"/>
    </row>
    <row r="299" spans="1:31" x14ac:dyDescent="0.2">
      <c r="A299" s="4">
        <v>33925</v>
      </c>
      <c r="B299" s="9">
        <f ca="1">Prices!C298*(1+J299/(50*(ABS(O299)+ABS(T299)+0.0001)))</f>
        <v>126.30668516478453</v>
      </c>
      <c r="C299" s="13">
        <f t="shared" ca="1" si="30"/>
        <v>1</v>
      </c>
      <c r="D299" s="9">
        <f ca="1">D298+C299*(Prices!C299-Prices!C298)/Prices!C298</f>
        <v>9.5753227787913106E-2</v>
      </c>
      <c r="E299" s="9">
        <f t="shared" ca="1" si="31"/>
        <v>2.948121094087823E-2</v>
      </c>
      <c r="F299" s="9">
        <f t="shared" ca="1" si="32"/>
        <v>0.12523443872879134</v>
      </c>
      <c r="G299" s="13">
        <f ca="1">IF((Prices!C299-Prices!C298)*C299&gt;0,1,0)</f>
        <v>0</v>
      </c>
      <c r="H299" s="9">
        <f>ABS(Prices!C299-Prices!C298)/Prices!C298</f>
        <v>3.4460650745312296E-3</v>
      </c>
      <c r="I299" s="13"/>
      <c r="J299" s="1">
        <f t="shared" ca="1" si="33"/>
        <v>7.4483047440832885E-4</v>
      </c>
      <c r="K299" s="9"/>
      <c r="L299" s="9">
        <f ca="1">L298-O299*Prices!C299</f>
        <v>1.0461395677353167</v>
      </c>
      <c r="M299" s="1">
        <f t="shared" ca="1" si="34"/>
        <v>9.9578195104213403E-3</v>
      </c>
      <c r="N299" s="9">
        <f ca="1">IF(Prices!D298&gt;OFFSET(Prices!D298,-$N$3,0),1,IF(Prices!D298&lt;OFFSET(Prices!D298,-$N$3,0),-1,0))</f>
        <v>1</v>
      </c>
      <c r="O299" s="1">
        <f ca="1">IF(N299=1,O$3*L298/Prices!C298,O$3*M298*N299)</f>
        <v>9.3118480371651331E-4</v>
      </c>
      <c r="P299" s="14"/>
      <c r="Q299" s="9">
        <f ca="1">Q298-T299*Prices!C299</f>
        <v>1.1179804238750761</v>
      </c>
      <c r="R299" s="1">
        <f t="shared" ca="1" si="35"/>
        <v>9.1313621361010389E-3</v>
      </c>
      <c r="S299" s="9">
        <f ca="1">IF(Prices!C298&lt;OFFSET(Prices!C298,-S$3,0),1,IF(Prices!C298&gt;OFFSET(Prices!C298,-S$3,0),-1,0))</f>
        <v>-1</v>
      </c>
      <c r="T299" s="1">
        <f ca="1">IF(S299=1,T$3*Q298/Prices!C298,T$3*R298*S299)</f>
        <v>-1.8635432930818447E-4</v>
      </c>
      <c r="V299" s="9"/>
      <c r="W299" s="1"/>
      <c r="X299" s="1"/>
      <c r="Y299" s="1"/>
      <c r="Z299" s="1"/>
      <c r="AA299" s="1"/>
      <c r="AB299" s="1"/>
      <c r="AC299" s="1"/>
      <c r="AD299" s="1"/>
      <c r="AE299" s="16"/>
    </row>
    <row r="300" spans="1:31" x14ac:dyDescent="0.2">
      <c r="A300" s="4">
        <v>33926</v>
      </c>
      <c r="B300" s="9">
        <f ca="1">Prices!C299*(1+J300/(50*(ABS(O300)+ABS(T300)+0.0001)))</f>
        <v>125.80748321168025</v>
      </c>
      <c r="C300" s="13">
        <f t="shared" ca="1" si="30"/>
        <v>1</v>
      </c>
      <c r="D300" s="9">
        <f ca="1">D299+C300*(Prices!C300-Prices!C299)/Prices!C299</f>
        <v>9.0928137317466837E-2</v>
      </c>
      <c r="E300" s="9">
        <f t="shared" ca="1" si="31"/>
        <v>3.43063014113245E-2</v>
      </c>
      <c r="F300" s="9">
        <f t="shared" ca="1" si="32"/>
        <v>0.12523443872879134</v>
      </c>
      <c r="G300" s="13">
        <f ca="1">IF((Prices!C300-Prices!C299)*C300&gt;0,1,0)</f>
        <v>0</v>
      </c>
      <c r="H300" s="9">
        <f>ABS(Prices!C300-Prices!C299)/Prices!C299</f>
        <v>4.8250904704462754E-3</v>
      </c>
      <c r="I300" s="13"/>
      <c r="J300" s="1">
        <f t="shared" ca="1" si="33"/>
        <v>6.5865910045073098E-4</v>
      </c>
      <c r="K300" s="9"/>
      <c r="L300" s="9">
        <f ca="1">L299-O300*Prices!C300</f>
        <v>0.94203038276768869</v>
      </c>
      <c r="M300" s="1">
        <f t="shared" ca="1" si="34"/>
        <v>1.0799105853594093E-2</v>
      </c>
      <c r="N300" s="9">
        <f ca="1">IF(Prices!D299&gt;OFFSET(Prices!D299,-$N$3,0),1,IF(Prices!D299&lt;OFFSET(Prices!D299,-$N$3,0),-1,0))</f>
        <v>1</v>
      </c>
      <c r="O300" s="1">
        <f ca="1">IF(N300=1,O$3*L299/Prices!C299,O$3*M299*N300)</f>
        <v>8.4128634317275173E-4</v>
      </c>
      <c r="P300" s="14"/>
      <c r="Q300" s="9">
        <f ca="1">Q299-T300*Prices!C300</f>
        <v>1.1405805451619262</v>
      </c>
      <c r="R300" s="1">
        <f t="shared" ca="1" si="35"/>
        <v>8.9487348933790182E-3</v>
      </c>
      <c r="S300" s="9">
        <f ca="1">IF(Prices!C299&lt;OFFSET(Prices!C299,-S$3,0),1,IF(Prices!C299&gt;OFFSET(Prices!C299,-S$3,0),-1,0))</f>
        <v>-1</v>
      </c>
      <c r="T300" s="1">
        <f ca="1">IF(S300=1,T$3*Q299/Prices!C299,T$3*R299*S300)</f>
        <v>-1.8262724272202077E-4</v>
      </c>
      <c r="V300" s="9"/>
      <c r="W300" s="1"/>
      <c r="X300" s="1"/>
      <c r="Y300" s="1"/>
      <c r="Z300" s="1"/>
      <c r="AA300" s="1"/>
      <c r="AB300" s="1"/>
      <c r="AC300" s="1"/>
      <c r="AD300" s="1"/>
      <c r="AE300" s="16"/>
    </row>
    <row r="301" spans="1:31" x14ac:dyDescent="0.2">
      <c r="A301" s="4">
        <v>33927</v>
      </c>
      <c r="B301" s="9">
        <f ca="1">Prices!C300*(1+J301/(50*(ABS(O301)+ABS(T301)+0.0001)))</f>
        <v>122.12525994292254</v>
      </c>
      <c r="C301" s="13">
        <f t="shared" ca="1" si="30"/>
        <v>-1</v>
      </c>
      <c r="D301" s="9">
        <f ca="1">D300+C301*(Prices!C301-Prices!C300)/Prices!C300</f>
        <v>9.3109955499284983E-2</v>
      </c>
      <c r="E301" s="9">
        <f t="shared" ca="1" si="31"/>
        <v>3.2124483229506354E-2</v>
      </c>
      <c r="F301" s="9">
        <f t="shared" ca="1" si="32"/>
        <v>0.12523443872879134</v>
      </c>
      <c r="G301" s="13">
        <f ca="1">IF((Prices!C301-Prices!C300)*C301&gt;0,1,0)</f>
        <v>1</v>
      </c>
      <c r="H301" s="9">
        <f>ABS(Prices!C301-Prices!C300)/Prices!C300</f>
        <v>2.1818181818181498E-3</v>
      </c>
      <c r="I301" s="13"/>
      <c r="J301" s="1">
        <f t="shared" ca="1" si="33"/>
        <v>-8.9557433563626965E-4</v>
      </c>
      <c r="K301" s="9"/>
      <c r="L301" s="9">
        <f ca="1">L300-O301*Prices!C301</f>
        <v>1.0753777418478685</v>
      </c>
      <c r="M301" s="1">
        <f t="shared" ca="1" si="34"/>
        <v>9.7191952682346844E-3</v>
      </c>
      <c r="N301" s="9">
        <f ca="1">IF(Prices!D300&gt;OFFSET(Prices!D300,-$N$3,0),1,IF(Prices!D300&lt;OFFSET(Prices!D300,-$N$3,0),-1,0))</f>
        <v>-1</v>
      </c>
      <c r="O301" s="1">
        <f ca="1">IF(N301=1,O$3*L300/Prices!C300,O$3*M300*N301)</f>
        <v>-1.0799105853594093E-3</v>
      </c>
      <c r="P301" s="14"/>
      <c r="Q301" s="9">
        <f ca="1">Q300-T301*Prices!C301</f>
        <v>1.117818705046113</v>
      </c>
      <c r="R301" s="1">
        <f t="shared" ca="1" si="35"/>
        <v>9.1330711431021581E-3</v>
      </c>
      <c r="S301" s="9">
        <f ca="1">IF(Prices!C300&lt;OFFSET(Prices!C300,-S$3,0),1,IF(Prices!C300&gt;OFFSET(Prices!C300,-S$3,0),-1,0))</f>
        <v>1</v>
      </c>
      <c r="T301" s="1">
        <f ca="1">IF(S301=1,T$3*Q300/Prices!C300,T$3*R300*S301)</f>
        <v>1.8433624972313961E-4</v>
      </c>
      <c r="V301" s="9"/>
      <c r="W301" s="1"/>
      <c r="X301" s="1"/>
      <c r="Y301" s="1"/>
      <c r="Z301" s="1"/>
      <c r="AA301" s="1"/>
      <c r="AB301" s="1"/>
      <c r="AC301" s="1"/>
      <c r="AD301" s="1"/>
      <c r="AE301" s="16"/>
    </row>
    <row r="302" spans="1:31" x14ac:dyDescent="0.2">
      <c r="A302" s="4">
        <v>33928</v>
      </c>
      <c r="B302" s="9">
        <f ca="1">Prices!C301*(1+J302/(50*(ABS(O302)+ABS(T302)+0.0001)))</f>
        <v>121.92120635122816</v>
      </c>
      <c r="C302" s="13">
        <f t="shared" ca="1" si="30"/>
        <v>-1</v>
      </c>
      <c r="D302" s="9">
        <f ca="1">D301+C302*(Prices!C302-Prices!C301)/Prices!C301</f>
        <v>8.6226249635987323E-2</v>
      </c>
      <c r="E302" s="9">
        <f t="shared" ca="1" si="31"/>
        <v>3.9008189092804013E-2</v>
      </c>
      <c r="F302" s="9">
        <f t="shared" ca="1" si="32"/>
        <v>0.12523443872879134</v>
      </c>
      <c r="G302" s="13">
        <f ca="1">IF((Prices!C302-Prices!C301)*C302&gt;0,1,0)</f>
        <v>0</v>
      </c>
      <c r="H302" s="9">
        <f>ABS(Prices!C302-Prices!C301)/Prices!C301</f>
        <v>6.8837058632976534E-3</v>
      </c>
      <c r="I302" s="13"/>
      <c r="J302" s="1">
        <f t="shared" ca="1" si="33"/>
        <v>-7.9086693449335616E-4</v>
      </c>
      <c r="K302" s="9"/>
      <c r="L302" s="9">
        <f ca="1">L301-O302*Prices!C302</f>
        <v>1.1962164966178304</v>
      </c>
      <c r="M302" s="1">
        <f t="shared" ca="1" si="34"/>
        <v>8.7472757414112159E-3</v>
      </c>
      <c r="N302" s="9">
        <f ca="1">IF(Prices!D301&gt;OFFSET(Prices!D301,-$N$3,0),1,IF(Prices!D301&lt;OFFSET(Prices!D301,-$N$3,0),-1,0))</f>
        <v>-1</v>
      </c>
      <c r="O302" s="1">
        <f ca="1">IF(N302=1,O$3*L301/Prices!C301,O$3*M301*N302)</f>
        <v>-9.7191952682346844E-4</v>
      </c>
      <c r="P302" s="14"/>
      <c r="Q302" s="9">
        <f ca="1">Q301-T302*Prices!C302</f>
        <v>1.0953084362417103</v>
      </c>
      <c r="R302" s="1">
        <f t="shared" ca="1" si="35"/>
        <v>9.3141237354322712E-3</v>
      </c>
      <c r="S302" s="9">
        <f ca="1">IF(Prices!C301&lt;OFFSET(Prices!C301,-S$3,0),1,IF(Prices!C301&gt;OFFSET(Prices!C301,-S$3,0),-1,0))</f>
        <v>1</v>
      </c>
      <c r="T302" s="1">
        <f ca="1">IF(S302=1,T$3*Q301/Prices!C301,T$3*R301*S302)</f>
        <v>1.8105259233011225E-4</v>
      </c>
      <c r="V302" s="9"/>
      <c r="W302" s="1"/>
      <c r="X302" s="1"/>
      <c r="Y302" s="1"/>
      <c r="Z302" s="1"/>
      <c r="AA302" s="1"/>
      <c r="AB302" s="1"/>
      <c r="AC302" s="1"/>
      <c r="AD302" s="1"/>
      <c r="AE302" s="16"/>
    </row>
    <row r="303" spans="1:31" x14ac:dyDescent="0.2">
      <c r="A303" s="4">
        <v>33931</v>
      </c>
      <c r="B303" s="9">
        <f ca="1">Prices!C302*(1+J303/(50*(ABS(O303)+ABS(T303)+0.0001)))</f>
        <v>126.61579632719562</v>
      </c>
      <c r="C303" s="13">
        <f t="shared" ca="1" si="30"/>
        <v>1</v>
      </c>
      <c r="D303" s="9">
        <f ca="1">D302+C303*(Prices!C303-Prices!C302)/Prices!C302</f>
        <v>8.4617627420914512E-2</v>
      </c>
      <c r="E303" s="9">
        <f t="shared" ca="1" si="31"/>
        <v>4.0616811307876824E-2</v>
      </c>
      <c r="F303" s="9">
        <f t="shared" ca="1" si="32"/>
        <v>0.12523443872879134</v>
      </c>
      <c r="G303" s="13">
        <f ca="1">IF((Prices!C303-Prices!C302)*C303&gt;0,1,0)</f>
        <v>0</v>
      </c>
      <c r="H303" s="9">
        <f>ABS(Prices!C303-Prices!C302)/Prices!C302</f>
        <v>1.6086222150728129E-3</v>
      </c>
      <c r="I303" s="13"/>
      <c r="J303" s="1">
        <f t="shared" ca="1" si="33"/>
        <v>1.138323963537499E-3</v>
      </c>
      <c r="K303" s="9"/>
      <c r="L303" s="9">
        <f ca="1">L302-O303*Prices!C303</f>
        <v>1.0767872729990968</v>
      </c>
      <c r="M303" s="1">
        <f t="shared" ca="1" si="34"/>
        <v>9.7094059566592093E-3</v>
      </c>
      <c r="N303" s="9">
        <f ca="1">IF(Prices!D302&gt;OFFSET(Prices!D302,-$N$3,0),1,IF(Prices!D302&lt;OFFSET(Prices!D302,-$N$3,0),-1,0))</f>
        <v>1</v>
      </c>
      <c r="O303" s="1">
        <f ca="1">IF(N303=1,O$3*L302/Prices!C302,O$3*M302*N303)</f>
        <v>9.6213021524799364E-4</v>
      </c>
      <c r="P303" s="14"/>
      <c r="Q303" s="9">
        <f ca="1">Q302-T303*Prices!C303</f>
        <v>1.073437506266534</v>
      </c>
      <c r="R303" s="1">
        <f t="shared" ca="1" si="35"/>
        <v>9.490317483721776E-3</v>
      </c>
      <c r="S303" s="9">
        <f ca="1">IF(Prices!C302&lt;OFFSET(Prices!C302,-S$3,0),1,IF(Prices!C302&gt;OFFSET(Prices!C302,-S$3,0),-1,0))</f>
        <v>1</v>
      </c>
      <c r="T303" s="1">
        <f ca="1">IF(S303=1,T$3*Q302/Prices!C302,T$3*R302*S303)</f>
        <v>1.7619374828950542E-4</v>
      </c>
      <c r="V303" s="9"/>
      <c r="W303" s="1"/>
      <c r="X303" s="1"/>
      <c r="Y303" s="1"/>
      <c r="Z303" s="1"/>
      <c r="AA303" s="1"/>
      <c r="AB303" s="1"/>
      <c r="AC303" s="1"/>
      <c r="AD303" s="1"/>
      <c r="AE303" s="16"/>
    </row>
    <row r="304" spans="1:31" x14ac:dyDescent="0.2">
      <c r="A304" s="4">
        <v>33932</v>
      </c>
      <c r="B304" s="9">
        <f ca="1">Prices!C303*(1+J304/(50*(ABS(O304)+ABS(T304)+0.0001)))</f>
        <v>126.39490849202754</v>
      </c>
      <c r="C304" s="13">
        <f t="shared" ca="1" si="30"/>
        <v>1</v>
      </c>
      <c r="D304" s="9">
        <f ca="1">D303+C304*(Prices!C304-Prices!C303)/Prices!C303</f>
        <v>8.2603609858681371E-2</v>
      </c>
      <c r="E304" s="9">
        <f t="shared" ca="1" si="31"/>
        <v>4.2630828870109966E-2</v>
      </c>
      <c r="F304" s="9">
        <f t="shared" ca="1" si="32"/>
        <v>0.12523443872879134</v>
      </c>
      <c r="G304" s="13">
        <f ca="1">IF((Prices!C304-Prices!C303)*C304&gt;0,1,0)</f>
        <v>0</v>
      </c>
      <c r="H304" s="9">
        <f>ABS(Prices!C304-Prices!C303)/Prices!C303</f>
        <v>2.0140175622331427E-3</v>
      </c>
      <c r="I304" s="13"/>
      <c r="J304" s="1">
        <f t="shared" ca="1" si="33"/>
        <v>1.0404211506101699E-3</v>
      </c>
      <c r="K304" s="9"/>
      <c r="L304" s="9">
        <f ca="1">L303-O304*Prices!C304</f>
        <v>0.96932541254704807</v>
      </c>
      <c r="M304" s="1">
        <f t="shared" ca="1" si="34"/>
        <v>1.0576873348102936E-2</v>
      </c>
      <c r="N304" s="9">
        <f ca="1">IF(Prices!D303&gt;OFFSET(Prices!D303,-$N$3,0),1,IF(Prices!D303&lt;OFFSET(Prices!D303,-$N$3,0),-1,0))</f>
        <v>1</v>
      </c>
      <c r="O304" s="1">
        <f ca="1">IF(N304=1,O$3*L303/Prices!C303,O$3*M303*N304)</f>
        <v>8.6746739144372587E-4</v>
      </c>
      <c r="P304" s="14"/>
      <c r="Q304" s="9">
        <f ca="1">Q303-T304*Prices!C304</f>
        <v>1.0520119945809949</v>
      </c>
      <c r="R304" s="1">
        <f t="shared" ca="1" si="35"/>
        <v>9.6632712428882193E-3</v>
      </c>
      <c r="S304" s="9">
        <f ca="1">IF(Prices!C303&lt;OFFSET(Prices!C303,-S$3,0),1,IF(Prices!C303&gt;OFFSET(Prices!C303,-S$3,0),-1,0))</f>
        <v>1</v>
      </c>
      <c r="T304" s="1">
        <f ca="1">IF(S304=1,T$3*Q303/Prices!C303,T$3*R303*S304)</f>
        <v>1.729537591664439E-4</v>
      </c>
      <c r="V304" s="9"/>
      <c r="W304" s="1"/>
      <c r="X304" s="1"/>
      <c r="Y304" s="1"/>
      <c r="Z304" s="1"/>
      <c r="AA304" s="1"/>
      <c r="AB304" s="1"/>
      <c r="AC304" s="1"/>
      <c r="AD304" s="1"/>
      <c r="AE304" s="16"/>
    </row>
    <row r="305" spans="1:31" x14ac:dyDescent="0.2">
      <c r="A305" s="4">
        <v>33933</v>
      </c>
      <c r="B305" s="9">
        <f ca="1">Prices!C304*(1+J305/(50*(ABS(O305)+ABS(T305)+0.0001)))</f>
        <v>121.58579649423483</v>
      </c>
      <c r="C305" s="13">
        <f t="shared" ca="1" si="30"/>
        <v>-1</v>
      </c>
      <c r="D305" s="9">
        <f ca="1">D304+C305*(Prices!C305-Prices!C304)/Prices!C304</f>
        <v>8.3491565945216728E-2</v>
      </c>
      <c r="E305" s="9">
        <f t="shared" ca="1" si="31"/>
        <v>4.1742872783574608E-2</v>
      </c>
      <c r="F305" s="9">
        <f t="shared" ca="1" si="32"/>
        <v>0.12523443872879134</v>
      </c>
      <c r="G305" s="13">
        <f ca="1">IF((Prices!C305-Prices!C304)*C305&gt;0,1,0)</f>
        <v>1</v>
      </c>
      <c r="H305" s="9">
        <f>ABS(Prices!C305-Prices!C304)/Prices!C304</f>
        <v>8.879560865353522E-4</v>
      </c>
      <c r="I305" s="13"/>
      <c r="J305" s="1">
        <f t="shared" ca="1" si="33"/>
        <v>-1.2509527596680581E-3</v>
      </c>
      <c r="K305" s="9"/>
      <c r="L305" s="9">
        <f ca="1">L304-O305*Prices!C305</f>
        <v>1.100235373976518</v>
      </c>
      <c r="M305" s="1">
        <f t="shared" ca="1" si="34"/>
        <v>9.519186013292642E-3</v>
      </c>
      <c r="N305" s="9">
        <f ca="1">IF(Prices!D304&gt;OFFSET(Prices!D304,-$N$3,0),1,IF(Prices!D304&lt;OFFSET(Prices!D304,-$N$3,0),-1,0))</f>
        <v>-1</v>
      </c>
      <c r="O305" s="1">
        <f ca="1">IF(N305=1,O$3*L304/Prices!C304,O$3*M304*N305)</f>
        <v>-1.0576873348102937E-3</v>
      </c>
      <c r="P305" s="14"/>
      <c r="Q305" s="9">
        <f ca="1">Q304-T305*Prices!C305</f>
        <v>1.0759324562156405</v>
      </c>
      <c r="R305" s="1">
        <f t="shared" ca="1" si="35"/>
        <v>9.4700058180304542E-3</v>
      </c>
      <c r="S305" s="9">
        <f ca="1">IF(Prices!C304&lt;OFFSET(Prices!C304,-S$3,0),1,IF(Prices!C304&gt;OFFSET(Prices!C304,-S$3,0),-1,0))</f>
        <v>-1</v>
      </c>
      <c r="T305" s="1">
        <f ca="1">IF(S305=1,T$3*Q304/Prices!C304,T$3*R304*S305)</f>
        <v>-1.9326542485776439E-4</v>
      </c>
      <c r="V305" s="9"/>
      <c r="W305" s="1"/>
      <c r="X305" s="1"/>
      <c r="Y305" s="1"/>
      <c r="Z305" s="1"/>
      <c r="AA305" s="1"/>
      <c r="AB305" s="1"/>
      <c r="AC305" s="1"/>
      <c r="AD305" s="1"/>
      <c r="AE305" s="16"/>
    </row>
    <row r="306" spans="1:31" x14ac:dyDescent="0.2">
      <c r="A306" s="4">
        <v>33934</v>
      </c>
      <c r="B306" s="9">
        <f ca="1">Prices!C305*(1+J306/(50*(ABS(O306)+ABS(T306)+0.0001)))</f>
        <v>121.49401695591337</v>
      </c>
      <c r="C306" s="13">
        <f t="shared" ca="1" si="30"/>
        <v>-1</v>
      </c>
      <c r="D306" s="9">
        <f ca="1">D305+C306*(Prices!C306-Prices!C305)/Prices!C305</f>
        <v>8.0421355070206549E-2</v>
      </c>
      <c r="E306" s="9">
        <f t="shared" ca="1" si="31"/>
        <v>4.4813083658584787E-2</v>
      </c>
      <c r="F306" s="9">
        <f t="shared" ca="1" si="32"/>
        <v>0.12523443872879134</v>
      </c>
      <c r="G306" s="13">
        <f ca="1">IF((Prices!C306-Prices!C305)*C306&gt;0,1,0)</f>
        <v>0</v>
      </c>
      <c r="H306" s="9">
        <f>ABS(Prices!C306-Prices!C305)/Prices!C305</f>
        <v>3.0702108750101775E-3</v>
      </c>
      <c r="I306" s="13"/>
      <c r="J306" s="1">
        <f t="shared" ca="1" si="33"/>
        <v>-1.1413187176898733E-3</v>
      </c>
      <c r="K306" s="9"/>
      <c r="L306" s="9">
        <f ca="1">L305-O306*Prices!C306</f>
        <v>1.2184160683315461</v>
      </c>
      <c r="M306" s="1">
        <f t="shared" ca="1" si="34"/>
        <v>8.5672674119633783E-3</v>
      </c>
      <c r="N306" s="9">
        <f ca="1">IF(Prices!D305&gt;OFFSET(Prices!D305,-$N$3,0),1,IF(Prices!D305&lt;OFFSET(Prices!D305,-$N$3,0),-1,0))</f>
        <v>-1</v>
      </c>
      <c r="O306" s="1">
        <f ca="1">IF(N306=1,O$3*L305/Prices!C305,O$3*M305*N306)</f>
        <v>-9.5191860132926422E-4</v>
      </c>
      <c r="P306" s="14"/>
      <c r="Q306" s="9">
        <f ca="1">Q305-T306*Prices!C306</f>
        <v>1.0994464806618101</v>
      </c>
      <c r="R306" s="1">
        <f t="shared" ca="1" si="35"/>
        <v>9.2806057016698446E-3</v>
      </c>
      <c r="S306" s="9">
        <f ca="1">IF(Prices!C305&lt;OFFSET(Prices!C305,-S$3,0),1,IF(Prices!C305&gt;OFFSET(Prices!C305,-S$3,0),-1,0))</f>
        <v>-1</v>
      </c>
      <c r="T306" s="1">
        <f ca="1">IF(S306=1,T$3*Q305/Prices!C305,T$3*R305*S306)</f>
        <v>-1.8940011636060908E-4</v>
      </c>
      <c r="V306" s="9"/>
      <c r="W306" s="1"/>
      <c r="X306" s="1"/>
      <c r="Y306" s="1"/>
      <c r="Z306" s="1"/>
      <c r="AA306" s="1"/>
      <c r="AB306" s="1"/>
      <c r="AC306" s="1"/>
      <c r="AD306" s="1"/>
      <c r="AE306" s="16"/>
    </row>
    <row r="307" spans="1:31" x14ac:dyDescent="0.2">
      <c r="A307" s="4">
        <v>33935</v>
      </c>
      <c r="B307" s="9">
        <f ca="1">Prices!C306*(1+J307/(50*(ABS(O307)+ABS(T307)+0.0001)))</f>
        <v>126.43570511592773</v>
      </c>
      <c r="C307" s="13">
        <f t="shared" ca="1" si="30"/>
        <v>1</v>
      </c>
      <c r="D307" s="9">
        <f ca="1">D306+C307*(Prices!C307-Prices!C306)/Prices!C306</f>
        <v>8.2837786806009991E-2</v>
      </c>
      <c r="E307" s="9">
        <f t="shared" ca="1" si="31"/>
        <v>4.2396651922781345E-2</v>
      </c>
      <c r="F307" s="9">
        <f t="shared" ca="1" si="32"/>
        <v>0.12523443872879134</v>
      </c>
      <c r="G307" s="13">
        <f ca="1">IF((Prices!C307-Prices!C306)*C307&gt;0,1,0)</f>
        <v>1</v>
      </c>
      <c r="H307" s="9">
        <f>ABS(Prices!C307-Prices!C306)/Prices!C306</f>
        <v>2.4164317358034404E-3</v>
      </c>
      <c r="I307" s="13"/>
      <c r="J307" s="1">
        <f t="shared" ca="1" si="33"/>
        <v>1.1585222428223182E-3</v>
      </c>
      <c r="K307" s="9"/>
      <c r="L307" s="9">
        <f ca="1">L306-O307*Prices!C307</f>
        <v>1.0962800395728987</v>
      </c>
      <c r="M307" s="1">
        <f t="shared" ca="1" si="34"/>
        <v>9.5486738302731217E-3</v>
      </c>
      <c r="N307" s="9">
        <f ca="1">IF(Prices!D306&gt;OFFSET(Prices!D306,-$N$3,0),1,IF(Prices!D306&lt;OFFSET(Prices!D306,-$N$3,0),-1,0))</f>
        <v>1</v>
      </c>
      <c r="O307" s="1">
        <f ca="1">IF(N307=1,O$3*L306/Prices!C306,O$3*M306*N307)</f>
        <v>9.8140641830974317E-4</v>
      </c>
      <c r="P307" s="14"/>
      <c r="Q307" s="9">
        <f ca="1">Q306-T307*Prices!C307</f>
        <v>1.0774044163012202</v>
      </c>
      <c r="R307" s="1">
        <f t="shared" ca="1" si="35"/>
        <v>9.4577215261824193E-3</v>
      </c>
      <c r="S307" s="9">
        <f ca="1">IF(Prices!C306&lt;OFFSET(Prices!C306,-S$3,0),1,IF(Prices!C306&gt;OFFSET(Prices!C306,-S$3,0),-1,0))</f>
        <v>1</v>
      </c>
      <c r="T307" s="1">
        <f ca="1">IF(S307=1,T$3*Q306/Prices!C306,T$3*R306*S307)</f>
        <v>1.7711582451257512E-4</v>
      </c>
      <c r="V307" s="9"/>
      <c r="W307" s="1"/>
      <c r="X307" s="1"/>
      <c r="Y307" s="1"/>
      <c r="Z307" s="1"/>
      <c r="AA307" s="1"/>
      <c r="AB307" s="1"/>
      <c r="AC307" s="1"/>
      <c r="AD307" s="1"/>
      <c r="AE307" s="16"/>
    </row>
    <row r="308" spans="1:31" x14ac:dyDescent="0.2">
      <c r="A308" s="4">
        <v>33938</v>
      </c>
      <c r="B308" s="9">
        <f ca="1">Prices!C307*(1+J308/(50*(ABS(O308)+ABS(T308)+0.0001)))</f>
        <v>125.92151676792597</v>
      </c>
      <c r="C308" s="13">
        <f t="shared" ca="1" si="30"/>
        <v>1</v>
      </c>
      <c r="D308" s="9">
        <f ca="1">D307+C308*(Prices!C308-Prices!C307)/Prices!C307</f>
        <v>8.524839347535508E-2</v>
      </c>
      <c r="E308" s="9">
        <f t="shared" ca="1" si="31"/>
        <v>3.9986045253436256E-2</v>
      </c>
      <c r="F308" s="9">
        <f t="shared" ca="1" si="32"/>
        <v>0.12523443872879134</v>
      </c>
      <c r="G308" s="13">
        <f ca="1">IF((Prices!C308-Prices!C307)*C308&gt;0,1,0)</f>
        <v>1</v>
      </c>
      <c r="H308" s="9">
        <f>ABS(Prices!C308-Prices!C307)/Prices!C307</f>
        <v>2.4106066693450954E-3</v>
      </c>
      <c r="I308" s="13"/>
      <c r="J308" s="1">
        <f t="shared" ca="1" si="33"/>
        <v>6.9174556109780495E-4</v>
      </c>
      <c r="K308" s="9"/>
      <c r="L308" s="9">
        <f ca="1">L307-O308*Prices!C308</f>
        <v>0.98638776561812236</v>
      </c>
      <c r="M308" s="1">
        <f t="shared" ca="1" si="34"/>
        <v>1.0429573821894574E-2</v>
      </c>
      <c r="N308" s="9">
        <f ca="1">IF(Prices!D307&gt;OFFSET(Prices!D307,-$N$3,0),1,IF(Prices!D307&lt;OFFSET(Prices!D307,-$N$3,0),-1,0))</f>
        <v>1</v>
      </c>
      <c r="O308" s="1">
        <f ca="1">IF(N308=1,O$3*L307/Prices!C307,O$3*M307*N308)</f>
        <v>8.8089999162145334E-4</v>
      </c>
      <c r="P308" s="14"/>
      <c r="Q308" s="9">
        <f ca="1">Q307-T308*Prices!C308</f>
        <v>1.1010014315090453</v>
      </c>
      <c r="R308" s="1">
        <f t="shared" ca="1" si="35"/>
        <v>9.268567095658771E-3</v>
      </c>
      <c r="S308" s="9">
        <f ca="1">IF(Prices!C307&lt;OFFSET(Prices!C307,-S$3,0),1,IF(Prices!C307&gt;OFFSET(Prices!C307,-S$3,0),-1,0))</f>
        <v>-1</v>
      </c>
      <c r="T308" s="1">
        <f ca="1">IF(S308=1,T$3*Q307/Prices!C307,T$3*R307*S308)</f>
        <v>-1.8915443052364839E-4</v>
      </c>
      <c r="V308" s="9"/>
      <c r="W308" s="1"/>
      <c r="X308" s="1"/>
      <c r="Y308" s="1"/>
      <c r="Z308" s="1"/>
      <c r="AA308" s="1"/>
      <c r="AB308" s="1"/>
      <c r="AC308" s="1"/>
      <c r="AD308" s="1"/>
      <c r="AE308" s="16"/>
    </row>
    <row r="309" spans="1:31" x14ac:dyDescent="0.2">
      <c r="A309" s="4">
        <v>33939</v>
      </c>
      <c r="B309" s="9">
        <f ca="1">Prices!C308*(1+J309/(50*(ABS(O309)+ABS(T309)+0.0001)))</f>
        <v>126.15351830770481</v>
      </c>
      <c r="C309" s="13">
        <f t="shared" ca="1" si="30"/>
        <v>1</v>
      </c>
      <c r="D309" s="9">
        <f ca="1">D308+C309*(Prices!C309-Prices!C308)/Prices!C308</f>
        <v>8.0438774236878174E-2</v>
      </c>
      <c r="E309" s="9">
        <f t="shared" ca="1" si="31"/>
        <v>4.4795664491913162E-2</v>
      </c>
      <c r="F309" s="9">
        <f t="shared" ca="1" si="32"/>
        <v>0.12523443872879134</v>
      </c>
      <c r="G309" s="13">
        <f ca="1">IF((Prices!C309-Prices!C308)*C309&gt;0,1,0)</f>
        <v>0</v>
      </c>
      <c r="H309" s="9">
        <f>ABS(Prices!C309-Prices!C308)/Prices!C308</f>
        <v>4.8096192384769086E-3</v>
      </c>
      <c r="I309" s="13"/>
      <c r="J309" s="1">
        <f t="shared" ca="1" si="33"/>
        <v>6.0532025377269428E-4</v>
      </c>
      <c r="K309" s="9"/>
      <c r="L309" s="9">
        <f ca="1">L308-O309*Prices!C309</f>
        <v>0.88822340401372157</v>
      </c>
      <c r="M309" s="1">
        <f t="shared" ca="1" si="34"/>
        <v>1.1220265417580444E-2</v>
      </c>
      <c r="N309" s="9">
        <f ca="1">IF(Prices!D308&gt;OFFSET(Prices!D308,-$N$3,0),1,IF(Prices!D308&lt;OFFSET(Prices!D308,-$N$3,0),-1,0))</f>
        <v>1</v>
      </c>
      <c r="O309" s="1">
        <f ca="1">IF(N309=1,O$3*L308/Prices!C308,O$3*M308*N309)</f>
        <v>7.9069159568586971E-4</v>
      </c>
      <c r="P309" s="14"/>
      <c r="Q309" s="9">
        <f ca="1">Q308-T309*Prices!C309</f>
        <v>1.1240152836075661</v>
      </c>
      <c r="R309" s="1">
        <f t="shared" ca="1" si="35"/>
        <v>9.083195753745596E-3</v>
      </c>
      <c r="S309" s="9">
        <f ca="1">IF(Prices!C308&lt;OFFSET(Prices!C308,-S$3,0),1,IF(Prices!C308&gt;OFFSET(Prices!C308,-S$3,0),-1,0))</f>
        <v>-1</v>
      </c>
      <c r="T309" s="1">
        <f ca="1">IF(S309=1,T$3*Q308/Prices!C308,T$3*R308*S309)</f>
        <v>-1.8537134191317544E-4</v>
      </c>
      <c r="V309" s="9"/>
      <c r="W309" s="1"/>
      <c r="X309" s="1"/>
      <c r="Y309" s="1"/>
      <c r="Z309" s="1"/>
      <c r="AA309" s="1"/>
      <c r="AB309" s="1"/>
      <c r="AC309" s="1"/>
      <c r="AD309" s="1"/>
      <c r="AE309" s="16"/>
    </row>
    <row r="310" spans="1:31" x14ac:dyDescent="0.2">
      <c r="A310" s="4">
        <v>33940</v>
      </c>
      <c r="B310" s="9">
        <f ca="1">Prices!C309*(1+J310/(50*(ABS(O310)+ABS(T310)+0.0001)))</f>
        <v>125.47921986837655</v>
      </c>
      <c r="C310" s="13">
        <f t="shared" ca="1" si="30"/>
        <v>1</v>
      </c>
      <c r="D310" s="9">
        <f ca="1">D309+C310*(Prices!C310-Prices!C309)/Prices!C309</f>
        <v>8.3177396870788678E-2</v>
      </c>
      <c r="E310" s="9">
        <f t="shared" ca="1" si="31"/>
        <v>4.2057041858002658E-2</v>
      </c>
      <c r="F310" s="9">
        <f t="shared" ca="1" si="32"/>
        <v>0.12523443872879134</v>
      </c>
      <c r="G310" s="13">
        <f ca="1">IF((Prices!C310-Prices!C309)*C310&gt;0,1,0)</f>
        <v>1</v>
      </c>
      <c r="H310" s="9">
        <f>ABS(Prices!C310-Prices!C309)/Prices!C309</f>
        <v>2.7386226339105048E-3</v>
      </c>
      <c r="I310" s="13"/>
      <c r="J310" s="1">
        <f t="shared" ca="1" si="33"/>
        <v>5.3377982557246744E-4</v>
      </c>
      <c r="K310" s="9"/>
      <c r="L310" s="9">
        <f ca="1">L309-O310*Prices!C310</f>
        <v>0.79915781274052933</v>
      </c>
      <c r="M310" s="1">
        <f t="shared" ca="1" si="34"/>
        <v>1.1935709158227824E-2</v>
      </c>
      <c r="N310" s="9">
        <f ca="1">IF(Prices!D309&gt;OFFSET(Prices!D309,-$N$3,0),1,IF(Prices!D309&lt;OFFSET(Prices!D309,-$N$3,0),-1,0))</f>
        <v>1</v>
      </c>
      <c r="O310" s="1">
        <f ca="1">IF(N310=1,O$3*L309/Prices!C309,O$3*M309*N310)</f>
        <v>7.1544374064737943E-4</v>
      </c>
      <c r="P310" s="14"/>
      <c r="Q310" s="9">
        <f ca="1">Q309-T310*Prices!C310</f>
        <v>1.1466306243952418</v>
      </c>
      <c r="R310" s="1">
        <f t="shared" ca="1" si="35"/>
        <v>8.901531838670684E-3</v>
      </c>
      <c r="S310" s="9">
        <f ca="1">IF(Prices!C309&lt;OFFSET(Prices!C309,-S$3,0),1,IF(Prices!C309&gt;OFFSET(Prices!C309,-S$3,0),-1,0))</f>
        <v>-1</v>
      </c>
      <c r="T310" s="1">
        <f ca="1">IF(S310=1,T$3*Q309/Prices!C309,T$3*R309*S310)</f>
        <v>-1.8166391507491193E-4</v>
      </c>
      <c r="V310" s="9"/>
      <c r="W310" s="1"/>
      <c r="X310" s="1"/>
      <c r="Y310" s="1"/>
      <c r="Z310" s="1"/>
      <c r="AA310" s="1"/>
      <c r="AB310" s="1"/>
      <c r="AC310" s="1"/>
      <c r="AD310" s="1"/>
      <c r="AE310" s="16"/>
    </row>
    <row r="311" spans="1:31" x14ac:dyDescent="0.2">
      <c r="A311" s="4">
        <v>33941</v>
      </c>
      <c r="B311" s="9">
        <f ca="1">Prices!C310*(1+J311/(50*(ABS(O311)+ABS(T311)+0.0001)))</f>
        <v>122.16938981877992</v>
      </c>
      <c r="C311" s="13">
        <f t="shared" ca="1" si="30"/>
        <v>-1</v>
      </c>
      <c r="D311" s="9">
        <f ca="1">D310+C311*(Prices!C311-Prices!C310)/Prices!C310</f>
        <v>8.1490514390268096E-2</v>
      </c>
      <c r="E311" s="9">
        <f t="shared" ca="1" si="31"/>
        <v>4.3743924338523241E-2</v>
      </c>
      <c r="F311" s="9">
        <f t="shared" ca="1" si="32"/>
        <v>0.12523443872879134</v>
      </c>
      <c r="G311" s="13">
        <f ca="1">IF((Prices!C311-Prices!C310)*C311&gt;0,1,0)</f>
        <v>0</v>
      </c>
      <c r="H311" s="9">
        <f>ABS(Prices!C311-Prices!C310)/Prices!C310</f>
        <v>1.6868824805205877E-3</v>
      </c>
      <c r="I311" s="13"/>
      <c r="J311" s="1">
        <f t="shared" ca="1" si="33"/>
        <v>-1.3716015525961963E-3</v>
      </c>
      <c r="K311" s="9"/>
      <c r="L311" s="9">
        <f ca="1">L310-O311*Prices!C311</f>
        <v>0.94799610594363037</v>
      </c>
      <c r="M311" s="1">
        <f t="shared" ca="1" si="34"/>
        <v>1.0742138242405042E-2</v>
      </c>
      <c r="N311" s="9">
        <f ca="1">IF(Prices!D310&gt;OFFSET(Prices!D310,-$N$3,0),1,IF(Prices!D310&lt;OFFSET(Prices!D310,-$N$3,0),-1,0))</f>
        <v>-1</v>
      </c>
      <c r="O311" s="1">
        <f ca="1">IF(N311=1,O$3*L310/Prices!C310,O$3*M310*N311)</f>
        <v>-1.1935709158227825E-3</v>
      </c>
      <c r="P311" s="14"/>
      <c r="Q311" s="9">
        <f ca="1">Q310-T311*Prices!C311</f>
        <v>1.1688310448008865</v>
      </c>
      <c r="R311" s="1">
        <f t="shared" ca="1" si="35"/>
        <v>8.7235012018972696E-3</v>
      </c>
      <c r="S311" s="9">
        <f ca="1">IF(Prices!C310&lt;OFFSET(Prices!C310,-S$3,0),1,IF(Prices!C310&gt;OFFSET(Prices!C310,-S$3,0),-1,0))</f>
        <v>-1</v>
      </c>
      <c r="T311" s="1">
        <f ca="1">IF(S311=1,T$3*Q310/Prices!C310,T$3*R310*S311)</f>
        <v>-1.7803063677341368E-4</v>
      </c>
      <c r="V311" s="9"/>
      <c r="W311" s="1"/>
      <c r="X311" s="1"/>
      <c r="Y311" s="1"/>
      <c r="Z311" s="1"/>
      <c r="AA311" s="1"/>
      <c r="AB311" s="1"/>
      <c r="AC311" s="1"/>
      <c r="AD311" s="1"/>
      <c r="AE311" s="16"/>
    </row>
    <row r="312" spans="1:31" x14ac:dyDescent="0.2">
      <c r="A312" s="4">
        <v>33942</v>
      </c>
      <c r="B312" s="9">
        <f ca="1">Prices!C311*(1+J312/(50*(ABS(O312)+ABS(T312)+0.0001)))</f>
        <v>122.39092102527835</v>
      </c>
      <c r="C312" s="13">
        <f t="shared" ca="1" si="30"/>
        <v>-1</v>
      </c>
      <c r="D312" s="9">
        <f ca="1">D311+C312*(Prices!C312-Prices!C311)/Prices!C311</f>
        <v>7.9485702842553574E-2</v>
      </c>
      <c r="E312" s="9">
        <f t="shared" ca="1" si="31"/>
        <v>4.5748735886237762E-2</v>
      </c>
      <c r="F312" s="9">
        <f t="shared" ca="1" si="32"/>
        <v>0.12523443872879134</v>
      </c>
      <c r="G312" s="13">
        <f ca="1">IF((Prices!C312-Prices!C311)*C312&gt;0,1,0)</f>
        <v>0</v>
      </c>
      <c r="H312" s="9">
        <f>ABS(Prices!C312-Prices!C311)/Prices!C311</f>
        <v>2.0048115477145148E-3</v>
      </c>
      <c r="I312" s="13"/>
      <c r="J312" s="1">
        <f t="shared" ca="1" si="33"/>
        <v>-1.2486838482784497E-3</v>
      </c>
      <c r="K312" s="9"/>
      <c r="L312" s="9">
        <f ca="1">L311-O312*Prices!C312</f>
        <v>1.0822191232824814</v>
      </c>
      <c r="M312" s="1">
        <f t="shared" ca="1" si="34"/>
        <v>9.6679244181645373E-3</v>
      </c>
      <c r="N312" s="9">
        <f ca="1">IF(Prices!D311&gt;OFFSET(Prices!D311,-$N$3,0),1,IF(Prices!D311&lt;OFFSET(Prices!D311,-$N$3,0),-1,0))</f>
        <v>-1</v>
      </c>
      <c r="O312" s="1">
        <f ca="1">IF(N312=1,O$3*L311/Prices!C311,O$3*M311*N312)</f>
        <v>-1.0742138242405043E-3</v>
      </c>
      <c r="P312" s="14"/>
      <c r="Q312" s="9">
        <f ca="1">Q311-T312*Prices!C312</f>
        <v>1.1906310743044277</v>
      </c>
      <c r="R312" s="1">
        <f t="shared" ca="1" si="35"/>
        <v>8.5490311778593248E-3</v>
      </c>
      <c r="S312" s="9">
        <f ca="1">IF(Prices!C311&lt;OFFSET(Prices!C311,-S$3,0),1,IF(Prices!C311&gt;OFFSET(Prices!C311,-S$3,0),-1,0))</f>
        <v>-1</v>
      </c>
      <c r="T312" s="1">
        <f ca="1">IF(S312=1,T$3*Q311/Prices!C311,T$3*R311*S312)</f>
        <v>-1.7447002403794538E-4</v>
      </c>
      <c r="V312" s="9"/>
      <c r="W312" s="1"/>
      <c r="X312" s="1"/>
      <c r="Y312" s="1"/>
      <c r="Z312" s="1"/>
      <c r="AA312" s="1"/>
      <c r="AB312" s="1"/>
      <c r="AC312" s="1"/>
      <c r="AD312" s="1"/>
      <c r="AE312" s="16"/>
    </row>
    <row r="313" spans="1:31" x14ac:dyDescent="0.2">
      <c r="A313" s="4">
        <v>33945</v>
      </c>
      <c r="B313" s="9">
        <f ca="1">Prices!C312*(1+J313/(50*(ABS(O313)+ABS(T313)+0.0001)))</f>
        <v>122.65289484404767</v>
      </c>
      <c r="C313" s="13">
        <f t="shared" ca="1" si="30"/>
        <v>-1</v>
      </c>
      <c r="D313" s="9">
        <f ca="1">D312+C313*(Prices!C313-Prices!C312)/Prices!C312</f>
        <v>8.8449288276727281E-2</v>
      </c>
      <c r="E313" s="9">
        <f t="shared" ca="1" si="31"/>
        <v>3.6785150452064055E-2</v>
      </c>
      <c r="F313" s="9">
        <f t="shared" ca="1" si="32"/>
        <v>0.12523443872879134</v>
      </c>
      <c r="G313" s="13">
        <f ca="1">IF((Prices!C313-Prices!C312)*C313&gt;0,1,0)</f>
        <v>1</v>
      </c>
      <c r="H313" s="9">
        <f>ABS(Prices!C313-Prices!C312)/Prices!C312</f>
        <v>8.9635854341737053E-3</v>
      </c>
      <c r="I313" s="13"/>
      <c r="J313" s="1">
        <f t="shared" ca="1" si="33"/>
        <v>-1.1377730653736404E-3</v>
      </c>
      <c r="K313" s="9"/>
      <c r="L313" s="9">
        <f ca="1">L312-O313*Prices!C313</f>
        <v>1.2019370313526128</v>
      </c>
      <c r="M313" s="1">
        <f t="shared" ca="1" si="34"/>
        <v>8.7011319763480831E-3</v>
      </c>
      <c r="N313" s="9">
        <f ca="1">IF(Prices!D312&gt;OFFSET(Prices!D312,-$N$3,0),1,IF(Prices!D312&lt;OFFSET(Prices!D312,-$N$3,0),-1,0))</f>
        <v>-1</v>
      </c>
      <c r="O313" s="1">
        <f ca="1">IF(N313=1,O$3*L312/Prices!C312,O$3*M312*N313)</f>
        <v>-9.6679244181645382E-4</v>
      </c>
      <c r="P313" s="14"/>
      <c r="Q313" s="9">
        <f ca="1">Q312-T313*Prices!C313</f>
        <v>1.2118036049195142</v>
      </c>
      <c r="R313" s="1">
        <f t="shared" ca="1" si="35"/>
        <v>8.3780505543021386E-3</v>
      </c>
      <c r="S313" s="9">
        <f ca="1">IF(Prices!C312&lt;OFFSET(Prices!C312,-S$3,0),1,IF(Prices!C312&gt;OFFSET(Prices!C312,-S$3,0),-1,0))</f>
        <v>-1</v>
      </c>
      <c r="T313" s="1">
        <f ca="1">IF(S313=1,T$3*Q312/Prices!C312,T$3*R312*S313)</f>
        <v>-1.7098062355718651E-4</v>
      </c>
      <c r="V313" s="9"/>
      <c r="W313" s="1"/>
      <c r="X313" s="1"/>
      <c r="Y313" s="1"/>
      <c r="Z313" s="1"/>
      <c r="AA313" s="1"/>
      <c r="AB313" s="1"/>
      <c r="AC313" s="1"/>
      <c r="AD313" s="1"/>
      <c r="AE313" s="16"/>
    </row>
    <row r="314" spans="1:31" x14ac:dyDescent="0.2">
      <c r="A314" s="4">
        <v>33946</v>
      </c>
      <c r="B314" s="9">
        <f ca="1">Prices!C313*(1+J314/(50*(ABS(O314)+ABS(T314)+0.0001)))</f>
        <v>122.39737639614034</v>
      </c>
      <c r="C314" s="13">
        <f t="shared" ca="1" si="30"/>
        <v>-1</v>
      </c>
      <c r="D314" s="9">
        <f ca="1">D313+C314*(Prices!C314-Prices!C313)/Prices!C313</f>
        <v>8.8691555901697E-2</v>
      </c>
      <c r="E314" s="9">
        <f t="shared" ca="1" si="31"/>
        <v>3.6542882827094336E-2</v>
      </c>
      <c r="F314" s="9">
        <f t="shared" ca="1" si="32"/>
        <v>0.12523443872879134</v>
      </c>
      <c r="G314" s="13">
        <f ca="1">IF((Prices!C314-Prices!C313)*C314&gt;0,1,0)</f>
        <v>1</v>
      </c>
      <c r="H314" s="9">
        <f>ABS(Prices!C314-Prices!C313)/Prices!C313</f>
        <v>2.4226762496972574E-4</v>
      </c>
      <c r="I314" s="13"/>
      <c r="J314" s="1">
        <f t="shared" ca="1" si="33"/>
        <v>-6.7439267677241394E-4</v>
      </c>
      <c r="K314" s="9"/>
      <c r="L314" s="9">
        <f ca="1">L313-O314*Prices!C314</f>
        <v>1.309657045219802</v>
      </c>
      <c r="M314" s="1">
        <f t="shared" ca="1" si="34"/>
        <v>7.8310187787132748E-3</v>
      </c>
      <c r="N314" s="9">
        <f ca="1">IF(Prices!D313&gt;OFFSET(Prices!D313,-$N$3,0),1,IF(Prices!D313&lt;OFFSET(Prices!D313,-$N$3,0),-1,0))</f>
        <v>-1</v>
      </c>
      <c r="O314" s="1">
        <f ca="1">IF(N314=1,O$3*L313/Prices!C313,O$3*M313*N314)</f>
        <v>-8.7011319763480831E-4</v>
      </c>
      <c r="P314" s="14"/>
      <c r="Q314" s="9">
        <f ca="1">Q313-T314*Prices!C314</f>
        <v>1.1875734044367499</v>
      </c>
      <c r="R314" s="1">
        <f t="shared" ca="1" si="35"/>
        <v>8.5737710751645334E-3</v>
      </c>
      <c r="S314" s="9">
        <f ca="1">IF(Prices!C313&lt;OFFSET(Prices!C313,-S$3,0),1,IF(Prices!C313&gt;OFFSET(Prices!C313,-S$3,0),-1,0))</f>
        <v>1</v>
      </c>
      <c r="T314" s="1">
        <f ca="1">IF(S314=1,T$3*Q313/Prices!C313,T$3*R313*S314)</f>
        <v>1.9572052086239432E-4</v>
      </c>
      <c r="V314" s="9"/>
      <c r="W314" s="1"/>
      <c r="X314" s="1"/>
      <c r="Y314" s="1"/>
      <c r="Z314" s="1"/>
      <c r="AA314" s="1"/>
      <c r="AB314" s="1"/>
      <c r="AC314" s="1"/>
      <c r="AD314" s="1"/>
      <c r="AE314" s="16"/>
    </row>
    <row r="315" spans="1:31" x14ac:dyDescent="0.2">
      <c r="A315" s="4">
        <v>33947</v>
      </c>
      <c r="B315" s="9">
        <f ca="1">Prices!C314*(1+J315/(50*(ABS(O315)+ABS(T315)+0.0001)))</f>
        <v>122.43814734518979</v>
      </c>
      <c r="C315" s="13">
        <f t="shared" ca="1" si="30"/>
        <v>-1</v>
      </c>
      <c r="D315" s="9">
        <f ca="1">D314+C315*(Prices!C315-Prices!C314)/Prices!C314</f>
        <v>8.6672169795073417E-2</v>
      </c>
      <c r="E315" s="9">
        <f t="shared" ca="1" si="31"/>
        <v>3.8562268933717919E-2</v>
      </c>
      <c r="F315" s="9">
        <f t="shared" ca="1" si="32"/>
        <v>0.12523443872879134</v>
      </c>
      <c r="G315" s="13">
        <f ca="1">IF((Prices!C315-Prices!C314)*C315&gt;0,1,0)</f>
        <v>0</v>
      </c>
      <c r="H315" s="9">
        <f>ABS(Prices!C315-Prices!C314)/Prices!C314</f>
        <v>2.0193861066235864E-3</v>
      </c>
      <c r="I315" s="13"/>
      <c r="J315" s="1">
        <f t="shared" ca="1" si="33"/>
        <v>-5.9124833919010781E-4</v>
      </c>
      <c r="K315" s="9"/>
      <c r="L315" s="9">
        <f ca="1">L314-O315*Prices!C315</f>
        <v>1.4068008331697401</v>
      </c>
      <c r="M315" s="1">
        <f t="shared" ca="1" si="34"/>
        <v>7.0479169008419475E-3</v>
      </c>
      <c r="N315" s="9">
        <f ca="1">IF(Prices!D314&gt;OFFSET(Prices!D314,-$N$3,0),1,IF(Prices!D314&lt;OFFSET(Prices!D314,-$N$3,0),-1,0))</f>
        <v>-1</v>
      </c>
      <c r="O315" s="1">
        <f ca="1">IF(N315=1,O$3*L314/Prices!C314,O$3*M314*N315)</f>
        <v>-7.8310187787132752E-4</v>
      </c>
      <c r="P315" s="14"/>
      <c r="Q315" s="9">
        <f ca="1">Q314-T315*Prices!C315</f>
        <v>1.1637739729633445</v>
      </c>
      <c r="R315" s="1">
        <f t="shared" ca="1" si="35"/>
        <v>8.7656246138457534E-3</v>
      </c>
      <c r="S315" s="9">
        <f ca="1">IF(Prices!C314&lt;OFFSET(Prices!C314,-S$3,0),1,IF(Prices!C314&gt;OFFSET(Prices!C314,-S$3,0),-1,0))</f>
        <v>1</v>
      </c>
      <c r="T315" s="1">
        <f ca="1">IF(S315=1,T$3*Q314/Prices!C314,T$3*R314*S315)</f>
        <v>1.9185353868121969E-4</v>
      </c>
      <c r="V315" s="9"/>
      <c r="W315" s="1"/>
      <c r="X315" s="1"/>
      <c r="Y315" s="1"/>
      <c r="Z315" s="1"/>
      <c r="AA315" s="1"/>
      <c r="AB315" s="1"/>
      <c r="AC315" s="1"/>
      <c r="AD315" s="1"/>
      <c r="AE315" s="16"/>
    </row>
    <row r="316" spans="1:31" x14ac:dyDescent="0.2">
      <c r="A316" s="4">
        <v>33948</v>
      </c>
      <c r="B316" s="9">
        <f ca="1">Prices!C315*(1+J316/(50*(ABS(O316)+ABS(T316)+0.0001)))</f>
        <v>122.75712335648558</v>
      </c>
      <c r="C316" s="13">
        <f t="shared" ca="1" si="30"/>
        <v>-1</v>
      </c>
      <c r="D316" s="9">
        <f ca="1">D315+C316*(Prices!C316-Prices!C315)/Prices!C315</f>
        <v>8.9413000105432169E-2</v>
      </c>
      <c r="E316" s="9">
        <f t="shared" ca="1" si="31"/>
        <v>3.5821438623359167E-2</v>
      </c>
      <c r="F316" s="9">
        <f t="shared" ca="1" si="32"/>
        <v>0.12523443872879134</v>
      </c>
      <c r="G316" s="13">
        <f ca="1">IF((Prices!C316-Prices!C315)*C316&gt;0,1,0)</f>
        <v>1</v>
      </c>
      <c r="H316" s="9">
        <f>ABS(Prices!C316-Prices!C315)/Prices!C315</f>
        <v>2.740830310358754E-3</v>
      </c>
      <c r="I316" s="13"/>
      <c r="J316" s="1">
        <f t="shared" ca="1" si="33"/>
        <v>-5.1716186776039883E-4</v>
      </c>
      <c r="K316" s="9"/>
      <c r="L316" s="9">
        <f ca="1">L315-O316*Prices!C316</f>
        <v>1.4939906131500558</v>
      </c>
      <c r="M316" s="1">
        <f t="shared" ca="1" si="34"/>
        <v>6.3431252107577531E-3</v>
      </c>
      <c r="N316" s="9">
        <f ca="1">IF(Prices!D315&gt;OFFSET(Prices!D315,-$N$3,0),1,IF(Prices!D315&lt;OFFSET(Prices!D315,-$N$3,0),-1,0))</f>
        <v>-1</v>
      </c>
      <c r="O316" s="1">
        <f ca="1">IF(N316=1,O$3*L315/Prices!C315,O$3*M315*N316)</f>
        <v>-7.0479169008419483E-4</v>
      </c>
      <c r="P316" s="14"/>
      <c r="Q316" s="9">
        <f ca="1">Q315-T316*Prices!C316</f>
        <v>1.1405622876436676</v>
      </c>
      <c r="R316" s="1">
        <f t="shared" ca="1" si="35"/>
        <v>8.9532544361695492E-3</v>
      </c>
      <c r="S316" s="9">
        <f ca="1">IF(Prices!C315&lt;OFFSET(Prices!C315,-S$3,0),1,IF(Prices!C315&gt;OFFSET(Prices!C315,-S$3,0),-1,0))</f>
        <v>1</v>
      </c>
      <c r="T316" s="1">
        <f ca="1">IF(S316=1,T$3*Q315/Prices!C315,T$3*R315*S316)</f>
        <v>1.8762982232379597E-4</v>
      </c>
      <c r="V316" s="9"/>
      <c r="W316" s="1"/>
      <c r="X316" s="1"/>
      <c r="Y316" s="1"/>
      <c r="Z316" s="1"/>
      <c r="AA316" s="1"/>
      <c r="AB316" s="1"/>
      <c r="AC316" s="1"/>
      <c r="AD316" s="1"/>
      <c r="AE316" s="16"/>
    </row>
    <row r="317" spans="1:31" x14ac:dyDescent="0.2">
      <c r="A317" s="4">
        <v>33949</v>
      </c>
      <c r="B317" s="9">
        <f ca="1">Prices!C316*(1+J317/(50*(ABS(O317)+ABS(T317)+0.0001)))</f>
        <v>126.01837427969156</v>
      </c>
      <c r="C317" s="13">
        <f t="shared" ca="1" si="30"/>
        <v>1</v>
      </c>
      <c r="D317" s="9">
        <f ca="1">D316+C317*(Prices!C317-Prices!C316)/Prices!C316</f>
        <v>9.1110518495214787E-2</v>
      </c>
      <c r="E317" s="9">
        <f t="shared" ca="1" si="31"/>
        <v>3.4123920233576549E-2</v>
      </c>
      <c r="F317" s="9">
        <f t="shared" ca="1" si="32"/>
        <v>0.12523443872879134</v>
      </c>
      <c r="G317" s="13">
        <f ca="1">IF((Prices!C317-Prices!C316)*C317&gt;0,1,0)</f>
        <v>1</v>
      </c>
      <c r="H317" s="9">
        <f>ABS(Prices!C317-Prices!C316)/Prices!C316</f>
        <v>1.6975183897826203E-3</v>
      </c>
      <c r="I317" s="13"/>
      <c r="J317" s="1">
        <f t="shared" ca="1" si="33"/>
        <v>1.3920483959896446E-3</v>
      </c>
      <c r="K317" s="9"/>
      <c r="L317" s="9">
        <f ca="1">L316-O317*Prices!C317</f>
        <v>1.3443379441810517</v>
      </c>
      <c r="M317" s="1">
        <f t="shared" ca="1" si="34"/>
        <v>7.5507807059885801E-3</v>
      </c>
      <c r="N317" s="9">
        <f ca="1">IF(Prices!D316&gt;OFFSET(Prices!D316,-$N$3,0),1,IF(Prices!D316&lt;OFFSET(Prices!D316,-$N$3,0),-1,0))</f>
        <v>1</v>
      </c>
      <c r="O317" s="1">
        <f ca="1">IF(N317=1,O$3*L316/Prices!C316,O$3*M316*N317)</f>
        <v>1.2076554952308268E-3</v>
      </c>
      <c r="P317" s="14"/>
      <c r="Q317" s="9">
        <f ca="1">Q316-T317*Prices!C317</f>
        <v>1.117712319381635</v>
      </c>
      <c r="R317" s="1">
        <f t="shared" ca="1" si="35"/>
        <v>9.1376473369283676E-3</v>
      </c>
      <c r="S317" s="9">
        <f ca="1">IF(Prices!C316&lt;OFFSET(Prices!C316,-S$3,0),1,IF(Prices!C316&gt;OFFSET(Prices!C316,-S$3,0),-1,0))</f>
        <v>1</v>
      </c>
      <c r="T317" s="1">
        <f ca="1">IF(S317=1,T$3*Q316/Prices!C316,T$3*R316*S317)</f>
        <v>1.8439290075881781E-4</v>
      </c>
      <c r="V317" s="9"/>
      <c r="W317" s="1"/>
      <c r="X317" s="1"/>
      <c r="Y317" s="1"/>
      <c r="Z317" s="1"/>
      <c r="AA317" s="1"/>
      <c r="AB317" s="1"/>
      <c r="AC317" s="1"/>
      <c r="AD317" s="1"/>
      <c r="AE317" s="16"/>
    </row>
    <row r="318" spans="1:31" x14ac:dyDescent="0.2">
      <c r="A318" s="4">
        <v>33952</v>
      </c>
      <c r="B318" s="9">
        <f ca="1">Prices!C317*(1+J318/(50*(ABS(O318)+ABS(T318)+0.0001)))</f>
        <v>125.55479595910727</v>
      </c>
      <c r="C318" s="13">
        <f t="shared" ca="1" si="30"/>
        <v>1</v>
      </c>
      <c r="D318" s="9">
        <f ca="1">D317+C318*(Prices!C318-Prices!C317)/Prices!C317</f>
        <v>8.9335179566873937E-2</v>
      </c>
      <c r="E318" s="9">
        <f t="shared" ca="1" si="31"/>
        <v>3.5899259161917399E-2</v>
      </c>
      <c r="F318" s="9">
        <f t="shared" ca="1" si="32"/>
        <v>0.12523443872879134</v>
      </c>
      <c r="G318" s="13">
        <f ca="1">IF((Prices!C318-Prices!C317)*C318&gt;0,1,0)</f>
        <v>0</v>
      </c>
      <c r="H318" s="9">
        <f>ABS(Prices!C318-Prices!C317)/Prices!C317</f>
        <v>1.7753389283408558E-3</v>
      </c>
      <c r="I318" s="13"/>
      <c r="J318" s="1">
        <f t="shared" ca="1" si="33"/>
        <v>9.0209045560250096E-4</v>
      </c>
      <c r="K318" s="9"/>
      <c r="L318" s="9">
        <f ca="1">L317-O318*Prices!C318</f>
        <v>1.2101428153114615</v>
      </c>
      <c r="M318" s="1">
        <f t="shared" ca="1" si="34"/>
        <v>8.6356241083296488E-3</v>
      </c>
      <c r="N318" s="9">
        <f ca="1">IF(Prices!D317&gt;OFFSET(Prices!D317,-$N$3,0),1,IF(Prices!D317&lt;OFFSET(Prices!D317,-$N$3,0),-1,0))</f>
        <v>1</v>
      </c>
      <c r="O318" s="1">
        <f ca="1">IF(N318=1,O$3*L317/Prices!C317,O$3*M317*N318)</f>
        <v>1.0848434023410683E-3</v>
      </c>
      <c r="P318" s="14"/>
      <c r="Q318" s="9">
        <f ca="1">Q317-T318*Prices!C318</f>
        <v>1.1403188588931958</v>
      </c>
      <c r="R318" s="1">
        <f t="shared" ca="1" si="35"/>
        <v>8.9548943901898003E-3</v>
      </c>
      <c r="S318" s="9">
        <f ca="1">IF(Prices!C317&lt;OFFSET(Prices!C317,-S$3,0),1,IF(Prices!C317&gt;OFFSET(Prices!C317,-S$3,0),-1,0))</f>
        <v>-1</v>
      </c>
      <c r="T318" s="1">
        <f ca="1">IF(S318=1,T$3*Q317/Prices!C317,T$3*R317*S318)</f>
        <v>-1.8275294673856734E-4</v>
      </c>
      <c r="V318" s="9"/>
      <c r="W318" s="1"/>
      <c r="X318" s="1"/>
      <c r="Y318" s="1"/>
      <c r="Z318" s="1"/>
      <c r="AA318" s="1"/>
      <c r="AB318" s="1"/>
      <c r="AC318" s="1"/>
      <c r="AD318" s="1"/>
      <c r="AE318" s="16"/>
    </row>
    <row r="319" spans="1:31" x14ac:dyDescent="0.2">
      <c r="A319" s="4">
        <v>33953</v>
      </c>
      <c r="B319" s="9">
        <f ca="1">Prices!C318*(1+J319/(50*(ABS(O319)+ABS(T319)+0.0001)))</f>
        <v>125.97806395457351</v>
      </c>
      <c r="C319" s="13">
        <f t="shared" ca="1" si="30"/>
        <v>1</v>
      </c>
      <c r="D319" s="9">
        <f ca="1">D318+C319*(Prices!C319-Prices!C318)/Prices!C318</f>
        <v>9.2487968572532789E-2</v>
      </c>
      <c r="E319" s="9">
        <f t="shared" ca="1" si="31"/>
        <v>3.2746470156258548E-2</v>
      </c>
      <c r="F319" s="9">
        <f t="shared" ca="1" si="32"/>
        <v>0.12523443872879134</v>
      </c>
      <c r="G319" s="13">
        <f ca="1">IF((Prices!C319-Prices!C318)*C319&gt;0,1,0)</f>
        <v>1</v>
      </c>
      <c r="H319" s="9">
        <f>ABS(Prices!C319-Prices!C318)/Prices!C318</f>
        <v>3.1527890056588567E-3</v>
      </c>
      <c r="I319" s="13"/>
      <c r="J319" s="1">
        <f t="shared" ca="1" si="33"/>
        <v>1.1626569014471307E-3</v>
      </c>
      <c r="K319" s="9"/>
      <c r="L319" s="9">
        <f ca="1">L318-O319*Prices!C319</f>
        <v>1.0887470012839762</v>
      </c>
      <c r="M319" s="1">
        <f t="shared" ca="1" si="34"/>
        <v>9.6139125604811949E-3</v>
      </c>
      <c r="N319" s="9">
        <f ca="1">IF(Prices!D318&gt;OFFSET(Prices!D318,-$N$3,0),1,IF(Prices!D318&lt;OFFSET(Prices!D318,-$N$3,0),-1,0))</f>
        <v>1</v>
      </c>
      <c r="O319" s="1">
        <f ca="1">IF(N319=1,O$3*L318/Prices!C318,O$3*M318*N319)</f>
        <v>9.7828845215154527E-4</v>
      </c>
      <c r="P319" s="14"/>
      <c r="Q319" s="9">
        <f ca="1">Q318-T319*Prices!C319</f>
        <v>1.1174405780201067</v>
      </c>
      <c r="R319" s="1">
        <f t="shared" ca="1" si="35"/>
        <v>9.1392628394853861E-3</v>
      </c>
      <c r="S319" s="9">
        <f ca="1">IF(Prices!C318&lt;OFFSET(Prices!C318,-S$3,0),1,IF(Prices!C318&gt;OFFSET(Prices!C318,-S$3,0),-1,0))</f>
        <v>1</v>
      </c>
      <c r="T319" s="1">
        <f ca="1">IF(S319=1,T$3*Q318/Prices!C318,T$3*R318*S319)</f>
        <v>1.8436844929558543E-4</v>
      </c>
      <c r="V319" s="9"/>
      <c r="W319" s="1"/>
      <c r="X319" s="1"/>
      <c r="Y319" s="1"/>
      <c r="Z319" s="1"/>
      <c r="AA319" s="1"/>
      <c r="AB319" s="1"/>
      <c r="AC319" s="1"/>
      <c r="AD319" s="1"/>
      <c r="AE319" s="16"/>
    </row>
    <row r="320" spans="1:31" x14ac:dyDescent="0.2">
      <c r="A320" s="4">
        <v>33954</v>
      </c>
      <c r="B320" s="9">
        <f ca="1">Prices!C319*(1+J320/(50*(ABS(O320)+ABS(T320)+0.0001)))</f>
        <v>125.57586605829687</v>
      </c>
      <c r="C320" s="13">
        <f t="shared" ca="1" si="30"/>
        <v>1</v>
      </c>
      <c r="D320" s="9">
        <f ca="1">D319+C320*(Prices!C320-Prices!C319)/Prices!C319</f>
        <v>8.370402143738892E-2</v>
      </c>
      <c r="E320" s="9">
        <f t="shared" ca="1" si="31"/>
        <v>4.1530417291402416E-2</v>
      </c>
      <c r="F320" s="9">
        <f t="shared" ca="1" si="32"/>
        <v>0.12523443872879134</v>
      </c>
      <c r="G320" s="13">
        <f ca="1">IF((Prices!C320-Prices!C319)*C320&gt;0,1,0)</f>
        <v>0</v>
      </c>
      <c r="H320" s="9">
        <f>ABS(Prices!C320-Prices!C319)/Prices!C319</f>
        <v>8.7839471351438738E-3</v>
      </c>
      <c r="I320" s="13"/>
      <c r="J320" s="1">
        <f t="shared" ca="1" si="33"/>
        <v>6.9459970677220387E-4</v>
      </c>
      <c r="K320" s="9"/>
      <c r="L320" s="9">
        <f ca="1">L319-O320*Prices!C320</f>
        <v>0.98082865076586101</v>
      </c>
      <c r="M320" s="1">
        <f t="shared" ca="1" si="34"/>
        <v>1.0491297524043106E-2</v>
      </c>
      <c r="N320" s="9">
        <f ca="1">IF(Prices!D319&gt;OFFSET(Prices!D319,-$N$3,0),1,IF(Prices!D319&lt;OFFSET(Prices!D319,-$N$3,0),-1,0))</f>
        <v>1</v>
      </c>
      <c r="O320" s="1">
        <f ca="1">IF(N320=1,O$3*L319/Prices!C319,O$3*M319*N320)</f>
        <v>8.7738496356191162E-4</v>
      </c>
      <c r="P320" s="14"/>
      <c r="Q320" s="9">
        <f ca="1">Q319-T320*Prices!C320</f>
        <v>1.1399231646052408</v>
      </c>
      <c r="R320" s="1">
        <f t="shared" ca="1" si="35"/>
        <v>8.956477582695679E-3</v>
      </c>
      <c r="S320" s="9">
        <f ca="1">IF(Prices!C319&lt;OFFSET(Prices!C319,-S$3,0),1,IF(Prices!C319&gt;OFFSET(Prices!C319,-S$3,0),-1,0))</f>
        <v>-1</v>
      </c>
      <c r="T320" s="1">
        <f ca="1">IF(S320=1,T$3*Q319/Prices!C319,T$3*R319*S320)</f>
        <v>-1.8278525678970772E-4</v>
      </c>
      <c r="V320" s="9"/>
      <c r="W320" s="1"/>
      <c r="X320" s="1"/>
      <c r="Y320" s="1"/>
      <c r="Z320" s="1"/>
      <c r="AA320" s="1"/>
      <c r="AB320" s="1"/>
      <c r="AC320" s="1"/>
      <c r="AD320" s="1"/>
      <c r="AE320" s="16"/>
    </row>
    <row r="321" spans="1:31" x14ac:dyDescent="0.2">
      <c r="A321" s="4">
        <v>33955</v>
      </c>
      <c r="B321" s="9">
        <f ca="1">Prices!C320*(1+J321/(50*(ABS(O321)+ABS(T321)+0.0001)))</f>
        <v>121.40770564635514</v>
      </c>
      <c r="C321" s="13">
        <f t="shared" ca="1" si="30"/>
        <v>-1</v>
      </c>
      <c r="D321" s="9">
        <f ca="1">D320+C321*(Prices!C321-Prices!C320)/Prices!C320</f>
        <v>8.5980444201616574E-2</v>
      </c>
      <c r="E321" s="9">
        <f t="shared" ca="1" si="31"/>
        <v>3.9253994527174763E-2</v>
      </c>
      <c r="F321" s="9">
        <f t="shared" ca="1" si="32"/>
        <v>0.12523443872879134</v>
      </c>
      <c r="G321" s="13">
        <f ca="1">IF((Prices!C321-Prices!C320)*C321&gt;0,1,0)</f>
        <v>1</v>
      </c>
      <c r="H321" s="9">
        <f>ABS(Prices!C321-Prices!C320)/Prices!C320</f>
        <v>2.2764227642276514E-3</v>
      </c>
      <c r="I321" s="13"/>
      <c r="J321" s="1">
        <f t="shared" ca="1" si="33"/>
        <v>-8.6377639230589753E-4</v>
      </c>
      <c r="K321" s="9"/>
      <c r="L321" s="9">
        <f ca="1">L320-O321*Prices!C321</f>
        <v>1.109577853980918</v>
      </c>
      <c r="M321" s="1">
        <f t="shared" ca="1" si="34"/>
        <v>9.4421677716387958E-3</v>
      </c>
      <c r="N321" s="9">
        <f ca="1">IF(Prices!D320&gt;OFFSET(Prices!D320,-$N$3,0),1,IF(Prices!D320&lt;OFFSET(Prices!D320,-$N$3,0),-1,0))</f>
        <v>-1</v>
      </c>
      <c r="O321" s="1">
        <f ca="1">IF(N321=1,O$3*L320/Prices!C320,O$3*M320*N321)</f>
        <v>-1.0491297524043107E-3</v>
      </c>
      <c r="P321" s="14"/>
      <c r="Q321" s="9">
        <f ca="1">Q320-T321*Prices!C321</f>
        <v>1.1171766002539636</v>
      </c>
      <c r="R321" s="1">
        <f t="shared" ca="1" si="35"/>
        <v>9.1418309427940929E-3</v>
      </c>
      <c r="S321" s="9">
        <f ca="1">IF(Prices!C320&lt;OFFSET(Prices!C320,-S$3,0),1,IF(Prices!C320&gt;OFFSET(Prices!C320,-S$3,0),-1,0))</f>
        <v>1</v>
      </c>
      <c r="T321" s="1">
        <f ca="1">IF(S321=1,T$3*Q320/Prices!C320,T$3*R320*S321)</f>
        <v>1.8535336009841316E-4</v>
      </c>
      <c r="V321" s="9"/>
      <c r="W321" s="1"/>
      <c r="X321" s="1"/>
      <c r="Y321" s="1"/>
      <c r="Z321" s="1"/>
      <c r="AA321" s="1"/>
      <c r="AB321" s="1"/>
      <c r="AC321" s="1"/>
      <c r="AD321" s="1"/>
      <c r="AE321" s="16"/>
    </row>
    <row r="322" spans="1:31" x14ac:dyDescent="0.2">
      <c r="A322" s="4">
        <v>33956</v>
      </c>
      <c r="B322" s="9">
        <f ca="1">Prices!C321*(1+J322/(50*(ABS(O322)+ABS(T322)+0.0001)))</f>
        <v>121.1945686933345</v>
      </c>
      <c r="C322" s="13">
        <f t="shared" ca="1" si="30"/>
        <v>-1</v>
      </c>
      <c r="D322" s="9">
        <f ca="1">D321+C322*(Prices!C322-Prices!C321)/Prices!C321</f>
        <v>8.2069101307222794E-2</v>
      </c>
      <c r="E322" s="9">
        <f t="shared" ca="1" si="31"/>
        <v>4.3165337421568542E-2</v>
      </c>
      <c r="F322" s="9">
        <f t="shared" ca="1" si="32"/>
        <v>0.12523443872879134</v>
      </c>
      <c r="G322" s="13">
        <f ca="1">IF((Prices!C322-Prices!C321)*C322&gt;0,1,0)</f>
        <v>0</v>
      </c>
      <c r="H322" s="9">
        <f>ABS(Prices!C322-Prices!C321)/Prices!C321</f>
        <v>3.9113428943937743E-3</v>
      </c>
      <c r="I322" s="13"/>
      <c r="J322" s="1">
        <f t="shared" ca="1" si="33"/>
        <v>-7.6214757894778383E-4</v>
      </c>
      <c r="K322" s="9"/>
      <c r="L322" s="9">
        <f ca="1">L321-O322*Prices!C322</f>
        <v>1.2259053609275079</v>
      </c>
      <c r="M322" s="1">
        <f t="shared" ca="1" si="34"/>
        <v>8.4979509944749163E-3</v>
      </c>
      <c r="N322" s="9">
        <f ca="1">IF(Prices!D321&gt;OFFSET(Prices!D321,-$N$3,0),1,IF(Prices!D321&lt;OFFSET(Prices!D321,-$N$3,0),-1,0))</f>
        <v>-1</v>
      </c>
      <c r="O322" s="1">
        <f ca="1">IF(N322=1,O$3*L321/Prices!C321,O$3*M321*N322)</f>
        <v>-9.4421677716387958E-4</v>
      </c>
      <c r="P322" s="14"/>
      <c r="Q322" s="9">
        <f ca="1">Q321-T322*Prices!C322</f>
        <v>1.0947456750337405</v>
      </c>
      <c r="R322" s="1">
        <f t="shared" ca="1" si="35"/>
        <v>9.3239001410101892E-3</v>
      </c>
      <c r="S322" s="9">
        <f ca="1">IF(Prices!C321&lt;OFFSET(Prices!C321,-S$3,0),1,IF(Prices!C321&gt;OFFSET(Prices!C321,-S$3,0),-1,0))</f>
        <v>1</v>
      </c>
      <c r="T322" s="1">
        <f ca="1">IF(S322=1,T$3*Q321/Prices!C321,T$3*R321*S322)</f>
        <v>1.8206919821609578E-4</v>
      </c>
      <c r="V322" s="9"/>
      <c r="W322" s="1"/>
      <c r="X322" s="1"/>
      <c r="Y322" s="1"/>
      <c r="Z322" s="1"/>
      <c r="AA322" s="1"/>
      <c r="AB322" s="1"/>
      <c r="AC322" s="1"/>
      <c r="AD322" s="1"/>
      <c r="AE322" s="16"/>
    </row>
    <row r="323" spans="1:31" x14ac:dyDescent="0.2">
      <c r="A323" s="4">
        <v>33959</v>
      </c>
      <c r="B323" s="9">
        <f ca="1">Prices!C322*(1+J323/(50*(ABS(O323)+ABS(T323)+0.0001)))</f>
        <v>121.73128430221995</v>
      </c>
      <c r="C323" s="13">
        <f t="shared" ca="1" si="30"/>
        <v>-1</v>
      </c>
      <c r="D323" s="9">
        <f ca="1">D322+C323*(Prices!C323-Prices!C322)/Prices!C322</f>
        <v>8.2880789618911169E-2</v>
      </c>
      <c r="E323" s="9">
        <f t="shared" ca="1" si="31"/>
        <v>4.2353649109880168E-2</v>
      </c>
      <c r="F323" s="9">
        <f t="shared" ca="1" si="32"/>
        <v>0.12523443872879134</v>
      </c>
      <c r="G323" s="13">
        <f ca="1">IF((Prices!C323-Prices!C322)*C323&gt;0,1,0)</f>
        <v>1</v>
      </c>
      <c r="H323" s="9">
        <f>ABS(Prices!C323-Prices!C322)/Prices!C322</f>
        <v>8.1168831168838091E-4</v>
      </c>
      <c r="I323" s="13"/>
      <c r="J323" s="1">
        <f t="shared" ca="1" si="33"/>
        <v>-6.7207664570824812E-4</v>
      </c>
      <c r="K323" s="9"/>
      <c r="L323" s="9">
        <f ca="1">L322-O323*Prices!C323</f>
        <v>1.3305151376694941</v>
      </c>
      <c r="M323" s="1">
        <f t="shared" ca="1" si="34"/>
        <v>7.6481558950274248E-3</v>
      </c>
      <c r="N323" s="9">
        <f ca="1">IF(Prices!D322&gt;OFFSET(Prices!D322,-$N$3,0),1,IF(Prices!D322&lt;OFFSET(Prices!D322,-$N$3,0),-1,0))</f>
        <v>-1</v>
      </c>
      <c r="O323" s="1">
        <f ca="1">IF(N323=1,O$3*L322/Prices!C322,O$3*M322*N323)</f>
        <v>-8.4979509944749167E-4</v>
      </c>
      <c r="P323" s="14"/>
      <c r="Q323" s="9">
        <f ca="1">Q322-T323*Prices!C323</f>
        <v>1.0728685333784396</v>
      </c>
      <c r="R323" s="1">
        <f t="shared" ca="1" si="35"/>
        <v>9.5016185947494336E-3</v>
      </c>
      <c r="S323" s="9">
        <f ca="1">IF(Prices!C322&lt;OFFSET(Prices!C322,-S$3,0),1,IF(Prices!C322&gt;OFFSET(Prices!C322,-S$3,0),-1,0))</f>
        <v>1</v>
      </c>
      <c r="T323" s="1">
        <f ca="1">IF(S323=1,T$3*Q322/Prices!C322,T$3*R322*S323)</f>
        <v>1.777184537392436E-4</v>
      </c>
      <c r="V323" s="9"/>
      <c r="W323" s="1"/>
      <c r="X323" s="1"/>
      <c r="Y323" s="1"/>
      <c r="Z323" s="1"/>
      <c r="AA323" s="1"/>
      <c r="AB323" s="1"/>
      <c r="AC323" s="1"/>
      <c r="AD323" s="1"/>
      <c r="AE323" s="16"/>
    </row>
    <row r="324" spans="1:31" x14ac:dyDescent="0.2">
      <c r="A324" s="4">
        <v>33960</v>
      </c>
      <c r="B324" s="9">
        <f ca="1">Prices!C323*(1+J324/(50*(ABS(O324)+ABS(T324)+0.0001)))</f>
        <v>121.70090950900422</v>
      </c>
      <c r="C324" s="13">
        <f t="shared" ca="1" si="30"/>
        <v>-1</v>
      </c>
      <c r="D324" s="9">
        <f ca="1">D323+C324*(Prices!C324-Prices!C323)/Prices!C323</f>
        <v>7.6788181982842929E-2</v>
      </c>
      <c r="E324" s="9">
        <f t="shared" ca="1" si="31"/>
        <v>4.8446256745948407E-2</v>
      </c>
      <c r="F324" s="9">
        <f t="shared" ca="1" si="32"/>
        <v>0.12523443872879134</v>
      </c>
      <c r="G324" s="13">
        <f ca="1">IF((Prices!C324-Prices!C323)*C324&gt;0,1,0)</f>
        <v>0</v>
      </c>
      <c r="H324" s="9">
        <f>ABS(Prices!C324-Prices!C323)/Prices!C323</f>
        <v>6.0926076360682379E-3</v>
      </c>
      <c r="I324" s="13"/>
      <c r="J324" s="1">
        <f t="shared" ca="1" si="33"/>
        <v>-5.9050713566384083E-4</v>
      </c>
      <c r="K324" s="9"/>
      <c r="L324" s="9">
        <f ca="1">L323-O324*Prices!C324</f>
        <v>1.4252375484294089</v>
      </c>
      <c r="M324" s="1">
        <f t="shared" ca="1" si="34"/>
        <v>6.8833403055246819E-3</v>
      </c>
      <c r="N324" s="9">
        <f ca="1">IF(Prices!D323&gt;OFFSET(Prices!D323,-$N$3,0),1,IF(Prices!D323&lt;OFFSET(Prices!D323,-$N$3,0),-1,0))</f>
        <v>-1</v>
      </c>
      <c r="O324" s="1">
        <f ca="1">IF(N324=1,O$3*L323/Prices!C323,O$3*M323*N324)</f>
        <v>-7.6481558950274248E-4</v>
      </c>
      <c r="P324" s="14"/>
      <c r="Q324" s="9">
        <f ca="1">Q323-T324*Prices!C324</f>
        <v>1.0512804313704915</v>
      </c>
      <c r="R324" s="1">
        <f t="shared" ca="1" si="35"/>
        <v>9.6759270485883356E-3</v>
      </c>
      <c r="S324" s="9">
        <f ca="1">IF(Prices!C323&lt;OFFSET(Prices!C323,-S$3,0),1,IF(Prices!C323&gt;OFFSET(Prices!C323,-S$3,0),-1,0))</f>
        <v>1</v>
      </c>
      <c r="T324" s="1">
        <f ca="1">IF(S324=1,T$3*Q323/Prices!C323,T$3*R323*S324)</f>
        <v>1.7430845383890165E-4</v>
      </c>
      <c r="V324" s="9"/>
      <c r="W324" s="1"/>
      <c r="X324" s="1"/>
      <c r="Y324" s="1"/>
      <c r="Z324" s="1"/>
      <c r="AA324" s="1"/>
      <c r="AB324" s="1"/>
      <c r="AC324" s="1"/>
      <c r="AD324" s="1"/>
      <c r="AE324" s="16"/>
    </row>
    <row r="325" spans="1:31" x14ac:dyDescent="0.2">
      <c r="A325" s="4">
        <v>33961</v>
      </c>
      <c r="B325" s="9">
        <f ca="1">Prices!C324*(1+J325/(50*(ABS(O325)+ABS(T325)+0.0001)))</f>
        <v>121.6252782006014</v>
      </c>
      <c r="C325" s="13">
        <f t="shared" ca="1" si="30"/>
        <v>-1</v>
      </c>
      <c r="D325" s="9">
        <f ca="1">D324+C325*(Prices!C325-Prices!C324)/Prices!C324</f>
        <v>7.6707439148769416E-2</v>
      </c>
      <c r="E325" s="9">
        <f t="shared" ca="1" si="31"/>
        <v>4.8526999580021921E-2</v>
      </c>
      <c r="F325" s="9">
        <f t="shared" ca="1" si="32"/>
        <v>0.12523443872879134</v>
      </c>
      <c r="G325" s="13">
        <f ca="1">IF((Prices!C325-Prices!C324)*C325&gt;0,1,0)</f>
        <v>0</v>
      </c>
      <c r="H325" s="9">
        <f>ABS(Prices!C325-Prices!C324)/Prices!C324</f>
        <v>8.0742834073517291E-5</v>
      </c>
      <c r="I325" s="13"/>
      <c r="J325" s="1">
        <f t="shared" ca="1" si="33"/>
        <v>-8.8185257152423487E-4</v>
      </c>
      <c r="K325" s="9"/>
      <c r="L325" s="9">
        <f ca="1">L324-O325*Prices!C325</f>
        <v>1.5104946014536376</v>
      </c>
      <c r="M325" s="1">
        <f t="shared" ca="1" si="34"/>
        <v>6.1950062749722137E-3</v>
      </c>
      <c r="N325" s="9">
        <f ca="1">IF(Prices!D324&gt;OFFSET(Prices!D324,-$N$3,0),1,IF(Prices!D324&lt;OFFSET(Prices!D324,-$N$3,0),-1,0))</f>
        <v>-1</v>
      </c>
      <c r="O325" s="1">
        <f ca="1">IF(N325=1,O$3*L324/Prices!C324,O$3*M324*N325)</f>
        <v>-6.8833403055246819E-4</v>
      </c>
      <c r="P325" s="14"/>
      <c r="Q325" s="9">
        <f ca="1">Q324-T325*Prices!C325</f>
        <v>1.0752496378552545</v>
      </c>
      <c r="R325" s="1">
        <f t="shared" ca="1" si="35"/>
        <v>9.482408507616568E-3</v>
      </c>
      <c r="S325" s="9">
        <f ca="1">IF(Prices!C324&lt;OFFSET(Prices!C324,-S$3,0),1,IF(Prices!C324&gt;OFFSET(Prices!C324,-S$3,0),-1,0))</f>
        <v>-1</v>
      </c>
      <c r="T325" s="1">
        <f ca="1">IF(S325=1,T$3*Q324/Prices!C324,T$3*R324*S325)</f>
        <v>-1.935185409717667E-4</v>
      </c>
      <c r="V325" s="9"/>
      <c r="W325" s="1"/>
      <c r="X325" s="1"/>
      <c r="Y325" s="1"/>
      <c r="Z325" s="1"/>
      <c r="AA325" s="1"/>
      <c r="AB325" s="1"/>
      <c r="AC325" s="1"/>
      <c r="AD325" s="1"/>
      <c r="AE325" s="16"/>
    </row>
    <row r="326" spans="1:31" x14ac:dyDescent="0.2">
      <c r="A326" s="4">
        <v>33962</v>
      </c>
      <c r="B326" s="9">
        <f ca="1">Prices!C325*(1+J326/(50*(ABS(O326)+ABS(T326)+0.0001)))</f>
        <v>121.6552746495188</v>
      </c>
      <c r="C326" s="13">
        <f t="shared" ca="1" si="30"/>
        <v>-1</v>
      </c>
      <c r="D326" s="9">
        <f ca="1">D325+C326*(Prices!C326-Prices!C325)/Prices!C325</f>
        <v>7.5980812312018212E-2</v>
      </c>
      <c r="E326" s="9">
        <f t="shared" ca="1" si="31"/>
        <v>4.9253626416773125E-2</v>
      </c>
      <c r="F326" s="9">
        <f t="shared" ca="1" si="32"/>
        <v>0.12523443872879134</v>
      </c>
      <c r="G326" s="13">
        <f ca="1">IF((Prices!C326-Prices!C325)*C326&gt;0,1,0)</f>
        <v>0</v>
      </c>
      <c r="H326" s="9">
        <f>ABS(Prices!C326-Prices!C325)/Prices!C325</f>
        <v>7.2662683675119824E-4</v>
      </c>
      <c r="I326" s="13"/>
      <c r="J326" s="1">
        <f t="shared" ca="1" si="33"/>
        <v>-8.0914879764955284E-4</v>
      </c>
      <c r="K326" s="9"/>
      <c r="L326" s="9">
        <f ca="1">L325-O326*Prices!C326</f>
        <v>1.5872817042319181</v>
      </c>
      <c r="M326" s="1">
        <f t="shared" ca="1" si="34"/>
        <v>5.5755056474749926E-3</v>
      </c>
      <c r="N326" s="9">
        <f ca="1">IF(Prices!D325&gt;OFFSET(Prices!D325,-$N$3,0),1,IF(Prices!D325&lt;OFFSET(Prices!D325,-$N$3,0),-1,0))</f>
        <v>-1</v>
      </c>
      <c r="O326" s="1">
        <f ca="1">IF(N326=1,O$3*L325/Prices!C325,O$3*M325*N326)</f>
        <v>-6.1950062749722143E-4</v>
      </c>
      <c r="P326" s="14"/>
      <c r="Q326" s="9">
        <f ca="1">Q325-T326*Prices!C326</f>
        <v>1.098756528545636</v>
      </c>
      <c r="R326" s="1">
        <f t="shared" ca="1" si="35"/>
        <v>9.292760337464236E-3</v>
      </c>
      <c r="S326" s="9">
        <f ca="1">IF(Prices!C325&lt;OFFSET(Prices!C325,-S$3,0),1,IF(Prices!C325&gt;OFFSET(Prices!C325,-S$3,0),-1,0))</f>
        <v>-1</v>
      </c>
      <c r="T326" s="1">
        <f ca="1">IF(S326=1,T$3*Q325/Prices!C325,T$3*R325*S326)</f>
        <v>-1.8964817015233138E-4</v>
      </c>
      <c r="V326" s="9"/>
      <c r="W326" s="1"/>
      <c r="X326" s="1"/>
      <c r="Y326" s="1"/>
      <c r="Z326" s="1"/>
      <c r="AA326" s="1"/>
      <c r="AB326" s="1"/>
      <c r="AC326" s="1"/>
      <c r="AD326" s="1"/>
      <c r="AE326" s="16"/>
    </row>
    <row r="327" spans="1:31" x14ac:dyDescent="0.2">
      <c r="A327" s="4">
        <v>33963</v>
      </c>
      <c r="B327" s="9">
        <f ca="1">Prices!C326*(1+J327/(50*(ABS(O327)+ABS(T327)+0.0001)))</f>
        <v>125.68248432725598</v>
      </c>
      <c r="C327" s="13">
        <f t="shared" ca="1" si="30"/>
        <v>1</v>
      </c>
      <c r="D327" s="9">
        <f ca="1">D326+C327*(Prices!C327-Prices!C326)/Prices!C326</f>
        <v>7.3963869996568427E-2</v>
      </c>
      <c r="E327" s="9">
        <f t="shared" ca="1" si="31"/>
        <v>5.127056873222291E-2</v>
      </c>
      <c r="F327" s="9">
        <f t="shared" ca="1" si="32"/>
        <v>0.12523443872879134</v>
      </c>
      <c r="G327" s="13">
        <f ca="1">IF((Prices!C327-Prices!C326)*C327&gt;0,1,0)</f>
        <v>0</v>
      </c>
      <c r="H327" s="9">
        <f>ABS(Prices!C327-Prices!C326)/Prices!C326</f>
        <v>2.0169423154497781E-3</v>
      </c>
      <c r="I327" s="13"/>
      <c r="J327" s="1">
        <f t="shared" ca="1" si="33"/>
        <v>1.0947270475725531E-3</v>
      </c>
      <c r="K327" s="9"/>
      <c r="L327" s="9">
        <f ca="1">L326-O327*Prices!C327</f>
        <v>1.4288736793723067</v>
      </c>
      <c r="M327" s="1">
        <f t="shared" ca="1" si="34"/>
        <v>6.8560879017968302E-3</v>
      </c>
      <c r="N327" s="9">
        <f ca="1">IF(Prices!D326&gt;OFFSET(Prices!D326,-$N$3,0),1,IF(Prices!D326&lt;OFFSET(Prices!D326,-$N$3,0),-1,0))</f>
        <v>1</v>
      </c>
      <c r="O327" s="1">
        <f ca="1">IF(N327=1,O$3*L326/Prices!C326,O$3*M326*N327)</f>
        <v>1.2805822543218378E-3</v>
      </c>
      <c r="P327" s="14"/>
      <c r="Q327" s="9">
        <f ca="1">Q326-T327*Prices!C327</f>
        <v>1.1217468176205225</v>
      </c>
      <c r="R327" s="1">
        <f t="shared" ca="1" si="35"/>
        <v>9.1069051307149512E-3</v>
      </c>
      <c r="S327" s="9">
        <f ca="1">IF(Prices!C326&lt;OFFSET(Prices!C326,-S$3,0),1,IF(Prices!C326&gt;OFFSET(Prices!C326,-S$3,0),-1,0))</f>
        <v>-1</v>
      </c>
      <c r="T327" s="1">
        <f ca="1">IF(S327=1,T$3*Q326/Prices!C326,T$3*R326*S327)</f>
        <v>-1.8585520674928473E-4</v>
      </c>
      <c r="V327" s="9"/>
      <c r="W327" s="1"/>
      <c r="X327" s="1"/>
      <c r="Y327" s="1"/>
      <c r="Z327" s="1"/>
      <c r="AA327" s="1"/>
      <c r="AB327" s="1"/>
      <c r="AC327" s="1"/>
      <c r="AD327" s="1"/>
      <c r="AE327" s="16"/>
    </row>
    <row r="328" spans="1:31" x14ac:dyDescent="0.2">
      <c r="A328" s="4">
        <v>33966</v>
      </c>
      <c r="B328" s="9">
        <f ca="1">Prices!C327*(1+J328/(50*(ABS(O328)+ABS(T328)+0.0001)))</f>
        <v>125.37482159522037</v>
      </c>
      <c r="C328" s="13">
        <f t="shared" ca="1" si="30"/>
        <v>1</v>
      </c>
      <c r="D328" s="9">
        <f ca="1">D327+C328*(Prices!C328-Prices!C327)/Prices!C327</f>
        <v>8.4068962963423727E-2</v>
      </c>
      <c r="E328" s="9">
        <f t="shared" ca="1" si="31"/>
        <v>4.116547576536761E-2</v>
      </c>
      <c r="F328" s="9">
        <f t="shared" ca="1" si="32"/>
        <v>0.12523443872879134</v>
      </c>
      <c r="G328" s="13">
        <f ca="1">IF((Prices!C328-Prices!C327)*C328&gt;0,1,0)</f>
        <v>1</v>
      </c>
      <c r="H328" s="9">
        <f>ABS(Prices!C328-Prices!C327)/Prices!C327</f>
        <v>1.0105092966855295E-2</v>
      </c>
      <c r="I328" s="13"/>
      <c r="J328" s="1">
        <f t="shared" ca="1" si="33"/>
        <v>9.7297400682168052E-4</v>
      </c>
      <c r="K328" s="9"/>
      <c r="L328" s="9">
        <f ca="1">L327-O328*Prices!C328</f>
        <v>1.284542421298281</v>
      </c>
      <c r="M328" s="1">
        <f t="shared" ca="1" si="34"/>
        <v>8.0112000112328094E-3</v>
      </c>
      <c r="N328" s="9">
        <f ca="1">IF(Prices!D327&gt;OFFSET(Prices!D327,-$N$3,0),1,IF(Prices!D327&lt;OFFSET(Prices!D327,-$N$3,0),-1,0))</f>
        <v>1</v>
      </c>
      <c r="O328" s="1">
        <f ca="1">IF(N328=1,O$3*L327/Prices!C327,O$3*M327*N328)</f>
        <v>1.1551121094359796E-3</v>
      </c>
      <c r="P328" s="14"/>
      <c r="Q328" s="9">
        <f ca="1">Q327-T328*Prices!C328</f>
        <v>1.1445049735421793</v>
      </c>
      <c r="R328" s="1">
        <f t="shared" ca="1" si="35"/>
        <v>8.9247670281006521E-3</v>
      </c>
      <c r="S328" s="9">
        <f ca="1">IF(Prices!C327&lt;OFFSET(Prices!C327,-S$3,0),1,IF(Prices!C327&gt;OFFSET(Prices!C327,-S$3,0),-1,0))</f>
        <v>-1</v>
      </c>
      <c r="T328" s="1">
        <f ca="1">IF(S328=1,T$3*Q327/Prices!C327,T$3*R327*S328)</f>
        <v>-1.8213810261429904E-4</v>
      </c>
      <c r="V328" s="9"/>
      <c r="W328" s="1"/>
      <c r="X328" s="1"/>
      <c r="Y328" s="1"/>
      <c r="Z328" s="1"/>
      <c r="AA328" s="1"/>
      <c r="AB328" s="1"/>
      <c r="AC328" s="1"/>
      <c r="AD328" s="1"/>
      <c r="AE328" s="16"/>
    </row>
    <row r="329" spans="1:31" x14ac:dyDescent="0.2">
      <c r="A329" s="4">
        <v>33967</v>
      </c>
      <c r="B329" s="9">
        <f ca="1">Prices!C328*(1+J329/(50*(ABS(O329)+ABS(T329)+0.0001)))</f>
        <v>126.57492092176241</v>
      </c>
      <c r="C329" s="13">
        <f t="shared" ca="1" si="30"/>
        <v>1</v>
      </c>
      <c r="D329" s="9">
        <f ca="1">D328+C329*(Prices!C329-Prices!C328)/Prices!C328</f>
        <v>8.2308258681711044E-2</v>
      </c>
      <c r="E329" s="9">
        <f t="shared" ca="1" si="31"/>
        <v>4.2926180047080292E-2</v>
      </c>
      <c r="F329" s="9">
        <f t="shared" ca="1" si="32"/>
        <v>0.12523443872879134</v>
      </c>
      <c r="G329" s="13">
        <f ca="1">IF((Prices!C329-Prices!C328)*C329&gt;0,1,0)</f>
        <v>0</v>
      </c>
      <c r="H329" s="9">
        <f>ABS(Prices!C329-Prices!C328)/Prices!C328</f>
        <v>1.7607042817126758E-3</v>
      </c>
      <c r="I329" s="13"/>
      <c r="J329" s="1">
        <f t="shared" ca="1" si="33"/>
        <v>8.4954981453865214E-4</v>
      </c>
      <c r="K329" s="9"/>
      <c r="L329" s="9">
        <f ca="1">L328-O329*Prices!C329</f>
        <v>1.1563143491025749</v>
      </c>
      <c r="M329" s="1">
        <f t="shared" ca="1" si="34"/>
        <v>9.0392451663334743E-3</v>
      </c>
      <c r="N329" s="9">
        <f ca="1">IF(Prices!D328&gt;OFFSET(Prices!D328,-$N$3,0),1,IF(Prices!D328&lt;OFFSET(Prices!D328,-$N$3,0),-1,0))</f>
        <v>1</v>
      </c>
      <c r="O329" s="1">
        <f ca="1">IF(N329=1,O$3*L328/Prices!C328,O$3*M328*N329)</f>
        <v>1.0280451551006652E-3</v>
      </c>
      <c r="P329" s="14"/>
      <c r="Q329" s="9">
        <f ca="1">Q328-T329*Prices!C329</f>
        <v>1.1667686973704792</v>
      </c>
      <c r="R329" s="1">
        <f t="shared" ca="1" si="35"/>
        <v>8.7462716875386388E-3</v>
      </c>
      <c r="S329" s="9">
        <f ca="1">IF(Prices!C328&lt;OFFSET(Prices!C328,-S$3,0),1,IF(Prices!C328&gt;OFFSET(Prices!C328,-S$3,0),-1,0))</f>
        <v>-1</v>
      </c>
      <c r="T329" s="1">
        <f ca="1">IF(S329=1,T$3*Q328/Prices!C328,T$3*R328*S329)</f>
        <v>-1.7849534056201306E-4</v>
      </c>
      <c r="V329" s="9"/>
      <c r="W329" s="1"/>
      <c r="X329" s="1"/>
      <c r="Y329" s="1"/>
      <c r="Z329" s="1"/>
      <c r="AA329" s="1"/>
      <c r="AB329" s="1"/>
      <c r="AC329" s="1"/>
      <c r="AD329" s="1"/>
      <c r="AE329" s="16"/>
    </row>
    <row r="330" spans="1:31" x14ac:dyDescent="0.2">
      <c r="A330" s="4">
        <v>33968</v>
      </c>
      <c r="B330" s="9">
        <f ca="1">Prices!C329*(1+J330/(50*(ABS(O330)+ABS(T330)+0.0001)))</f>
        <v>123.14277330699692</v>
      </c>
      <c r="C330" s="13">
        <f t="shared" ca="1" si="30"/>
        <v>-1</v>
      </c>
      <c r="D330" s="9">
        <f ca="1">D329+C330*(Prices!C330-Prices!C329)/Prices!C329</f>
        <v>8.2949644074158724E-2</v>
      </c>
      <c r="E330" s="9">
        <f t="shared" ca="1" si="31"/>
        <v>4.2284794654632613E-2</v>
      </c>
      <c r="F330" s="9">
        <f t="shared" ca="1" si="32"/>
        <v>0.12523443872879134</v>
      </c>
      <c r="G330" s="13">
        <f ca="1">IF((Prices!C330-Prices!C329)*C330&gt;0,1,0)</f>
        <v>1</v>
      </c>
      <c r="H330" s="9">
        <f>ABS(Prices!C330-Prices!C329)/Prices!C329</f>
        <v>6.4138539244767328E-4</v>
      </c>
      <c r="I330" s="13"/>
      <c r="J330" s="1">
        <f t="shared" ca="1" si="33"/>
        <v>-1.7492543375077278E-4</v>
      </c>
      <c r="K330" s="9"/>
      <c r="L330" s="9">
        <f ca="1">L329-O330*Prices!C330</f>
        <v>1.1563143491025749</v>
      </c>
      <c r="M330" s="1">
        <f t="shared" ca="1" si="34"/>
        <v>9.0392451663334743E-3</v>
      </c>
      <c r="N330" s="9">
        <f ca="1">IF(Prices!D329&gt;OFFSET(Prices!D329,-$N$3,0),1,IF(Prices!D329&lt;OFFSET(Prices!D329,-$N$3,0),-1,0))</f>
        <v>0</v>
      </c>
      <c r="O330" s="1">
        <f ca="1">IF(N330=1,O$3*L329/Prices!C329,O$3*M329*N330)</f>
        <v>0</v>
      </c>
      <c r="P330" s="14"/>
      <c r="Q330" s="9">
        <f ca="1">Q329-T330*Prices!C330</f>
        <v>1.188573152687513</v>
      </c>
      <c r="R330" s="1">
        <f t="shared" ca="1" si="35"/>
        <v>8.5713462537878662E-3</v>
      </c>
      <c r="S330" s="9">
        <f ca="1">IF(Prices!C329&lt;OFFSET(Prices!C329,-S$3,0),1,IF(Prices!C329&gt;OFFSET(Prices!C329,-S$3,0),-1,0))</f>
        <v>-1</v>
      </c>
      <c r="T330" s="1">
        <f ca="1">IF(S330=1,T$3*Q329/Prices!C329,T$3*R329*S330)</f>
        <v>-1.7492543375077278E-4</v>
      </c>
      <c r="V330" s="9"/>
      <c r="W330" s="1"/>
      <c r="X330" s="1"/>
      <c r="Y330" s="1"/>
      <c r="Z330" s="1"/>
      <c r="AA330" s="1"/>
      <c r="AB330" s="1"/>
      <c r="AC330" s="1"/>
      <c r="AD330" s="1"/>
      <c r="AE330" s="16"/>
    </row>
    <row r="331" spans="1:31" x14ac:dyDescent="0.2">
      <c r="A331" s="4">
        <v>33969</v>
      </c>
      <c r="B331" s="9">
        <f ca="1">Prices!C330*(1+J331/(50*(ABS(O331)+ABS(T331)+0.0001)))</f>
        <v>122.36910677177329</v>
      </c>
      <c r="C331" s="13">
        <f t="shared" ca="1" si="30"/>
        <v>-1</v>
      </c>
      <c r="D331" s="9">
        <f ca="1">D330+C331*(Prices!C331-Prices!C330)/Prices!C330</f>
        <v>8.1264926865975862E-2</v>
      </c>
      <c r="E331" s="9">
        <f t="shared" ca="1" si="31"/>
        <v>4.3969511862815475E-2</v>
      </c>
      <c r="F331" s="9">
        <f t="shared" ca="1" si="32"/>
        <v>0.12523443872879134</v>
      </c>
      <c r="G331" s="13">
        <f ca="1">IF((Prices!C331-Prices!C330)*C331&gt;0,1,0)</f>
        <v>0</v>
      </c>
      <c r="H331" s="9">
        <f>ABS(Prices!C331-Prices!C330)/Prices!C330</f>
        <v>1.6847172081828619E-3</v>
      </c>
      <c r="I331" s="13"/>
      <c r="J331" s="1">
        <f t="shared" ca="1" si="33"/>
        <v>-1.0753514417091048E-3</v>
      </c>
      <c r="K331" s="9"/>
      <c r="L331" s="9">
        <f ca="1">L330-O331*Prices!C331</f>
        <v>1.2691783642494148</v>
      </c>
      <c r="M331" s="1">
        <f t="shared" ca="1" si="34"/>
        <v>8.1353206497001267E-3</v>
      </c>
      <c r="N331" s="9">
        <f ca="1">IF(Prices!D330&gt;OFFSET(Prices!D330,-$N$3,0),1,IF(Prices!D330&lt;OFFSET(Prices!D330,-$N$3,0),-1,0))</f>
        <v>-1</v>
      </c>
      <c r="O331" s="1">
        <f ca="1">IF(N331=1,O$3*L330/Prices!C330,O$3*M330*N331)</f>
        <v>-9.039245166333475E-4</v>
      </c>
      <c r="P331" s="14"/>
      <c r="Q331" s="9">
        <f ca="1">Q330-T331*Prices!C331</f>
        <v>1.2099775185524719</v>
      </c>
      <c r="R331" s="1">
        <f t="shared" ca="1" si="35"/>
        <v>8.3999193287121084E-3</v>
      </c>
      <c r="S331" s="9">
        <f ca="1">IF(Prices!C330&lt;OFFSET(Prices!C330,-S$3,0),1,IF(Prices!C330&gt;OFFSET(Prices!C330,-S$3,0),-1,0))</f>
        <v>-1</v>
      </c>
      <c r="T331" s="1">
        <f ca="1">IF(S331=1,T$3*Q330/Prices!C330,T$3*R330*S331)</f>
        <v>-1.7142692507575734E-4</v>
      </c>
      <c r="V331" s="9"/>
      <c r="W331" s="1"/>
      <c r="X331" s="1"/>
      <c r="Y331" s="1"/>
      <c r="Z331" s="1"/>
      <c r="AA331" s="1"/>
      <c r="AB331" s="1"/>
      <c r="AC331" s="1"/>
      <c r="AD331" s="1"/>
      <c r="AE331" s="16"/>
    </row>
    <row r="332" spans="1:31" x14ac:dyDescent="0.2">
      <c r="A332" s="4">
        <v>33970</v>
      </c>
      <c r="B332" s="9">
        <f ca="1">Prices!C331*(1+J332/(50*(ABS(O332)+ABS(T332)+0.0001)))</f>
        <v>126.50956396481162</v>
      </c>
      <c r="C332" s="13">
        <f t="shared" ca="1" si="30"/>
        <v>1</v>
      </c>
      <c r="D332" s="9">
        <f ca="1">D331+C332*(Prices!C332-Prices!C331)/Prices!C331</f>
        <v>8.1264926865975862E-2</v>
      </c>
      <c r="E332" s="9">
        <f t="shared" ca="1" si="31"/>
        <v>4.3969511862815475E-2</v>
      </c>
      <c r="F332" s="9">
        <f t="shared" ca="1" si="32"/>
        <v>0.12523443872879134</v>
      </c>
      <c r="G332" s="13">
        <f ca="1">IF((Prices!C332-Prices!C331)*C332&gt;0,1,0)</f>
        <v>0</v>
      </c>
      <c r="H332" s="9">
        <f>ABS(Prices!C332-Prices!C331)/Prices!C331</f>
        <v>0</v>
      </c>
      <c r="I332" s="13"/>
      <c r="J332" s="1">
        <f t="shared" ca="1" si="33"/>
        <v>8.4848276371361211E-4</v>
      </c>
      <c r="K332" s="9"/>
      <c r="L332" s="9">
        <f ca="1">L331-O332*Prices!C332</f>
        <v>1.1422605278244733</v>
      </c>
      <c r="M332" s="1">
        <f t="shared" ca="1" si="34"/>
        <v>9.1518017999879814E-3</v>
      </c>
      <c r="N332" s="9">
        <f ca="1">IF(Prices!D331&gt;OFFSET(Prices!D331,-$N$3,0),1,IF(Prices!D331&lt;OFFSET(Prices!D331,-$N$3,0),-1,0))</f>
        <v>1</v>
      </c>
      <c r="O332" s="1">
        <f ca="1">IF(N332=1,O$3*L331/Prices!C331,O$3*M331*N332)</f>
        <v>1.0164811502878543E-3</v>
      </c>
      <c r="P332" s="14"/>
      <c r="Q332" s="9">
        <f ca="1">Q331-T332*Prices!C332</f>
        <v>1.2309537971001319</v>
      </c>
      <c r="R332" s="1">
        <f t="shared" ca="1" si="35"/>
        <v>8.2319209421378662E-3</v>
      </c>
      <c r="S332" s="9">
        <f ca="1">IF(Prices!C331&lt;OFFSET(Prices!C331,-S$3,0),1,IF(Prices!C331&gt;OFFSET(Prices!C331,-S$3,0),-1,0))</f>
        <v>-1</v>
      </c>
      <c r="T332" s="1">
        <f ca="1">IF(S332=1,T$3*Q331/Prices!C331,T$3*R331*S332)</f>
        <v>-1.6799838657424217E-4</v>
      </c>
      <c r="V332" s="9"/>
      <c r="W332" s="1"/>
      <c r="X332" s="1"/>
      <c r="Y332" s="1"/>
      <c r="Z332" s="1"/>
      <c r="AA332" s="1"/>
      <c r="AB332" s="1"/>
      <c r="AC332" s="1"/>
      <c r="AD332" s="1"/>
      <c r="AE332" s="16"/>
    </row>
    <row r="333" spans="1:31" x14ac:dyDescent="0.2">
      <c r="A333" s="4">
        <v>33973</v>
      </c>
      <c r="B333" s="9">
        <f ca="1">Prices!C332*(1+J333/(50*(ABS(O333)+ABS(T333)+0.0001)))</f>
        <v>127.15116149713009</v>
      </c>
      <c r="C333" s="13">
        <f t="shared" ca="1" si="30"/>
        <v>1</v>
      </c>
      <c r="D333" s="9">
        <f ca="1">D332+C333*(Prices!C333-Prices!C332)/Prices!C332</f>
        <v>8.5189322188737315E-2</v>
      </c>
      <c r="E333" s="9">
        <f t="shared" ca="1" si="31"/>
        <v>4.0045116540054021E-2</v>
      </c>
      <c r="F333" s="9">
        <f t="shared" ca="1" si="32"/>
        <v>0.12523443872879134</v>
      </c>
      <c r="G333" s="13">
        <f ca="1">IF((Prices!C333-Prices!C332)*C333&gt;0,1,0)</f>
        <v>1</v>
      </c>
      <c r="H333" s="9">
        <f>ABS(Prices!C333-Prices!C332)/Prices!C332</f>
        <v>3.9243953227614519E-3</v>
      </c>
      <c r="I333" s="13"/>
      <c r="J333" s="1">
        <f t="shared" ca="1" si="33"/>
        <v>1.1120064770498957E-3</v>
      </c>
      <c r="K333" s="9"/>
      <c r="L333" s="9">
        <f ca="1">L332-O333*Prices!C333</f>
        <v>1.027586206854749</v>
      </c>
      <c r="M333" s="1">
        <f t="shared" ca="1" si="34"/>
        <v>1.006663483524705E-2</v>
      </c>
      <c r="N333" s="9">
        <f ca="1">IF(Prices!D332&gt;OFFSET(Prices!D332,-$N$3,0),1,IF(Prices!D332&lt;OFFSET(Prices!D332,-$N$3,0),-1,0))</f>
        <v>1</v>
      </c>
      <c r="O333" s="1">
        <f ca="1">IF(N333=1,O$3*L332/Prices!C332,O$3*M332*N333)</f>
        <v>9.1483303525906887E-4</v>
      </c>
      <c r="P333" s="14"/>
      <c r="Q333" s="9">
        <f ca="1">Q332-T333*Prices!C333</f>
        <v>1.2062381061716516</v>
      </c>
      <c r="R333" s="1">
        <f t="shared" ca="1" si="35"/>
        <v>8.4290943839286925E-3</v>
      </c>
      <c r="S333" s="9">
        <f ca="1">IF(Prices!C332&lt;OFFSET(Prices!C332,-S$3,0),1,IF(Prices!C332&gt;OFFSET(Prices!C332,-S$3,0),-1,0))</f>
        <v>1</v>
      </c>
      <c r="T333" s="1">
        <f ca="1">IF(S333=1,T$3*Q332/Prices!C332,T$3*R332*S333)</f>
        <v>1.9717344179082683E-4</v>
      </c>
      <c r="V333" s="9"/>
      <c r="W333" s="1"/>
      <c r="X333" s="1"/>
      <c r="Y333" s="1"/>
      <c r="Z333" s="1"/>
      <c r="AA333" s="1"/>
      <c r="AB333" s="1"/>
      <c r="AC333" s="1"/>
      <c r="AD333" s="1"/>
      <c r="AE333" s="16"/>
    </row>
    <row r="334" spans="1:31" x14ac:dyDescent="0.2">
      <c r="A334" s="4">
        <v>33974</v>
      </c>
      <c r="B334" s="9">
        <f ca="1">Prices!C333*(1+J334/(50*(ABS(O334)+ABS(T334)+0.0001)))</f>
        <v>123.03958961770113</v>
      </c>
      <c r="C334" s="13">
        <f t="shared" ca="1" si="30"/>
        <v>-1</v>
      </c>
      <c r="D334" s="9">
        <f ca="1">D333+C334*(Prices!C334-Prices!C333)/Prices!C333</f>
        <v>8.9178153461174497E-2</v>
      </c>
      <c r="E334" s="9">
        <f t="shared" ca="1" si="31"/>
        <v>3.6056285267616839E-2</v>
      </c>
      <c r="F334" s="9">
        <f t="shared" ca="1" si="32"/>
        <v>0.12523443872879134</v>
      </c>
      <c r="G334" s="13">
        <f ca="1">IF((Prices!C334-Prices!C333)*C334&gt;0,1,0)</f>
        <v>1</v>
      </c>
      <c r="H334" s="9">
        <f>ABS(Prices!C334-Prices!C333)/Prices!C333</f>
        <v>3.9888312724371761E-3</v>
      </c>
      <c r="I334" s="13"/>
      <c r="J334" s="1">
        <f t="shared" ca="1" si="33"/>
        <v>-1.1752453712032787E-3</v>
      </c>
      <c r="K334" s="9"/>
      <c r="L334" s="9">
        <f ca="1">L333-O334*Prices!C334</f>
        <v>1.1532681427728084</v>
      </c>
      <c r="M334" s="1">
        <f t="shared" ca="1" si="34"/>
        <v>9.0599713517223457E-3</v>
      </c>
      <c r="N334" s="9">
        <f ca="1">IF(Prices!D333&gt;OFFSET(Prices!D333,-$N$3,0),1,IF(Prices!D333&lt;OFFSET(Prices!D333,-$N$3,0),-1,0))</f>
        <v>-1</v>
      </c>
      <c r="O334" s="1">
        <f ca="1">IF(N334=1,O$3*L333/Prices!C333,O$3*M333*N334)</f>
        <v>-1.006663483524705E-3</v>
      </c>
      <c r="P334" s="14"/>
      <c r="Q334" s="9">
        <f ca="1">Q333-T334*Prices!C334</f>
        <v>1.2272855548483215</v>
      </c>
      <c r="R334" s="1">
        <f t="shared" ca="1" si="35"/>
        <v>8.2605124962501185E-3</v>
      </c>
      <c r="S334" s="9">
        <f ca="1">IF(Prices!C333&lt;OFFSET(Prices!C333,-S$3,0),1,IF(Prices!C333&gt;OFFSET(Prices!C333,-S$3,0),-1,0))</f>
        <v>-1</v>
      </c>
      <c r="T334" s="1">
        <f ca="1">IF(S334=1,T$3*Q333/Prices!C333,T$3*R333*S334)</f>
        <v>-1.6858188767857385E-4</v>
      </c>
      <c r="V334" s="9"/>
      <c r="W334" s="1"/>
      <c r="X334" s="1"/>
      <c r="Y334" s="1"/>
      <c r="Z334" s="1"/>
      <c r="AA334" s="1"/>
      <c r="AB334" s="1"/>
      <c r="AC334" s="1"/>
      <c r="AD334" s="1"/>
      <c r="AE334" s="16"/>
    </row>
    <row r="335" spans="1:31" x14ac:dyDescent="0.2">
      <c r="A335" s="4">
        <v>33975</v>
      </c>
      <c r="B335" s="9">
        <f ca="1">Prices!C334*(1+J335/(50*(ABS(O335)+ABS(T335)+0.0001)))</f>
        <v>122.56619879226963</v>
      </c>
      <c r="C335" s="13">
        <f t="shared" ca="1" si="30"/>
        <v>-1</v>
      </c>
      <c r="D335" s="9">
        <f ca="1">D334+C335*(Prices!C335-Prices!C334)/Prices!C334</f>
        <v>8.6615077770345439E-2</v>
      </c>
      <c r="E335" s="9">
        <f t="shared" ca="1" si="31"/>
        <v>3.8619360958445897E-2</v>
      </c>
      <c r="F335" s="9">
        <f t="shared" ca="1" si="32"/>
        <v>0.12523443872879134</v>
      </c>
      <c r="G335" s="13">
        <f ca="1">IF((Prices!C335-Prices!C334)*C335&gt;0,1,0)</f>
        <v>0</v>
      </c>
      <c r="H335" s="9">
        <f>ABS(Prices!C335-Prices!C334)/Prices!C334</f>
        <v>2.5630756908290543E-3</v>
      </c>
      <c r="I335" s="13"/>
      <c r="J335" s="1">
        <f t="shared" ca="1" si="33"/>
        <v>-1.0712073850972369E-3</v>
      </c>
      <c r="K335" s="9"/>
      <c r="L335" s="9">
        <f ca="1">L334-O335*Prices!C335</f>
        <v>1.2666718041823171</v>
      </c>
      <c r="M335" s="1">
        <f t="shared" ca="1" si="34"/>
        <v>8.1539742165501108E-3</v>
      </c>
      <c r="N335" s="9">
        <f ca="1">IF(Prices!D334&gt;OFFSET(Prices!D334,-$N$3,0),1,IF(Prices!D334&lt;OFFSET(Prices!D334,-$N$3,0),-1,0))</f>
        <v>-1</v>
      </c>
      <c r="O335" s="1">
        <f ca="1">IF(N335=1,O$3*L334/Prices!C334,O$3*M334*N335)</f>
        <v>-9.0599713517223459E-4</v>
      </c>
      <c r="P335" s="14"/>
      <c r="Q335" s="9">
        <f ca="1">Q334-T335*Prices!C335</f>
        <v>1.2479649218314339</v>
      </c>
      <c r="R335" s="1">
        <f t="shared" ca="1" si="35"/>
        <v>8.095302246325117E-3</v>
      </c>
      <c r="S335" s="9">
        <f ca="1">IF(Prices!C334&lt;OFFSET(Prices!C334,-S$3,0),1,IF(Prices!C334&gt;OFFSET(Prices!C334,-S$3,0),-1,0))</f>
        <v>-1</v>
      </c>
      <c r="T335" s="1">
        <f ca="1">IF(S335=1,T$3*Q334/Prices!C334,T$3*R334*S335)</f>
        <v>-1.6521024992500238E-4</v>
      </c>
      <c r="V335" s="9"/>
      <c r="W335" s="1"/>
      <c r="X335" s="1"/>
      <c r="Y335" s="1"/>
      <c r="Z335" s="1"/>
      <c r="AA335" s="1"/>
      <c r="AB335" s="1"/>
      <c r="AC335" s="1"/>
      <c r="AD335" s="1"/>
      <c r="AE335" s="16"/>
    </row>
    <row r="336" spans="1:31" x14ac:dyDescent="0.2">
      <c r="A336" s="4">
        <v>33976</v>
      </c>
      <c r="B336" s="9">
        <f ca="1">Prices!C335*(1+J336/(50*(ABS(O336)+ABS(T336)+0.0001)))</f>
        <v>126.8405257661811</v>
      </c>
      <c r="C336" s="13">
        <f t="shared" ca="1" si="30"/>
        <v>1</v>
      </c>
      <c r="D336" s="9">
        <f ca="1">D335+C336*(Prices!C336-Prices!C335)/Prices!C335</f>
        <v>8.7573773943549912E-2</v>
      </c>
      <c r="E336" s="9">
        <f t="shared" ca="1" si="31"/>
        <v>3.7660664785241424E-2</v>
      </c>
      <c r="F336" s="9">
        <f t="shared" ca="1" si="32"/>
        <v>0.12523443872879134</v>
      </c>
      <c r="G336" s="13">
        <f ca="1">IF((Prices!C336-Prices!C335)*C336&gt;0,1,0)</f>
        <v>1</v>
      </c>
      <c r="H336" s="9">
        <f>ABS(Prices!C336-Prices!C335)/Prices!C335</f>
        <v>9.586961732044783E-4</v>
      </c>
      <c r="I336" s="13"/>
      <c r="J336" s="1">
        <f t="shared" ca="1" si="33"/>
        <v>8.5005513121979247E-4</v>
      </c>
      <c r="K336" s="9"/>
      <c r="L336" s="9">
        <f ca="1">L335-O336*Prices!C336</f>
        <v>1.1398831884229477</v>
      </c>
      <c r="M336" s="1">
        <f t="shared" ca="1" si="34"/>
        <v>9.165935392696405E-3</v>
      </c>
      <c r="N336" s="9">
        <f ca="1">IF(Prices!D335&gt;OFFSET(Prices!D335,-$N$3,0),1,IF(Prices!D335&lt;OFFSET(Prices!D335,-$N$3,0),-1,0))</f>
        <v>1</v>
      </c>
      <c r="O336" s="1">
        <f ca="1">IF(N336=1,O$3*L335/Prices!C335,O$3*M335*N336)</f>
        <v>1.0119611761462948E-3</v>
      </c>
      <c r="P336" s="14"/>
      <c r="Q336" s="9">
        <f ca="1">Q335-T336*Prices!C336</f>
        <v>1.2682501302002753</v>
      </c>
      <c r="R336" s="1">
        <f t="shared" ca="1" si="35"/>
        <v>7.9333962013986153E-3</v>
      </c>
      <c r="S336" s="9">
        <f ca="1">IF(Prices!C335&lt;OFFSET(Prices!C335,-S$3,0),1,IF(Prices!C335&gt;OFFSET(Prices!C335,-S$3,0),-1,0))</f>
        <v>-1</v>
      </c>
      <c r="T336" s="1">
        <f ca="1">IF(S336=1,T$3*Q335/Prices!C335,T$3*R335*S336)</f>
        <v>-1.6190604492650234E-4</v>
      </c>
      <c r="V336" s="9"/>
      <c r="W336" s="1"/>
      <c r="X336" s="1"/>
      <c r="Y336" s="1"/>
      <c r="Z336" s="1"/>
      <c r="AA336" s="1"/>
      <c r="AB336" s="1"/>
      <c r="AC336" s="1"/>
      <c r="AD336" s="1"/>
      <c r="AE336" s="16"/>
    </row>
    <row r="337" spans="1:31" x14ac:dyDescent="0.2">
      <c r="A337" s="4">
        <v>33977</v>
      </c>
      <c r="B337" s="9">
        <f ca="1">Prices!C336*(1+J337/(50*(ABS(O337)+ABS(T337)+0.0001)))</f>
        <v>126.90081274049578</v>
      </c>
      <c r="C337" s="13">
        <f t="shared" ca="1" si="30"/>
        <v>1</v>
      </c>
      <c r="D337" s="9">
        <f ca="1">D336+C337*(Prices!C337-Prices!C336)/Prices!C336</f>
        <v>8.8850811217075304E-2</v>
      </c>
      <c r="E337" s="9">
        <f t="shared" ca="1" si="31"/>
        <v>3.6383627511716032E-2</v>
      </c>
      <c r="F337" s="9">
        <f t="shared" ca="1" si="32"/>
        <v>0.12523443872879134</v>
      </c>
      <c r="G337" s="13">
        <f ca="1">IF((Prices!C337-Prices!C336)*C337&gt;0,1,0)</f>
        <v>1</v>
      </c>
      <c r="H337" s="9">
        <f>ABS(Prices!C337-Prices!C336)/Prices!C336</f>
        <v>1.2770372735253937E-3</v>
      </c>
      <c r="I337" s="13"/>
      <c r="J337" s="1">
        <f t="shared" ca="1" si="33"/>
        <v>7.5112790039771817E-4</v>
      </c>
      <c r="K337" s="9"/>
      <c r="L337" s="9">
        <f ca="1">L336-O337*Prices!C337</f>
        <v>1.0257493022487447</v>
      </c>
      <c r="M337" s="1">
        <f t="shared" ca="1" si="34"/>
        <v>1.0075731217122096E-2</v>
      </c>
      <c r="N337" s="9">
        <f ca="1">IF(Prices!D336&gt;OFFSET(Prices!D336,-$N$3,0),1,IF(Prices!D336&lt;OFFSET(Prices!D336,-$N$3,0),-1,0))</f>
        <v>1</v>
      </c>
      <c r="O337" s="1">
        <f ca="1">IF(N337=1,O$3*L336/Prices!C336,O$3*M336*N337)</f>
        <v>9.097958244256905E-4</v>
      </c>
      <c r="P337" s="14"/>
      <c r="Q337" s="9">
        <f ca="1">Q336-T337*Prices!C337</f>
        <v>1.2881550212695845</v>
      </c>
      <c r="R337" s="1">
        <f t="shared" ca="1" si="35"/>
        <v>7.7747282773706428E-3</v>
      </c>
      <c r="S337" s="9">
        <f ca="1">IF(Prices!C336&lt;OFFSET(Prices!C336,-S$3,0),1,IF(Prices!C336&gt;OFFSET(Prices!C336,-S$3,0),-1,0))</f>
        <v>-1</v>
      </c>
      <c r="T337" s="1">
        <f ca="1">IF(S337=1,T$3*Q336/Prices!C336,T$3*R336*S337)</f>
        <v>-1.5866792402797231E-4</v>
      </c>
      <c r="V337" s="9"/>
      <c r="W337" s="1"/>
      <c r="X337" s="1"/>
      <c r="Y337" s="1"/>
      <c r="Z337" s="1"/>
      <c r="AA337" s="1"/>
      <c r="AB337" s="1"/>
      <c r="AC337" s="1"/>
      <c r="AD337" s="1"/>
      <c r="AE337" s="16"/>
    </row>
    <row r="338" spans="1:31" x14ac:dyDescent="0.2">
      <c r="A338" s="4">
        <v>33980</v>
      </c>
      <c r="B338" s="9">
        <f ca="1">Prices!C337*(1+J338/(50*(ABS(O338)+ABS(T338)+0.0001)))</f>
        <v>126.99811727047107</v>
      </c>
      <c r="C338" s="13">
        <f t="shared" ref="C338:C401" ca="1" si="36">IF(J338&gt;0,1,IF(J338&lt;0,-1,0))</f>
        <v>1</v>
      </c>
      <c r="D338" s="9">
        <f ca="1">D337+C338*(Prices!C338-Prices!C337)/Prices!C337</f>
        <v>8.6459420224648059E-2</v>
      </c>
      <c r="E338" s="9">
        <f t="shared" ref="E338:E401" ca="1" si="37">F338-D338</f>
        <v>3.8775018504143277E-2</v>
      </c>
      <c r="F338" s="9">
        <f t="shared" ref="F338:F401" ca="1" si="38">MAX(F337,D338)</f>
        <v>0.12523443872879134</v>
      </c>
      <c r="G338" s="13">
        <f ca="1">IF((Prices!C338-Prices!C337)*C338&gt;0,1,0)</f>
        <v>0</v>
      </c>
      <c r="H338" s="9">
        <f>ABS(Prices!C338-Prices!C337)/Prices!C337</f>
        <v>2.3913909924272391E-3</v>
      </c>
      <c r="I338" s="13"/>
      <c r="J338" s="1">
        <f t="shared" ref="J338:J401" ca="1" si="39">O338+T338</f>
        <v>6.6216131508131941E-4</v>
      </c>
      <c r="K338" s="9"/>
      <c r="L338" s="9">
        <f ca="1">L337-O338*Prices!C338</f>
        <v>0.92341966878805892</v>
      </c>
      <c r="M338" s="1">
        <f t="shared" ref="M338:M401" ca="1" si="40">M337+O338</f>
        <v>1.0893387097750827E-2</v>
      </c>
      <c r="N338" s="9">
        <f ca="1">IF(Prices!D337&gt;OFFSET(Prices!D337,-$N$3,0),1,IF(Prices!D337&lt;OFFSET(Prices!D337,-$N$3,0),-1,0))</f>
        <v>1</v>
      </c>
      <c r="O338" s="1">
        <f ca="1">IF(N338=1,O$3*L337/Prices!C337,O$3*M337*N338)</f>
        <v>8.1765588062873229E-4</v>
      </c>
      <c r="P338" s="14"/>
      <c r="Q338" s="9">
        <f ca="1">Q337-T338*Prices!C338</f>
        <v>1.3076151661478432</v>
      </c>
      <c r="R338" s="1">
        <f t="shared" ref="R338:R401" ca="1" si="41">R337+T338</f>
        <v>7.6192337118232301E-3</v>
      </c>
      <c r="S338" s="9">
        <f ca="1">IF(Prices!C337&lt;OFFSET(Prices!C337,-S$3,0),1,IF(Prices!C337&gt;OFFSET(Prices!C337,-S$3,0),-1,0))</f>
        <v>-1</v>
      </c>
      <c r="T338" s="1">
        <f ca="1">IF(S338=1,T$3*Q337/Prices!C337,T$3*R337*S338)</f>
        <v>-1.5549456554741285E-4</v>
      </c>
      <c r="V338" s="9"/>
      <c r="W338" s="1"/>
      <c r="X338" s="1"/>
      <c r="Y338" s="1"/>
      <c r="Z338" s="1"/>
      <c r="AA338" s="1"/>
      <c r="AB338" s="1"/>
      <c r="AC338" s="1"/>
      <c r="AD338" s="1"/>
      <c r="AE338" s="16"/>
    </row>
    <row r="339" spans="1:31" x14ac:dyDescent="0.2">
      <c r="A339" s="4">
        <v>33981</v>
      </c>
      <c r="B339" s="9">
        <f ca="1">Prices!C338*(1+J339/(50*(ABS(O339)+ABS(T339)+0.0001)))</f>
        <v>122.83355111998692</v>
      </c>
      <c r="C339" s="13">
        <f t="shared" ca="1" si="36"/>
        <v>-1</v>
      </c>
      <c r="D339" s="9">
        <f ca="1">D338+C339*(Prices!C339-Prices!C338)/Prices!C338</f>
        <v>8.4861337923409635E-2</v>
      </c>
      <c r="E339" s="9">
        <f t="shared" ca="1" si="37"/>
        <v>4.0373100805381701E-2</v>
      </c>
      <c r="F339" s="9">
        <f t="shared" ca="1" si="38"/>
        <v>0.12523443872879134</v>
      </c>
      <c r="G339" s="13">
        <f ca="1">IF((Prices!C339-Prices!C338)*C339&gt;0,1,0)</f>
        <v>0</v>
      </c>
      <c r="H339" s="9">
        <f>ABS(Prices!C339-Prices!C338)/Prices!C338</f>
        <v>1.5980823012384229E-3</v>
      </c>
      <c r="I339" s="13"/>
      <c r="J339" s="1">
        <f t="shared" ca="1" si="39"/>
        <v>-1.2417233840115473E-3</v>
      </c>
      <c r="K339" s="9"/>
      <c r="L339" s="9">
        <f ca="1">L338-O339*Prices!C339</f>
        <v>1.0599682760583655</v>
      </c>
      <c r="M339" s="1">
        <f t="shared" ca="1" si="40"/>
        <v>9.8040483879757445E-3</v>
      </c>
      <c r="N339" s="9">
        <f ca="1">IF(Prices!D338&gt;OFFSET(Prices!D338,-$N$3,0),1,IF(Prices!D338&lt;OFFSET(Prices!D338,-$N$3,0),-1,0))</f>
        <v>-1</v>
      </c>
      <c r="O339" s="1">
        <f ca="1">IF(N339=1,O$3*L338/Prices!C338,O$3*M338*N339)</f>
        <v>-1.0893387097750827E-3</v>
      </c>
      <c r="P339" s="14"/>
      <c r="Q339" s="9">
        <f ca="1">Q338-T339*Prices!C339</f>
        <v>1.326716585063384</v>
      </c>
      <c r="R339" s="1">
        <f t="shared" ca="1" si="41"/>
        <v>7.4668490375867655E-3</v>
      </c>
      <c r="S339" s="9">
        <f ca="1">IF(Prices!C338&lt;OFFSET(Prices!C338,-S$3,0),1,IF(Prices!C338&gt;OFFSET(Prices!C338,-S$3,0),-1,0))</f>
        <v>-1</v>
      </c>
      <c r="T339" s="1">
        <f ca="1">IF(S339=1,T$3*Q338/Prices!C338,T$3*R338*S339)</f>
        <v>-1.523846742364646E-4</v>
      </c>
      <c r="V339" s="9"/>
      <c r="W339" s="1"/>
      <c r="X339" s="1"/>
      <c r="Y339" s="1"/>
      <c r="Z339" s="1"/>
      <c r="AA339" s="1"/>
      <c r="AB339" s="1"/>
      <c r="AC339" s="1"/>
      <c r="AD339" s="1"/>
      <c r="AE339" s="16"/>
    </row>
    <row r="340" spans="1:31" x14ac:dyDescent="0.2">
      <c r="A340" s="4">
        <v>33982</v>
      </c>
      <c r="B340" s="9">
        <f ca="1">Prices!C339*(1+J340/(50*(ABS(O340)+ABS(T340)+0.0001)))</f>
        <v>123.04686392982218</v>
      </c>
      <c r="C340" s="13">
        <f t="shared" ca="1" si="36"/>
        <v>-1</v>
      </c>
      <c r="D340" s="9">
        <f ca="1">D339+C340*(Prices!C340-Prices!C339)/Prices!C339</f>
        <v>8.2308485909049781E-2</v>
      </c>
      <c r="E340" s="9">
        <f t="shared" ca="1" si="37"/>
        <v>4.2925952819741556E-2</v>
      </c>
      <c r="F340" s="9">
        <f t="shared" ca="1" si="38"/>
        <v>0.12523443872879134</v>
      </c>
      <c r="G340" s="13">
        <f ca="1">IF((Prices!C340-Prices!C339)*C340&gt;0,1,0)</f>
        <v>0</v>
      </c>
      <c r="H340" s="9">
        <f>ABS(Prices!C340-Prices!C339)/Prices!C339</f>
        <v>2.5528520143598518E-3</v>
      </c>
      <c r="I340" s="13"/>
      <c r="J340" s="1">
        <f t="shared" ca="1" si="39"/>
        <v>-1.1297418195493098E-3</v>
      </c>
      <c r="K340" s="9"/>
      <c r="L340" s="9">
        <f ca="1">L339-O340*Prices!C340</f>
        <v>1.1831757521500568</v>
      </c>
      <c r="M340" s="1">
        <f t="shared" ca="1" si="40"/>
        <v>8.8236435491781708E-3</v>
      </c>
      <c r="N340" s="9">
        <f ca="1">IF(Prices!D339&gt;OFFSET(Prices!D339,-$N$3,0),1,IF(Prices!D339&lt;OFFSET(Prices!D339,-$N$3,0),-1,0))</f>
        <v>-1</v>
      </c>
      <c r="O340" s="1">
        <f ca="1">IF(N340=1,O$3*L339/Prices!C339,O$3*M339*N340)</f>
        <v>-9.8040483879757441E-4</v>
      </c>
      <c r="P340" s="14"/>
      <c r="Q340" s="9">
        <f ca="1">Q339-T340*Prices!C340</f>
        <v>1.3454837634344545</v>
      </c>
      <c r="R340" s="1">
        <f t="shared" ca="1" si="41"/>
        <v>7.3175120568350306E-3</v>
      </c>
      <c r="S340" s="9">
        <f ca="1">IF(Prices!C339&lt;OFFSET(Prices!C339,-S$3,0),1,IF(Prices!C339&gt;OFFSET(Prices!C339,-S$3,0),-1,0))</f>
        <v>-1</v>
      </c>
      <c r="T340" s="1">
        <f ca="1">IF(S340=1,T$3*Q339/Prices!C339,T$3*R339*S340)</f>
        <v>-1.4933698075173533E-4</v>
      </c>
      <c r="V340" s="9"/>
      <c r="W340" s="1"/>
      <c r="X340" s="1"/>
      <c r="Y340" s="1"/>
      <c r="Z340" s="1"/>
      <c r="AA340" s="1"/>
      <c r="AB340" s="1"/>
      <c r="AC340" s="1"/>
      <c r="AD340" s="1"/>
      <c r="AE340" s="16"/>
    </row>
    <row r="341" spans="1:31" x14ac:dyDescent="0.2">
      <c r="A341" s="4">
        <v>33983</v>
      </c>
      <c r="B341" s="9">
        <f ca="1">Prices!C340*(1+J341/(50*(ABS(O341)+ABS(T341)+0.0001)))</f>
        <v>124.17685473504827</v>
      </c>
      <c r="C341" s="13">
        <f t="shared" ca="1" si="36"/>
        <v>-1</v>
      </c>
      <c r="D341" s="9">
        <f ca="1">D340+C341*(Prices!C341-Prices!C340)/Prices!C340</f>
        <v>8.0637442700646864E-2</v>
      </c>
      <c r="E341" s="9">
        <f t="shared" ca="1" si="37"/>
        <v>4.4596996028144473E-2</v>
      </c>
      <c r="F341" s="9">
        <f t="shared" ca="1" si="38"/>
        <v>0.12523443872879134</v>
      </c>
      <c r="G341" s="13">
        <f ca="1">IF((Prices!C341-Prices!C340)*C341&gt;0,1,0)</f>
        <v>0</v>
      </c>
      <c r="H341" s="9">
        <f>ABS(Prices!C341-Prices!C340)/Prices!C340</f>
        <v>1.6710432084029103E-3</v>
      </c>
      <c r="I341" s="13"/>
      <c r="J341" s="1">
        <f t="shared" ca="1" si="39"/>
        <v>-1.4635024113670062E-4</v>
      </c>
      <c r="K341" s="9"/>
      <c r="L341" s="9">
        <f ca="1">L340-O341*Prices!C341</f>
        <v>1.1831757521500568</v>
      </c>
      <c r="M341" s="1">
        <f t="shared" ca="1" si="40"/>
        <v>8.8236435491781708E-3</v>
      </c>
      <c r="N341" s="9">
        <f ca="1">IF(Prices!D340&gt;OFFSET(Prices!D340,-$N$3,0),1,IF(Prices!D340&lt;OFFSET(Prices!D340,-$N$3,0),-1,0))</f>
        <v>0</v>
      </c>
      <c r="O341" s="1">
        <f ca="1">IF(N341=1,O$3*L340/Prices!C340,O$3*M340*N341)</f>
        <v>0</v>
      </c>
      <c r="P341" s="14"/>
      <c r="Q341" s="9">
        <f ca="1">Q340-T341*Prices!C341</f>
        <v>1.3639063317887423</v>
      </c>
      <c r="R341" s="1">
        <f t="shared" ca="1" si="41"/>
        <v>7.1711618156983297E-3</v>
      </c>
      <c r="S341" s="9">
        <f ca="1">IF(Prices!C340&lt;OFFSET(Prices!C340,-S$3,0),1,IF(Prices!C340&gt;OFFSET(Prices!C340,-S$3,0),-1,0))</f>
        <v>-1</v>
      </c>
      <c r="T341" s="1">
        <f ca="1">IF(S341=1,T$3*Q340/Prices!C340,T$3*R340*S341)</f>
        <v>-1.4635024113670062E-4</v>
      </c>
      <c r="V341" s="9"/>
      <c r="W341" s="1"/>
      <c r="X341" s="1"/>
      <c r="Y341" s="1"/>
      <c r="Z341" s="1"/>
      <c r="AA341" s="1"/>
      <c r="AB341" s="1"/>
      <c r="AC341" s="1"/>
      <c r="AD341" s="1"/>
      <c r="AE341" s="16"/>
    </row>
    <row r="342" spans="1:31" x14ac:dyDescent="0.2">
      <c r="A342" s="4">
        <v>33984</v>
      </c>
      <c r="B342" s="9">
        <f ca="1">Prices!C341*(1+J342/(50*(ABS(O342)+ABS(T342)+0.0001)))</f>
        <v>123.58603010745618</v>
      </c>
      <c r="C342" s="13">
        <f t="shared" ca="1" si="36"/>
        <v>-1</v>
      </c>
      <c r="D342" s="9">
        <f ca="1">D341+C342*(Prices!C342-Prices!C341)/Prices!C341</f>
        <v>7.8889746482025958E-2</v>
      </c>
      <c r="E342" s="9">
        <f t="shared" ca="1" si="37"/>
        <v>4.6344692246765379E-2</v>
      </c>
      <c r="F342" s="9">
        <f t="shared" ca="1" si="38"/>
        <v>0.12523443872879134</v>
      </c>
      <c r="G342" s="13">
        <f ca="1">IF((Prices!C342-Prices!C341)*C342&gt;0,1,0)</f>
        <v>0</v>
      </c>
      <c r="H342" s="9">
        <f>ABS(Prices!C342-Prices!C341)/Prices!C341</f>
        <v>1.7476962186208998E-3</v>
      </c>
      <c r="I342" s="13"/>
      <c r="J342" s="1">
        <f t="shared" ca="1" si="39"/>
        <v>-1.0257875912317838E-3</v>
      </c>
      <c r="K342" s="9"/>
      <c r="L342" s="9">
        <f ca="1">L341-O342*Prices!C342</f>
        <v>1.2944418973051934</v>
      </c>
      <c r="M342" s="1">
        <f t="shared" ca="1" si="40"/>
        <v>7.9412791942603533E-3</v>
      </c>
      <c r="N342" s="9">
        <f ca="1">IF(Prices!D341&gt;OFFSET(Prices!D341,-$N$3,0),1,IF(Prices!D341&lt;OFFSET(Prices!D341,-$N$3,0),-1,0))</f>
        <v>-1</v>
      </c>
      <c r="O342" s="1">
        <f ca="1">IF(N342=1,O$3*L341/Prices!C341,O$3*M341*N342)</f>
        <v>-8.823643549178171E-4</v>
      </c>
      <c r="P342" s="14"/>
      <c r="Q342" s="9">
        <f ca="1">Q341-T342*Prices!C342</f>
        <v>1.3819920018879335</v>
      </c>
      <c r="R342" s="1">
        <f t="shared" ca="1" si="41"/>
        <v>7.0277385793843629E-3</v>
      </c>
      <c r="S342" s="9">
        <f ca="1">IF(Prices!C341&lt;OFFSET(Prices!C341,-S$3,0),1,IF(Prices!C341&gt;OFFSET(Prices!C341,-S$3,0),-1,0))</f>
        <v>-1</v>
      </c>
      <c r="T342" s="1">
        <f ca="1">IF(S342=1,T$3*Q341/Prices!C341,T$3*R341*S342)</f>
        <v>-1.434232363139666E-4</v>
      </c>
      <c r="V342" s="9"/>
      <c r="W342" s="1"/>
      <c r="X342" s="1"/>
      <c r="Y342" s="1"/>
      <c r="Z342" s="1"/>
      <c r="AA342" s="1"/>
      <c r="AB342" s="1"/>
      <c r="AC342" s="1"/>
      <c r="AD342" s="1"/>
      <c r="AE342" s="16"/>
    </row>
    <row r="343" spans="1:31" x14ac:dyDescent="0.2">
      <c r="A343" s="4">
        <v>33987</v>
      </c>
      <c r="B343" s="9">
        <f ca="1">Prices!C342*(1+J343/(50*(ABS(O343)+ABS(T343)+0.0001)))</f>
        <v>123.82174622499281</v>
      </c>
      <c r="C343" s="13">
        <f t="shared" ca="1" si="36"/>
        <v>-1</v>
      </c>
      <c r="D343" s="9">
        <f ca="1">D342+C343*(Prices!C343-Prices!C342)/Prices!C342</f>
        <v>8.2458342834127368E-2</v>
      </c>
      <c r="E343" s="9">
        <f t="shared" ca="1" si="37"/>
        <v>4.2776095894663968E-2</v>
      </c>
      <c r="F343" s="9">
        <f t="shared" ca="1" si="38"/>
        <v>0.12523443872879134</v>
      </c>
      <c r="G343" s="13">
        <f ca="1">IF((Prices!C343-Prices!C342)*C343&gt;0,1,0)</f>
        <v>1</v>
      </c>
      <c r="H343" s="9">
        <f>ABS(Prices!C343-Prices!C342)/Prices!C342</f>
        <v>3.5685963521014169E-3</v>
      </c>
      <c r="I343" s="13"/>
      <c r="J343" s="1">
        <f t="shared" ca="1" si="39"/>
        <v>-9.3468269101372264E-4</v>
      </c>
      <c r="K343" s="9"/>
      <c r="L343" s="9">
        <f ca="1">L342-O343*Prices!C343</f>
        <v>1.3942240703810749</v>
      </c>
      <c r="M343" s="1">
        <f t="shared" ca="1" si="40"/>
        <v>7.1471512748343177E-3</v>
      </c>
      <c r="N343" s="9">
        <f ca="1">IF(Prices!D342&gt;OFFSET(Prices!D342,-$N$3,0),1,IF(Prices!D342&lt;OFFSET(Prices!D342,-$N$3,0),-1,0))</f>
        <v>-1</v>
      </c>
      <c r="O343" s="1">
        <f ca="1">IF(N343=1,O$3*L342/Prices!C342,O$3*M342*N343)</f>
        <v>-7.9412791942603536E-4</v>
      </c>
      <c r="P343" s="14"/>
      <c r="Q343" s="9">
        <f ca="1">Q342-T343*Prices!C343</f>
        <v>1.3996527089379265</v>
      </c>
      <c r="R343" s="1">
        <f t="shared" ca="1" si="41"/>
        <v>6.8871838077966758E-3</v>
      </c>
      <c r="S343" s="9">
        <f ca="1">IF(Prices!C342&lt;OFFSET(Prices!C342,-S$3,0),1,IF(Prices!C342&gt;OFFSET(Prices!C342,-S$3,0),-1,0))</f>
        <v>-1</v>
      </c>
      <c r="T343" s="1">
        <f ca="1">IF(S343=1,T$3*Q342/Prices!C342,T$3*R342*S343)</f>
        <v>-1.4055477158768725E-4</v>
      </c>
      <c r="V343" s="9"/>
      <c r="W343" s="1"/>
      <c r="X343" s="1"/>
      <c r="Y343" s="1"/>
      <c r="Z343" s="1"/>
      <c r="AA343" s="1"/>
      <c r="AB343" s="1"/>
      <c r="AC343" s="1"/>
      <c r="AD343" s="1"/>
      <c r="AE343" s="16"/>
    </row>
    <row r="344" spans="1:31" x14ac:dyDescent="0.2">
      <c r="A344" s="4">
        <v>33988</v>
      </c>
      <c r="B344" s="9">
        <f ca="1">Prices!C343*(1+J344/(50*(ABS(O344)+ABS(T344)+0.0001)))</f>
        <v>123.40084343242961</v>
      </c>
      <c r="C344" s="13">
        <f t="shared" ca="1" si="36"/>
        <v>-1</v>
      </c>
      <c r="D344" s="9">
        <f ca="1">D343+C344*(Prices!C344-Prices!C343)/Prices!C343</f>
        <v>8.389089357029933E-2</v>
      </c>
      <c r="E344" s="9">
        <f t="shared" ca="1" si="37"/>
        <v>4.1343545158492007E-2</v>
      </c>
      <c r="F344" s="9">
        <f t="shared" ca="1" si="38"/>
        <v>0.12523443872879134</v>
      </c>
      <c r="G344" s="13">
        <f ca="1">IF((Prices!C344-Prices!C343)*C344&gt;0,1,0)</f>
        <v>1</v>
      </c>
      <c r="H344" s="9">
        <f>ABS(Prices!C344-Prices!C343)/Prices!C343</f>
        <v>1.4325507361719603E-3</v>
      </c>
      <c r="I344" s="13"/>
      <c r="J344" s="1">
        <f t="shared" ca="1" si="39"/>
        <v>-8.5245880363936529E-4</v>
      </c>
      <c r="K344" s="9"/>
      <c r="L344" s="9">
        <f ca="1">L343-O344*Prices!C344</f>
        <v>1.4838993774264211</v>
      </c>
      <c r="M344" s="1">
        <f t="shared" ca="1" si="40"/>
        <v>6.4324361473508855E-3</v>
      </c>
      <c r="N344" s="9">
        <f ca="1">IF(Prices!D343&gt;OFFSET(Prices!D343,-$N$3,0),1,IF(Prices!D343&lt;OFFSET(Prices!D343,-$N$3,0),-1,0))</f>
        <v>-1</v>
      </c>
      <c r="O344" s="1">
        <f ca="1">IF(N344=1,O$3*L343/Prices!C343,O$3*M343*N344)</f>
        <v>-7.1471512748343179E-4</v>
      </c>
      <c r="P344" s="14"/>
      <c r="Q344" s="9">
        <f ca="1">Q343-T344*Prices!C344</f>
        <v>1.4169354079852114</v>
      </c>
      <c r="R344" s="1">
        <f t="shared" ca="1" si="41"/>
        <v>6.7494401316407424E-3</v>
      </c>
      <c r="S344" s="9">
        <f ca="1">IF(Prices!C343&lt;OFFSET(Prices!C343,-S$3,0),1,IF(Prices!C343&gt;OFFSET(Prices!C343,-S$3,0),-1,0))</f>
        <v>-1</v>
      </c>
      <c r="T344" s="1">
        <f ca="1">IF(S344=1,T$3*Q343/Prices!C343,T$3*R343*S344)</f>
        <v>-1.3774367615593353E-4</v>
      </c>
      <c r="V344" s="9"/>
      <c r="W344" s="1"/>
      <c r="X344" s="1"/>
      <c r="Y344" s="1"/>
      <c r="Z344" s="1"/>
      <c r="AA344" s="1"/>
      <c r="AB344" s="1"/>
      <c r="AC344" s="1"/>
      <c r="AD344" s="1"/>
      <c r="AE344" s="16"/>
    </row>
    <row r="345" spans="1:31" x14ac:dyDescent="0.2">
      <c r="A345" s="4">
        <v>33989</v>
      </c>
      <c r="B345" s="9">
        <f ca="1">Prices!C344*(1+J345/(50*(ABS(O345)+ABS(T345)+0.0001)))</f>
        <v>124.38922712607916</v>
      </c>
      <c r="C345" s="13">
        <f t="shared" ca="1" si="36"/>
        <v>-1</v>
      </c>
      <c r="D345" s="9">
        <f ca="1">D344+C345*(Prices!C345-Prices!C344)/Prices!C344</f>
        <v>9.0027818731692466E-2</v>
      </c>
      <c r="E345" s="9">
        <f t="shared" ca="1" si="37"/>
        <v>3.520661999709887E-2</v>
      </c>
      <c r="F345" s="9">
        <f t="shared" ca="1" si="38"/>
        <v>0.12523443872879134</v>
      </c>
      <c r="G345" s="13">
        <f ca="1">IF((Prices!C345-Prices!C344)*C345&gt;0,1,0)</f>
        <v>1</v>
      </c>
      <c r="H345" s="9">
        <f>ABS(Prices!C345-Prices!C344)/Prices!C344</f>
        <v>6.1369251613931303E-3</v>
      </c>
      <c r="I345" s="13"/>
      <c r="J345" s="1">
        <f t="shared" ca="1" si="39"/>
        <v>-4.1738318467448264E-4</v>
      </c>
      <c r="K345" s="9"/>
      <c r="L345" s="9">
        <f ca="1">L344-O345*Prices!C345</f>
        <v>1.5641118561838867</v>
      </c>
      <c r="M345" s="1">
        <f t="shared" ca="1" si="40"/>
        <v>5.7891925326157972E-3</v>
      </c>
      <c r="N345" s="9">
        <f ca="1">IF(Prices!D344&gt;OFFSET(Prices!D344,-$N$3,0),1,IF(Prices!D344&lt;OFFSET(Prices!D344,-$N$3,0),-1,0))</f>
        <v>-1</v>
      </c>
      <c r="O345" s="1">
        <f ca="1">IF(N345=1,O$3*L344/Prices!C344,O$3*M344*N345)</f>
        <v>-6.4324361473508862E-4</v>
      </c>
      <c r="P345" s="14"/>
      <c r="Q345" s="9">
        <f ca="1">Q344-T345*Prices!C345</f>
        <v>1.3887706123566539</v>
      </c>
      <c r="R345" s="1">
        <f t="shared" ca="1" si="41"/>
        <v>6.975300561701348E-3</v>
      </c>
      <c r="S345" s="9">
        <f ca="1">IF(Prices!C344&lt;OFFSET(Prices!C344,-S$3,0),1,IF(Prices!C344&gt;OFFSET(Prices!C344,-S$3,0),-1,0))</f>
        <v>1</v>
      </c>
      <c r="T345" s="1">
        <f ca="1">IF(S345=1,T$3*Q344/Prices!C344,T$3*R344*S345)</f>
        <v>2.2586043006060595E-4</v>
      </c>
      <c r="V345" s="9"/>
      <c r="W345" s="1"/>
      <c r="X345" s="1"/>
      <c r="Y345" s="1"/>
      <c r="Z345" s="1"/>
      <c r="AA345" s="1"/>
      <c r="AB345" s="1"/>
      <c r="AC345" s="1"/>
      <c r="AD345" s="1"/>
      <c r="AE345" s="16"/>
    </row>
    <row r="346" spans="1:31" x14ac:dyDescent="0.2">
      <c r="A346" s="4">
        <v>33990</v>
      </c>
      <c r="B346" s="9">
        <f ca="1">Prices!C345*(1+J346/(50*(ABS(O346)+ABS(T346)+0.0001)))</f>
        <v>127.03585539494959</v>
      </c>
      <c r="C346" s="13">
        <f t="shared" ca="1" si="36"/>
        <v>1</v>
      </c>
      <c r="D346" s="9">
        <f ca="1">D345+C346*(Prices!C346-Prices!C345)/Prices!C345</f>
        <v>9.2032630279406974E-2</v>
      </c>
      <c r="E346" s="9">
        <f t="shared" ca="1" si="37"/>
        <v>3.3201808449384362E-2</v>
      </c>
      <c r="F346" s="9">
        <f t="shared" ca="1" si="38"/>
        <v>0.12523443872879134</v>
      </c>
      <c r="G346" s="13">
        <f ca="1">IF((Prices!C346-Prices!C345)*C346&gt;0,1,0)</f>
        <v>1</v>
      </c>
      <c r="H346" s="9">
        <f>ABS(Prices!C346-Prices!C345)/Prices!C345</f>
        <v>2.0048115477145148E-3</v>
      </c>
      <c r="I346" s="13"/>
      <c r="J346" s="1">
        <f t="shared" ca="1" si="39"/>
        <v>1.4770376733401905E-3</v>
      </c>
      <c r="K346" s="9"/>
      <c r="L346" s="9">
        <f ca="1">L345-O346*Prices!C346</f>
        <v>1.4073870956143786</v>
      </c>
      <c r="M346" s="1">
        <f t="shared" ca="1" si="40"/>
        <v>7.0434923370936535E-3</v>
      </c>
      <c r="N346" s="9">
        <f ca="1">IF(Prices!D345&gt;OFFSET(Prices!D345,-$N$3,0),1,IF(Prices!D345&lt;OFFSET(Prices!D345,-$N$3,0),-1,0))</f>
        <v>1</v>
      </c>
      <c r="O346" s="1">
        <f ca="1">IF(N346=1,O$3*L345/Prices!C345,O$3*M345*N346)</f>
        <v>1.2542998044778562E-3</v>
      </c>
      <c r="P346" s="14"/>
      <c r="Q346" s="9">
        <f ca="1">Q345-T346*Prices!C346</f>
        <v>1.3609395156423052</v>
      </c>
      <c r="R346" s="1">
        <f t="shared" ca="1" si="41"/>
        <v>7.1980384305636823E-3</v>
      </c>
      <c r="S346" s="9">
        <f ca="1">IF(Prices!C345&lt;OFFSET(Prices!C345,-S$3,0),1,IF(Prices!C345&gt;OFFSET(Prices!C345,-S$3,0),-1,0))</f>
        <v>1</v>
      </c>
      <c r="T346" s="1">
        <f ca="1">IF(S346=1,T$3*Q345/Prices!C345,T$3*R345*S346)</f>
        <v>2.2273786886233422E-4</v>
      </c>
      <c r="V346" s="9"/>
      <c r="W346" s="1"/>
      <c r="X346" s="1"/>
      <c r="Y346" s="1"/>
      <c r="Z346" s="1"/>
      <c r="AA346" s="1"/>
      <c r="AB346" s="1"/>
      <c r="AC346" s="1"/>
      <c r="AD346" s="1"/>
      <c r="AE346" s="16"/>
    </row>
    <row r="347" spans="1:31" x14ac:dyDescent="0.2">
      <c r="A347" s="4">
        <v>33991</v>
      </c>
      <c r="B347" s="9">
        <f ca="1">Prices!C346*(1+J347/(50*(ABS(O347)+ABS(T347)+0.0001)))</f>
        <v>127.27596274630856</v>
      </c>
      <c r="C347" s="13">
        <f t="shared" ca="1" si="36"/>
        <v>1</v>
      </c>
      <c r="D347" s="9">
        <f ca="1">D346+C347*(Prices!C347-Prices!C346)/Prices!C346</f>
        <v>9.3953398586729867E-2</v>
      </c>
      <c r="E347" s="9">
        <f t="shared" ca="1" si="37"/>
        <v>3.128104014206147E-2</v>
      </c>
      <c r="F347" s="9">
        <f t="shared" ca="1" si="38"/>
        <v>0.12523443872879134</v>
      </c>
      <c r="G347" s="13">
        <f ca="1">IF((Prices!C347-Prices!C346)*C347&gt;0,1,0)</f>
        <v>1</v>
      </c>
      <c r="H347" s="9">
        <f>ABS(Prices!C347-Prices!C346)/Prices!C346</f>
        <v>1.9207683073228883E-3</v>
      </c>
      <c r="I347" s="13"/>
      <c r="J347" s="1">
        <f t="shared" ca="1" si="39"/>
        <v>1.3441976780654977E-3</v>
      </c>
      <c r="K347" s="9"/>
      <c r="L347" s="9">
        <f ca="1">L346-O347*Prices!C347</f>
        <v>1.2663780596000016</v>
      </c>
      <c r="M347" s="1">
        <f t="shared" ca="1" si="40"/>
        <v>8.1698525576733884E-3</v>
      </c>
      <c r="N347" s="9">
        <f ca="1">IF(Prices!D346&gt;OFFSET(Prices!D346,-$N$3,0),1,IF(Prices!D346&lt;OFFSET(Prices!D346,-$N$3,0),-1,0))</f>
        <v>1</v>
      </c>
      <c r="O347" s="1">
        <f ca="1">IF(N347=1,O$3*L346/Prices!C346,O$3*M346*N347)</f>
        <v>1.1263602205797347E-3</v>
      </c>
      <c r="P347" s="14"/>
      <c r="Q347" s="9">
        <f ca="1">Q346-T347*Prices!C347</f>
        <v>1.3336684443396625</v>
      </c>
      <c r="R347" s="1">
        <f t="shared" ca="1" si="41"/>
        <v>7.4158758880494453E-3</v>
      </c>
      <c r="S347" s="9">
        <f ca="1">IF(Prices!C346&lt;OFFSET(Prices!C346,-S$3,0),1,IF(Prices!C346&gt;OFFSET(Prices!C346,-S$3,0),-1,0))</f>
        <v>1</v>
      </c>
      <c r="T347" s="1">
        <f ca="1">IF(S347=1,T$3*Q346/Prices!C346,T$3*R346*S347)</f>
        <v>2.1783745748576313E-4</v>
      </c>
      <c r="V347" s="9"/>
      <c r="W347" s="1"/>
      <c r="X347" s="1"/>
      <c r="Y347" s="1"/>
      <c r="Z347" s="1"/>
      <c r="AA347" s="1"/>
      <c r="AB347" s="1"/>
      <c r="AC347" s="1"/>
      <c r="AD347" s="1"/>
      <c r="AE347" s="16"/>
    </row>
    <row r="348" spans="1:31" x14ac:dyDescent="0.2">
      <c r="A348" s="4">
        <v>33994</v>
      </c>
      <c r="B348" s="9">
        <f ca="1">Prices!C347*(1+J348/(50*(ABS(O348)+ABS(T348)+0.0001)))</f>
        <v>123.85191539116546</v>
      </c>
      <c r="C348" s="13">
        <f t="shared" ca="1" si="36"/>
        <v>-1</v>
      </c>
      <c r="D348" s="9">
        <f ca="1">D347+C348*(Prices!C348-Prices!C347)/Prices!C347</f>
        <v>0.10865105814420253</v>
      </c>
      <c r="E348" s="9">
        <f t="shared" ca="1" si="37"/>
        <v>1.6583380584588803E-2</v>
      </c>
      <c r="F348" s="9">
        <f t="shared" ca="1" si="38"/>
        <v>0.12523443872879134</v>
      </c>
      <c r="G348" s="13">
        <f ca="1">IF((Prices!C348-Prices!C347)*C348&gt;0,1,0)</f>
        <v>1</v>
      </c>
      <c r="H348" s="9">
        <f>ABS(Prices!C348-Prices!C347)/Prices!C347</f>
        <v>1.4697659557472669E-2</v>
      </c>
      <c r="I348" s="13"/>
      <c r="J348" s="1">
        <f t="shared" ca="1" si="39"/>
        <v>-6.0392216057768115E-4</v>
      </c>
      <c r="K348" s="9"/>
      <c r="L348" s="9">
        <f ca="1">L347-O348*Prices!C348</f>
        <v>1.3671531908989027</v>
      </c>
      <c r="M348" s="1">
        <f t="shared" ca="1" si="40"/>
        <v>7.3528673019060495E-3</v>
      </c>
      <c r="N348" s="9">
        <f ca="1">IF(Prices!D347&gt;OFFSET(Prices!D347,-$N$3,0),1,IF(Prices!D347&lt;OFFSET(Prices!D347,-$N$3,0),-1,0))</f>
        <v>-1</v>
      </c>
      <c r="O348" s="1">
        <f ca="1">IF(N348=1,O$3*L347/Prices!C347,O$3*M347*N348)</f>
        <v>-8.1698525576733884E-4</v>
      </c>
      <c r="P348" s="14"/>
      <c r="Q348" s="9">
        <f ca="1">Q347-T348*Prices!C348</f>
        <v>1.3073871115480182</v>
      </c>
      <c r="R348" s="1">
        <f t="shared" ca="1" si="41"/>
        <v>7.628938983239103E-3</v>
      </c>
      <c r="S348" s="9">
        <f ca="1">IF(Prices!C347&lt;OFFSET(Prices!C347,-S$3,0),1,IF(Prices!C347&gt;OFFSET(Prices!C347,-S$3,0),-1,0))</f>
        <v>1</v>
      </c>
      <c r="T348" s="1">
        <f ca="1">IF(S348=1,T$3*Q347/Prices!C347,T$3*R347*S348)</f>
        <v>2.1306309518965771E-4</v>
      </c>
      <c r="V348" s="9"/>
      <c r="W348" s="1"/>
      <c r="X348" s="1"/>
      <c r="Y348" s="1"/>
      <c r="Z348" s="1"/>
      <c r="AA348" s="1"/>
      <c r="AB348" s="1"/>
      <c r="AC348" s="1"/>
      <c r="AD348" s="1"/>
      <c r="AE348" s="16"/>
    </row>
    <row r="349" spans="1:31" x14ac:dyDescent="0.2">
      <c r="A349" s="4">
        <v>33995</v>
      </c>
      <c r="B349" s="9">
        <f ca="1">Prices!C348*(1+J349/(50*(ABS(O349)+ABS(T349)+0.0001)))</f>
        <v>122.11726970379929</v>
      </c>
      <c r="C349" s="13">
        <f t="shared" ca="1" si="36"/>
        <v>-1</v>
      </c>
      <c r="D349" s="9">
        <f ca="1">D348+C349*(Prices!C349-Prices!C348)/Prices!C348</f>
        <v>0.10678644525405252</v>
      </c>
      <c r="E349" s="9">
        <f t="shared" ca="1" si="37"/>
        <v>1.8447993474738814E-2</v>
      </c>
      <c r="F349" s="9">
        <f t="shared" ca="1" si="38"/>
        <v>0.12523443872879134</v>
      </c>
      <c r="G349" s="13">
        <f ca="1">IF((Prices!C349-Prices!C348)*C349&gt;0,1,0)</f>
        <v>0</v>
      </c>
      <c r="H349" s="9">
        <f>ABS(Prices!C349-Prices!C348)/Prices!C348</f>
        <v>1.8646128901500122E-3</v>
      </c>
      <c r="I349" s="13"/>
      <c r="J349" s="1">
        <f t="shared" ca="1" si="39"/>
        <v>-5.2330665535509329E-4</v>
      </c>
      <c r="K349" s="9"/>
      <c r="L349" s="9">
        <f ca="1">L348-O349*Prices!C349</f>
        <v>1.4580199250158576</v>
      </c>
      <c r="M349" s="1">
        <f t="shared" ca="1" si="40"/>
        <v>6.6175805717154446E-3</v>
      </c>
      <c r="N349" s="9">
        <f ca="1">IF(Prices!D348&gt;OFFSET(Prices!D348,-$N$3,0),1,IF(Prices!D348&lt;OFFSET(Prices!D348,-$N$3,0),-1,0))</f>
        <v>-1</v>
      </c>
      <c r="O349" s="1">
        <f ca="1">IF(N349=1,O$3*L348/Prices!C348,O$3*M348*N349)</f>
        <v>-7.3528673019060495E-4</v>
      </c>
      <c r="P349" s="14"/>
      <c r="Q349" s="9">
        <f ca="1">Q348-T349*Prices!C349</f>
        <v>1.2811906138998457</v>
      </c>
      <c r="R349" s="1">
        <f t="shared" ca="1" si="41"/>
        <v>7.8409190580746146E-3</v>
      </c>
      <c r="S349" s="9">
        <f ca="1">IF(Prices!C348&lt;OFFSET(Prices!C348,-S$3,0),1,IF(Prices!C348&gt;OFFSET(Prices!C348,-S$3,0),-1,0))</f>
        <v>1</v>
      </c>
      <c r="T349" s="1">
        <f ca="1">IF(S349=1,T$3*Q348/Prices!C348,T$3*R348*S349)</f>
        <v>2.1198007483551166E-4</v>
      </c>
      <c r="V349" s="9"/>
      <c r="W349" s="1"/>
      <c r="X349" s="1"/>
      <c r="Y349" s="1"/>
      <c r="Z349" s="1"/>
      <c r="AA349" s="1"/>
      <c r="AB349" s="1"/>
      <c r="AC349" s="1"/>
      <c r="AD349" s="1"/>
      <c r="AE349" s="16"/>
    </row>
    <row r="350" spans="1:31" x14ac:dyDescent="0.2">
      <c r="A350" s="4">
        <v>33996</v>
      </c>
      <c r="B350" s="9">
        <f ca="1">Prices!C349*(1+J350/(50*(ABS(O350)+ABS(T350)+0.0001)))</f>
        <v>122.42106869610977</v>
      </c>
      <c r="C350" s="13">
        <f t="shared" ca="1" si="36"/>
        <v>-1</v>
      </c>
      <c r="D350" s="9">
        <f ca="1">D349+C350*(Prices!C350-Prices!C349)/Prices!C349</f>
        <v>0.10209312918349096</v>
      </c>
      <c r="E350" s="9">
        <f t="shared" ca="1" si="37"/>
        <v>2.3141309545300373E-2</v>
      </c>
      <c r="F350" s="9">
        <f t="shared" ca="1" si="38"/>
        <v>0.12523443872879134</v>
      </c>
      <c r="G350" s="13">
        <f ca="1">IF((Prices!C350-Prices!C349)*C350&gt;0,1,0)</f>
        <v>0</v>
      </c>
      <c r="H350" s="9">
        <f>ABS(Prices!C350-Prices!C349)/Prices!C349</f>
        <v>4.6933160705615656E-3</v>
      </c>
      <c r="I350" s="13"/>
      <c r="J350" s="1">
        <f t="shared" ca="1" si="39"/>
        <v>-4.5441210897606863E-4</v>
      </c>
      <c r="K350" s="9"/>
      <c r="L350" s="9">
        <f ca="1">L349-O350*Prices!C350</f>
        <v>1.5401838053942767</v>
      </c>
      <c r="M350" s="1">
        <f t="shared" ca="1" si="40"/>
        <v>5.9558225145439E-3</v>
      </c>
      <c r="N350" s="9">
        <f ca="1">IF(Prices!D349&gt;OFFSET(Prices!D349,-$N$3,0),1,IF(Prices!D349&lt;OFFSET(Prices!D349,-$N$3,0),-1,0))</f>
        <v>-1</v>
      </c>
      <c r="O350" s="1">
        <f ca="1">IF(N350=1,O$3*L349/Prices!C349,O$3*M349*N350)</f>
        <v>-6.6175805717154455E-4</v>
      </c>
      <c r="P350" s="14"/>
      <c r="Q350" s="9">
        <f ca="1">Q349-T350*Prices!C350</f>
        <v>1.2554465409718953</v>
      </c>
      <c r="R350" s="1">
        <f t="shared" ca="1" si="41"/>
        <v>8.048265006270091E-3</v>
      </c>
      <c r="S350" s="9">
        <f ca="1">IF(Prices!C349&lt;OFFSET(Prices!C349,-S$3,0),1,IF(Prices!C349&gt;OFFSET(Prices!C349,-S$3,0),-1,0))</f>
        <v>1</v>
      </c>
      <c r="T350" s="1">
        <f ca="1">IF(S350=1,T$3*Q349/Prices!C349,T$3*R349*S350)</f>
        <v>2.0734594819547591E-4</v>
      </c>
      <c r="V350" s="9"/>
      <c r="W350" s="1"/>
      <c r="X350" s="1"/>
      <c r="Y350" s="1"/>
      <c r="Z350" s="1"/>
      <c r="AA350" s="1"/>
      <c r="AB350" s="1"/>
      <c r="AC350" s="1"/>
      <c r="AD350" s="1"/>
      <c r="AE350" s="16"/>
    </row>
    <row r="351" spans="1:31" x14ac:dyDescent="0.2">
      <c r="A351" s="4">
        <v>33997</v>
      </c>
      <c r="B351" s="9">
        <f ca="1">Prices!C350*(1+J351/(50*(ABS(O351)+ABS(T351)+0.0001)))</f>
        <v>125.82157526874188</v>
      </c>
      <c r="C351" s="13">
        <f t="shared" ca="1" si="36"/>
        <v>1</v>
      </c>
      <c r="D351" s="9">
        <f ca="1">D350+C351*(Prices!C351-Prices!C350)/Prices!C350</f>
        <v>0.10217367042060441</v>
      </c>
      <c r="E351" s="9">
        <f t="shared" ca="1" si="37"/>
        <v>2.306076830818693E-2</v>
      </c>
      <c r="F351" s="9">
        <f t="shared" ca="1" si="38"/>
        <v>0.12523443872879134</v>
      </c>
      <c r="G351" s="13">
        <f ca="1">IF((Prices!C351-Prices!C350)*C351&gt;0,1,0)</f>
        <v>1</v>
      </c>
      <c r="H351" s="9">
        <f>ABS(Prices!C351-Prices!C350)/Prices!C350</f>
        <v>8.0541237113443274E-5</v>
      </c>
      <c r="I351" s="13"/>
      <c r="J351" s="1">
        <f t="shared" ca="1" si="39"/>
        <v>2.0223043507923573E-4</v>
      </c>
      <c r="K351" s="9"/>
      <c r="L351" s="9">
        <f ca="1">L350-O351*Prices!C351</f>
        <v>1.5401838053942767</v>
      </c>
      <c r="M351" s="1">
        <f t="shared" ca="1" si="40"/>
        <v>5.9558225145439E-3</v>
      </c>
      <c r="N351" s="9">
        <f ca="1">IF(Prices!D350&gt;OFFSET(Prices!D350,-$N$3,0),1,IF(Prices!D350&lt;OFFSET(Prices!D350,-$N$3,0),-1,0))</f>
        <v>0</v>
      </c>
      <c r="O351" s="1">
        <f ca="1">IF(N351=1,O$3*L350/Prices!C350,O$3*M350*N351)</f>
        <v>0</v>
      </c>
      <c r="P351" s="14"/>
      <c r="Q351" s="9">
        <f ca="1">Q350-T351*Prices!C351</f>
        <v>1.2303355878481066</v>
      </c>
      <c r="R351" s="1">
        <f t="shared" ca="1" si="41"/>
        <v>8.2504954413493269E-3</v>
      </c>
      <c r="S351" s="9">
        <f ca="1">IF(Prices!C350&lt;OFFSET(Prices!C350,-S$3,0),1,IF(Prices!C350&gt;OFFSET(Prices!C350,-S$3,0),-1,0))</f>
        <v>1</v>
      </c>
      <c r="T351" s="1">
        <f ca="1">IF(S351=1,T$3*Q350/Prices!C350,T$3*R350*S351)</f>
        <v>2.0223043507923573E-4</v>
      </c>
      <c r="V351" s="9"/>
      <c r="W351" s="1"/>
      <c r="X351" s="1"/>
      <c r="Y351" s="1"/>
      <c r="Z351" s="1"/>
      <c r="AA351" s="1"/>
      <c r="AB351" s="1"/>
      <c r="AC351" s="1"/>
      <c r="AD351" s="1"/>
      <c r="AE351" s="16"/>
    </row>
    <row r="352" spans="1:31" x14ac:dyDescent="0.2">
      <c r="A352" s="4">
        <v>33998</v>
      </c>
      <c r="B352" s="9">
        <f ca="1">Prices!C351*(1+J352/(50*(ABS(O352)+ABS(T352)+0.0001)))</f>
        <v>123.06573958029506</v>
      </c>
      <c r="C352" s="13">
        <f t="shared" ca="1" si="36"/>
        <v>-1</v>
      </c>
      <c r="D352" s="9">
        <f ca="1">D351+C352*(Prices!C352-Prices!C351)/Prices!C351</f>
        <v>9.7663724378887387E-2</v>
      </c>
      <c r="E352" s="9">
        <f t="shared" ca="1" si="37"/>
        <v>2.7570714349903949E-2</v>
      </c>
      <c r="F352" s="9">
        <f t="shared" ca="1" si="38"/>
        <v>0.12523443872879134</v>
      </c>
      <c r="G352" s="13">
        <f ca="1">IF((Prices!C352-Prices!C351)*C352&gt;0,1,0)</f>
        <v>0</v>
      </c>
      <c r="H352" s="9">
        <f>ABS(Prices!C352-Prices!C351)/Prices!C351</f>
        <v>4.5099460417170195E-3</v>
      </c>
      <c r="I352" s="13"/>
      <c r="J352" s="1">
        <f t="shared" ca="1" si="39"/>
        <v>-3.9741271165442125E-4</v>
      </c>
      <c r="K352" s="9"/>
      <c r="L352" s="9">
        <f ca="1">L351-O352*Prices!C352</f>
        <v>1.6144707796181827</v>
      </c>
      <c r="M352" s="1">
        <f t="shared" ca="1" si="40"/>
        <v>5.3602402630895099E-3</v>
      </c>
      <c r="N352" s="9">
        <f ca="1">IF(Prices!D351&gt;OFFSET(Prices!D351,-$N$3,0),1,IF(Prices!D351&lt;OFFSET(Prices!D351,-$N$3,0),-1,0))</f>
        <v>-1</v>
      </c>
      <c r="O352" s="1">
        <f ca="1">IF(N352=1,O$3*L351/Prices!C351,O$3*M351*N352)</f>
        <v>-5.9558225145439007E-4</v>
      </c>
      <c r="P352" s="14"/>
      <c r="Q352" s="9">
        <f ca="1">Q351-T352*Prices!C352</f>
        <v>1.2056179011488566</v>
      </c>
      <c r="R352" s="1">
        <f t="shared" ca="1" si="41"/>
        <v>8.4486649811492953E-3</v>
      </c>
      <c r="S352" s="9">
        <f ca="1">IF(Prices!C351&lt;OFFSET(Prices!C351,-S$3,0),1,IF(Prices!C351&gt;OFFSET(Prices!C351,-S$3,0),-1,0))</f>
        <v>1</v>
      </c>
      <c r="T352" s="1">
        <f ca="1">IF(S352=1,T$3*Q351/Prices!C351,T$3*R351*S352)</f>
        <v>1.9816953979996885E-4</v>
      </c>
      <c r="V352" s="9"/>
      <c r="W352" s="1"/>
      <c r="X352" s="1"/>
      <c r="Y352" s="1"/>
      <c r="Z352" s="1"/>
      <c r="AA352" s="1"/>
      <c r="AB352" s="1"/>
      <c r="AC352" s="1"/>
      <c r="AD352" s="1"/>
      <c r="AE352" s="16"/>
    </row>
    <row r="353" spans="1:31" x14ac:dyDescent="0.2">
      <c r="A353" s="4">
        <v>34001</v>
      </c>
      <c r="B353" s="9">
        <f ca="1">Prices!C352*(1+J353/(50*(ABS(O353)+ABS(T353)+0.0001)))</f>
        <v>122.54528922815514</v>
      </c>
      <c r="C353" s="13">
        <f t="shared" ca="1" si="36"/>
        <v>-1</v>
      </c>
      <c r="D353" s="9">
        <f ca="1">D352+C353*(Prices!C353-Prices!C352)/Prices!C352</f>
        <v>9.4697316938816917E-2</v>
      </c>
      <c r="E353" s="9">
        <f t="shared" ca="1" si="37"/>
        <v>3.053712178997442E-2</v>
      </c>
      <c r="F353" s="9">
        <f t="shared" ca="1" si="38"/>
        <v>0.12523443872879134</v>
      </c>
      <c r="G353" s="13">
        <f ca="1">IF((Prices!C353-Prices!C352)*C353&gt;0,1,0)</f>
        <v>0</v>
      </c>
      <c r="H353" s="9">
        <f>ABS(Prices!C353-Prices!C352)/Prices!C352</f>
        <v>2.9664074400704748E-3</v>
      </c>
      <c r="I353" s="13"/>
      <c r="J353" s="1">
        <f t="shared" ca="1" si="39"/>
        <v>-7.0499732593193689E-4</v>
      </c>
      <c r="K353" s="9"/>
      <c r="L353" s="9">
        <f ca="1">L352-O353*Prices!C353</f>
        <v>1.6815273853094326</v>
      </c>
      <c r="M353" s="1">
        <f t="shared" ca="1" si="40"/>
        <v>4.8242162367805588E-3</v>
      </c>
      <c r="N353" s="9">
        <f ca="1">IF(Prices!D352&gt;OFFSET(Prices!D352,-$N$3,0),1,IF(Prices!D352&lt;OFFSET(Prices!D352,-$N$3,0),-1,0))</f>
        <v>-1</v>
      </c>
      <c r="O353" s="1">
        <f ca="1">IF(N353=1,O$3*L352/Prices!C352,O$3*M352*N353)</f>
        <v>-5.3602402630895097E-4</v>
      </c>
      <c r="P353" s="14"/>
      <c r="Q353" s="9">
        <f ca="1">Q352-T353*Prices!C353</f>
        <v>1.2267564609316921</v>
      </c>
      <c r="R353" s="1">
        <f t="shared" ca="1" si="41"/>
        <v>8.2796916815263098E-3</v>
      </c>
      <c r="S353" s="9">
        <f ca="1">IF(Prices!C352&lt;OFFSET(Prices!C352,-S$3,0),1,IF(Prices!C352&gt;OFFSET(Prices!C352,-S$3,0),-1,0))</f>
        <v>-1</v>
      </c>
      <c r="T353" s="1">
        <f ca="1">IF(S353=1,T$3*Q352/Prices!C352,T$3*R352*S353)</f>
        <v>-1.689732996229859E-4</v>
      </c>
      <c r="V353" s="9"/>
      <c r="W353" s="1"/>
      <c r="X353" s="1"/>
      <c r="Y353" s="1"/>
      <c r="Z353" s="1"/>
      <c r="AA353" s="1"/>
      <c r="AB353" s="1"/>
      <c r="AC353" s="1"/>
      <c r="AD353" s="1"/>
      <c r="AE353" s="16"/>
    </row>
    <row r="354" spans="1:31" x14ac:dyDescent="0.2">
      <c r="A354" s="4">
        <v>34002</v>
      </c>
      <c r="B354" s="9">
        <f ca="1">Prices!C353*(1+J354/(50*(ABS(O354)+ABS(T354)+0.0001)))</f>
        <v>122.93248506652554</v>
      </c>
      <c r="C354" s="13">
        <f t="shared" ca="1" si="36"/>
        <v>-1</v>
      </c>
      <c r="D354" s="9">
        <f ca="1">D353+C354*(Prices!C354-Prices!C353)/Prices!C353</f>
        <v>9.8294439240975098E-2</v>
      </c>
      <c r="E354" s="9">
        <f t="shared" ca="1" si="37"/>
        <v>2.6939999487816238E-2</v>
      </c>
      <c r="F354" s="9">
        <f t="shared" ca="1" si="38"/>
        <v>0.12523443872879134</v>
      </c>
      <c r="G354" s="13">
        <f ca="1">IF((Prices!C354-Prices!C353)*C354&gt;0,1,0)</f>
        <v>1</v>
      </c>
      <c r="H354" s="9">
        <f>ABS(Prices!C354-Prices!C353)/Prices!C353</f>
        <v>3.5971223021581825E-3</v>
      </c>
      <c r="I354" s="13"/>
      <c r="J354" s="1">
        <f t="shared" ca="1" si="39"/>
        <v>-6.4801545730858211E-4</v>
      </c>
      <c r="K354" s="9"/>
      <c r="L354" s="9">
        <f ca="1">L353-O354*Prices!C354</f>
        <v>1.7416612407009022</v>
      </c>
      <c r="M354" s="1">
        <f t="shared" ca="1" si="40"/>
        <v>4.3417946131025032E-3</v>
      </c>
      <c r="N354" s="9">
        <f ca="1">IF(Prices!D353&gt;OFFSET(Prices!D353,-$N$3,0),1,IF(Prices!D353&lt;OFFSET(Prices!D353,-$N$3,0),-1,0))</f>
        <v>-1</v>
      </c>
      <c r="O354" s="1">
        <f ca="1">IF(N354=1,O$3*L353/Prices!C353,O$3*M353*N354)</f>
        <v>-4.8242162367805589E-4</v>
      </c>
      <c r="P354" s="14"/>
      <c r="Q354" s="9">
        <f ca="1">Q353-T354*Prices!C354</f>
        <v>1.2473977322937373</v>
      </c>
      <c r="R354" s="1">
        <f t="shared" ca="1" si="41"/>
        <v>8.1140978478957838E-3</v>
      </c>
      <c r="S354" s="9">
        <f ca="1">IF(Prices!C353&lt;OFFSET(Prices!C353,-S$3,0),1,IF(Prices!C353&gt;OFFSET(Prices!C353,-S$3,0),-1,0))</f>
        <v>-1</v>
      </c>
      <c r="T354" s="1">
        <f ca="1">IF(S354=1,T$3*Q353/Prices!C353,T$3*R353*S354)</f>
        <v>-1.6559383363052619E-4</v>
      </c>
      <c r="V354" s="9"/>
      <c r="W354" s="1"/>
      <c r="X354" s="1"/>
      <c r="Y354" s="1"/>
      <c r="Z354" s="1"/>
      <c r="AA354" s="1"/>
      <c r="AB354" s="1"/>
      <c r="AC354" s="1"/>
      <c r="AD354" s="1"/>
      <c r="AE354" s="16"/>
    </row>
    <row r="355" spans="1:31" x14ac:dyDescent="0.2">
      <c r="A355" s="4">
        <v>34003</v>
      </c>
      <c r="B355" s="9">
        <f ca="1">Prices!C354*(1+J355/(50*(ABS(O355)+ABS(T355)+0.0001)))</f>
        <v>126.50520366102563</v>
      </c>
      <c r="C355" s="13">
        <f t="shared" ca="1" si="36"/>
        <v>1</v>
      </c>
      <c r="D355" s="9">
        <f ca="1">D354+C355*(Prices!C355-Prices!C354)/Prices!C354</f>
        <v>9.6689946661753248E-2</v>
      </c>
      <c r="E355" s="9">
        <f t="shared" ca="1" si="37"/>
        <v>2.8544492067038088E-2</v>
      </c>
      <c r="F355" s="9">
        <f t="shared" ca="1" si="38"/>
        <v>0.12523443872879134</v>
      </c>
      <c r="G355" s="13">
        <f ca="1">IF((Prices!C355-Prices!C354)*C355&gt;0,1,0)</f>
        <v>0</v>
      </c>
      <c r="H355" s="9">
        <f>ABS(Prices!C355-Prices!C354)/Prices!C354</f>
        <v>1.6044925792218438E-3</v>
      </c>
      <c r="I355" s="13"/>
      <c r="J355" s="1">
        <f t="shared" ca="1" si="39"/>
        <v>1.2349593111535182E-3</v>
      </c>
      <c r="K355" s="9"/>
      <c r="L355" s="9">
        <f ca="1">L354-O355*Prices!C355</f>
        <v>1.5677745648844343</v>
      </c>
      <c r="M355" s="1">
        <f t="shared" ca="1" si="40"/>
        <v>5.7390358812139369E-3</v>
      </c>
      <c r="N355" s="9">
        <f ca="1">IF(Prices!D354&gt;OFFSET(Prices!D354,-$N$3,0),1,IF(Prices!D354&lt;OFFSET(Prices!D354,-$N$3,0),-1,0))</f>
        <v>1</v>
      </c>
      <c r="O355" s="1">
        <f ca="1">IF(N355=1,O$3*L354/Prices!C354,O$3*M354*N355)</f>
        <v>1.3972412681114339E-3</v>
      </c>
      <c r="P355" s="14"/>
      <c r="Q355" s="9">
        <f ca="1">Q354-T355*Prices!C355</f>
        <v>1.2675937218371498</v>
      </c>
      <c r="R355" s="1">
        <f t="shared" ca="1" si="41"/>
        <v>7.9518158909378679E-3</v>
      </c>
      <c r="S355" s="9">
        <f ca="1">IF(Prices!C354&lt;OFFSET(Prices!C354,-S$3,0),1,IF(Prices!C354&gt;OFFSET(Prices!C354,-S$3,0),-1,0))</f>
        <v>-1</v>
      </c>
      <c r="T355" s="1">
        <f ca="1">IF(S355=1,T$3*Q354/Prices!C354,T$3*R354*S355)</f>
        <v>-1.6228195695791567E-4</v>
      </c>
      <c r="V355" s="9"/>
      <c r="W355" s="1"/>
      <c r="X355" s="1"/>
      <c r="Y355" s="1"/>
      <c r="Z355" s="1"/>
      <c r="AA355" s="1"/>
      <c r="AB355" s="1"/>
      <c r="AC355" s="1"/>
      <c r="AD355" s="1"/>
      <c r="AE355" s="16"/>
    </row>
    <row r="356" spans="1:31" x14ac:dyDescent="0.2">
      <c r="A356" s="4">
        <v>34004</v>
      </c>
      <c r="B356" s="9">
        <f ca="1">Prices!C355*(1+J356/(50*(ABS(O356)+ABS(T356)+0.0001)))</f>
        <v>126.25386467837369</v>
      </c>
      <c r="C356" s="13">
        <f t="shared" ca="1" si="36"/>
        <v>1</v>
      </c>
      <c r="D356" s="9">
        <f ca="1">D355+C356*(Prices!C356-Prices!C355)/Prices!C355</f>
        <v>9.9100553331098337E-2</v>
      </c>
      <c r="E356" s="9">
        <f t="shared" ca="1" si="37"/>
        <v>2.6133885397692999E-2</v>
      </c>
      <c r="F356" s="9">
        <f t="shared" ca="1" si="38"/>
        <v>0.12523443872879134</v>
      </c>
      <c r="G356" s="13">
        <f ca="1">IF((Prices!C356-Prices!C355)*C356&gt;0,1,0)</f>
        <v>1</v>
      </c>
      <c r="H356" s="9">
        <f>ABS(Prices!C356-Prices!C355)/Prices!C355</f>
        <v>2.4106066693450954E-3</v>
      </c>
      <c r="I356" s="13"/>
      <c r="J356" s="1">
        <f t="shared" ca="1" si="39"/>
        <v>1.1007262895612621E-3</v>
      </c>
      <c r="K356" s="9"/>
      <c r="L356" s="9">
        <f ca="1">L355-O356*Prices!C356</f>
        <v>1.4106191796137768</v>
      </c>
      <c r="M356" s="1">
        <f t="shared" ca="1" si="40"/>
        <v>6.9987984885939566E-3</v>
      </c>
      <c r="N356" s="9">
        <f ca="1">IF(Prices!D355&gt;OFFSET(Prices!D355,-$N$3,0),1,IF(Prices!D355&lt;OFFSET(Prices!D355,-$N$3,0),-1,0))</f>
        <v>1</v>
      </c>
      <c r="O356" s="1">
        <f ca="1">IF(N356=1,O$3*L355/Prices!C355,O$3*M355*N356)</f>
        <v>1.2597626073800195E-3</v>
      </c>
      <c r="P356" s="14"/>
      <c r="Q356" s="9">
        <f ca="1">Q355-T356*Prices!C356</f>
        <v>1.2874335024850398</v>
      </c>
      <c r="R356" s="1">
        <f t="shared" ca="1" si="41"/>
        <v>7.7927795731191109E-3</v>
      </c>
      <c r="S356" s="9">
        <f ca="1">IF(Prices!C355&lt;OFFSET(Prices!C355,-S$3,0),1,IF(Prices!C355&gt;OFFSET(Prices!C355,-S$3,0),-1,0))</f>
        <v>-1</v>
      </c>
      <c r="T356" s="1">
        <f ca="1">IF(S356=1,T$3*Q355/Prices!C355,T$3*R355*S356)</f>
        <v>-1.5903631781875735E-4</v>
      </c>
      <c r="V356" s="9"/>
      <c r="W356" s="1"/>
      <c r="X356" s="1"/>
      <c r="Y356" s="1"/>
      <c r="Z356" s="1"/>
      <c r="AA356" s="1"/>
      <c r="AB356" s="1"/>
      <c r="AC356" s="1"/>
      <c r="AD356" s="1"/>
      <c r="AE356" s="16"/>
    </row>
    <row r="357" spans="1:31" x14ac:dyDescent="0.2">
      <c r="A357" s="4">
        <v>34005</v>
      </c>
      <c r="B357" s="9">
        <f ca="1">Prices!C356*(1+J357/(50*(ABS(O357)+ABS(T357)+0.0001)))</f>
        <v>122.51605550707212</v>
      </c>
      <c r="C357" s="13">
        <f t="shared" ca="1" si="36"/>
        <v>-1</v>
      </c>
      <c r="D357" s="9">
        <f ca="1">D356+C357*(Prices!C357-Prices!C356)/Prices!C356</f>
        <v>0.1015053629503368</v>
      </c>
      <c r="E357" s="9">
        <f t="shared" ca="1" si="37"/>
        <v>2.3729075778454539E-2</v>
      </c>
      <c r="F357" s="9">
        <f t="shared" ca="1" si="38"/>
        <v>0.12523443872879134</v>
      </c>
      <c r="G357" s="13">
        <f ca="1">IF((Prices!C357-Prices!C356)*C357&gt;0,1,0)</f>
        <v>1</v>
      </c>
      <c r="H357" s="9">
        <f>ABS(Prices!C357-Prices!C356)/Prices!C356</f>
        <v>2.4048096192384543E-3</v>
      </c>
      <c r="I357" s="13"/>
      <c r="J357" s="1">
        <f t="shared" ca="1" si="39"/>
        <v>-8.5573544032177789E-4</v>
      </c>
      <c r="K357" s="9"/>
      <c r="L357" s="9">
        <f ca="1">L356-O357*Prices!C357</f>
        <v>1.4977192268043287</v>
      </c>
      <c r="M357" s="1">
        <f t="shared" ca="1" si="40"/>
        <v>6.298918639734561E-3</v>
      </c>
      <c r="N357" s="9">
        <f ca="1">IF(Prices!D356&gt;OFFSET(Prices!D356,-$N$3,0),1,IF(Prices!D356&lt;OFFSET(Prices!D356,-$N$3,0),-1,0))</f>
        <v>-1</v>
      </c>
      <c r="O357" s="1">
        <f ca="1">IF(N357=1,O$3*L356/Prices!C356,O$3*M356*N357)</f>
        <v>-6.9987984885939568E-4</v>
      </c>
      <c r="P357" s="14"/>
      <c r="Q357" s="9">
        <f ca="1">Q356-T357*Prices!C357</f>
        <v>1.3068297308425334</v>
      </c>
      <c r="R357" s="1">
        <f t="shared" ca="1" si="41"/>
        <v>7.6369239816567284E-3</v>
      </c>
      <c r="S357" s="9">
        <f ca="1">IF(Prices!C356&lt;OFFSET(Prices!C356,-S$3,0),1,IF(Prices!C356&gt;OFFSET(Prices!C356,-S$3,0),-1,0))</f>
        <v>-1</v>
      </c>
      <c r="T357" s="1">
        <f ca="1">IF(S357=1,T$3*Q356/Prices!C356,T$3*R356*S357)</f>
        <v>-1.5585559146238221E-4</v>
      </c>
      <c r="V357" s="9"/>
      <c r="W357" s="1"/>
      <c r="X357" s="1"/>
      <c r="Y357" s="1"/>
      <c r="Z357" s="1"/>
      <c r="AA357" s="1"/>
      <c r="AB357" s="1"/>
      <c r="AC357" s="1"/>
      <c r="AD357" s="1"/>
      <c r="AE357" s="16"/>
    </row>
    <row r="358" spans="1:31" x14ac:dyDescent="0.2">
      <c r="A358" s="4">
        <v>34008</v>
      </c>
      <c r="B358" s="9">
        <f ca="1">Prices!C357*(1+J358/(50*(ABS(O358)+ABS(T358)+0.0001)))</f>
        <v>123.33811651313403</v>
      </c>
      <c r="C358" s="13">
        <f t="shared" ca="1" si="36"/>
        <v>-1</v>
      </c>
      <c r="D358" s="9">
        <f ca="1">D357+C358*(Prices!C358-Prices!C357)/Prices!C357</f>
        <v>0.10664799051160639</v>
      </c>
      <c r="E358" s="9">
        <f t="shared" ca="1" si="37"/>
        <v>1.8586448217184942E-2</v>
      </c>
      <c r="F358" s="9">
        <f t="shared" ca="1" si="38"/>
        <v>0.12523443872879134</v>
      </c>
      <c r="G358" s="13">
        <f ca="1">IF((Prices!C358-Prices!C357)*C358&gt;0,1,0)</f>
        <v>1</v>
      </c>
      <c r="H358" s="9">
        <f>ABS(Prices!C358-Prices!C357)/Prices!C357</f>
        <v>5.142627561269591E-3</v>
      </c>
      <c r="I358" s="13"/>
      <c r="J358" s="1">
        <f t="shared" ca="1" si="39"/>
        <v>-4.1987503298228975E-4</v>
      </c>
      <c r="K358" s="9"/>
      <c r="L358" s="9">
        <f ca="1">L357-O358*Prices!C358</f>
        <v>1.5757061384828823</v>
      </c>
      <c r="M358" s="1">
        <f t="shared" ca="1" si="40"/>
        <v>5.6690267757611053E-3</v>
      </c>
      <c r="N358" s="9">
        <f ca="1">IF(Prices!D357&gt;OFFSET(Prices!D357,-$N$3,0),1,IF(Prices!D357&lt;OFFSET(Prices!D357,-$N$3,0),-1,0))</f>
        <v>-1</v>
      </c>
      <c r="O358" s="1">
        <f ca="1">IF(N358=1,O$3*L357/Prices!C357,O$3*M357*N358)</f>
        <v>-6.2989186397345619E-4</v>
      </c>
      <c r="P358" s="14"/>
      <c r="Q358" s="9">
        <f ca="1">Q357-T358*Prices!C358</f>
        <v>1.280827546997517</v>
      </c>
      <c r="R358" s="1">
        <f t="shared" ca="1" si="41"/>
        <v>7.8469408126478953E-3</v>
      </c>
      <c r="S358" s="9">
        <f ca="1">IF(Prices!C357&lt;OFFSET(Prices!C357,-S$3,0),1,IF(Prices!C357&gt;OFFSET(Prices!C357,-S$3,0),-1,0))</f>
        <v>1</v>
      </c>
      <c r="T358" s="1">
        <f ca="1">IF(S358=1,T$3*Q357/Prices!C357,T$3*R357*S358)</f>
        <v>2.1001683099116647E-4</v>
      </c>
      <c r="V358" s="9"/>
      <c r="W358" s="1"/>
      <c r="X358" s="1"/>
      <c r="Y358" s="1"/>
      <c r="Z358" s="1"/>
      <c r="AA358" s="1"/>
      <c r="AB358" s="1"/>
      <c r="AC358" s="1"/>
      <c r="AD358" s="1"/>
      <c r="AE358" s="16"/>
    </row>
    <row r="359" spans="1:31" x14ac:dyDescent="0.2">
      <c r="A359" s="4">
        <v>34009</v>
      </c>
      <c r="B359" s="9">
        <f ca="1">Prices!C358*(1+J359/(50*(ABS(O359)+ABS(T359)+0.0001)))</f>
        <v>122.78982547324689</v>
      </c>
      <c r="C359" s="13">
        <f t="shared" ca="1" si="36"/>
        <v>-1</v>
      </c>
      <c r="D359" s="9">
        <f ca="1">D358+C359*(Prices!C359-Prices!C358)/Prices!C358</f>
        <v>0.12732483406220813</v>
      </c>
      <c r="E359" s="9">
        <f t="shared" ca="1" si="37"/>
        <v>0</v>
      </c>
      <c r="F359" s="9">
        <f t="shared" ca="1" si="38"/>
        <v>0.12732483406220813</v>
      </c>
      <c r="G359" s="13">
        <f ca="1">IF((Prices!C359-Prices!C358)*C359&gt;0,1,0)</f>
        <v>1</v>
      </c>
      <c r="H359" s="9">
        <f>ABS(Prices!C359-Prices!C358)/Prices!C358</f>
        <v>2.0676843550601745E-2</v>
      </c>
      <c r="I359" s="13"/>
      <c r="J359" s="1">
        <f t="shared" ca="1" si="39"/>
        <v>-3.6000056191541803E-4</v>
      </c>
      <c r="K359" s="9"/>
      <c r="L359" s="9">
        <f ca="1">L358-O359*Prices!C359</f>
        <v>1.6444430881389858</v>
      </c>
      <c r="M359" s="1">
        <f t="shared" ca="1" si="40"/>
        <v>5.1021240981849944E-3</v>
      </c>
      <c r="N359" s="9">
        <f ca="1">IF(Prices!D358&gt;OFFSET(Prices!D358,-$N$3,0),1,IF(Prices!D358&lt;OFFSET(Prices!D358,-$N$3,0),-1,0))</f>
        <v>-1</v>
      </c>
      <c r="O359" s="1">
        <f ca="1">IF(N359=1,O$3*L358/Prices!C358,O$3*M358*N359)</f>
        <v>-5.6690267757611055E-4</v>
      </c>
      <c r="P359" s="14"/>
      <c r="Q359" s="9">
        <f ca="1">Q358-T359*Prices!C359</f>
        <v>1.255740665473658</v>
      </c>
      <c r="R359" s="1">
        <f t="shared" ca="1" si="41"/>
        <v>8.0538429283085883E-3</v>
      </c>
      <c r="S359" s="9">
        <f ca="1">IF(Prices!C358&lt;OFFSET(Prices!C358,-S$3,0),1,IF(Prices!C358&gt;OFFSET(Prices!C358,-S$3,0),-1,0))</f>
        <v>1</v>
      </c>
      <c r="T359" s="1">
        <f ca="1">IF(S359=1,T$3*Q358/Prices!C358,T$3*R358*S359)</f>
        <v>2.0690211566069252E-4</v>
      </c>
      <c r="V359" s="9"/>
      <c r="W359" s="1"/>
      <c r="X359" s="1"/>
      <c r="Y359" s="1"/>
      <c r="Z359" s="1"/>
      <c r="AA359" s="1"/>
      <c r="AB359" s="1"/>
      <c r="AC359" s="1"/>
      <c r="AD359" s="1"/>
      <c r="AE359" s="16"/>
    </row>
    <row r="360" spans="1:31" x14ac:dyDescent="0.2">
      <c r="A360" s="4">
        <v>34010</v>
      </c>
      <c r="B360" s="9">
        <f ca="1">Prices!C359*(1+J360/(50*(ABS(O360)+ABS(T360)+0.0001)))</f>
        <v>123.52921199898913</v>
      </c>
      <c r="C360" s="13">
        <f t="shared" ca="1" si="36"/>
        <v>1</v>
      </c>
      <c r="D360" s="9">
        <f ca="1">D359+C360*(Prices!C360-Prices!C359)/Prices!C359</f>
        <v>0.12897431859829062</v>
      </c>
      <c r="E360" s="9">
        <f t="shared" ca="1" si="37"/>
        <v>0</v>
      </c>
      <c r="F360" s="9">
        <f t="shared" ca="1" si="38"/>
        <v>0.12897431859829062</v>
      </c>
      <c r="G360" s="13">
        <f ca="1">IF((Prices!C360-Prices!C359)*C360&gt;0,1,0)</f>
        <v>1</v>
      </c>
      <c r="H360" s="9">
        <f>ABS(Prices!C360-Prices!C359)/Prices!C359</f>
        <v>1.6494845360824977E-3</v>
      </c>
      <c r="I360" s="13"/>
      <c r="J360" s="1">
        <f t="shared" ca="1" si="39"/>
        <v>1.5633742030793547E-3</v>
      </c>
      <c r="K360" s="9"/>
      <c r="L360" s="9">
        <f ca="1">L359-O360*Prices!C360</f>
        <v>1.4797275309806519</v>
      </c>
      <c r="M360" s="1">
        <f t="shared" ca="1" si="40"/>
        <v>6.4583658203614773E-3</v>
      </c>
      <c r="N360" s="9">
        <f ca="1">IF(Prices!D359&gt;OFFSET(Prices!D359,-$N$3,0),1,IF(Prices!D359&lt;OFFSET(Prices!D359,-$N$3,0),-1,0))</f>
        <v>1</v>
      </c>
      <c r="O360" s="1">
        <f ca="1">IF(N360=1,O$3*L359/Prices!C359,O$3*M359*N360)</f>
        <v>1.3562417221764833E-3</v>
      </c>
      <c r="P360" s="14"/>
      <c r="Q360" s="9">
        <f ca="1">Q359-T360*Prices!C360</f>
        <v>1.2305844256680043</v>
      </c>
      <c r="R360" s="1">
        <f t="shared" ca="1" si="41"/>
        <v>8.2609754092114601E-3</v>
      </c>
      <c r="S360" s="9">
        <f ca="1">IF(Prices!C359&lt;OFFSET(Prices!C359,-S$3,0),1,IF(Prices!C359&gt;OFFSET(Prices!C359,-S$3,0),-1,0))</f>
        <v>1</v>
      </c>
      <c r="T360" s="1">
        <f ca="1">IF(S360=1,T$3*Q359/Prices!C359,T$3*R359*S360)</f>
        <v>2.0713248090287143E-4</v>
      </c>
      <c r="V360" s="9"/>
      <c r="W360" s="1"/>
      <c r="X360" s="1"/>
      <c r="Y360" s="1"/>
      <c r="Z360" s="1"/>
      <c r="AA360" s="1"/>
      <c r="AB360" s="1"/>
      <c r="AC360" s="1"/>
      <c r="AD360" s="1"/>
      <c r="AE360" s="16"/>
    </row>
    <row r="361" spans="1:31" x14ac:dyDescent="0.2">
      <c r="A361" s="4">
        <v>34011</v>
      </c>
      <c r="B361" s="9">
        <f ca="1">Prices!C360*(1+J361/(50*(ABS(O361)+ABS(T361)+0.0001)))</f>
        <v>123.71930588333585</v>
      </c>
      <c r="C361" s="13">
        <f t="shared" ca="1" si="36"/>
        <v>1</v>
      </c>
      <c r="D361" s="9">
        <f ca="1">D360+C361*(Prices!C361-Prices!C360)/Prices!C360</f>
        <v>0.12773924243526052</v>
      </c>
      <c r="E361" s="9">
        <f t="shared" ca="1" si="37"/>
        <v>1.235076163030091E-3</v>
      </c>
      <c r="F361" s="9">
        <f t="shared" ca="1" si="38"/>
        <v>0.12897431859829062</v>
      </c>
      <c r="G361" s="13">
        <f ca="1">IF((Prices!C361-Prices!C360)*C361&gt;0,1,0)</f>
        <v>0</v>
      </c>
      <c r="H361" s="9">
        <f>ABS(Prices!C361-Prices!C360)/Prices!C360</f>
        <v>1.2350761630301004E-3</v>
      </c>
      <c r="I361" s="13"/>
      <c r="J361" s="1">
        <f t="shared" ca="1" si="39"/>
        <v>1.4210328662941564E-3</v>
      </c>
      <c r="K361" s="9"/>
      <c r="L361" s="9">
        <f ca="1">L360-O361*Prices!C361</f>
        <v>1.3319375355027161</v>
      </c>
      <c r="M361" s="1">
        <f t="shared" ca="1" si="40"/>
        <v>7.6767499545571565E-3</v>
      </c>
      <c r="N361" s="9">
        <f ca="1">IF(Prices!D360&gt;OFFSET(Prices!D360,-$N$3,0),1,IF(Prices!D360&lt;OFFSET(Prices!D360,-$N$3,0),-1,0))</f>
        <v>1</v>
      </c>
      <c r="O361" s="1">
        <f ca="1">IF(N361=1,O$3*L360/Prices!C360,O$3*M360*N361)</f>
        <v>1.218384134195679E-3</v>
      </c>
      <c r="P361" s="14"/>
      <c r="Q361" s="9">
        <f ca="1">Q360-T361*Prices!C361</f>
        <v>1.2060031344644591</v>
      </c>
      <c r="R361" s="1">
        <f t="shared" ca="1" si="41"/>
        <v>8.4636241413099372E-3</v>
      </c>
      <c r="S361" s="9">
        <f ca="1">IF(Prices!C360&lt;OFFSET(Prices!C360,-S$3,0),1,IF(Prices!C360&gt;OFFSET(Prices!C360,-S$3,0),-1,0))</f>
        <v>1</v>
      </c>
      <c r="T361" s="1">
        <f ca="1">IF(S361=1,T$3*Q360/Prices!C360,T$3*R360*S361)</f>
        <v>2.0264873209847745E-4</v>
      </c>
      <c r="V361" s="9"/>
      <c r="W361" s="1"/>
      <c r="X361" s="1"/>
      <c r="Y361" s="1"/>
      <c r="Z361" s="1"/>
      <c r="AA361" s="1"/>
      <c r="AB361" s="1"/>
      <c r="AC361" s="1"/>
      <c r="AD361" s="1"/>
      <c r="AE361" s="16"/>
    </row>
    <row r="362" spans="1:31" x14ac:dyDescent="0.2">
      <c r="A362" s="4">
        <v>34012</v>
      </c>
      <c r="B362" s="9">
        <f ca="1">Prices!C361*(1+J362/(50*(ABS(O362)+ABS(T362)+0.0001)))</f>
        <v>120.00609408200117</v>
      </c>
      <c r="C362" s="13">
        <f t="shared" ca="1" si="36"/>
        <v>-1</v>
      </c>
      <c r="D362" s="9">
        <f ca="1">D361+C362*(Prices!C362-Prices!C361)/Prices!C361</f>
        <v>0.13268565628521925</v>
      </c>
      <c r="E362" s="9">
        <f t="shared" ca="1" si="37"/>
        <v>0</v>
      </c>
      <c r="F362" s="9">
        <f t="shared" ca="1" si="38"/>
        <v>0.13268565628521925</v>
      </c>
      <c r="G362" s="13">
        <f ca="1">IF((Prices!C362-Prices!C361)*C362&gt;0,1,0)</f>
        <v>1</v>
      </c>
      <c r="H362" s="9">
        <f>ABS(Prices!C362-Prices!C361)/Prices!C361</f>
        <v>4.9464138499587329E-3</v>
      </c>
      <c r="I362" s="13"/>
      <c r="J362" s="1">
        <f t="shared" ca="1" si="39"/>
        <v>-5.688286418754256E-4</v>
      </c>
      <c r="K362" s="9"/>
      <c r="L362" s="9">
        <f ca="1">L361-O362*Prices!C362</f>
        <v>1.4245959074542209</v>
      </c>
      <c r="M362" s="1">
        <f t="shared" ca="1" si="40"/>
        <v>6.9090749591014409E-3</v>
      </c>
      <c r="N362" s="9">
        <f ca="1">IF(Prices!D361&gt;OFFSET(Prices!D361,-$N$3,0),1,IF(Prices!D361&lt;OFFSET(Prices!D361,-$N$3,0),-1,0))</f>
        <v>-1</v>
      </c>
      <c r="O362" s="1">
        <f ca="1">IF(N362=1,O$3*L361/Prices!C361,O$3*M361*N362)</f>
        <v>-7.6767499545571567E-4</v>
      </c>
      <c r="P362" s="14"/>
      <c r="Q362" s="9">
        <f ca="1">Q361-T362*Prices!C362</f>
        <v>1.182002379587318</v>
      </c>
      <c r="R362" s="1">
        <f t="shared" ca="1" si="41"/>
        <v>8.662470494890228E-3</v>
      </c>
      <c r="S362" s="9">
        <f ca="1">IF(Prices!C361&lt;OFFSET(Prices!C361,-S$3,0),1,IF(Prices!C361&gt;OFFSET(Prices!C361,-S$3,0),-1,0))</f>
        <v>1</v>
      </c>
      <c r="T362" s="1">
        <f ca="1">IF(S362=1,T$3*Q361/Prices!C361,T$3*R361*S362)</f>
        <v>1.9884635358029005E-4</v>
      </c>
      <c r="V362" s="9"/>
      <c r="W362" s="1"/>
      <c r="X362" s="1"/>
      <c r="Y362" s="1"/>
      <c r="Z362" s="1"/>
      <c r="AA362" s="1"/>
      <c r="AB362" s="1"/>
      <c r="AC362" s="1"/>
      <c r="AD362" s="1"/>
      <c r="AE362" s="16"/>
    </row>
    <row r="363" spans="1:31" x14ac:dyDescent="0.2">
      <c r="A363" s="4">
        <v>34015</v>
      </c>
      <c r="B363" s="9">
        <f ca="1">Prices!C362*(1+J363/(50*(ABS(O363)+ABS(T363)+0.0001)))</f>
        <v>119.48892211090951</v>
      </c>
      <c r="C363" s="13">
        <f t="shared" ca="1" si="36"/>
        <v>-1</v>
      </c>
      <c r="D363" s="9">
        <f ca="1">D362+C363*(Prices!C363-Prices!C362)/Prices!C362</f>
        <v>0.1306972552910188</v>
      </c>
      <c r="E363" s="9">
        <f t="shared" ca="1" si="37"/>
        <v>1.9884009942004455E-3</v>
      </c>
      <c r="F363" s="9">
        <f t="shared" ca="1" si="38"/>
        <v>0.13268565628521925</v>
      </c>
      <c r="G363" s="13">
        <f ca="1">IF((Prices!C363-Prices!C362)*C363&gt;0,1,0)</f>
        <v>0</v>
      </c>
      <c r="H363" s="9">
        <f>ABS(Prices!C363-Prices!C362)/Prices!C362</f>
        <v>1.9884009942004546E-3</v>
      </c>
      <c r="I363" s="13"/>
      <c r="J363" s="1">
        <f t="shared" ca="1" si="39"/>
        <v>-4.9504960368357948E-4</v>
      </c>
      <c r="K363" s="9"/>
      <c r="L363" s="9">
        <f ca="1">L362-O363*Prices!C363</f>
        <v>1.5081542600095939</v>
      </c>
      <c r="M363" s="1">
        <f t="shared" ca="1" si="40"/>
        <v>6.2181674631912971E-3</v>
      </c>
      <c r="N363" s="9">
        <f ca="1">IF(Prices!D362&gt;OFFSET(Prices!D362,-$N$3,0),1,IF(Prices!D362&lt;OFFSET(Prices!D362,-$N$3,0),-1,0))</f>
        <v>-1</v>
      </c>
      <c r="O363" s="1">
        <f ca="1">IF(N363=1,O$3*L362/Prices!C362,O$3*M362*N363)</f>
        <v>-6.9090749591014416E-4</v>
      </c>
      <c r="P363" s="14"/>
      <c r="Q363" s="9">
        <f ca="1">Q362-T363*Prices!C363</f>
        <v>1.1583153261014374</v>
      </c>
      <c r="R363" s="1">
        <f t="shared" ca="1" si="41"/>
        <v>8.8583283871167921E-3</v>
      </c>
      <c r="S363" s="9">
        <f ca="1">IF(Prices!C362&lt;OFFSET(Prices!C362,-S$3,0),1,IF(Prices!C362&gt;OFFSET(Prices!C362,-S$3,0),-1,0))</f>
        <v>1</v>
      </c>
      <c r="T363" s="1">
        <f ca="1">IF(S363=1,T$3*Q362/Prices!C362,T$3*R362*S363)</f>
        <v>1.958578922265647E-4</v>
      </c>
      <c r="V363" s="9"/>
      <c r="W363" s="1"/>
      <c r="X363" s="1"/>
      <c r="Y363" s="1"/>
      <c r="Z363" s="1"/>
      <c r="AA363" s="1"/>
      <c r="AB363" s="1"/>
      <c r="AC363" s="1"/>
      <c r="AD363" s="1"/>
      <c r="AE363" s="16"/>
    </row>
    <row r="364" spans="1:31" x14ac:dyDescent="0.2">
      <c r="A364" s="4">
        <v>34016</v>
      </c>
      <c r="B364" s="9">
        <f ca="1">Prices!C363*(1+J364/(50*(ABS(O364)+ABS(T364)+0.0001)))</f>
        <v>119.80056519039987</v>
      </c>
      <c r="C364" s="13">
        <f t="shared" ca="1" si="36"/>
        <v>-1</v>
      </c>
      <c r="D364" s="9">
        <f ca="1">D363+C364*(Prices!C364-Prices!C363)/Prices!C363</f>
        <v>0.13855239006859449</v>
      </c>
      <c r="E364" s="9">
        <f t="shared" ca="1" si="37"/>
        <v>0</v>
      </c>
      <c r="F364" s="9">
        <f t="shared" ca="1" si="38"/>
        <v>0.13855239006859449</v>
      </c>
      <c r="G364" s="13">
        <f ca="1">IF((Prices!C364-Prices!C363)*C364&gt;0,1,0)</f>
        <v>1</v>
      </c>
      <c r="H364" s="9">
        <f>ABS(Prices!C364-Prices!C363)/Prices!C363</f>
        <v>7.8551347775756807E-3</v>
      </c>
      <c r="I364" s="13"/>
      <c r="J364" s="1">
        <f t="shared" ca="1" si="39"/>
        <v>-4.3026468313053415E-4</v>
      </c>
      <c r="K364" s="9"/>
      <c r="L364" s="9">
        <f ca="1">L363-O364*Prices!C364</f>
        <v>1.5827660514004263</v>
      </c>
      <c r="M364" s="1">
        <f t="shared" ca="1" si="40"/>
        <v>5.5963507168721675E-3</v>
      </c>
      <c r="N364" s="9">
        <f ca="1">IF(Prices!D363&gt;OFFSET(Prices!D363,-$N$3,0),1,IF(Prices!D363&lt;OFFSET(Prices!D363,-$N$3,0),-1,0))</f>
        <v>-1</v>
      </c>
      <c r="O364" s="1">
        <f ca="1">IF(N364=1,O$3*L363/Prices!C363,O$3*M363*N364)</f>
        <v>-6.2181674631912973E-4</v>
      </c>
      <c r="P364" s="14"/>
      <c r="Q364" s="9">
        <f ca="1">Q363-T364*Prices!C364</f>
        <v>1.1353309940394378</v>
      </c>
      <c r="R364" s="1">
        <f t="shared" ca="1" si="41"/>
        <v>9.0498804503053882E-3</v>
      </c>
      <c r="S364" s="9">
        <f ca="1">IF(Prices!C363&lt;OFFSET(Prices!C363,-S$3,0),1,IF(Prices!C363&gt;OFFSET(Prices!C363,-S$3,0),-1,0))</f>
        <v>1</v>
      </c>
      <c r="T364" s="1">
        <f ca="1">IF(S364=1,T$3*Q363/Prices!C363,T$3*R363*S364)</f>
        <v>1.9155206318859558E-4</v>
      </c>
      <c r="V364" s="9"/>
      <c r="W364" s="1"/>
      <c r="X364" s="1"/>
      <c r="Y364" s="1"/>
      <c r="Z364" s="1"/>
      <c r="AA364" s="1"/>
      <c r="AB364" s="1"/>
      <c r="AC364" s="1"/>
      <c r="AD364" s="1"/>
      <c r="AE364" s="16"/>
    </row>
    <row r="365" spans="1:31" x14ac:dyDescent="0.2">
      <c r="A365" s="4">
        <v>34017</v>
      </c>
      <c r="B365" s="9">
        <f ca="1">Prices!C364*(1+J365/(50*(ABS(O365)+ABS(T365)+0.0001)))</f>
        <v>118.94287023033557</v>
      </c>
      <c r="C365" s="13">
        <f t="shared" ca="1" si="36"/>
        <v>-1</v>
      </c>
      <c r="D365" s="9">
        <f ca="1">D364+C365*(Prices!C365-Prices!C364)/Prices!C364</f>
        <v>0.14096925814093378</v>
      </c>
      <c r="E365" s="9">
        <f t="shared" ca="1" si="37"/>
        <v>0</v>
      </c>
      <c r="F365" s="9">
        <f t="shared" ca="1" si="38"/>
        <v>0.14096925814093378</v>
      </c>
      <c r="G365" s="13">
        <f ca="1">IF((Prices!C365-Prices!C364)*C365&gt;0,1,0)</f>
        <v>1</v>
      </c>
      <c r="H365" s="9">
        <f>ABS(Prices!C365-Prices!C364)/Prices!C364</f>
        <v>2.4168680723392955E-3</v>
      </c>
      <c r="I365" s="13"/>
      <c r="J365" s="1">
        <f t="shared" ca="1" si="39"/>
        <v>-3.7039746954713214E-4</v>
      </c>
      <c r="K365" s="9"/>
      <c r="L365" s="9">
        <f ca="1">L364-O365*Prices!C365</f>
        <v>1.6497543694813861</v>
      </c>
      <c r="M365" s="1">
        <f t="shared" ca="1" si="40"/>
        <v>5.0367156451849504E-3</v>
      </c>
      <c r="N365" s="9">
        <f ca="1">IF(Prices!D364&gt;OFFSET(Prices!D364,-$N$3,0),1,IF(Prices!D364&lt;OFFSET(Prices!D364,-$N$3,0),-1,0))</f>
        <v>-1</v>
      </c>
      <c r="O365" s="1">
        <f ca="1">IF(N365=1,O$3*L364/Prices!C364,O$3*M364*N365)</f>
        <v>-5.5963507168721677E-4</v>
      </c>
      <c r="P365" s="14"/>
      <c r="Q365" s="9">
        <f ca="1">Q364-T365*Prices!C365</f>
        <v>1.1126792530632696</v>
      </c>
      <c r="R365" s="1">
        <f t="shared" ca="1" si="41"/>
        <v>9.2391180524454726E-3</v>
      </c>
      <c r="S365" s="9">
        <f ca="1">IF(Prices!C364&lt;OFFSET(Prices!C364,-S$3,0),1,IF(Prices!C364&gt;OFFSET(Prices!C364,-S$3,0),-1,0))</f>
        <v>1</v>
      </c>
      <c r="T365" s="1">
        <f ca="1">IF(S365=1,T$3*Q364/Prices!C364,T$3*R364*S365)</f>
        <v>1.8923760214008465E-4</v>
      </c>
      <c r="V365" s="9"/>
      <c r="W365" s="1"/>
      <c r="X365" s="1"/>
      <c r="Y365" s="1"/>
      <c r="Z365" s="1"/>
      <c r="AA365" s="1"/>
      <c r="AB365" s="1"/>
      <c r="AC365" s="1"/>
      <c r="AD365" s="1"/>
      <c r="AE365" s="16"/>
    </row>
    <row r="366" spans="1:31" x14ac:dyDescent="0.2">
      <c r="A366" s="4">
        <v>34018</v>
      </c>
      <c r="B366" s="9">
        <f ca="1">Prices!C365*(1+J366/(50*(ABS(O366)+ABS(T366)+0.0001)))</f>
        <v>118.73655710035439</v>
      </c>
      <c r="C366" s="13">
        <f t="shared" ca="1" si="36"/>
        <v>-1</v>
      </c>
      <c r="D366" s="9">
        <f ca="1">D365+C366*(Prices!C366-Prices!C365)/Prices!C365</f>
        <v>0.14514636758120111</v>
      </c>
      <c r="E366" s="9">
        <f t="shared" ca="1" si="37"/>
        <v>0</v>
      </c>
      <c r="F366" s="9">
        <f t="shared" ca="1" si="38"/>
        <v>0.14514636758120111</v>
      </c>
      <c r="G366" s="13">
        <f ca="1">IF((Prices!C366-Prices!C365)*C366&gt;0,1,0)</f>
        <v>1</v>
      </c>
      <c r="H366" s="9">
        <f>ABS(Prices!C366-Prices!C365)/Prices!C365</f>
        <v>4.1771094402673348E-3</v>
      </c>
      <c r="I366" s="13"/>
      <c r="J366" s="1">
        <f t="shared" ca="1" si="39"/>
        <v>-3.1776024404008734E-4</v>
      </c>
      <c r="K366" s="9"/>
      <c r="L366" s="9">
        <f ca="1">L365-O366*Prices!C366</f>
        <v>1.7097920199719907</v>
      </c>
      <c r="M366" s="1">
        <f t="shared" ca="1" si="40"/>
        <v>4.5330440806664552E-3</v>
      </c>
      <c r="N366" s="9">
        <f ca="1">IF(Prices!D365&gt;OFFSET(Prices!D365,-$N$3,0),1,IF(Prices!D365&lt;OFFSET(Prices!D365,-$N$3,0),-1,0))</f>
        <v>-1</v>
      </c>
      <c r="O366" s="1">
        <f ca="1">IF(N366=1,O$3*L365/Prices!C365,O$3*M365*N366)</f>
        <v>-5.0367156451849502E-4</v>
      </c>
      <c r="P366" s="14"/>
      <c r="Q366" s="9">
        <f ca="1">Q365-T366*Prices!C366</f>
        <v>1.0905186236622435</v>
      </c>
      <c r="R366" s="1">
        <f t="shared" ca="1" si="41"/>
        <v>9.4250293729238807E-3</v>
      </c>
      <c r="S366" s="9">
        <f ca="1">IF(Prices!C365&lt;OFFSET(Prices!C365,-S$3,0),1,IF(Prices!C365&gt;OFFSET(Prices!C365,-S$3,0),-1,0))</f>
        <v>1</v>
      </c>
      <c r="T366" s="1">
        <f ca="1">IF(S366=1,T$3*Q365/Prices!C365,T$3*R365*S366)</f>
        <v>1.8591132047840765E-4</v>
      </c>
      <c r="V366" s="9"/>
      <c r="W366" s="1"/>
      <c r="X366" s="1"/>
      <c r="Y366" s="1"/>
      <c r="Z366" s="1"/>
      <c r="AA366" s="1"/>
      <c r="AB366" s="1"/>
      <c r="AC366" s="1"/>
      <c r="AD366" s="1"/>
      <c r="AE366" s="16"/>
    </row>
    <row r="367" spans="1:31" x14ac:dyDescent="0.2">
      <c r="A367" s="4">
        <v>34019</v>
      </c>
      <c r="B367" s="9">
        <f ca="1">Prices!C366*(1+J367/(50*(ABS(O367)+ABS(T367)+0.0001)))</f>
        <v>118.3246908850866</v>
      </c>
      <c r="C367" s="13">
        <f t="shared" ca="1" si="36"/>
        <v>-1</v>
      </c>
      <c r="D367" s="9">
        <f ca="1">D366+C367*(Prices!C367-Prices!C366)/Prices!C366</f>
        <v>0.15227724006442267</v>
      </c>
      <c r="E367" s="9">
        <f t="shared" ca="1" si="37"/>
        <v>0</v>
      </c>
      <c r="F367" s="9">
        <f t="shared" ca="1" si="38"/>
        <v>0.15227724006442267</v>
      </c>
      <c r="G367" s="13">
        <f ca="1">IF((Prices!C367-Prices!C366)*C367&gt;0,1,0)</f>
        <v>1</v>
      </c>
      <c r="H367" s="9">
        <f>ABS(Prices!C367-Prices!C366)/Prices!C366</f>
        <v>7.1308724832215478E-3</v>
      </c>
      <c r="I367" s="13"/>
      <c r="J367" s="1">
        <f t="shared" ca="1" si="39"/>
        <v>-2.7033148463338319E-4</v>
      </c>
      <c r="K367" s="9"/>
      <c r="L367" s="9">
        <f ca="1">L366-O367*Prices!C367</f>
        <v>1.7634405966666782</v>
      </c>
      <c r="M367" s="1">
        <f t="shared" ca="1" si="40"/>
        <v>4.0797396725998098E-3</v>
      </c>
      <c r="N367" s="9">
        <f ca="1">IF(Prices!D366&gt;OFFSET(Prices!D366,-$N$3,0),1,IF(Prices!D366&lt;OFFSET(Prices!D366,-$N$3,0),-1,0))</f>
        <v>-1</v>
      </c>
      <c r="O367" s="1">
        <f ca="1">IF(N367=1,O$3*L366/Prices!C366,O$3*M366*N367)</f>
        <v>-4.5330440806664555E-4</v>
      </c>
      <c r="P367" s="14"/>
      <c r="Q367" s="9">
        <f ca="1">Q366-T367*Prices!C367</f>
        <v>1.068863778173917</v>
      </c>
      <c r="R367" s="1">
        <f t="shared" ca="1" si="41"/>
        <v>9.6080022963571429E-3</v>
      </c>
      <c r="S367" s="9">
        <f ca="1">IF(Prices!C366&lt;OFFSET(Prices!C366,-S$3,0),1,IF(Prices!C366&gt;OFFSET(Prices!C366,-S$3,0),-1,0))</f>
        <v>1</v>
      </c>
      <c r="T367" s="1">
        <f ca="1">IF(S367=1,T$3*Q366/Prices!C366,T$3*R366*S367)</f>
        <v>1.8297292343326233E-4</v>
      </c>
      <c r="V367" s="9"/>
      <c r="W367" s="1"/>
      <c r="X367" s="1"/>
      <c r="Y367" s="1"/>
      <c r="Z367" s="1"/>
      <c r="AA367" s="1"/>
      <c r="AB367" s="1"/>
      <c r="AC367" s="1"/>
      <c r="AD367" s="1"/>
      <c r="AE367" s="16"/>
    </row>
    <row r="368" spans="1:31" x14ac:dyDescent="0.2">
      <c r="A368" s="4">
        <v>34022</v>
      </c>
      <c r="B368" s="9">
        <f ca="1">Prices!C367*(1+J368/(50*(ABS(O368)+ABS(T368)+0.0001)))</f>
        <v>117.56851924140118</v>
      </c>
      <c r="C368" s="13">
        <f t="shared" ca="1" si="36"/>
        <v>-1</v>
      </c>
      <c r="D368" s="9">
        <f ca="1">D367+C368*(Prices!C368-Prices!C367)/Prices!C367</f>
        <v>0.16917626837029509</v>
      </c>
      <c r="E368" s="9">
        <f t="shared" ca="1" si="37"/>
        <v>0</v>
      </c>
      <c r="F368" s="9">
        <f t="shared" ca="1" si="38"/>
        <v>0.16917626837029509</v>
      </c>
      <c r="G368" s="13">
        <f ca="1">IF((Prices!C368-Prices!C367)*C368&gt;0,1,0)</f>
        <v>1</v>
      </c>
      <c r="H368" s="9">
        <f>ABS(Prices!C368-Prices!C367)/Prices!C367</f>
        <v>1.6899028305872414E-2</v>
      </c>
      <c r="I368" s="13"/>
      <c r="J368" s="1">
        <f t="shared" ca="1" si="39"/>
        <v>-2.2734637483515344E-4</v>
      </c>
      <c r="K368" s="9"/>
      <c r="L368" s="9">
        <f ca="1">L367-O368*Prices!C368</f>
        <v>1.810908367757377</v>
      </c>
      <c r="M368" s="1">
        <f t="shared" ca="1" si="40"/>
        <v>3.6717657053398287E-3</v>
      </c>
      <c r="N368" s="9">
        <f ca="1">IF(Prices!D367&gt;OFFSET(Prices!D367,-$N$3,0),1,IF(Prices!D367&lt;OFFSET(Prices!D367,-$N$3,0),-1,0))</f>
        <v>-1</v>
      </c>
      <c r="O368" s="1">
        <f ca="1">IF(N368=1,O$3*L367/Prices!C367,O$3*M367*N368)</f>
        <v>-4.0797396725998099E-4</v>
      </c>
      <c r="P368" s="14"/>
      <c r="Q368" s="9">
        <f ca="1">Q367-T368*Prices!C368</f>
        <v>1.0478477577952883</v>
      </c>
      <c r="R368" s="1">
        <f t="shared" ca="1" si="41"/>
        <v>9.78862988878197E-3</v>
      </c>
      <c r="S368" s="9">
        <f ca="1">IF(Prices!C367&lt;OFFSET(Prices!C367,-S$3,0),1,IF(Prices!C367&gt;OFFSET(Prices!C367,-S$3,0),-1,0))</f>
        <v>1</v>
      </c>
      <c r="T368" s="1">
        <f ca="1">IF(S368=1,T$3*Q367/Prices!C367,T$3*R367*S368)</f>
        <v>1.8062759242482756E-4</v>
      </c>
      <c r="V368" s="9"/>
      <c r="W368" s="1"/>
      <c r="X368" s="1"/>
      <c r="Y368" s="1"/>
      <c r="Z368" s="1"/>
      <c r="AA368" s="1"/>
      <c r="AB368" s="1"/>
      <c r="AC368" s="1"/>
      <c r="AD368" s="1"/>
      <c r="AE368" s="16"/>
    </row>
    <row r="369" spans="1:31" x14ac:dyDescent="0.2">
      <c r="A369" s="4">
        <v>34023</v>
      </c>
      <c r="B369" s="9">
        <f ca="1">Prices!C368*(1+J369/(50*(ABS(O369)+ABS(T369)+0.0001)))</f>
        <v>115.67754036420787</v>
      </c>
      <c r="C369" s="13">
        <f t="shared" ca="1" si="36"/>
        <v>-1</v>
      </c>
      <c r="D369" s="9">
        <f ca="1">D368+C369*(Prices!C369-Prices!C368)/Prices!C368</f>
        <v>0.16273020047171322</v>
      </c>
      <c r="E369" s="9">
        <f t="shared" ca="1" si="37"/>
        <v>6.4460678985818753E-3</v>
      </c>
      <c r="F369" s="9">
        <f t="shared" ca="1" si="38"/>
        <v>0.16917626837029509</v>
      </c>
      <c r="G369" s="13">
        <f ca="1">IF((Prices!C369-Prices!C368)*C369&gt;0,1,0)</f>
        <v>0</v>
      </c>
      <c r="H369" s="9">
        <f>ABS(Prices!C369-Prices!C368)/Prices!C368</f>
        <v>6.4460678985818658E-3</v>
      </c>
      <c r="I369" s="13"/>
      <c r="J369" s="1">
        <f t="shared" ca="1" si="39"/>
        <v>-1.8705662935731106E-4</v>
      </c>
      <c r="K369" s="9"/>
      <c r="L369" s="9">
        <f ca="1">L368-O369*Prices!C369</f>
        <v>1.8539047441669063</v>
      </c>
      <c r="M369" s="1">
        <f t="shared" ca="1" si="40"/>
        <v>3.3045891348058459E-3</v>
      </c>
      <c r="N369" s="9">
        <f ca="1">IF(Prices!D368&gt;OFFSET(Prices!D368,-$N$3,0),1,IF(Prices!D368&lt;OFFSET(Prices!D368,-$N$3,0),-1,0))</f>
        <v>-1</v>
      </c>
      <c r="O369" s="1">
        <f ca="1">IF(N369=1,O$3*L368/Prices!C368,O$3*M368*N369)</f>
        <v>-3.6717657053398289E-4</v>
      </c>
      <c r="P369" s="14"/>
      <c r="Q369" s="9">
        <f ca="1">Q368-T369*Prices!C369</f>
        <v>1.0267557126835001</v>
      </c>
      <c r="R369" s="1">
        <f t="shared" ca="1" si="41"/>
        <v>9.9687498299586424E-3</v>
      </c>
      <c r="S369" s="9">
        <f ca="1">IF(Prices!C368&lt;OFFSET(Prices!C368,-S$3,0),1,IF(Prices!C368&gt;OFFSET(Prices!C368,-S$3,0),-1,0))</f>
        <v>1</v>
      </c>
      <c r="T369" s="1">
        <f ca="1">IF(S369=1,T$3*Q368/Prices!C368,T$3*R368*S369)</f>
        <v>1.8011994117667182E-4</v>
      </c>
      <c r="V369" s="9"/>
      <c r="W369" s="1"/>
      <c r="X369" s="1"/>
      <c r="Y369" s="1"/>
      <c r="Z369" s="1"/>
      <c r="AA369" s="1"/>
      <c r="AB369" s="1"/>
      <c r="AC369" s="1"/>
      <c r="AD369" s="1"/>
      <c r="AE369" s="16"/>
    </row>
    <row r="370" spans="1:31" x14ac:dyDescent="0.2">
      <c r="A370" s="4">
        <v>34024</v>
      </c>
      <c r="B370" s="9">
        <f ca="1">Prices!C369*(1+J370/(50*(ABS(O370)+ABS(T370)+0.0001)))</f>
        <v>116.5004311587326</v>
      </c>
      <c r="C370" s="13">
        <f t="shared" ca="1" si="36"/>
        <v>-1</v>
      </c>
      <c r="D370" s="9">
        <f ca="1">D369+C370*(Prices!C370-Prices!C369)/Prices!C369</f>
        <v>0.15760637468179001</v>
      </c>
      <c r="E370" s="9">
        <f t="shared" ca="1" si="37"/>
        <v>1.1569893688505084E-2</v>
      </c>
      <c r="F370" s="9">
        <f t="shared" ca="1" si="38"/>
        <v>0.16917626837029509</v>
      </c>
      <c r="G370" s="13">
        <f ca="1">IF((Prices!C370-Prices!C369)*C370&gt;0,1,0)</f>
        <v>0</v>
      </c>
      <c r="H370" s="9">
        <f>ABS(Prices!C370-Prices!C369)/Prices!C369</f>
        <v>5.1238257899232156E-3</v>
      </c>
      <c r="I370" s="13"/>
      <c r="J370" s="1">
        <f t="shared" ca="1" si="39"/>
        <v>-1.5509500012729681E-4</v>
      </c>
      <c r="K370" s="9"/>
      <c r="L370" s="9">
        <f ca="1">L369-O370*Prices!C370</f>
        <v>1.8927997582835712</v>
      </c>
      <c r="M370" s="1">
        <f t="shared" ca="1" si="40"/>
        <v>2.9741302213252612E-3</v>
      </c>
      <c r="N370" s="9">
        <f ca="1">IF(Prices!D369&gt;OFFSET(Prices!D369,-$N$3,0),1,IF(Prices!D369&lt;OFFSET(Prices!D369,-$N$3,0),-1,0))</f>
        <v>-1</v>
      </c>
      <c r="O370" s="1">
        <f ca="1">IF(N370=1,O$3*L369/Prices!C369,O$3*M369*N370)</f>
        <v>-3.3045891348058463E-4</v>
      </c>
      <c r="P370" s="14"/>
      <c r="Q370" s="9">
        <f ca="1">Q369-T370*Prices!C370</f>
        <v>1.0061153800818181</v>
      </c>
      <c r="R370" s="1">
        <f t="shared" ca="1" si="41"/>
        <v>1.0144113743311931E-2</v>
      </c>
      <c r="S370" s="9">
        <f ca="1">IF(Prices!C369&lt;OFFSET(Prices!C369,-S$3,0),1,IF(Prices!C369&gt;OFFSET(Prices!C369,-S$3,0),-1,0))</f>
        <v>1</v>
      </c>
      <c r="T370" s="1">
        <f ca="1">IF(S370=1,T$3*Q369/Prices!C369,T$3*R369*S370)</f>
        <v>1.7536391335328783E-4</v>
      </c>
      <c r="V370" s="9"/>
      <c r="W370" s="1"/>
      <c r="X370" s="1"/>
      <c r="Y370" s="1"/>
      <c r="Z370" s="1"/>
      <c r="AA370" s="1"/>
      <c r="AB370" s="1"/>
      <c r="AC370" s="1"/>
      <c r="AD370" s="1"/>
      <c r="AE370" s="16"/>
    </row>
    <row r="371" spans="1:31" x14ac:dyDescent="0.2">
      <c r="A371" s="4">
        <v>34025</v>
      </c>
      <c r="B371" s="9">
        <f ca="1">Prices!C370*(1+J371/(50*(ABS(O371)+ABS(T371)+0.0001)))</f>
        <v>117.17628989027257</v>
      </c>
      <c r="C371" s="13">
        <f t="shared" ca="1" si="36"/>
        <v>-1</v>
      </c>
      <c r="D371" s="9">
        <f ca="1">D370+C371*(Prices!C371-Prices!C370)/Prices!C370</f>
        <v>0.1593056100258852</v>
      </c>
      <c r="E371" s="9">
        <f t="shared" ca="1" si="37"/>
        <v>9.8706583444098939E-3</v>
      </c>
      <c r="F371" s="9">
        <f t="shared" ca="1" si="38"/>
        <v>0.16917626837029509</v>
      </c>
      <c r="G371" s="13">
        <f ca="1">IF((Prices!C371-Prices!C370)*C371&gt;0,1,0)</f>
        <v>1</v>
      </c>
      <c r="H371" s="9">
        <f>ABS(Prices!C371-Prices!C370)/Prices!C370</f>
        <v>1.6992353440951813E-3</v>
      </c>
      <c r="I371" s="13"/>
      <c r="J371" s="1">
        <f t="shared" ca="1" si="39"/>
        <v>-1.2645034072525033E-4</v>
      </c>
      <c r="K371" s="9"/>
      <c r="L371" s="9">
        <f ca="1">L370-O371*Prices!C371</f>
        <v>1.9277457883841429</v>
      </c>
      <c r="M371" s="1">
        <f t="shared" ca="1" si="40"/>
        <v>2.6767171991927351E-3</v>
      </c>
      <c r="N371" s="9">
        <f ca="1">IF(Prices!D370&gt;OFFSET(Prices!D370,-$N$3,0),1,IF(Prices!D370&lt;OFFSET(Prices!D370,-$N$3,0),-1,0))</f>
        <v>-1</v>
      </c>
      <c r="O371" s="1">
        <f ca="1">IF(N371=1,O$3*L370/Prices!C370,O$3*M370*N371)</f>
        <v>-2.9741302213252612E-4</v>
      </c>
      <c r="P371" s="14"/>
      <c r="Q371" s="9">
        <f ca="1">Q370-T371*Prices!C371</f>
        <v>0.98602726501646321</v>
      </c>
      <c r="R371" s="1">
        <f t="shared" ca="1" si="41"/>
        <v>1.0315076424719207E-2</v>
      </c>
      <c r="S371" s="9">
        <f ca="1">IF(Prices!C370&lt;OFFSET(Prices!C370,-S$3,0),1,IF(Prices!C370&gt;OFFSET(Prices!C370,-S$3,0),-1,0))</f>
        <v>1</v>
      </c>
      <c r="T371" s="1">
        <f ca="1">IF(S371=1,T$3*Q370/Prices!C370,T$3*R370*S371)</f>
        <v>1.709626814072758E-4</v>
      </c>
      <c r="V371" s="9"/>
      <c r="W371" s="1"/>
      <c r="X371" s="1"/>
      <c r="Y371" s="1"/>
      <c r="Z371" s="1"/>
      <c r="AA371" s="1"/>
      <c r="AB371" s="1"/>
      <c r="AC371" s="1"/>
      <c r="AD371" s="1"/>
      <c r="AE371" s="16"/>
    </row>
    <row r="372" spans="1:31" x14ac:dyDescent="0.2">
      <c r="A372" s="4">
        <v>34026</v>
      </c>
      <c r="B372" s="9">
        <f ca="1">Prices!C371*(1+J372/(50*(ABS(O372)+ABS(T372)+0.0001)))</f>
        <v>119.72686465823483</v>
      </c>
      <c r="C372" s="13">
        <f t="shared" ca="1" si="36"/>
        <v>1</v>
      </c>
      <c r="D372" s="9">
        <f ca="1">D371+C372*(Prices!C372-Prices!C371)/Prices!C371</f>
        <v>0.16568858874928946</v>
      </c>
      <c r="E372" s="9">
        <f t="shared" ca="1" si="37"/>
        <v>3.4876796210056293E-3</v>
      </c>
      <c r="F372" s="9">
        <f t="shared" ca="1" si="38"/>
        <v>0.16917626837029509</v>
      </c>
      <c r="G372" s="13">
        <f ca="1">IF((Prices!C372-Prices!C371)*C372&gt;0,1,0)</f>
        <v>1</v>
      </c>
      <c r="H372" s="9">
        <f>ABS(Prices!C372-Prices!C371)/Prices!C371</f>
        <v>6.382978723404255E-3</v>
      </c>
      <c r="I372" s="13"/>
      <c r="J372" s="1">
        <f t="shared" ca="1" si="39"/>
        <v>1.8084691416063283E-3</v>
      </c>
      <c r="K372" s="9"/>
      <c r="L372" s="9">
        <f ca="1">L371-O372*Prices!C372</f>
        <v>1.7337407335105897</v>
      </c>
      <c r="M372" s="1">
        <f t="shared" ca="1" si="40"/>
        <v>4.3173519127111546E-3</v>
      </c>
      <c r="N372" s="9">
        <f ca="1">IF(Prices!D371&gt;OFFSET(Prices!D371,-$N$3,0),1,IF(Prices!D371&lt;OFFSET(Prices!D371,-$N$3,0),-1,0))</f>
        <v>1</v>
      </c>
      <c r="O372" s="1">
        <f ca="1">IF(N372=1,O$3*L371/Prices!C371,O$3*M371*N372)</f>
        <v>1.6406347135184197E-3</v>
      </c>
      <c r="P372" s="14"/>
      <c r="Q372" s="9">
        <f ca="1">Q371-T372*Prices!C372</f>
        <v>0.96618084389506798</v>
      </c>
      <c r="R372" s="1">
        <f t="shared" ca="1" si="41"/>
        <v>1.0482910852807116E-2</v>
      </c>
      <c r="S372" s="9">
        <f ca="1">IF(Prices!C371&lt;OFFSET(Prices!C371,-S$3,0),1,IF(Prices!C371&gt;OFFSET(Prices!C371,-S$3,0),-1,0))</f>
        <v>1</v>
      </c>
      <c r="T372" s="1">
        <f ca="1">IF(S372=1,T$3*Q371/Prices!C371,T$3*R371*S372)</f>
        <v>1.6783442808790863E-4</v>
      </c>
      <c r="V372" s="9"/>
      <c r="W372" s="1"/>
      <c r="X372" s="1"/>
      <c r="Y372" s="1"/>
      <c r="Z372" s="1"/>
      <c r="AA372" s="1"/>
      <c r="AB372" s="1"/>
      <c r="AC372" s="1"/>
      <c r="AD372" s="1"/>
      <c r="AE372" s="16"/>
    </row>
    <row r="373" spans="1:31" x14ac:dyDescent="0.2">
      <c r="A373" s="4">
        <v>34029</v>
      </c>
      <c r="B373" s="9">
        <f ca="1">Prices!C372*(1+J373/(50*(ABS(O373)+ABS(T373)+0.0001)))</f>
        <v>119.92338667291517</v>
      </c>
      <c r="C373" s="13">
        <f t="shared" ca="1" si="36"/>
        <v>1</v>
      </c>
      <c r="D373" s="9">
        <f ca="1">D372+C373*(Prices!C373-Prices!C372)/Prices!C372</f>
        <v>0.17000148515520916</v>
      </c>
      <c r="E373" s="9">
        <f t="shared" ca="1" si="37"/>
        <v>0</v>
      </c>
      <c r="F373" s="9">
        <f t="shared" ca="1" si="38"/>
        <v>0.17000148515520916</v>
      </c>
      <c r="G373" s="13">
        <f ca="1">IF((Prices!C373-Prices!C372)*C373&gt;0,1,0)</f>
        <v>1</v>
      </c>
      <c r="H373" s="9">
        <f>ABS(Prices!C373-Prices!C372)/Prices!C372</f>
        <v>4.3128964059197051E-3</v>
      </c>
      <c r="I373" s="13"/>
      <c r="J373" s="1">
        <f t="shared" ca="1" si="39"/>
        <v>1.2565073081113754E-3</v>
      </c>
      <c r="K373" s="9"/>
      <c r="L373" s="9">
        <f ca="1">L372-O373*Prices!C373</f>
        <v>1.5596189157416953</v>
      </c>
      <c r="M373" s="1">
        <f t="shared" ca="1" si="40"/>
        <v>5.7835174378786727E-3</v>
      </c>
      <c r="N373" s="9">
        <f ca="1">IF(Prices!D372&gt;OFFSET(Prices!D372,-$N$3,0),1,IF(Prices!D372&lt;OFFSET(Prices!D372,-$N$3,0),-1,0))</f>
        <v>1</v>
      </c>
      <c r="O373" s="1">
        <f ca="1">IF(N373=1,O$3*L372/Prices!C372,O$3*M372*N373)</f>
        <v>1.4661655251675177E-3</v>
      </c>
      <c r="P373" s="14"/>
      <c r="Q373" s="9">
        <f ca="1">Q372-T373*Prices!C373</f>
        <v>0.99107985375265539</v>
      </c>
      <c r="R373" s="1">
        <f t="shared" ca="1" si="41"/>
        <v>1.0273252635750975E-2</v>
      </c>
      <c r="S373" s="9">
        <f ca="1">IF(Prices!C372&lt;OFFSET(Prices!C372,-S$3,0),1,IF(Prices!C372&gt;OFFSET(Prices!C372,-S$3,0),-1,0))</f>
        <v>-1</v>
      </c>
      <c r="T373" s="1">
        <f ca="1">IF(S373=1,T$3*Q372/Prices!C372,T$3*R372*S373)</f>
        <v>-2.0965821705614234E-4</v>
      </c>
      <c r="V373" s="9"/>
      <c r="W373" s="1"/>
      <c r="X373" s="1"/>
      <c r="Y373" s="1"/>
      <c r="Z373" s="1"/>
      <c r="AA373" s="1"/>
      <c r="AB373" s="1"/>
      <c r="AC373" s="1"/>
      <c r="AD373" s="1"/>
      <c r="AE373" s="16"/>
    </row>
    <row r="374" spans="1:31" x14ac:dyDescent="0.2">
      <c r="A374" s="4">
        <v>34030</v>
      </c>
      <c r="B374" s="9">
        <f ca="1">Prices!C373*(1+J374/(50*(ABS(O374)+ABS(T374)+0.0001)))</f>
        <v>116.65354347821837</v>
      </c>
      <c r="C374" s="13">
        <f t="shared" ca="1" si="36"/>
        <v>-1</v>
      </c>
      <c r="D374" s="9">
        <f ca="1">D373+C374*(Prices!C374-Prices!C373)/Prices!C373</f>
        <v>0.17850603214072622</v>
      </c>
      <c r="E374" s="9">
        <f t="shared" ca="1" si="37"/>
        <v>0</v>
      </c>
      <c r="F374" s="9">
        <f t="shared" ca="1" si="38"/>
        <v>0.17850603214072622</v>
      </c>
      <c r="G374" s="13">
        <f ca="1">IF((Prices!C374-Prices!C373)*C374&gt;0,1,0)</f>
        <v>1</v>
      </c>
      <c r="H374" s="9">
        <f>ABS(Prices!C374-Prices!C373)/Prices!C373</f>
        <v>8.5045469855170516E-3</v>
      </c>
      <c r="I374" s="13"/>
      <c r="J374" s="1">
        <f t="shared" ca="1" si="39"/>
        <v>-7.8381679650288676E-4</v>
      </c>
      <c r="K374" s="9"/>
      <c r="L374" s="9">
        <f ca="1">L373-O374*Prices!C374</f>
        <v>1.6277198335727168</v>
      </c>
      <c r="M374" s="1">
        <f t="shared" ca="1" si="40"/>
        <v>5.2051656940908051E-3</v>
      </c>
      <c r="N374" s="9">
        <f ca="1">IF(Prices!D373&gt;OFFSET(Prices!D373,-$N$3,0),1,IF(Prices!D373&lt;OFFSET(Prices!D373,-$N$3,0),-1,0))</f>
        <v>-1</v>
      </c>
      <c r="O374" s="1">
        <f ca="1">IF(N374=1,O$3*L373/Prices!C373,O$3*M373*N374)</f>
        <v>-5.7835174378786729E-4</v>
      </c>
      <c r="P374" s="14"/>
      <c r="Q374" s="9">
        <f ca="1">Q373-T374*Prices!C374</f>
        <v>1.015273363709849</v>
      </c>
      <c r="R374" s="1">
        <f t="shared" ca="1" si="41"/>
        <v>1.0067787583035955E-2</v>
      </c>
      <c r="S374" s="9">
        <f ca="1">IF(Prices!C373&lt;OFFSET(Prices!C373,-S$3,0),1,IF(Prices!C373&gt;OFFSET(Prices!C373,-S$3,0),-1,0))</f>
        <v>-1</v>
      </c>
      <c r="T374" s="1">
        <f ca="1">IF(S374=1,T$3*Q373/Prices!C373,T$3*R373*S374)</f>
        <v>-2.054650527150195E-4</v>
      </c>
      <c r="V374" s="9"/>
      <c r="W374" s="1"/>
      <c r="X374" s="1"/>
      <c r="Y374" s="1"/>
      <c r="Z374" s="1"/>
      <c r="AA374" s="1"/>
      <c r="AB374" s="1"/>
      <c r="AC374" s="1"/>
      <c r="AD374" s="1"/>
      <c r="AE374" s="16"/>
    </row>
    <row r="375" spans="1:31" x14ac:dyDescent="0.2">
      <c r="A375" s="4">
        <v>34031</v>
      </c>
      <c r="B375" s="9">
        <f ca="1">Prices!C374*(1+J375/(50*(ABS(O375)+ABS(T375)+0.0001)))</f>
        <v>115.68154085794427</v>
      </c>
      <c r="C375" s="13">
        <f t="shared" ca="1" si="36"/>
        <v>-1</v>
      </c>
      <c r="D375" s="9">
        <f ca="1">D374+C375*(Prices!C375-Prices!C374)/Prices!C374</f>
        <v>0.18784785804306162</v>
      </c>
      <c r="E375" s="9">
        <f t="shared" ca="1" si="37"/>
        <v>0</v>
      </c>
      <c r="F375" s="9">
        <f t="shared" ca="1" si="38"/>
        <v>0.18784785804306162</v>
      </c>
      <c r="G375" s="13">
        <f ca="1">IF((Prices!C375-Prices!C374)*C375&gt;0,1,0)</f>
        <v>1</v>
      </c>
      <c r="H375" s="9">
        <f>ABS(Prices!C375-Prices!C374)/Prices!C374</f>
        <v>9.3418259023354076E-3</v>
      </c>
      <c r="I375" s="13"/>
      <c r="J375" s="1">
        <f t="shared" ca="1" si="39"/>
        <v>-7.2187232106979957E-4</v>
      </c>
      <c r="K375" s="9"/>
      <c r="L375" s="9">
        <f ca="1">L374-O375*Prices!C375</f>
        <v>1.688438091394286</v>
      </c>
      <c r="M375" s="1">
        <f t="shared" ca="1" si="40"/>
        <v>4.6846491246817249E-3</v>
      </c>
      <c r="N375" s="9">
        <f ca="1">IF(Prices!D374&gt;OFFSET(Prices!D374,-$N$3,0),1,IF(Prices!D374&lt;OFFSET(Prices!D374,-$N$3,0),-1,0))</f>
        <v>-1</v>
      </c>
      <c r="O375" s="1">
        <f ca="1">IF(N375=1,O$3*L374/Prices!C374,O$3*M374*N375)</f>
        <v>-5.2051656940908049E-4</v>
      </c>
      <c r="P375" s="14"/>
      <c r="Q375" s="9">
        <f ca="1">Q374-T375*Prices!C375</f>
        <v>1.0387615121410718</v>
      </c>
      <c r="R375" s="1">
        <f t="shared" ca="1" si="41"/>
        <v>9.8664318313752362E-3</v>
      </c>
      <c r="S375" s="9">
        <f ca="1">IF(Prices!C374&lt;OFFSET(Prices!C374,-S$3,0),1,IF(Prices!C374&gt;OFFSET(Prices!C374,-S$3,0),-1,0))</f>
        <v>-1</v>
      </c>
      <c r="T375" s="1">
        <f ca="1">IF(S375=1,T$3*Q374/Prices!C374,T$3*R374*S375)</f>
        <v>-2.0135575166071909E-4</v>
      </c>
      <c r="V375" s="9"/>
      <c r="W375" s="1"/>
      <c r="X375" s="1"/>
      <c r="Y375" s="1"/>
      <c r="Z375" s="1"/>
      <c r="AA375" s="1"/>
      <c r="AB375" s="1"/>
      <c r="AC375" s="1"/>
      <c r="AD375" s="1"/>
      <c r="AE375" s="16"/>
    </row>
    <row r="376" spans="1:31" x14ac:dyDescent="0.2">
      <c r="A376" s="4">
        <v>34032</v>
      </c>
      <c r="B376" s="9">
        <f ca="1">Prices!C375*(1+J376/(50*(ABS(O376)+ABS(T376)+0.0001)))</f>
        <v>115.74261060510794</v>
      </c>
      <c r="C376" s="13">
        <f t="shared" ca="1" si="36"/>
        <v>-1</v>
      </c>
      <c r="D376" s="9">
        <f ca="1">D375+C376*(Prices!C376-Prices!C375)/Prices!C375</f>
        <v>0.1865619600576352</v>
      </c>
      <c r="E376" s="9">
        <f t="shared" ca="1" si="37"/>
        <v>1.2858979854264152E-3</v>
      </c>
      <c r="F376" s="9">
        <f t="shared" ca="1" si="38"/>
        <v>0.18784785804306162</v>
      </c>
      <c r="G376" s="13">
        <f ca="1">IF((Prices!C376-Prices!C375)*C376&gt;0,1,0)</f>
        <v>0</v>
      </c>
      <c r="H376" s="9">
        <f>ABS(Prices!C376-Prices!C375)/Prices!C375</f>
        <v>1.2858979854264163E-3</v>
      </c>
      <c r="I376" s="13"/>
      <c r="J376" s="1">
        <f t="shared" ca="1" si="39"/>
        <v>-2.9036606769473547E-4</v>
      </c>
      <c r="K376" s="9"/>
      <c r="L376" s="9">
        <f ca="1">L375-O376*Prices!C376</f>
        <v>1.7431547931705687</v>
      </c>
      <c r="M376" s="1">
        <f t="shared" ca="1" si="40"/>
        <v>4.2161842122135527E-3</v>
      </c>
      <c r="N376" s="9">
        <f ca="1">IF(Prices!D375&gt;OFFSET(Prices!D375,-$N$3,0),1,IF(Prices!D375&lt;OFFSET(Prices!D375,-$N$3,0),-1,0))</f>
        <v>-1</v>
      </c>
      <c r="O376" s="1">
        <f ca="1">IF(N376=1,O$3*L375/Prices!C375,O$3*M375*N376)</f>
        <v>-4.6846491246817251E-4</v>
      </c>
      <c r="P376" s="14"/>
      <c r="Q376" s="9">
        <f ca="1">Q375-T376*Prices!C376</f>
        <v>1.0179595670715345</v>
      </c>
      <c r="R376" s="1">
        <f t="shared" ca="1" si="41"/>
        <v>1.0044530676148673E-2</v>
      </c>
      <c r="S376" s="9">
        <f ca="1">IF(Prices!C375&lt;OFFSET(Prices!C375,-S$3,0),1,IF(Prices!C375&gt;OFFSET(Prices!C375,-S$3,0),-1,0))</f>
        <v>1</v>
      </c>
      <c r="T376" s="1">
        <f ca="1">IF(S376=1,T$3*Q375/Prices!C375,T$3*R375*S376)</f>
        <v>1.7809884477343706E-4</v>
      </c>
      <c r="V376" s="9"/>
      <c r="W376" s="1"/>
      <c r="X376" s="1"/>
      <c r="Y376" s="1"/>
      <c r="Z376" s="1"/>
      <c r="AA376" s="1"/>
      <c r="AB376" s="1"/>
      <c r="AC376" s="1"/>
      <c r="AD376" s="1"/>
      <c r="AE376" s="16"/>
    </row>
    <row r="377" spans="1:31" x14ac:dyDescent="0.2">
      <c r="A377" s="4">
        <v>34033</v>
      </c>
      <c r="B377" s="9">
        <f ca="1">Prices!C376*(1+J377/(50*(ABS(O377)+ABS(T377)+0.0001)))</f>
        <v>115.96985953238905</v>
      </c>
      <c r="C377" s="13">
        <f t="shared" ca="1" si="36"/>
        <v>-1</v>
      </c>
      <c r="D377" s="9">
        <f ca="1">D376+C377*(Prices!C377-Prices!C376)/Prices!C376</f>
        <v>0.17928456279736116</v>
      </c>
      <c r="E377" s="9">
        <f t="shared" ca="1" si="37"/>
        <v>8.5632952457004585E-3</v>
      </c>
      <c r="F377" s="9">
        <f t="shared" ca="1" si="38"/>
        <v>0.18784785804306162</v>
      </c>
      <c r="G377" s="13">
        <f ca="1">IF((Prices!C377-Prices!C376)*C377&gt;0,1,0)</f>
        <v>0</v>
      </c>
      <c r="H377" s="9">
        <f>ABS(Prices!C377-Prices!C376)/Prices!C376</f>
        <v>7.2773972602740459E-3</v>
      </c>
      <c r="I377" s="13"/>
      <c r="J377" s="1">
        <f t="shared" ca="1" si="39"/>
        <v>-2.4731027617485966E-4</v>
      </c>
      <c r="K377" s="9"/>
      <c r="L377" s="9">
        <f ca="1">L376-O377*Prices!C377</f>
        <v>1.7927582004272611</v>
      </c>
      <c r="M377" s="1">
        <f t="shared" ca="1" si="40"/>
        <v>3.7945657909921973E-3</v>
      </c>
      <c r="N377" s="9">
        <f ca="1">IF(Prices!D376&gt;OFFSET(Prices!D376,-$N$3,0),1,IF(Prices!D376&lt;OFFSET(Prices!D376,-$N$3,0),-1,0))</f>
        <v>-1</v>
      </c>
      <c r="O377" s="1">
        <f ca="1">IF(N377=1,O$3*L376/Prices!C376,O$3*M376*N377)</f>
        <v>-4.2161842122135528E-4</v>
      </c>
      <c r="P377" s="14"/>
      <c r="Q377" s="9">
        <f ca="1">Q376-T377*Prices!C377</f>
        <v>0.99745221380681426</v>
      </c>
      <c r="R377" s="1">
        <f t="shared" ca="1" si="41"/>
        <v>1.0218838821195168E-2</v>
      </c>
      <c r="S377" s="9">
        <f ca="1">IF(Prices!C376&lt;OFFSET(Prices!C376,-S$3,0),1,IF(Prices!C376&gt;OFFSET(Prices!C376,-S$3,0),-1,0))</f>
        <v>1</v>
      </c>
      <c r="T377" s="1">
        <f ca="1">IF(S377=1,T$3*Q376/Prices!C376,T$3*R376*S377)</f>
        <v>1.7430814504649562E-4</v>
      </c>
      <c r="V377" s="9"/>
      <c r="W377" s="1"/>
      <c r="X377" s="1"/>
      <c r="Y377" s="1"/>
      <c r="Z377" s="1"/>
      <c r="AA377" s="1"/>
      <c r="AB377" s="1"/>
      <c r="AC377" s="1"/>
      <c r="AD377" s="1"/>
      <c r="AE377" s="16"/>
    </row>
    <row r="378" spans="1:31" x14ac:dyDescent="0.2">
      <c r="A378" s="4">
        <v>34036</v>
      </c>
      <c r="B378" s="9">
        <f ca="1">Prices!C377*(1+J378/(50*(ABS(O378)+ABS(T378)+0.0001)))</f>
        <v>119.87179443195355</v>
      </c>
      <c r="C378" s="13">
        <f t="shared" ca="1" si="36"/>
        <v>1</v>
      </c>
      <c r="D378" s="9">
        <f ca="1">D377+C378*(Prices!C378-Prices!C377)/Prices!C377</f>
        <v>0.17265472854321751</v>
      </c>
      <c r="E378" s="9">
        <f t="shared" ca="1" si="37"/>
        <v>1.519312949984411E-2</v>
      </c>
      <c r="F378" s="9">
        <f t="shared" ca="1" si="38"/>
        <v>0.18784785804306162</v>
      </c>
      <c r="G378" s="13">
        <f ca="1">IF((Prices!C378-Prices!C377)*C378&gt;0,1,0)</f>
        <v>0</v>
      </c>
      <c r="H378" s="9">
        <f>ABS(Prices!C378-Prices!C377)/Prices!C377</f>
        <v>6.629834254143656E-3</v>
      </c>
      <c r="I378" s="13"/>
      <c r="J378" s="1">
        <f t="shared" ca="1" si="39"/>
        <v>1.6933690124850184E-3</v>
      </c>
      <c r="K378" s="9"/>
      <c r="L378" s="9">
        <f ca="1">L377-O378*Prices!C378</f>
        <v>1.614670949357194</v>
      </c>
      <c r="M378" s="1">
        <f t="shared" ca="1" si="40"/>
        <v>5.3183721661959893E-3</v>
      </c>
      <c r="N378" s="9">
        <f ca="1">IF(Prices!D377&gt;OFFSET(Prices!D377,-$N$3,0),1,IF(Prices!D377&lt;OFFSET(Prices!D377,-$N$3,0),-1,0))</f>
        <v>1</v>
      </c>
      <c r="O378" s="1">
        <f ca="1">IF(N378=1,O$3*L377/Prices!C377,O$3*M377*N378)</f>
        <v>1.523806375203792E-3</v>
      </c>
      <c r="P378" s="14"/>
      <c r="Q378" s="9">
        <f ca="1">Q377-T378*Prices!C378</f>
        <v>0.9776354283877573</v>
      </c>
      <c r="R378" s="1">
        <f t="shared" ca="1" si="41"/>
        <v>1.0388401458476394E-2</v>
      </c>
      <c r="S378" s="9">
        <f ca="1">IF(Prices!C377&lt;OFFSET(Prices!C377,-S$3,0),1,IF(Prices!C377&gt;OFFSET(Prices!C377,-S$3,0),-1,0))</f>
        <v>1</v>
      </c>
      <c r="T378" s="1">
        <f ca="1">IF(S378=1,T$3*Q377/Prices!C377,T$3*R377*S378)</f>
        <v>1.6956263728122641E-4</v>
      </c>
      <c r="V378" s="9"/>
      <c r="W378" s="1"/>
      <c r="X378" s="1"/>
      <c r="Y378" s="1"/>
      <c r="Z378" s="1"/>
      <c r="AA378" s="1"/>
      <c r="AB378" s="1"/>
      <c r="AC378" s="1"/>
      <c r="AD378" s="1"/>
      <c r="AE378" s="16"/>
    </row>
    <row r="379" spans="1:31" x14ac:dyDescent="0.2">
      <c r="A379" s="4">
        <v>34037</v>
      </c>
      <c r="B379" s="9">
        <f ca="1">Prices!C378*(1+J379/(50*(ABS(O379)+ABS(T379)+0.0001)))</f>
        <v>119.06564478791945</v>
      </c>
      <c r="C379" s="13">
        <f t="shared" ca="1" si="36"/>
        <v>1</v>
      </c>
      <c r="D379" s="9">
        <f ca="1">D378+C379*(Prices!C379-Prices!C378)/Prices!C378</f>
        <v>0.17975663664623795</v>
      </c>
      <c r="E379" s="9">
        <f t="shared" ca="1" si="37"/>
        <v>8.0912213968236668E-3</v>
      </c>
      <c r="F379" s="9">
        <f t="shared" ca="1" si="38"/>
        <v>0.18784785804306162</v>
      </c>
      <c r="G379" s="13">
        <f ca="1">IF((Prices!C379-Prices!C378)*C379&gt;0,1,0)</f>
        <v>1</v>
      </c>
      <c r="H379" s="9">
        <f>ABS(Prices!C379-Prices!C378)/Prices!C378</f>
        <v>7.1019081030204356E-3</v>
      </c>
      <c r="I379" s="13"/>
      <c r="J379" s="1">
        <f t="shared" ca="1" si="39"/>
        <v>1.5488988063957778E-3</v>
      </c>
      <c r="K379" s="9"/>
      <c r="L379" s="9">
        <f ca="1">L378-O379*Prices!C379</f>
        <v>1.4520571299515794</v>
      </c>
      <c r="M379" s="1">
        <f t="shared" ca="1" si="40"/>
        <v>6.6999679130576254E-3</v>
      </c>
      <c r="N379" s="9">
        <f ca="1">IF(Prices!D378&gt;OFFSET(Prices!D378,-$N$3,0),1,IF(Prices!D378&lt;OFFSET(Prices!D378,-$N$3,0),-1,0))</f>
        <v>1</v>
      </c>
      <c r="O379" s="1">
        <f ca="1">IF(N379=1,O$3*L378/Prices!C378,O$3*M378*N379)</f>
        <v>1.3815957468616361E-3</v>
      </c>
      <c r="P379" s="14"/>
      <c r="Q379" s="9">
        <f ca="1">Q378-T379*Prices!C379</f>
        <v>0.95794385828058881</v>
      </c>
      <c r="R379" s="1">
        <f t="shared" ca="1" si="41"/>
        <v>1.0555704518010536E-2</v>
      </c>
      <c r="S379" s="9">
        <f ca="1">IF(Prices!C378&lt;OFFSET(Prices!C378,-S$3,0),1,IF(Prices!C378&gt;OFFSET(Prices!C378,-S$3,0),-1,0))</f>
        <v>1</v>
      </c>
      <c r="T379" s="1">
        <f ca="1">IF(S379=1,T$3*Q378/Prices!C378,T$3*R378*S379)</f>
        <v>1.6730305953414174E-4</v>
      </c>
      <c r="V379" s="9"/>
      <c r="W379" s="1"/>
      <c r="X379" s="1"/>
      <c r="Y379" s="1"/>
      <c r="Z379" s="1"/>
      <c r="AA379" s="1"/>
      <c r="AB379" s="1"/>
      <c r="AC379" s="1"/>
      <c r="AD379" s="1"/>
      <c r="AE379" s="16"/>
    </row>
    <row r="380" spans="1:31" x14ac:dyDescent="0.2">
      <c r="A380" s="4">
        <v>34038</v>
      </c>
      <c r="B380" s="9">
        <f ca="1">Prices!C379*(1+J380/(50*(ABS(O380)+ABS(T380)+0.0001)))</f>
        <v>119.2582211431931</v>
      </c>
      <c r="C380" s="13">
        <f t="shared" ca="1" si="36"/>
        <v>1</v>
      </c>
      <c r="D380" s="9">
        <f ca="1">D379+C380*(Prices!C380-Prices!C379)/Prices!C379</f>
        <v>0.18273029849840441</v>
      </c>
      <c r="E380" s="9">
        <f t="shared" ca="1" si="37"/>
        <v>5.117559544657202E-3</v>
      </c>
      <c r="F380" s="9">
        <f t="shared" ca="1" si="38"/>
        <v>0.18784785804306162</v>
      </c>
      <c r="G380" s="13">
        <f ca="1">IF((Prices!C380-Prices!C379)*C380&gt;0,1,0)</f>
        <v>1</v>
      </c>
      <c r="H380" s="9">
        <f>ABS(Prices!C380-Prices!C379)/Prices!C379</f>
        <v>2.9736618521664765E-3</v>
      </c>
      <c r="I380" s="13"/>
      <c r="J380" s="1">
        <f t="shared" ca="1" si="39"/>
        <v>1.0225793080693385E-3</v>
      </c>
      <c r="K380" s="9"/>
      <c r="L380" s="9">
        <f ca="1">L379-O380*Prices!C380</f>
        <v>1.3064196242669712</v>
      </c>
      <c r="M380" s="1">
        <f t="shared" ca="1" si="40"/>
        <v>7.9336613114871744E-3</v>
      </c>
      <c r="N380" s="9">
        <f ca="1">IF(Prices!D379&gt;OFFSET(Prices!D379,-$N$3,0),1,IF(Prices!D379&lt;OFFSET(Prices!D379,-$N$3,0),-1,0))</f>
        <v>1</v>
      </c>
      <c r="O380" s="1">
        <f ca="1">IF(N380=1,O$3*L379/Prices!C379,O$3*M379*N380)</f>
        <v>1.2336933984295492E-3</v>
      </c>
      <c r="P380" s="14"/>
      <c r="Q380" s="9">
        <f ca="1">Q379-T380*Prices!C380</f>
        <v>0.98286587664761171</v>
      </c>
      <c r="R380" s="1">
        <f t="shared" ca="1" si="41"/>
        <v>1.0344590427650326E-2</v>
      </c>
      <c r="S380" s="9">
        <f ca="1">IF(Prices!C379&lt;OFFSET(Prices!C379,-S$3,0),1,IF(Prices!C379&gt;OFFSET(Prices!C379,-S$3,0),-1,0))</f>
        <v>-1</v>
      </c>
      <c r="T380" s="1">
        <f ca="1">IF(S380=1,T$3*Q379/Prices!C379,T$3*R379*S380)</f>
        <v>-2.1111409036021073E-4</v>
      </c>
      <c r="V380" s="9"/>
      <c r="W380" s="1"/>
      <c r="X380" s="1"/>
      <c r="Y380" s="1"/>
      <c r="Z380" s="1"/>
      <c r="AA380" s="1"/>
      <c r="AB380" s="1"/>
      <c r="AC380" s="1"/>
      <c r="AD380" s="1"/>
      <c r="AE380" s="16"/>
    </row>
    <row r="381" spans="1:31" x14ac:dyDescent="0.2">
      <c r="A381" s="4">
        <v>34039</v>
      </c>
      <c r="B381" s="9">
        <f ca="1">Prices!C380*(1+J381/(50*(ABS(O381)+ABS(T381)+0.0001)))</f>
        <v>119.55285128214599</v>
      </c>
      <c r="C381" s="13">
        <f t="shared" ca="1" si="36"/>
        <v>1</v>
      </c>
      <c r="D381" s="9">
        <f ca="1">D380+C381*(Prices!C381-Prices!C380)/Prices!C380</f>
        <v>0.17917248401301686</v>
      </c>
      <c r="E381" s="9">
        <f t="shared" ca="1" si="37"/>
        <v>8.6753740300447579E-3</v>
      </c>
      <c r="F381" s="9">
        <f t="shared" ca="1" si="38"/>
        <v>0.18784785804306162</v>
      </c>
      <c r="G381" s="13">
        <f ca="1">IF((Prices!C381-Prices!C380)*C381&gt;0,1,0)</f>
        <v>0</v>
      </c>
      <c r="H381" s="9">
        <f>ABS(Prices!C381-Prices!C380)/Prices!C380</f>
        <v>3.557814485387562E-3</v>
      </c>
      <c r="I381" s="13"/>
      <c r="J381" s="1">
        <f t="shared" ca="1" si="39"/>
        <v>8.9977453983070476E-4</v>
      </c>
      <c r="K381" s="9"/>
      <c r="L381" s="9">
        <f ca="1">L380-O381*Prices!C381</f>
        <v>1.1762424617065952</v>
      </c>
      <c r="M381" s="1">
        <f t="shared" ca="1" si="40"/>
        <v>9.0403276598708861E-3</v>
      </c>
      <c r="N381" s="9">
        <f ca="1">IF(Prices!D380&gt;OFFSET(Prices!D380,-$N$3,0),1,IF(Prices!D380&lt;OFFSET(Prices!D380,-$N$3,0),-1,0))</f>
        <v>1</v>
      </c>
      <c r="O381" s="1">
        <f ca="1">IF(N381=1,O$3*L380/Prices!C380,O$3*M380*N381)</f>
        <v>1.1066663483837113E-3</v>
      </c>
      <c r="P381" s="14"/>
      <c r="Q381" s="9">
        <f ca="1">Q380-T381*Prices!C381</f>
        <v>1.0072025600877019</v>
      </c>
      <c r="R381" s="1">
        <f t="shared" ca="1" si="41"/>
        <v>1.0137698619097319E-2</v>
      </c>
      <c r="S381" s="9">
        <f ca="1">IF(Prices!C380&lt;OFFSET(Prices!C380,-S$3,0),1,IF(Prices!C380&gt;OFFSET(Prices!C380,-S$3,0),-1,0))</f>
        <v>-1</v>
      </c>
      <c r="T381" s="1">
        <f ca="1">IF(S381=1,T$3*Q380/Prices!C380,T$3*R380*S381)</f>
        <v>-2.0689180855300651E-4</v>
      </c>
      <c r="V381" s="9"/>
      <c r="W381" s="1"/>
      <c r="X381" s="1"/>
      <c r="Y381" s="1"/>
      <c r="Z381" s="1"/>
      <c r="AA381" s="1"/>
      <c r="AB381" s="1"/>
      <c r="AC381" s="1"/>
      <c r="AD381" s="1"/>
      <c r="AE381" s="16"/>
    </row>
    <row r="382" spans="1:31" x14ac:dyDescent="0.2">
      <c r="A382" s="4">
        <v>34040</v>
      </c>
      <c r="B382" s="9">
        <f ca="1">Prices!C381*(1+J382/(50*(ABS(O382)+ABS(T382)+0.0001)))</f>
        <v>119.79753082527681</v>
      </c>
      <c r="C382" s="13">
        <f t="shared" ca="1" si="36"/>
        <v>1</v>
      </c>
      <c r="D382" s="9">
        <f ca="1">D381+C382*(Prices!C382-Prices!C381)/Prices!C381</f>
        <v>0.18299803871844916</v>
      </c>
      <c r="E382" s="9">
        <f t="shared" ca="1" si="37"/>
        <v>4.8498193246124532E-3</v>
      </c>
      <c r="F382" s="9">
        <f t="shared" ca="1" si="38"/>
        <v>0.18784785804306162</v>
      </c>
      <c r="G382" s="13">
        <f ca="1">IF((Prices!C382-Prices!C381)*C382&gt;0,1,0)</f>
        <v>1</v>
      </c>
      <c r="H382" s="9">
        <f>ABS(Prices!C382-Prices!C381)/Prices!C381</f>
        <v>3.8255547054323121E-3</v>
      </c>
      <c r="I382" s="13"/>
      <c r="J382" s="1">
        <f t="shared" ca="1" si="39"/>
        <v>1.1712003517165143E-3</v>
      </c>
      <c r="K382" s="9"/>
      <c r="L382" s="9">
        <f ca="1">L381-O382*Prices!C382</f>
        <v>1.0581682375475245</v>
      </c>
      <c r="M382" s="1">
        <f t="shared" ca="1" si="40"/>
        <v>1.004027874522887E-2</v>
      </c>
      <c r="N382" s="9">
        <f ca="1">IF(Prices!D381&gt;OFFSET(Prices!D381,-$N$3,0),1,IF(Prices!D381&lt;OFFSET(Prices!D381,-$N$3,0),-1,0))</f>
        <v>1</v>
      </c>
      <c r="O382" s="1">
        <f ca="1">IF(N382=1,O$3*L381/Prices!C381,O$3*M381*N382)</f>
        <v>9.9995108535798284E-4</v>
      </c>
      <c r="P382" s="14"/>
      <c r="Q382" s="9">
        <f ca="1">Q381-T382*Prices!C382</f>
        <v>0.98698144671608656</v>
      </c>
      <c r="R382" s="1">
        <f t="shared" ca="1" si="41"/>
        <v>1.030894788545585E-2</v>
      </c>
      <c r="S382" s="9">
        <f ca="1">IF(Prices!C381&lt;OFFSET(Prices!C381,-S$3,0),1,IF(Prices!C381&gt;OFFSET(Prices!C381,-S$3,0),-1,0))</f>
        <v>1</v>
      </c>
      <c r="T382" s="1">
        <f ca="1">IF(S382=1,T$3*Q381/Prices!C381,T$3*R381*S382)</f>
        <v>1.7124926635853134E-4</v>
      </c>
      <c r="V382" s="9"/>
      <c r="W382" s="1"/>
      <c r="X382" s="1"/>
      <c r="Y382" s="1"/>
      <c r="Z382" s="1"/>
      <c r="AA382" s="1"/>
      <c r="AB382" s="1"/>
      <c r="AC382" s="1"/>
      <c r="AD382" s="1"/>
      <c r="AE382" s="16"/>
    </row>
    <row r="383" spans="1:31" x14ac:dyDescent="0.2">
      <c r="A383" s="4">
        <v>34043</v>
      </c>
      <c r="B383" s="9">
        <f ca="1">Prices!C382*(1+J383/(50*(ABS(O383)+ABS(T383)+0.0001)))</f>
        <v>119.43522874999444</v>
      </c>
      <c r="C383" s="13">
        <f t="shared" ca="1" si="36"/>
        <v>1</v>
      </c>
      <c r="D383" s="9">
        <f ca="1">D382+C383*(Prices!C383-Prices!C382)/Prices!C382</f>
        <v>0.18723245606262259</v>
      </c>
      <c r="E383" s="9">
        <f t="shared" ca="1" si="37"/>
        <v>6.1540198043902317E-4</v>
      </c>
      <c r="F383" s="9">
        <f t="shared" ca="1" si="38"/>
        <v>0.18784785804306162</v>
      </c>
      <c r="G383" s="13">
        <f ca="1">IF((Prices!C383-Prices!C382)*C383&gt;0,1,0)</f>
        <v>1</v>
      </c>
      <c r="H383" s="9">
        <f>ABS(Prices!C383-Prices!C382)/Prices!C382</f>
        <v>4.2344173441734422E-3</v>
      </c>
      <c r="I383" s="13"/>
      <c r="J383" s="1">
        <f t="shared" ca="1" si="39"/>
        <v>6.8996622991581921E-4</v>
      </c>
      <c r="K383" s="9"/>
      <c r="L383" s="9">
        <f ca="1">L382-O383*Prices!C383</f>
        <v>0.95190334119895958</v>
      </c>
      <c r="M383" s="1">
        <f t="shared" ca="1" si="40"/>
        <v>1.0936423932853805E-2</v>
      </c>
      <c r="N383" s="9">
        <f ca="1">IF(Prices!D382&gt;OFFSET(Prices!D382,-$N$3,0),1,IF(Prices!D382&lt;OFFSET(Prices!D382,-$N$3,0),-1,0))</f>
        <v>1</v>
      </c>
      <c r="O383" s="1">
        <f ca="1">IF(N383=1,O$3*L382/Prices!C382,O$3*M382*N383)</f>
        <v>8.961451876249362E-4</v>
      </c>
      <c r="P383" s="14"/>
      <c r="Q383" s="9">
        <f ca="1">Q382-T383*Prices!C383</f>
        <v>1.0114301475212337</v>
      </c>
      <c r="R383" s="1">
        <f t="shared" ca="1" si="41"/>
        <v>1.0102768927746733E-2</v>
      </c>
      <c r="S383" s="9">
        <f ca="1">IF(Prices!C382&lt;OFFSET(Prices!C382,-S$3,0),1,IF(Prices!C382&gt;OFFSET(Prices!C382,-S$3,0),-1,0))</f>
        <v>-1</v>
      </c>
      <c r="T383" s="1">
        <f ca="1">IF(S383=1,T$3*Q382/Prices!C382,T$3*R382*S383)</f>
        <v>-2.0617895770911701E-4</v>
      </c>
      <c r="V383" s="9"/>
      <c r="W383" s="1"/>
      <c r="X383" s="1"/>
      <c r="Y383" s="1"/>
      <c r="Z383" s="1"/>
      <c r="AA383" s="1"/>
      <c r="AB383" s="1"/>
      <c r="AC383" s="1"/>
      <c r="AD383" s="1"/>
      <c r="AE383" s="16"/>
    </row>
    <row r="384" spans="1:31" x14ac:dyDescent="0.2">
      <c r="A384" s="4">
        <v>34044</v>
      </c>
      <c r="B384" s="9">
        <f ca="1">Prices!C383*(1+J384/(50*(ABS(O384)+ABS(T384)+0.0001)))</f>
        <v>119.86946651964618</v>
      </c>
      <c r="C384" s="13">
        <f t="shared" ca="1" si="36"/>
        <v>1</v>
      </c>
      <c r="D384" s="9">
        <f ca="1">D383+C384*(Prices!C384-Prices!C383)/Prices!C383</f>
        <v>0.17390811806295994</v>
      </c>
      <c r="E384" s="9">
        <f t="shared" ca="1" si="37"/>
        <v>1.3939739980101673E-2</v>
      </c>
      <c r="F384" s="9">
        <f t="shared" ca="1" si="38"/>
        <v>0.18784785804306162</v>
      </c>
      <c r="G384" s="13">
        <f ca="1">IF((Prices!C384-Prices!C383)*C384&gt;0,1,0)</f>
        <v>0</v>
      </c>
      <c r="H384" s="9">
        <f>ABS(Prices!C384-Prices!C383)/Prices!C383</f>
        <v>1.332433799966266E-2</v>
      </c>
      <c r="I384" s="13"/>
      <c r="J384" s="1">
        <f t="shared" ca="1" si="39"/>
        <v>6.0069663797311375E-4</v>
      </c>
      <c r="K384" s="9"/>
      <c r="L384" s="9">
        <f ca="1">L383-O384*Prices!C384</f>
        <v>0.85798135526517794</v>
      </c>
      <c r="M384" s="1">
        <f t="shared" ca="1" si="40"/>
        <v>1.1739175949381854E-2</v>
      </c>
      <c r="N384" s="9">
        <f ca="1">IF(Prices!D383&gt;OFFSET(Prices!D383,-$N$3,0),1,IF(Prices!D383&lt;OFFSET(Prices!D383,-$N$3,0),-1,0))</f>
        <v>1</v>
      </c>
      <c r="O384" s="1">
        <f ca="1">IF(N384=1,O$3*L383/Prices!C383,O$3*M383*N384)</f>
        <v>8.0275201652804835E-4</v>
      </c>
      <c r="P384" s="14"/>
      <c r="Q384" s="9">
        <f ca="1">Q383-T384*Prices!C384</f>
        <v>1.035070626812161</v>
      </c>
      <c r="R384" s="1">
        <f t="shared" ca="1" si="41"/>
        <v>9.9007135491917982E-3</v>
      </c>
      <c r="S384" s="9">
        <f ca="1">IF(Prices!C383&lt;OFFSET(Prices!C383,-S$3,0),1,IF(Prices!C383&gt;OFFSET(Prices!C383,-S$3,0),-1,0))</f>
        <v>-1</v>
      </c>
      <c r="T384" s="1">
        <f ca="1">IF(S384=1,T$3*Q383/Prices!C383,T$3*R383*S384)</f>
        <v>-2.0205537855493466E-4</v>
      </c>
      <c r="V384" s="9"/>
      <c r="W384" s="1"/>
      <c r="X384" s="1"/>
      <c r="Y384" s="1"/>
      <c r="Z384" s="1"/>
      <c r="AA384" s="1"/>
      <c r="AB384" s="1"/>
      <c r="AC384" s="1"/>
      <c r="AD384" s="1"/>
      <c r="AE384" s="16"/>
    </row>
    <row r="385" spans="1:31" x14ac:dyDescent="0.2">
      <c r="A385" s="4">
        <v>34045</v>
      </c>
      <c r="B385" s="9">
        <f ca="1">Prices!C384*(1+J385/(50*(ABS(O385)+ABS(T385)+0.0001)))</f>
        <v>115.39202225742149</v>
      </c>
      <c r="C385" s="13">
        <f t="shared" ca="1" si="36"/>
        <v>-1</v>
      </c>
      <c r="D385" s="9">
        <f ca="1">D384+C385*(Prices!C385-Prices!C384)/Prices!C384</f>
        <v>0.17151495566979755</v>
      </c>
      <c r="E385" s="9">
        <f t="shared" ca="1" si="37"/>
        <v>1.6332902373264069E-2</v>
      </c>
      <c r="F385" s="9">
        <f t="shared" ca="1" si="38"/>
        <v>0.18784785804306162</v>
      </c>
      <c r="G385" s="13">
        <f ca="1">IF((Prices!C385-Prices!C384)*C385&gt;0,1,0)</f>
        <v>0</v>
      </c>
      <c r="H385" s="9">
        <f>ABS(Prices!C385-Prices!C384)/Prices!C384</f>
        <v>2.3931623931624027E-3</v>
      </c>
      <c r="I385" s="13"/>
      <c r="J385" s="1">
        <f t="shared" ca="1" si="39"/>
        <v>-9.969824450557648E-4</v>
      </c>
      <c r="K385" s="9"/>
      <c r="L385" s="9">
        <f ca="1">L384-O385*Prices!C385</f>
        <v>0.99565841079952833</v>
      </c>
      <c r="M385" s="1">
        <f t="shared" ca="1" si="40"/>
        <v>1.0565258354443668E-2</v>
      </c>
      <c r="N385" s="9">
        <f ca="1">IF(Prices!D384&gt;OFFSET(Prices!D384,-$N$3,0),1,IF(Prices!D384&lt;OFFSET(Prices!D384,-$N$3,0),-1,0))</f>
        <v>-1</v>
      </c>
      <c r="O385" s="1">
        <f ca="1">IF(N385=1,O$3*L384/Prices!C384,O$3*M384*N385)</f>
        <v>-1.1739175949381855E-3</v>
      </c>
      <c r="P385" s="14"/>
      <c r="Q385" s="9">
        <f ca="1">Q384-T385*Prices!C385</f>
        <v>1.0143196724339507</v>
      </c>
      <c r="R385" s="1">
        <f t="shared" ca="1" si="41"/>
        <v>1.0077648699074218E-2</v>
      </c>
      <c r="S385" s="9">
        <f ca="1">IF(Prices!C384&lt;OFFSET(Prices!C384,-S$3,0),1,IF(Prices!C384&gt;OFFSET(Prices!C384,-S$3,0),-1,0))</f>
        <v>1</v>
      </c>
      <c r="T385" s="1">
        <f ca="1">IF(S385=1,T$3*Q384/Prices!C384,T$3*R384*S385)</f>
        <v>1.7693514988242068E-4</v>
      </c>
      <c r="V385" s="9"/>
      <c r="W385" s="1"/>
      <c r="X385" s="1"/>
      <c r="Y385" s="1"/>
      <c r="Z385" s="1"/>
      <c r="AA385" s="1"/>
      <c r="AB385" s="1"/>
      <c r="AC385" s="1"/>
      <c r="AD385" s="1"/>
      <c r="AE385" s="16"/>
    </row>
    <row r="386" spans="1:31" x14ac:dyDescent="0.2">
      <c r="A386" s="4">
        <v>34046</v>
      </c>
      <c r="B386" s="9">
        <f ca="1">Prices!C385*(1+J386/(50*(ABS(O386)+ABS(T386)+0.0001)))</f>
        <v>115.72117386168475</v>
      </c>
      <c r="C386" s="13">
        <f t="shared" ca="1" si="36"/>
        <v>-1</v>
      </c>
      <c r="D386" s="9">
        <f ca="1">D385+C386*(Prices!C386-Prices!C385)/Prices!C385</f>
        <v>0.18456065826188486</v>
      </c>
      <c r="E386" s="9">
        <f t="shared" ca="1" si="37"/>
        <v>3.2871997811767528E-3</v>
      </c>
      <c r="F386" s="9">
        <f t="shared" ca="1" si="38"/>
        <v>0.18784785804306162</v>
      </c>
      <c r="G386" s="13">
        <f ca="1">IF((Prices!C386-Prices!C385)*C386&gt;0,1,0)</f>
        <v>1</v>
      </c>
      <c r="H386" s="9">
        <f>ABS(Prices!C386-Prices!C385)/Prices!C385</f>
        <v>1.3045702592087321E-2</v>
      </c>
      <c r="I386" s="13"/>
      <c r="J386" s="1">
        <f t="shared" ca="1" si="39"/>
        <v>-8.8355181217800421E-4</v>
      </c>
      <c r="K386" s="9"/>
      <c r="L386" s="9">
        <f ca="1">L385-O386*Prices!C386</f>
        <v>1.1179512762522137</v>
      </c>
      <c r="M386" s="1">
        <f t="shared" ca="1" si="40"/>
        <v>9.5087325189993008E-3</v>
      </c>
      <c r="N386" s="9">
        <f ca="1">IF(Prices!D385&gt;OFFSET(Prices!D385,-$N$3,0),1,IF(Prices!D385&lt;OFFSET(Prices!D385,-$N$3,0),-1,0))</f>
        <v>-1</v>
      </c>
      <c r="O386" s="1">
        <f ca="1">IF(N386=1,O$3*L385/Prices!C385,O$3*M385*N386)</f>
        <v>-1.0565258354443669E-3</v>
      </c>
      <c r="P386" s="14"/>
      <c r="Q386" s="9">
        <f ca="1">Q385-T386*Prices!C386</f>
        <v>0.99429792924086924</v>
      </c>
      <c r="R386" s="1">
        <f t="shared" ca="1" si="41"/>
        <v>1.0250622722340581E-2</v>
      </c>
      <c r="S386" s="9">
        <f ca="1">IF(Prices!C385&lt;OFFSET(Prices!C385,-S$3,0),1,IF(Prices!C385&gt;OFFSET(Prices!C385,-S$3,0),-1,0))</f>
        <v>1</v>
      </c>
      <c r="T386" s="1">
        <f ca="1">IF(S386=1,T$3*Q385/Prices!C385,T$3*R385*S386)</f>
        <v>1.7297402326636266E-4</v>
      </c>
      <c r="V386" s="9"/>
      <c r="W386" s="1"/>
      <c r="X386" s="1"/>
      <c r="Y386" s="1"/>
      <c r="Z386" s="1"/>
      <c r="AA386" s="1"/>
      <c r="AB386" s="1"/>
      <c r="AC386" s="1"/>
      <c r="AD386" s="1"/>
      <c r="AE386" s="16"/>
    </row>
    <row r="387" spans="1:31" x14ac:dyDescent="0.2">
      <c r="A387" s="4">
        <v>34047</v>
      </c>
      <c r="B387" s="9">
        <f ca="1">Prices!C386*(1+J387/(50*(ABS(O387)+ABS(T387)+0.0001)))</f>
        <v>114.27491168848884</v>
      </c>
      <c r="C387" s="13">
        <f t="shared" ca="1" si="36"/>
        <v>-1</v>
      </c>
      <c r="D387" s="9">
        <f ca="1">D386+C387*(Prices!C387-Prices!C386)/Prices!C386</f>
        <v>0.18110493471976818</v>
      </c>
      <c r="E387" s="9">
        <f t="shared" ca="1" si="37"/>
        <v>6.7429233232934316E-3</v>
      </c>
      <c r="F387" s="9">
        <f t="shared" ca="1" si="38"/>
        <v>0.18784785804306162</v>
      </c>
      <c r="G387" s="13">
        <f ca="1">IF((Prices!C387-Prices!C386)*C387&gt;0,1,0)</f>
        <v>0</v>
      </c>
      <c r="H387" s="9">
        <f>ABS(Prices!C387-Prices!C386)/Prices!C386</f>
        <v>3.4557235421166796E-3</v>
      </c>
      <c r="I387" s="13"/>
      <c r="J387" s="1">
        <f t="shared" ca="1" si="39"/>
        <v>-7.7907231380215571E-4</v>
      </c>
      <c r="K387" s="9"/>
      <c r="L387" s="9">
        <f ca="1">L386-O387*Prices!C387</f>
        <v>1.2283952044603905</v>
      </c>
      <c r="M387" s="1">
        <f t="shared" ca="1" si="40"/>
        <v>8.5578592670993714E-3</v>
      </c>
      <c r="N387" s="9">
        <f ca="1">IF(Prices!D386&gt;OFFSET(Prices!D386,-$N$3,0),1,IF(Prices!D386&lt;OFFSET(Prices!D386,-$N$3,0),-1,0))</f>
        <v>-1</v>
      </c>
      <c r="O387" s="1">
        <f ca="1">IF(N387=1,O$3*L386/Prices!C386,O$3*M386*N387)</f>
        <v>-9.5087325189993014E-4</v>
      </c>
      <c r="P387" s="14"/>
      <c r="Q387" s="9">
        <f ca="1">Q386-T387*Prices!C387</f>
        <v>0.9743432502808127</v>
      </c>
      <c r="R387" s="1">
        <f t="shared" ca="1" si="41"/>
        <v>1.0422423660438355E-2</v>
      </c>
      <c r="S387" s="9">
        <f ca="1">IF(Prices!C386&lt;OFFSET(Prices!C386,-S$3,0),1,IF(Prices!C386&gt;OFFSET(Prices!C386,-S$3,0),-1,0))</f>
        <v>1</v>
      </c>
      <c r="T387" s="1">
        <f ca="1">IF(S387=1,T$3*Q386/Prices!C386,T$3*R386*S387)</f>
        <v>1.7180093809777438E-4</v>
      </c>
      <c r="V387" s="9"/>
      <c r="W387" s="1"/>
      <c r="X387" s="1"/>
      <c r="Y387" s="1"/>
      <c r="Z387" s="1"/>
      <c r="AA387" s="1"/>
      <c r="AB387" s="1"/>
      <c r="AC387" s="1"/>
      <c r="AD387" s="1"/>
      <c r="AE387" s="16"/>
    </row>
    <row r="388" spans="1:31" x14ac:dyDescent="0.2">
      <c r="A388" s="4">
        <v>34050</v>
      </c>
      <c r="B388" s="9">
        <f ca="1">Prices!C387*(1+J388/(50*(ABS(O388)+ABS(T388)+0.0001)))</f>
        <v>114.72750849617104</v>
      </c>
      <c r="C388" s="13">
        <f t="shared" ca="1" si="36"/>
        <v>-1</v>
      </c>
      <c r="D388" s="9">
        <f ca="1">D387+C388*(Prices!C388-Prices!C387)/Prices!C387</f>
        <v>0.18437656623074544</v>
      </c>
      <c r="E388" s="9">
        <f t="shared" ca="1" si="37"/>
        <v>3.471291812316174E-3</v>
      </c>
      <c r="F388" s="9">
        <f t="shared" ca="1" si="38"/>
        <v>0.18784785804306162</v>
      </c>
      <c r="G388" s="13">
        <f ca="1">IF((Prices!C388-Prices!C387)*C388&gt;0,1,0)</f>
        <v>1</v>
      </c>
      <c r="H388" s="9">
        <f>ABS(Prices!C388-Prices!C387)/Prices!C387</f>
        <v>3.2716315109772675E-3</v>
      </c>
      <c r="I388" s="13"/>
      <c r="J388" s="1">
        <f t="shared" ca="1" si="39"/>
        <v>-6.8801265933485104E-4</v>
      </c>
      <c r="K388" s="9"/>
      <c r="L388" s="9">
        <f ca="1">L387-O388*Prices!C388</f>
        <v>1.3274695411955999</v>
      </c>
      <c r="M388" s="1">
        <f t="shared" ca="1" si="40"/>
        <v>7.7020733403894339E-3</v>
      </c>
      <c r="N388" s="9">
        <f ca="1">IF(Prices!D387&gt;OFFSET(Prices!D387,-$N$3,0),1,IF(Prices!D387&lt;OFFSET(Prices!D387,-$N$3,0),-1,0))</f>
        <v>-1</v>
      </c>
      <c r="O388" s="1">
        <f ca="1">IF(N388=1,O$3*L387/Prices!C387,O$3*M387*N388)</f>
        <v>-8.5578592670993716E-4</v>
      </c>
      <c r="P388" s="14"/>
      <c r="Q388" s="9">
        <f ca="1">Q387-T388*Prices!C388</f>
        <v>0.95492013911679896</v>
      </c>
      <c r="R388" s="1">
        <f t="shared" ca="1" si="41"/>
        <v>1.0590196927813442E-2</v>
      </c>
      <c r="S388" s="9">
        <f ca="1">IF(Prices!C387&lt;OFFSET(Prices!C387,-S$3,0),1,IF(Prices!C387&gt;OFFSET(Prices!C387,-S$3,0),-1,0))</f>
        <v>1</v>
      </c>
      <c r="T388" s="1">
        <f ca="1">IF(S388=1,T$3*Q387/Prices!C387,T$3*R387*S388)</f>
        <v>1.6777326737508612E-4</v>
      </c>
      <c r="V388" s="9"/>
      <c r="W388" s="1"/>
      <c r="X388" s="1"/>
      <c r="Y388" s="1"/>
      <c r="Z388" s="1"/>
      <c r="AA388" s="1"/>
      <c r="AB388" s="1"/>
      <c r="AC388" s="1"/>
      <c r="AD388" s="1"/>
      <c r="AE388" s="16"/>
    </row>
    <row r="389" spans="1:31" x14ac:dyDescent="0.2">
      <c r="A389" s="4">
        <v>34051</v>
      </c>
      <c r="B389" s="9">
        <f ca="1">Prices!C388*(1+J389/(50*(ABS(O389)+ABS(T389)+0.0001)))</f>
        <v>117.92137479372977</v>
      </c>
      <c r="C389" s="13">
        <f t="shared" ca="1" si="36"/>
        <v>1</v>
      </c>
      <c r="D389" s="9">
        <f ca="1">D388+C389*(Prices!C389-Prices!C388)/Prices!C388</f>
        <v>0.18765893644755471</v>
      </c>
      <c r="E389" s="9">
        <f t="shared" ca="1" si="37"/>
        <v>1.8892159550690235E-4</v>
      </c>
      <c r="F389" s="9">
        <f t="shared" ca="1" si="38"/>
        <v>0.18784785804306162</v>
      </c>
      <c r="G389" s="13">
        <f ca="1">IF((Prices!C389-Prices!C388)*C389&gt;0,1,0)</f>
        <v>1</v>
      </c>
      <c r="H389" s="9">
        <f>ABS(Prices!C389-Prices!C388)/Prices!C388</f>
        <v>3.2823702168092743E-3</v>
      </c>
      <c r="I389" s="13"/>
      <c r="J389" s="1">
        <f t="shared" ca="1" si="39"/>
        <v>1.3116123080409085E-3</v>
      </c>
      <c r="K389" s="9"/>
      <c r="L389" s="9">
        <f ca="1">L388-O389*Prices!C389</f>
        <v>1.1942868624274656</v>
      </c>
      <c r="M389" s="1">
        <f t="shared" ca="1" si="40"/>
        <v>8.848717152426749E-3</v>
      </c>
      <c r="N389" s="9">
        <f ca="1">IF(Prices!D388&gt;OFFSET(Prices!D388,-$N$3,0),1,IF(Prices!D388&lt;OFFSET(Prices!D388,-$N$3,0),-1,0))</f>
        <v>1</v>
      </c>
      <c r="O389" s="1">
        <f ca="1">IF(N389=1,O$3*L388/Prices!C388,O$3*M388*N389)</f>
        <v>1.1466438120373154E-3</v>
      </c>
      <c r="P389" s="14"/>
      <c r="Q389" s="9">
        <f ca="1">Q388-T389*Prices!C389</f>
        <v>0.93575904830598167</v>
      </c>
      <c r="R389" s="1">
        <f t="shared" ca="1" si="41"/>
        <v>1.0755165423817036E-2</v>
      </c>
      <c r="S389" s="9">
        <f ca="1">IF(Prices!C388&lt;OFFSET(Prices!C388,-S$3,0),1,IF(Prices!C388&gt;OFFSET(Prices!C388,-S$3,0),-1,0))</f>
        <v>1</v>
      </c>
      <c r="T389" s="1">
        <f ca="1">IF(S389=1,T$3*Q388/Prices!C388,T$3*R388*S389)</f>
        <v>1.6496849600359316E-4</v>
      </c>
      <c r="V389" s="9"/>
      <c r="W389" s="1"/>
      <c r="X389" s="1"/>
      <c r="Y389" s="1"/>
      <c r="Z389" s="1"/>
      <c r="AA389" s="1"/>
      <c r="AB389" s="1"/>
      <c r="AC389" s="1"/>
      <c r="AD389" s="1"/>
      <c r="AE389" s="16"/>
    </row>
    <row r="390" spans="1:31" x14ac:dyDescent="0.2">
      <c r="A390" s="4">
        <v>34052</v>
      </c>
      <c r="B390" s="9">
        <f ca="1">Prices!C389*(1+J390/(50*(ABS(O390)+ABS(T390)+0.0001)))</f>
        <v>114.68293915841637</v>
      </c>
      <c r="C390" s="13">
        <f t="shared" ca="1" si="36"/>
        <v>-1</v>
      </c>
      <c r="D390" s="9">
        <f ca="1">D389+C390*(Prices!C390-Prices!C389)/Prices!C389</f>
        <v>0.1751750793661945</v>
      </c>
      <c r="E390" s="9">
        <f t="shared" ca="1" si="37"/>
        <v>1.2672778676867114E-2</v>
      </c>
      <c r="F390" s="9">
        <f t="shared" ca="1" si="38"/>
        <v>0.18784785804306162</v>
      </c>
      <c r="G390" s="13">
        <f ca="1">IF((Prices!C390-Prices!C389)*C390&gt;0,1,0)</f>
        <v>0</v>
      </c>
      <c r="H390" s="9">
        <f>ABS(Prices!C390-Prices!C389)/Prices!C389</f>
        <v>1.2483857081360211E-2</v>
      </c>
      <c r="I390" s="13"/>
      <c r="J390" s="1">
        <f t="shared" ca="1" si="39"/>
        <v>-7.2374230528899752E-4</v>
      </c>
      <c r="K390" s="9"/>
      <c r="L390" s="9">
        <f ca="1">L389-O390*Prices!C390</f>
        <v>1.2983477761400042</v>
      </c>
      <c r="M390" s="1">
        <f t="shared" ca="1" si="40"/>
        <v>7.9638454371840743E-3</v>
      </c>
      <c r="N390" s="9">
        <f ca="1">IF(Prices!D389&gt;OFFSET(Prices!D389,-$N$3,0),1,IF(Prices!D389&lt;OFFSET(Prices!D389,-$N$3,0),-1,0))</f>
        <v>-1</v>
      </c>
      <c r="O390" s="1">
        <f ca="1">IF(N390=1,O$3*L389/Prices!C389,O$3*M389*N390)</f>
        <v>-8.8487171524267495E-4</v>
      </c>
      <c r="P390" s="14"/>
      <c r="Q390" s="9">
        <f ca="1">Q389-T390*Prices!C390</f>
        <v>0.91681022969542925</v>
      </c>
      <c r="R390" s="1">
        <f t="shared" ca="1" si="41"/>
        <v>1.0916294833770714E-2</v>
      </c>
      <c r="S390" s="9">
        <f ca="1">IF(Prices!C389&lt;OFFSET(Prices!C389,-S$3,0),1,IF(Prices!C389&gt;OFFSET(Prices!C389,-S$3,0),-1,0))</f>
        <v>1</v>
      </c>
      <c r="T390" s="1">
        <f ca="1">IF(S390=1,T$3*Q389/Prices!C389,T$3*R389*S390)</f>
        <v>1.6112940995367743E-4</v>
      </c>
      <c r="V390" s="9"/>
      <c r="W390" s="1"/>
      <c r="X390" s="1"/>
      <c r="Y390" s="1"/>
      <c r="Z390" s="1"/>
      <c r="AA390" s="1"/>
      <c r="AB390" s="1"/>
      <c r="AC390" s="1"/>
      <c r="AD390" s="1"/>
      <c r="AE390" s="16"/>
    </row>
    <row r="391" spans="1:31" x14ac:dyDescent="0.2">
      <c r="A391" s="4">
        <v>34053</v>
      </c>
      <c r="B391" s="9">
        <f ca="1">Prices!C390*(1+J391/(50*(ABS(O391)+ABS(T391)+0.0001)))</f>
        <v>115.45899649871127</v>
      </c>
      <c r="C391" s="13">
        <f t="shared" ca="1" si="36"/>
        <v>-1</v>
      </c>
      <c r="D391" s="9">
        <f ca="1">D390+C391*(Prices!C391-Prices!C390)/Prices!C390</f>
        <v>0.17772609977435774</v>
      </c>
      <c r="E391" s="9">
        <f t="shared" ca="1" si="37"/>
        <v>1.0121758268703873E-2</v>
      </c>
      <c r="F391" s="9">
        <f t="shared" ca="1" si="38"/>
        <v>0.18784785804306162</v>
      </c>
      <c r="G391" s="13">
        <f ca="1">IF((Prices!C391-Prices!C390)*C391&gt;0,1,0)</f>
        <v>1</v>
      </c>
      <c r="H391" s="9">
        <f>ABS(Prices!C391-Prices!C390)/Prices!C390</f>
        <v>2.5510204081632413E-3</v>
      </c>
      <c r="I391" s="13"/>
      <c r="J391" s="1">
        <f t="shared" ca="1" si="39"/>
        <v>-1.0147104403938217E-3</v>
      </c>
      <c r="K391" s="9"/>
      <c r="L391" s="9">
        <f ca="1">L390-O391*Prices!C391</f>
        <v>1.3917636831181734</v>
      </c>
      <c r="M391" s="1">
        <f t="shared" ca="1" si="40"/>
        <v>7.1674608934656665E-3</v>
      </c>
      <c r="N391" s="9">
        <f ca="1">IF(Prices!D390&gt;OFFSET(Prices!D390,-$N$3,0),1,IF(Prices!D390&lt;OFFSET(Prices!D390,-$N$3,0),-1,0))</f>
        <v>-1</v>
      </c>
      <c r="O391" s="1">
        <f ca="1">IF(N391=1,O$3*L390/Prices!C390,O$3*M390*N391)</f>
        <v>-7.9638454371840745E-4</v>
      </c>
      <c r="P391" s="14"/>
      <c r="Q391" s="9">
        <f ca="1">Q390-T391*Prices!C391</f>
        <v>0.94241985737545531</v>
      </c>
      <c r="R391" s="1">
        <f t="shared" ca="1" si="41"/>
        <v>1.0697968937095299E-2</v>
      </c>
      <c r="S391" s="9">
        <f ca="1">IF(Prices!C390&lt;OFFSET(Prices!C390,-S$3,0),1,IF(Prices!C390&gt;OFFSET(Prices!C390,-S$3,0),-1,0))</f>
        <v>-1</v>
      </c>
      <c r="T391" s="1">
        <f ca="1">IF(S391=1,T$3*Q390/Prices!C390,T$3*R390*S391)</f>
        <v>-2.1832589667541429E-4</v>
      </c>
      <c r="V391" s="9"/>
      <c r="W391" s="1"/>
      <c r="X391" s="1"/>
      <c r="Y391" s="1"/>
      <c r="Z391" s="1"/>
      <c r="AA391" s="1"/>
      <c r="AB391" s="1"/>
      <c r="AC391" s="1"/>
      <c r="AD391" s="1"/>
      <c r="AE391" s="16"/>
    </row>
    <row r="392" spans="1:31" x14ac:dyDescent="0.2">
      <c r="A392" s="4">
        <v>34054</v>
      </c>
      <c r="B392" s="9">
        <f ca="1">Prices!C391*(1+J392/(50*(ABS(O392)+ABS(T392)+0.0001)))</f>
        <v>118.82058746472964</v>
      </c>
      <c r="C392" s="13">
        <f t="shared" ca="1" si="36"/>
        <v>1</v>
      </c>
      <c r="D392" s="9">
        <f ca="1">D391+C392*(Prices!C392-Prices!C391)/Prices!C391</f>
        <v>0.17133223788177462</v>
      </c>
      <c r="E392" s="9">
        <f t="shared" ca="1" si="37"/>
        <v>1.6515620161286992E-2</v>
      </c>
      <c r="F392" s="9">
        <f t="shared" ca="1" si="38"/>
        <v>0.18784785804306162</v>
      </c>
      <c r="G392" s="13">
        <f ca="1">IF((Prices!C392-Prices!C391)*C392&gt;0,1,0)</f>
        <v>0</v>
      </c>
      <c r="H392" s="9">
        <f>ABS(Prices!C392-Prices!C391)/Prices!C391</f>
        <v>6.3938618925831201E-3</v>
      </c>
      <c r="I392" s="13"/>
      <c r="J392" s="1">
        <f t="shared" ca="1" si="39"/>
        <v>9.7253992485414977E-4</v>
      </c>
      <c r="K392" s="9"/>
      <c r="L392" s="9">
        <f ca="1">L391-O392*Prices!C392</f>
        <v>1.2534771892840531</v>
      </c>
      <c r="M392" s="1">
        <f t="shared" ca="1" si="40"/>
        <v>8.3539601970617217E-3</v>
      </c>
      <c r="N392" s="9">
        <f ca="1">IF(Prices!D391&gt;OFFSET(Prices!D391,-$N$3,0),1,IF(Prices!D391&lt;OFFSET(Prices!D391,-$N$3,0),-1,0))</f>
        <v>1</v>
      </c>
      <c r="O392" s="1">
        <f ca="1">IF(N392=1,O$3*L391/Prices!C391,O$3*M391*N392)</f>
        <v>1.1864993035960558E-3</v>
      </c>
      <c r="P392" s="14"/>
      <c r="Q392" s="9">
        <f ca="1">Q391-T392*Prices!C392</f>
        <v>0.96735682296782444</v>
      </c>
      <c r="R392" s="1">
        <f t="shared" ca="1" si="41"/>
        <v>1.0484009558353394E-2</v>
      </c>
      <c r="S392" s="9">
        <f ca="1">IF(Prices!C391&lt;OFFSET(Prices!C391,-S$3,0),1,IF(Prices!C391&gt;OFFSET(Prices!C391,-S$3,0),-1,0))</f>
        <v>-1</v>
      </c>
      <c r="T392" s="1">
        <f ca="1">IF(S392=1,T$3*Q391/Prices!C391,T$3*R391*S392)</f>
        <v>-2.13959378741906E-4</v>
      </c>
      <c r="V392" s="9"/>
      <c r="W392" s="1"/>
      <c r="X392" s="1"/>
      <c r="Y392" s="1"/>
      <c r="Z392" s="1"/>
      <c r="AA392" s="1"/>
      <c r="AB392" s="1"/>
      <c r="AC392" s="1"/>
      <c r="AD392" s="1"/>
      <c r="AE392" s="16"/>
    </row>
    <row r="393" spans="1:31" x14ac:dyDescent="0.2">
      <c r="A393" s="4">
        <v>34057</v>
      </c>
      <c r="B393" s="9">
        <f ca="1">Prices!C392*(1+J393/(50*(ABS(O393)+ABS(T393)+0.0001)))</f>
        <v>118.00700353189713</v>
      </c>
      <c r="C393" s="13">
        <f t="shared" ca="1" si="36"/>
        <v>1</v>
      </c>
      <c r="D393" s="9">
        <f ca="1">D392+C393*(Prices!C393-Prices!C392)/Prices!C392</f>
        <v>0.17347724002677678</v>
      </c>
      <c r="E393" s="9">
        <f t="shared" ca="1" si="37"/>
        <v>1.4370618016284836E-2</v>
      </c>
      <c r="F393" s="9">
        <f t="shared" ca="1" si="38"/>
        <v>0.18784785804306162</v>
      </c>
      <c r="G393" s="13">
        <f ca="1">IF((Prices!C393-Prices!C392)*C393&gt;0,1,0)</f>
        <v>1</v>
      </c>
      <c r="H393" s="9">
        <f>ABS(Prices!C393-Prices!C392)/Prices!C392</f>
        <v>2.1450021450021449E-3</v>
      </c>
      <c r="I393" s="13"/>
      <c r="J393" s="1">
        <f t="shared" ca="1" si="39"/>
        <v>8.6580431272315376E-4</v>
      </c>
      <c r="K393" s="9"/>
      <c r="L393" s="9">
        <f ca="1">L392-O393*Prices!C393</f>
        <v>1.1278605992296751</v>
      </c>
      <c r="M393" s="1">
        <f t="shared" ca="1" si="40"/>
        <v>9.4294447009519427E-3</v>
      </c>
      <c r="N393" s="9">
        <f ca="1">IF(Prices!D392&gt;OFFSET(Prices!D392,-$N$3,0),1,IF(Prices!D392&lt;OFFSET(Prices!D392,-$N$3,0),-1,0))</f>
        <v>1</v>
      </c>
      <c r="O393" s="1">
        <f ca="1">IF(N393=1,O$3*L392/Prices!C392,O$3*M392*N393)</f>
        <v>1.0754845038902217E-3</v>
      </c>
      <c r="P393" s="14"/>
      <c r="Q393" s="9">
        <f ca="1">Q392-T393*Prices!C393</f>
        <v>0.99184746929613798</v>
      </c>
      <c r="R393" s="1">
        <f t="shared" ca="1" si="41"/>
        <v>1.0274329367186325E-2</v>
      </c>
      <c r="S393" s="9">
        <f ca="1">IF(Prices!C392&lt;OFFSET(Prices!C392,-S$3,0),1,IF(Prices!C392&gt;OFFSET(Prices!C392,-S$3,0),-1,0))</f>
        <v>-1</v>
      </c>
      <c r="T393" s="1">
        <f ca="1">IF(S393=1,T$3*Q392/Prices!C392,T$3*R392*S393)</f>
        <v>-2.0968019116706789E-4</v>
      </c>
      <c r="V393" s="9"/>
      <c r="W393" s="1"/>
      <c r="X393" s="1"/>
      <c r="Y393" s="1"/>
      <c r="Z393" s="1"/>
      <c r="AA393" s="1"/>
      <c r="AB393" s="1"/>
      <c r="AC393" s="1"/>
      <c r="AD393" s="1"/>
      <c r="AE393" s="16"/>
    </row>
    <row r="394" spans="1:31" x14ac:dyDescent="0.2">
      <c r="A394" s="4">
        <v>34058</v>
      </c>
      <c r="B394" s="9">
        <f ca="1">Prices!C393*(1+J394/(50*(ABS(O394)+ABS(T394)+0.0001)))</f>
        <v>118.19695985083999</v>
      </c>
      <c r="C394" s="13">
        <f t="shared" ca="1" si="36"/>
        <v>1</v>
      </c>
      <c r="D394" s="9">
        <f ca="1">D393+C394*(Prices!C394-Prices!C393)/Prices!C393</f>
        <v>0.17219299345143438</v>
      </c>
      <c r="E394" s="9">
        <f t="shared" ca="1" si="37"/>
        <v>1.5654864591627238E-2</v>
      </c>
      <c r="F394" s="9">
        <f t="shared" ca="1" si="38"/>
        <v>0.18784785804306162</v>
      </c>
      <c r="G394" s="13">
        <f ca="1">IF((Prices!C394-Prices!C393)*C394&gt;0,1,0)</f>
        <v>0</v>
      </c>
      <c r="H394" s="9">
        <f>ABS(Prices!C394-Prices!C393)/Prices!C393</f>
        <v>1.2842465753423928E-3</v>
      </c>
      <c r="I394" s="13"/>
      <c r="J394" s="1">
        <f t="shared" ca="1" si="39"/>
        <v>7.6014748733921464E-4</v>
      </c>
      <c r="K394" s="9"/>
      <c r="L394" s="9">
        <f ca="1">L393-O394*Prices!C394</f>
        <v>1.01521938441791</v>
      </c>
      <c r="M394" s="1">
        <f t="shared" ca="1" si="40"/>
        <v>1.0395078775634883E-2</v>
      </c>
      <c r="N394" s="9">
        <f ca="1">IF(Prices!D393&gt;OFFSET(Prices!D393,-$N$3,0),1,IF(Prices!D393&lt;OFFSET(Prices!D393,-$N$3,0),-1,0))</f>
        <v>1</v>
      </c>
      <c r="O394" s="1">
        <f ca="1">IF(N394=1,O$3*L393/Prices!C393,O$3*M393*N394)</f>
        <v>9.6563407468294108E-4</v>
      </c>
      <c r="P394" s="14"/>
      <c r="Q394" s="9">
        <f ca="1">Q393-T394*Prices!C394</f>
        <v>1.0158174797097836</v>
      </c>
      <c r="R394" s="1">
        <f t="shared" ca="1" si="41"/>
        <v>1.0068842779842598E-2</v>
      </c>
      <c r="S394" s="9">
        <f ca="1">IF(Prices!C393&lt;OFFSET(Prices!C393,-S$3,0),1,IF(Prices!C393&gt;OFFSET(Prices!C393,-S$3,0),-1,0))</f>
        <v>-1</v>
      </c>
      <c r="T394" s="1">
        <f ca="1">IF(S394=1,T$3*Q393/Prices!C393,T$3*R393*S394)</f>
        <v>-2.054865873437265E-4</v>
      </c>
      <c r="V394" s="9"/>
      <c r="W394" s="1"/>
      <c r="X394" s="1"/>
      <c r="Y394" s="1"/>
      <c r="Z394" s="1"/>
      <c r="AA394" s="1"/>
      <c r="AB394" s="1"/>
      <c r="AC394" s="1"/>
      <c r="AD394" s="1"/>
      <c r="AE394" s="16"/>
    </row>
    <row r="395" spans="1:31" x14ac:dyDescent="0.2">
      <c r="A395" s="4">
        <v>34059</v>
      </c>
      <c r="B395" s="9">
        <f ca="1">Prices!C394*(1+J395/(50*(ABS(O395)+ABS(T395)+0.0001)))</f>
        <v>115.113205802549</v>
      </c>
      <c r="C395" s="13">
        <f t="shared" ca="1" si="36"/>
        <v>-1</v>
      </c>
      <c r="D395" s="9">
        <f ca="1">D394+C395*(Prices!C395-Prices!C394)/Prices!C394</f>
        <v>0.18736658967946704</v>
      </c>
      <c r="E395" s="9">
        <f t="shared" ca="1" si="37"/>
        <v>4.8126836359457803E-4</v>
      </c>
      <c r="F395" s="9">
        <f t="shared" ca="1" si="38"/>
        <v>0.18784785804306162</v>
      </c>
      <c r="G395" s="13">
        <f ca="1">IF((Prices!C395-Prices!C394)*C395&gt;0,1,0)</f>
        <v>1</v>
      </c>
      <c r="H395" s="9">
        <f>ABS(Prices!C395-Prices!C394)/Prices!C394</f>
        <v>1.5173596228032663E-2</v>
      </c>
      <c r="I395" s="13"/>
      <c r="J395" s="1">
        <f t="shared" ca="1" si="39"/>
        <v>-8.6534285746751166E-4</v>
      </c>
      <c r="K395" s="9"/>
      <c r="L395" s="9">
        <f ca="1">L394-O395*Prices!C395</f>
        <v>1.1346380493924035</v>
      </c>
      <c r="M395" s="1">
        <f t="shared" ca="1" si="40"/>
        <v>9.3555708980713956E-3</v>
      </c>
      <c r="N395" s="9">
        <f ca="1">IF(Prices!D394&gt;OFFSET(Prices!D394,-$N$3,0),1,IF(Prices!D394&lt;OFFSET(Prices!D394,-$N$3,0),-1,0))</f>
        <v>-1</v>
      </c>
      <c r="O395" s="1">
        <f ca="1">IF(N395=1,O$3*L394/Prices!C394,O$3*M394*N395)</f>
        <v>-1.0395078775634883E-3</v>
      </c>
      <c r="P395" s="14"/>
      <c r="Q395" s="9">
        <f ca="1">Q394-T395*Prices!C395</f>
        <v>0.99580940220115788</v>
      </c>
      <c r="R395" s="1">
        <f t="shared" ca="1" si="41"/>
        <v>1.0243007799938576E-2</v>
      </c>
      <c r="S395" s="9">
        <f ca="1">IF(Prices!C394&lt;OFFSET(Prices!C394,-S$3,0),1,IF(Prices!C394&gt;OFFSET(Prices!C394,-S$3,0),-1,0))</f>
        <v>1</v>
      </c>
      <c r="T395" s="1">
        <f ca="1">IF(S395=1,T$3*Q394/Prices!C394,T$3*R394*S395)</f>
        <v>1.7416502009597661E-4</v>
      </c>
      <c r="V395" s="9"/>
      <c r="W395" s="1"/>
      <c r="X395" s="1"/>
      <c r="Y395" s="1"/>
      <c r="Z395" s="1"/>
      <c r="AA395" s="1"/>
      <c r="AB395" s="1"/>
      <c r="AC395" s="1"/>
      <c r="AD395" s="1"/>
      <c r="AE395" s="16"/>
    </row>
    <row r="396" spans="1:31" x14ac:dyDescent="0.2">
      <c r="A396" s="4">
        <v>34060</v>
      </c>
      <c r="B396" s="9">
        <f ca="1">Prices!C395*(1+J396/(50*(ABS(O396)+ABS(T396)+0.0001)))</f>
        <v>113.43142691904488</v>
      </c>
      <c r="C396" s="13">
        <f t="shared" ca="1" si="36"/>
        <v>-1</v>
      </c>
      <c r="D396" s="9">
        <f ca="1">D395+C396*(Prices!C396-Prices!C395)/Prices!C395</f>
        <v>0.194591520041584</v>
      </c>
      <c r="E396" s="9">
        <f t="shared" ca="1" si="37"/>
        <v>0</v>
      </c>
      <c r="F396" s="9">
        <f t="shared" ca="1" si="38"/>
        <v>0.194591520041584</v>
      </c>
      <c r="G396" s="13">
        <f ca="1">IF((Prices!C396-Prices!C395)*C396&gt;0,1,0)</f>
        <v>1</v>
      </c>
      <c r="H396" s="9">
        <f>ABS(Prices!C396-Prices!C395)/Prices!C395</f>
        <v>7.2249303621169771E-3</v>
      </c>
      <c r="I396" s="13"/>
      <c r="J396" s="1">
        <f t="shared" ca="1" si="39"/>
        <v>-7.6219194318437539E-4</v>
      </c>
      <c r="K396" s="9"/>
      <c r="L396" s="9">
        <f ca="1">L395-O396*Prices!C396</f>
        <v>1.2413383354849079</v>
      </c>
      <c r="M396" s="1">
        <f t="shared" ca="1" si="40"/>
        <v>8.4200138082642564E-3</v>
      </c>
      <c r="N396" s="9">
        <f ca="1">IF(Prices!D395&gt;OFFSET(Prices!D395,-$N$3,0),1,IF(Prices!D395&lt;OFFSET(Prices!D395,-$N$3,0),-1,0))</f>
        <v>-1</v>
      </c>
      <c r="O396" s="1">
        <f ca="1">IF(N396=1,O$3*L395/Prices!C395,O$3*M395*N396)</f>
        <v>-9.3555708980713964E-4</v>
      </c>
      <c r="P396" s="14"/>
      <c r="Q396" s="9">
        <f ca="1">Q395-T396*Prices!C396</f>
        <v>0.97603710722883164</v>
      </c>
      <c r="R396" s="1">
        <f t="shared" ca="1" si="41"/>
        <v>1.041637294656134E-2</v>
      </c>
      <c r="S396" s="9">
        <f ca="1">IF(Prices!C395&lt;OFFSET(Prices!C395,-S$3,0),1,IF(Prices!C395&gt;OFFSET(Prices!C395,-S$3,0),-1,0))</f>
        <v>1</v>
      </c>
      <c r="T396" s="1">
        <f ca="1">IF(S396=1,T$3*Q395/Prices!C395,T$3*R395*S396)</f>
        <v>1.7336514662276425E-4</v>
      </c>
      <c r="V396" s="9"/>
      <c r="W396" s="1"/>
      <c r="X396" s="1"/>
      <c r="Y396" s="1"/>
      <c r="Z396" s="1"/>
      <c r="AA396" s="1"/>
      <c r="AB396" s="1"/>
      <c r="AC396" s="1"/>
      <c r="AD396" s="1"/>
      <c r="AE396" s="16"/>
    </row>
    <row r="397" spans="1:31" x14ac:dyDescent="0.2">
      <c r="A397" s="4">
        <v>34061</v>
      </c>
      <c r="B397" s="9">
        <f ca="1">Prices!C396*(1+J397/(50*(ABS(O397)+ABS(T397)+0.0001)))</f>
        <v>116.16322703348877</v>
      </c>
      <c r="C397" s="13">
        <f t="shared" ca="1" si="36"/>
        <v>1</v>
      </c>
      <c r="D397" s="9">
        <f ca="1">D396+C397*(Prices!C397-Prices!C396)/Prices!C396</f>
        <v>0.19239949899818198</v>
      </c>
      <c r="E397" s="9">
        <f t="shared" ca="1" si="37"/>
        <v>2.1920210434020204E-3</v>
      </c>
      <c r="F397" s="9">
        <f t="shared" ca="1" si="38"/>
        <v>0.194591520041584</v>
      </c>
      <c r="G397" s="13">
        <f ca="1">IF((Prices!C397-Prices!C396)*C397&gt;0,1,0)</f>
        <v>0</v>
      </c>
      <c r="H397" s="9">
        <f>ABS(Prices!C397-Prices!C396)/Prices!C396</f>
        <v>2.1920210434020165E-3</v>
      </c>
      <c r="I397" s="13"/>
      <c r="J397" s="1">
        <f t="shared" ca="1" si="39"/>
        <v>1.2595754116007665E-3</v>
      </c>
      <c r="K397" s="9"/>
      <c r="L397" s="9">
        <f ca="1">L396-O397*Prices!C397</f>
        <v>1.1174766059117536</v>
      </c>
      <c r="M397" s="1">
        <f t="shared" ca="1" si="40"/>
        <v>9.5084297096100761E-3</v>
      </c>
      <c r="N397" s="9">
        <f ca="1">IF(Prices!D396&gt;OFFSET(Prices!D396,-$N$3,0),1,IF(Prices!D396&lt;OFFSET(Prices!D396,-$N$3,0),-1,0))</f>
        <v>1</v>
      </c>
      <c r="O397" s="1">
        <f ca="1">IF(N397=1,O$3*L396/Prices!C396,O$3*M396*N397)</f>
        <v>1.0884159013458202E-3</v>
      </c>
      <c r="P397" s="14"/>
      <c r="Q397" s="9">
        <f ca="1">Q396-T397*Prices!C397</f>
        <v>0.95655915496181876</v>
      </c>
      <c r="R397" s="1">
        <f t="shared" ca="1" si="41"/>
        <v>1.0587532456816286E-2</v>
      </c>
      <c r="S397" s="9">
        <f ca="1">IF(Prices!C396&lt;OFFSET(Prices!C396,-S$3,0),1,IF(Prices!C396&gt;OFFSET(Prices!C396,-S$3,0),-1,0))</f>
        <v>1</v>
      </c>
      <c r="T397" s="1">
        <f ca="1">IF(S397=1,T$3*Q396/Prices!C396,T$3*R396*S397)</f>
        <v>1.7115951025494636E-4</v>
      </c>
      <c r="V397" s="9"/>
      <c r="W397" s="1"/>
      <c r="X397" s="1"/>
      <c r="Y397" s="1"/>
      <c r="Z397" s="1"/>
      <c r="AA397" s="1"/>
      <c r="AB397" s="1"/>
      <c r="AC397" s="1"/>
      <c r="AD397" s="1"/>
      <c r="AE397" s="16"/>
    </row>
    <row r="398" spans="1:31" x14ac:dyDescent="0.2">
      <c r="A398" s="4">
        <v>34064</v>
      </c>
      <c r="B398" s="9">
        <f ca="1">Prices!C397*(1+J398/(50*(ABS(O398)+ABS(T398)+0.0001)))</f>
        <v>115.89393131922002</v>
      </c>
      <c r="C398" s="13">
        <f t="shared" ca="1" si="36"/>
        <v>1</v>
      </c>
      <c r="D398" s="9">
        <f ca="1">D397+C398*(Prices!C398-Prices!C397)/Prices!C397</f>
        <v>0.19143289091382346</v>
      </c>
      <c r="E398" s="9">
        <f t="shared" ca="1" si="37"/>
        <v>3.1586291277605483E-3</v>
      </c>
      <c r="F398" s="9">
        <f t="shared" ca="1" si="38"/>
        <v>0.194591520041584</v>
      </c>
      <c r="G398" s="13">
        <f ca="1">IF((Prices!C398-Prices!C397)*C398&gt;0,1,0)</f>
        <v>0</v>
      </c>
      <c r="H398" s="9">
        <f>ABS(Prices!C398-Prices!C397)/Prices!C397</f>
        <v>9.6660808435851875E-4</v>
      </c>
      <c r="I398" s="13"/>
      <c r="J398" s="1">
        <f t="shared" ca="1" si="39"/>
        <v>1.1500777125695231E-3</v>
      </c>
      <c r="K398" s="9"/>
      <c r="L398" s="9">
        <f ca="1">L397-O398*Prices!C398</f>
        <v>1.0058369615127138</v>
      </c>
      <c r="M398" s="1">
        <f t="shared" ca="1" si="40"/>
        <v>1.0490395092660827E-2</v>
      </c>
      <c r="N398" s="9">
        <f ca="1">IF(Prices!D397&gt;OFFSET(Prices!D397,-$N$3,0),1,IF(Prices!D397&lt;OFFSET(Prices!D397,-$N$3,0),-1,0))</f>
        <v>1</v>
      </c>
      <c r="O398" s="1">
        <f ca="1">IF(N398=1,O$3*L397/Prices!C397,O$3*M397*N398)</f>
        <v>9.8196538305074998E-4</v>
      </c>
      <c r="P398" s="14"/>
      <c r="Q398" s="9">
        <f ca="1">Q397-T398*Prices!C398</f>
        <v>0.93744646421882949</v>
      </c>
      <c r="R398" s="1">
        <f t="shared" ca="1" si="41"/>
        <v>1.075564478633506E-2</v>
      </c>
      <c r="S398" s="9">
        <f ca="1">IF(Prices!C397&lt;OFFSET(Prices!C397,-S$3,0),1,IF(Prices!C397&gt;OFFSET(Prices!C397,-S$3,0),-1,0))</f>
        <v>1</v>
      </c>
      <c r="T398" s="1">
        <f ca="1">IF(S398=1,T$3*Q397/Prices!C397,T$3*R397*S398)</f>
        <v>1.6811232951877307E-4</v>
      </c>
      <c r="V398" s="9"/>
      <c r="W398" s="1"/>
      <c r="X398" s="1"/>
      <c r="Y398" s="1"/>
      <c r="Z398" s="1"/>
      <c r="AA398" s="1"/>
      <c r="AB398" s="1"/>
      <c r="AC398" s="1"/>
      <c r="AD398" s="1"/>
      <c r="AE398" s="16"/>
    </row>
    <row r="399" spans="1:31" x14ac:dyDescent="0.2">
      <c r="A399" s="4">
        <v>34065</v>
      </c>
      <c r="B399" s="9">
        <f ca="1">Prices!C398*(1+J399/(50*(ABS(O399)+ABS(T399)+0.0001)))</f>
        <v>115.76601491420757</v>
      </c>
      <c r="C399" s="13">
        <f t="shared" ca="1" si="36"/>
        <v>1</v>
      </c>
      <c r="D399" s="9">
        <f ca="1">D398+C399*(Prices!C399-Prices!C398)/Prices!C398</f>
        <v>0.19415960390529149</v>
      </c>
      <c r="E399" s="9">
        <f t="shared" ca="1" si="37"/>
        <v>4.3191613629250947E-4</v>
      </c>
      <c r="F399" s="9">
        <f t="shared" ca="1" si="38"/>
        <v>0.194591520041584</v>
      </c>
      <c r="G399" s="13">
        <f ca="1">IF((Prices!C399-Prices!C398)*C399&gt;0,1,0)</f>
        <v>1</v>
      </c>
      <c r="H399" s="9">
        <f>ABS(Prices!C399-Prices!C398)/Prices!C398</f>
        <v>2.726712991468047E-3</v>
      </c>
      <c r="I399" s="13"/>
      <c r="J399" s="1">
        <f t="shared" ca="1" si="39"/>
        <v>1.0496316776818363E-3</v>
      </c>
      <c r="K399" s="9"/>
      <c r="L399" s="9">
        <f ca="1">L398-O399*Prices!C399</f>
        <v>0.90497900249041696</v>
      </c>
      <c r="M399" s="1">
        <f t="shared" ca="1" si="40"/>
        <v>1.1375114031452905E-2</v>
      </c>
      <c r="N399" s="9">
        <f ca="1">IF(Prices!D398&gt;OFFSET(Prices!D398,-$N$3,0),1,IF(Prices!D398&lt;OFFSET(Prices!D398,-$N$3,0),-1,0))</f>
        <v>1</v>
      </c>
      <c r="O399" s="1">
        <f ca="1">IF(N399=1,O$3*L398/Prices!C398,O$3*M398*N399)</f>
        <v>8.847189387920783E-4</v>
      </c>
      <c r="P399" s="14"/>
      <c r="Q399" s="9">
        <f ca="1">Q398-T399*Prices!C399</f>
        <v>0.91864641198539709</v>
      </c>
      <c r="R399" s="1">
        <f t="shared" ca="1" si="41"/>
        <v>1.0920557525224818E-2</v>
      </c>
      <c r="S399" s="9">
        <f ca="1">IF(Prices!C398&lt;OFFSET(Prices!C398,-S$3,0),1,IF(Prices!C398&gt;OFFSET(Prices!C398,-S$3,0),-1,0))</f>
        <v>1</v>
      </c>
      <c r="T399" s="1">
        <f ca="1">IF(S399=1,T$3*Q398/Prices!C398,T$3*R398*S399)</f>
        <v>1.6491273888975802E-4</v>
      </c>
      <c r="V399" s="9"/>
      <c r="W399" s="1"/>
      <c r="X399" s="1"/>
      <c r="Y399" s="1"/>
      <c r="Z399" s="1"/>
      <c r="AA399" s="1"/>
      <c r="AB399" s="1"/>
      <c r="AC399" s="1"/>
      <c r="AD399" s="1"/>
      <c r="AE399" s="16"/>
    </row>
    <row r="400" spans="1:31" x14ac:dyDescent="0.2">
      <c r="A400" s="4">
        <v>34066</v>
      </c>
      <c r="B400" s="9">
        <f ca="1">Prices!C399*(1+J400/(50*(ABS(O400)+ABS(T400)+0.0001)))</f>
        <v>112.40844831683079</v>
      </c>
      <c r="C400" s="13">
        <f t="shared" ca="1" si="36"/>
        <v>-1</v>
      </c>
      <c r="D400" s="9">
        <f ca="1">D399+C400*(Prices!C400-Prices!C399)/Prices!C399</f>
        <v>0.19810697232634414</v>
      </c>
      <c r="E400" s="9">
        <f t="shared" ca="1" si="37"/>
        <v>0</v>
      </c>
      <c r="F400" s="9">
        <f t="shared" ca="1" si="38"/>
        <v>0.19810697232634414</v>
      </c>
      <c r="G400" s="13">
        <f ca="1">IF((Prices!C400-Prices!C399)*C400&gt;0,1,0)</f>
        <v>1</v>
      </c>
      <c r="H400" s="9">
        <f>ABS(Prices!C400-Prices!C399)/Prices!C399</f>
        <v>3.9473684210526569E-3</v>
      </c>
      <c r="I400" s="13"/>
      <c r="J400" s="1">
        <f t="shared" ca="1" si="39"/>
        <v>-9.7634536595486991E-4</v>
      </c>
      <c r="K400" s="9"/>
      <c r="L400" s="9">
        <f ca="1">L399-O400*Prices!C400</f>
        <v>1.0341434223175647</v>
      </c>
      <c r="M400" s="1">
        <f t="shared" ca="1" si="40"/>
        <v>1.0237602628307614E-2</v>
      </c>
      <c r="N400" s="9">
        <f ca="1">IF(Prices!D399&gt;OFFSET(Prices!D399,-$N$3,0),1,IF(Prices!D399&lt;OFFSET(Prices!D399,-$N$3,0),-1,0))</f>
        <v>-1</v>
      </c>
      <c r="O400" s="1">
        <f ca="1">IF(N400=1,O$3*L399/Prices!C399,O$3*M399*N400)</f>
        <v>-1.1375114031452905E-3</v>
      </c>
      <c r="P400" s="14"/>
      <c r="Q400" s="9">
        <f ca="1">Q399-T400*Prices!C400</f>
        <v>0.90034600846242485</v>
      </c>
      <c r="R400" s="1">
        <f t="shared" ca="1" si="41"/>
        <v>1.1081723562415238E-2</v>
      </c>
      <c r="S400" s="9">
        <f ca="1">IF(Prices!C399&lt;OFFSET(Prices!C399,-S$3,0),1,IF(Prices!C399&gt;OFFSET(Prices!C399,-S$3,0),-1,0))</f>
        <v>1</v>
      </c>
      <c r="T400" s="1">
        <f ca="1">IF(S400=1,T$3*Q399/Prices!C399,T$3*R399*S400)</f>
        <v>1.6116603719042052E-4</v>
      </c>
      <c r="V400" s="9"/>
      <c r="W400" s="1"/>
      <c r="X400" s="1"/>
      <c r="Y400" s="1"/>
      <c r="Z400" s="1"/>
      <c r="AA400" s="1"/>
      <c r="AB400" s="1"/>
      <c r="AC400" s="1"/>
      <c r="AD400" s="1"/>
      <c r="AE400" s="16"/>
    </row>
    <row r="401" spans="1:31" x14ac:dyDescent="0.2">
      <c r="A401" s="4">
        <v>34067</v>
      </c>
      <c r="B401" s="9">
        <f ca="1">Prices!C400*(1+J401/(50*(ABS(O401)+ABS(T401)+0.0001)))</f>
        <v>112.01778656517305</v>
      </c>
      <c r="C401" s="13">
        <f t="shared" ca="1" si="36"/>
        <v>-1</v>
      </c>
      <c r="D401" s="9">
        <f ca="1">D400+C401*(Prices!C401-Prices!C400)/Prices!C400</f>
        <v>0.19986831094369334</v>
      </c>
      <c r="E401" s="9">
        <f t="shared" ca="1" si="37"/>
        <v>0</v>
      </c>
      <c r="F401" s="9">
        <f t="shared" ca="1" si="38"/>
        <v>0.19986831094369334</v>
      </c>
      <c r="G401" s="13">
        <f ca="1">IF((Prices!C401-Prices!C400)*C401&gt;0,1,0)</f>
        <v>1</v>
      </c>
      <c r="H401" s="9">
        <f>ABS(Prices!C401-Prices!C400)/Prices!C400</f>
        <v>1.7613386173492105E-3</v>
      </c>
      <c r="I401" s="13"/>
      <c r="J401" s="1">
        <f t="shared" ca="1" si="39"/>
        <v>-8.6517884346265506E-4</v>
      </c>
      <c r="K401" s="9"/>
      <c r="L401" s="9">
        <f ca="1">L400-O401*Prices!C401</f>
        <v>1.1501866481094316</v>
      </c>
      <c r="M401" s="1">
        <f t="shared" ca="1" si="40"/>
        <v>9.2138423654768535E-3</v>
      </c>
      <c r="N401" s="9">
        <f ca="1">IF(Prices!D400&gt;OFFSET(Prices!D400,-$N$3,0),1,IF(Prices!D400&lt;OFFSET(Prices!D400,-$N$3,0),-1,0))</f>
        <v>-1</v>
      </c>
      <c r="O401" s="1">
        <f ca="1">IF(N401=1,O$3*L400/Prices!C400,O$3*M400*N401)</f>
        <v>-1.0237602628307616E-3</v>
      </c>
      <c r="P401" s="14"/>
      <c r="Q401" s="9">
        <f ca="1">Q400-T401*Prices!C401</f>
        <v>0.88237080457704997</v>
      </c>
      <c r="R401" s="1">
        <f t="shared" ca="1" si="41"/>
        <v>1.1240304981783343E-2</v>
      </c>
      <c r="S401" s="9">
        <f ca="1">IF(Prices!C400&lt;OFFSET(Prices!C400,-S$3,0),1,IF(Prices!C400&gt;OFFSET(Prices!C400,-S$3,0),-1,0))</f>
        <v>1</v>
      </c>
      <c r="T401" s="1">
        <f ca="1">IF(S401=1,T$3*Q400/Prices!C400,T$3*R400*S401)</f>
        <v>1.5858141936810654E-4</v>
      </c>
      <c r="V401" s="9"/>
      <c r="W401" s="1"/>
      <c r="X401" s="1"/>
      <c r="Y401" s="1"/>
      <c r="Z401" s="1"/>
      <c r="AA401" s="1"/>
      <c r="AB401" s="1"/>
      <c r="AC401" s="1"/>
      <c r="AD401" s="1"/>
      <c r="AE401" s="16"/>
    </row>
    <row r="402" spans="1:31" x14ac:dyDescent="0.2">
      <c r="A402" s="4">
        <v>34068</v>
      </c>
      <c r="B402" s="9">
        <f ca="1">Prices!C401*(1+J402/(50*(ABS(O402)+ABS(T402)+0.0001)))</f>
        <v>111.87530088647236</v>
      </c>
      <c r="C402" s="13">
        <f t="shared" ref="C402:C465" ca="1" si="42">IF(J402&gt;0,1,IF(J402&lt;0,-1,0))</f>
        <v>-1</v>
      </c>
      <c r="D402" s="9">
        <f ca="1">D401+C402*(Prices!C402-Prices!C401)/Prices!C401</f>
        <v>0.20119164574739859</v>
      </c>
      <c r="E402" s="9">
        <f t="shared" ref="E402:E465" ca="1" si="43">F402-D402</f>
        <v>0</v>
      </c>
      <c r="F402" s="9">
        <f t="shared" ref="F402:F465" ca="1" si="44">MAX(F401,D402)</f>
        <v>0.20119164574739859</v>
      </c>
      <c r="G402" s="13">
        <f ca="1">IF((Prices!C402-Prices!C401)*C402&gt;0,1,0)</f>
        <v>1</v>
      </c>
      <c r="H402" s="9">
        <f>ABS(Prices!C402-Prices!C401)/Prices!C401</f>
        <v>1.3233348037052623E-3</v>
      </c>
      <c r="I402" s="13"/>
      <c r="J402" s="1">
        <f t="shared" ref="J402:J465" ca="1" si="45">O402+T402</f>
        <v>-7.6569463715164658E-4</v>
      </c>
      <c r="K402" s="9"/>
      <c r="L402" s="9">
        <f ca="1">L401-O402*Prices!C402</f>
        <v>1.2544873436866295</v>
      </c>
      <c r="M402" s="1">
        <f t="shared" ref="M402:M465" ca="1" si="46">M401+O402</f>
        <v>8.2924581289291685E-3</v>
      </c>
      <c r="N402" s="9">
        <f ca="1">IF(Prices!D401&gt;OFFSET(Prices!D401,-$N$3,0),1,IF(Prices!D401&lt;OFFSET(Prices!D401,-$N$3,0),-1,0))</f>
        <v>-1</v>
      </c>
      <c r="O402" s="1">
        <f ca="1">IF(N402=1,O$3*L401/Prices!C401,O$3*M401*N402)</f>
        <v>-9.2138423654768544E-4</v>
      </c>
      <c r="P402" s="14"/>
      <c r="Q402" s="9">
        <f ca="1">Q401-T402*Prices!C402</f>
        <v>0.86474674192541834</v>
      </c>
      <c r="R402" s="1">
        <f t="shared" ref="R402:R465" ca="1" si="47">R401+T402</f>
        <v>1.1395994581179382E-2</v>
      </c>
      <c r="S402" s="9">
        <f ca="1">IF(Prices!C401&lt;OFFSET(Prices!C401,-S$3,0),1,IF(Prices!C401&gt;OFFSET(Prices!C401,-S$3,0),-1,0))</f>
        <v>1</v>
      </c>
      <c r="T402" s="1">
        <f ca="1">IF(S402=1,T$3*Q401/Prices!C401,T$3*R401*S402)</f>
        <v>1.5568959939603883E-4</v>
      </c>
      <c r="V402" s="9"/>
      <c r="W402" s="1"/>
      <c r="X402" s="1"/>
      <c r="Y402" s="1"/>
      <c r="Z402" s="1"/>
      <c r="AA402" s="1"/>
      <c r="AB402" s="1"/>
      <c r="AC402" s="1"/>
      <c r="AD402" s="1"/>
      <c r="AE402" s="16"/>
    </row>
    <row r="403" spans="1:31" x14ac:dyDescent="0.2">
      <c r="A403" s="4">
        <v>34071</v>
      </c>
      <c r="B403" s="9">
        <f ca="1">Prices!C402*(1+J403/(50*(ABS(O403)+ABS(T403)+0.0001)))</f>
        <v>111.78458937021384</v>
      </c>
      <c r="C403" s="13">
        <f t="shared" ca="1" si="42"/>
        <v>-1</v>
      </c>
      <c r="D403" s="9">
        <f ca="1">D402+C403*(Prices!C403-Prices!C402)/Prices!C402</f>
        <v>0.20384182242584378</v>
      </c>
      <c r="E403" s="9">
        <f t="shared" ca="1" si="43"/>
        <v>0</v>
      </c>
      <c r="F403" s="9">
        <f t="shared" ca="1" si="44"/>
        <v>0.20384182242584378</v>
      </c>
      <c r="G403" s="13">
        <f ca="1">IF((Prices!C403-Prices!C402)*C403&gt;0,1,0)</f>
        <v>1</v>
      </c>
      <c r="H403" s="9">
        <f>ABS(Prices!C403-Prices!C402)/Prices!C402</f>
        <v>2.6501766784452047E-3</v>
      </c>
      <c r="I403" s="13"/>
      <c r="J403" s="1">
        <f t="shared" ca="1" si="45"/>
        <v>-6.7646370301210088E-4</v>
      </c>
      <c r="K403" s="9"/>
      <c r="L403" s="9">
        <f ca="1">L402-O403*Prices!C403</f>
        <v>1.3481091959622398</v>
      </c>
      <c r="M403" s="1">
        <f t="shared" ca="1" si="46"/>
        <v>7.4632123160362513E-3</v>
      </c>
      <c r="N403" s="9">
        <f ca="1">IF(Prices!D402&gt;OFFSET(Prices!D402,-$N$3,0),1,IF(Prices!D402&lt;OFFSET(Prices!D402,-$N$3,0),-1,0))</f>
        <v>-1</v>
      </c>
      <c r="O403" s="1">
        <f ca="1">IF(N403=1,O$3*L402/Prices!C402,O$3*M402*N403)</f>
        <v>-8.2924581289291687E-4</v>
      </c>
      <c r="P403" s="14"/>
      <c r="Q403" s="9">
        <f ca="1">Q402-T403*Prices!C403</f>
        <v>0.84749764171987418</v>
      </c>
      <c r="R403" s="1">
        <f t="shared" ca="1" si="47"/>
        <v>1.1548776691060197E-2</v>
      </c>
      <c r="S403" s="9">
        <f ca="1">IF(Prices!C402&lt;OFFSET(Prices!C402,-S$3,0),1,IF(Prices!C402&gt;OFFSET(Prices!C402,-S$3,0),-1,0))</f>
        <v>1</v>
      </c>
      <c r="T403" s="1">
        <f ca="1">IF(S403=1,T$3*Q402/Prices!C402,T$3*R402*S403)</f>
        <v>1.5278210988081597E-4</v>
      </c>
      <c r="V403" s="9"/>
      <c r="W403" s="1"/>
      <c r="X403" s="1"/>
      <c r="Y403" s="1"/>
      <c r="Z403" s="1"/>
      <c r="AA403" s="1"/>
      <c r="AB403" s="1"/>
      <c r="AC403" s="1"/>
      <c r="AD403" s="1"/>
      <c r="AE403" s="16"/>
    </row>
    <row r="404" spans="1:31" x14ac:dyDescent="0.2">
      <c r="A404" s="4">
        <v>34072</v>
      </c>
      <c r="B404" s="9">
        <f ca="1">Prices!C403*(1+J404/(50*(ABS(O404)+ABS(T404)+0.0001)))</f>
        <v>111.54901468242082</v>
      </c>
      <c r="C404" s="13">
        <f t="shared" ca="1" si="42"/>
        <v>-1</v>
      </c>
      <c r="D404" s="9">
        <f ca="1">D403+C404*(Prices!C404-Prices!C403)/Prices!C403</f>
        <v>0.1985273848704851</v>
      </c>
      <c r="E404" s="9">
        <f t="shared" ca="1" si="43"/>
        <v>5.3144375553586809E-3</v>
      </c>
      <c r="F404" s="9">
        <f t="shared" ca="1" si="44"/>
        <v>0.20384182242584378</v>
      </c>
      <c r="G404" s="13">
        <f ca="1">IF((Prices!C404-Prices!C403)*C404&gt;0,1,0)</f>
        <v>0</v>
      </c>
      <c r="H404" s="9">
        <f>ABS(Prices!C404-Prices!C403)/Prices!C403</f>
        <v>5.314437555358674E-3</v>
      </c>
      <c r="I404" s="13"/>
      <c r="J404" s="1">
        <f t="shared" ca="1" si="45"/>
        <v>-5.961887884291567E-4</v>
      </c>
      <c r="K404" s="9"/>
      <c r="L404" s="9">
        <f ca="1">L403-O404*Prices!C404</f>
        <v>1.4328166557492512</v>
      </c>
      <c r="M404" s="1">
        <f t="shared" ca="1" si="46"/>
        <v>6.7168910844326258E-3</v>
      </c>
      <c r="N404" s="9">
        <f ca="1">IF(Prices!D403&gt;OFFSET(Prices!D403,-$N$3,0),1,IF(Prices!D403&lt;OFFSET(Prices!D403,-$N$3,0),-1,0))</f>
        <v>-1</v>
      </c>
      <c r="O404" s="1">
        <f ca="1">IF(N404=1,O$3*L403/Prices!C403,O$3*M403*N404)</f>
        <v>-7.4632123160362515E-4</v>
      </c>
      <c r="P404" s="14"/>
      <c r="Q404" s="9">
        <f ca="1">Q403-T404*Prices!C404</f>
        <v>0.83045760941957203</v>
      </c>
      <c r="R404" s="1">
        <f t="shared" ca="1" si="47"/>
        <v>1.1698909134234665E-2</v>
      </c>
      <c r="S404" s="9">
        <f ca="1">IF(Prices!C403&lt;OFFSET(Prices!C403,-S$3,0),1,IF(Prices!C403&gt;OFFSET(Prices!C403,-S$3,0),-1,0))</f>
        <v>1</v>
      </c>
      <c r="T404" s="1">
        <f ca="1">IF(S404=1,T$3*Q403/Prices!C403,T$3*R403*S404)</f>
        <v>1.501324431744684E-4</v>
      </c>
      <c r="V404" s="9"/>
      <c r="W404" s="1"/>
      <c r="X404" s="1"/>
      <c r="Y404" s="1"/>
      <c r="Z404" s="1"/>
      <c r="AA404" s="1"/>
      <c r="AB404" s="1"/>
      <c r="AC404" s="1"/>
      <c r="AD404" s="1"/>
      <c r="AE404" s="16"/>
    </row>
    <row r="405" spans="1:31" x14ac:dyDescent="0.2">
      <c r="A405" s="4">
        <v>34073</v>
      </c>
      <c r="B405" s="9">
        <f ca="1">Prices!C404*(1+J405/(50*(ABS(O405)+ABS(T405)+0.0001)))</f>
        <v>112.20096031562807</v>
      </c>
      <c r="C405" s="13">
        <f t="shared" ca="1" si="42"/>
        <v>-1</v>
      </c>
      <c r="D405" s="9">
        <f ca="1">D404+C405*(Prices!C405-Prices!C404)/Prices!C404</f>
        <v>0.19667716460616796</v>
      </c>
      <c r="E405" s="9">
        <f t="shared" ca="1" si="43"/>
        <v>7.1646578196758182E-3</v>
      </c>
      <c r="F405" s="9">
        <f t="shared" ca="1" si="44"/>
        <v>0.20384182242584378</v>
      </c>
      <c r="G405" s="13">
        <f ca="1">IF((Prices!C405-Prices!C404)*C405&gt;0,1,0)</f>
        <v>0</v>
      </c>
      <c r="H405" s="9">
        <f>ABS(Prices!C405-Prices!C404)/Prices!C404</f>
        <v>1.8502202643171256E-3</v>
      </c>
      <c r="I405" s="13"/>
      <c r="J405" s="1">
        <f t="shared" ca="1" si="45"/>
        <v>-5.2535296581426318E-4</v>
      </c>
      <c r="K405" s="9"/>
      <c r="L405" s="9">
        <f ca="1">L404-O405*Prices!C405</f>
        <v>1.5091944242703346</v>
      </c>
      <c r="M405" s="1">
        <f t="shared" ca="1" si="46"/>
        <v>6.0452019759893632E-3</v>
      </c>
      <c r="N405" s="9">
        <f ca="1">IF(Prices!D404&gt;OFFSET(Prices!D404,-$N$3,0),1,IF(Prices!D404&lt;OFFSET(Prices!D404,-$N$3,0),-1,0))</f>
        <v>-1</v>
      </c>
      <c r="O405" s="1">
        <f ca="1">IF(N405=1,O$3*L404/Prices!C404,O$3*M404*N405)</f>
        <v>-6.7168910844326267E-4</v>
      </c>
      <c r="P405" s="14"/>
      <c r="Q405" s="9">
        <f ca="1">Q404-T405*Prices!C405</f>
        <v>0.81381772664122853</v>
      </c>
      <c r="R405" s="1">
        <f t="shared" ca="1" si="47"/>
        <v>1.1845245276863665E-2</v>
      </c>
      <c r="S405" s="9">
        <f ca="1">IF(Prices!C404&lt;OFFSET(Prices!C404,-S$3,0),1,IF(Prices!C404&gt;OFFSET(Prices!C404,-S$3,0),-1,0))</f>
        <v>1</v>
      </c>
      <c r="T405" s="1">
        <f ca="1">IF(S405=1,T$3*Q404/Prices!C404,T$3*R404*S405)</f>
        <v>1.4633614262899946E-4</v>
      </c>
      <c r="V405" s="9"/>
      <c r="W405" s="1"/>
      <c r="X405" s="1"/>
      <c r="Y405" s="1"/>
      <c r="Z405" s="1"/>
      <c r="AA405" s="1"/>
      <c r="AB405" s="1"/>
      <c r="AC405" s="1"/>
      <c r="AD405" s="1"/>
      <c r="AE405" s="16"/>
    </row>
    <row r="406" spans="1:31" x14ac:dyDescent="0.2">
      <c r="A406" s="4">
        <v>34074</v>
      </c>
      <c r="B406" s="9">
        <f ca="1">Prices!C405*(1+J406/(50*(ABS(O406)+ABS(T406)+0.0001)))</f>
        <v>111.67736993396754</v>
      </c>
      <c r="C406" s="13">
        <f t="shared" ca="1" si="42"/>
        <v>-1</v>
      </c>
      <c r="D406" s="9">
        <f ca="1">D405+C406*(Prices!C406-Prices!C405)/Prices!C405</f>
        <v>0.20133814429133187</v>
      </c>
      <c r="E406" s="9">
        <f t="shared" ca="1" si="43"/>
        <v>2.5036781345119108E-3</v>
      </c>
      <c r="F406" s="9">
        <f t="shared" ca="1" si="44"/>
        <v>0.20384182242584378</v>
      </c>
      <c r="G406" s="13">
        <f ca="1">IF((Prices!C406-Prices!C405)*C406&gt;0,1,0)</f>
        <v>1</v>
      </c>
      <c r="H406" s="9">
        <f>ABS(Prices!C406-Prices!C405)/Prices!C405</f>
        <v>4.6609796851638987E-3</v>
      </c>
      <c r="I406" s="13"/>
      <c r="J406" s="1">
        <f t="shared" ca="1" si="45"/>
        <v>-8.4142510313620967E-4</v>
      </c>
      <c r="K406" s="9"/>
      <c r="L406" s="9">
        <f ca="1">L405-O406*Prices!C406</f>
        <v>1.5776140202345821</v>
      </c>
      <c r="M406" s="1">
        <f t="shared" ca="1" si="46"/>
        <v>5.4406817783904269E-3</v>
      </c>
      <c r="N406" s="9">
        <f ca="1">IF(Prices!D405&gt;OFFSET(Prices!D405,-$N$3,0),1,IF(Prices!D405&lt;OFFSET(Prices!D405,-$N$3,0),-1,0))</f>
        <v>-1</v>
      </c>
      <c r="O406" s="1">
        <f ca="1">IF(N406=1,O$3*L405/Prices!C405,O$3*M405*N406)</f>
        <v>-6.0452019759893634E-4</v>
      </c>
      <c r="P406" s="14"/>
      <c r="Q406" s="9">
        <f ca="1">Q405-T406*Prices!C406</f>
        <v>0.84063062384993714</v>
      </c>
      <c r="R406" s="1">
        <f t="shared" ca="1" si="47"/>
        <v>1.1608340371326391E-2</v>
      </c>
      <c r="S406" s="9">
        <f ca="1">IF(Prices!C405&lt;OFFSET(Prices!C405,-S$3,0),1,IF(Prices!C405&gt;OFFSET(Prices!C405,-S$3,0),-1,0))</f>
        <v>-1</v>
      </c>
      <c r="T406" s="1">
        <f ca="1">IF(S406=1,T$3*Q405/Prices!C405,T$3*R405*S406)</f>
        <v>-2.3690490553727331E-4</v>
      </c>
      <c r="V406" s="9"/>
      <c r="W406" s="1"/>
      <c r="X406" s="1"/>
      <c r="Y406" s="1"/>
      <c r="Z406" s="1"/>
      <c r="AA406" s="1"/>
      <c r="AB406" s="1"/>
      <c r="AC406" s="1"/>
      <c r="AD406" s="1"/>
      <c r="AE406" s="16"/>
    </row>
    <row r="407" spans="1:31" x14ac:dyDescent="0.2">
      <c r="A407" s="4">
        <v>34075</v>
      </c>
      <c r="B407" s="9">
        <f ca="1">Prices!C406*(1+J407/(50*(ABS(O407)+ABS(T407)+0.0001)))</f>
        <v>112.05044826552628</v>
      </c>
      <c r="C407" s="13">
        <f t="shared" ca="1" si="42"/>
        <v>-1</v>
      </c>
      <c r="D407" s="9">
        <f ca="1">D406+C407*(Prices!C407-Prices!C406)/Prices!C406</f>
        <v>0.20911336959615612</v>
      </c>
      <c r="E407" s="9">
        <f t="shared" ca="1" si="43"/>
        <v>0</v>
      </c>
      <c r="F407" s="9">
        <f t="shared" ca="1" si="44"/>
        <v>0.20911336959615612</v>
      </c>
      <c r="G407" s="13">
        <f ca="1">IF((Prices!C407-Prices!C406)*C407&gt;0,1,0)</f>
        <v>1</v>
      </c>
      <c r="H407" s="9">
        <f>ABS(Prices!C407-Prices!C406)/Prices!C406</f>
        <v>7.7752253048242589E-3</v>
      </c>
      <c r="I407" s="13"/>
      <c r="J407" s="1">
        <f t="shared" ca="1" si="45"/>
        <v>-3.9552062105340267E-4</v>
      </c>
      <c r="K407" s="9"/>
      <c r="L407" s="9">
        <f ca="1">L406-O407*Prices!C407</f>
        <v>1.6387128766059065</v>
      </c>
      <c r="M407" s="1">
        <f t="shared" ca="1" si="46"/>
        <v>4.896613600551384E-3</v>
      </c>
      <c r="N407" s="9">
        <f ca="1">IF(Prices!D406&gt;OFFSET(Prices!D406,-$N$3,0),1,IF(Prices!D406&lt;OFFSET(Prices!D406,-$N$3,0),-1,0))</f>
        <v>-1</v>
      </c>
      <c r="O407" s="1">
        <f ca="1">IF(N407=1,O$3*L406/Prices!C406,O$3*M406*N407)</f>
        <v>-5.4406817783904274E-4</v>
      </c>
      <c r="P407" s="14"/>
      <c r="Q407" s="9">
        <f ca="1">Q406-T407*Prices!C407</f>
        <v>0.82394873322290973</v>
      </c>
      <c r="R407" s="1">
        <f t="shared" ca="1" si="47"/>
        <v>1.1756887928112032E-2</v>
      </c>
      <c r="S407" s="9">
        <f ca="1">IF(Prices!C406&lt;OFFSET(Prices!C406,-S$3,0),1,IF(Prices!C406&gt;OFFSET(Prices!C406,-S$3,0),-1,0))</f>
        <v>1</v>
      </c>
      <c r="T407" s="1">
        <f ca="1">IF(S407=1,T$3*Q406/Prices!C406,T$3*R406*S407)</f>
        <v>1.4854755678564007E-4</v>
      </c>
      <c r="V407" s="9"/>
      <c r="W407" s="1"/>
      <c r="X407" s="1"/>
      <c r="Y407" s="1"/>
      <c r="Z407" s="1"/>
      <c r="AA407" s="1"/>
      <c r="AB407" s="1"/>
      <c r="AC407" s="1"/>
      <c r="AD407" s="1"/>
      <c r="AE407" s="16"/>
    </row>
    <row r="408" spans="1:31" x14ac:dyDescent="0.2">
      <c r="A408" s="4">
        <v>34078</v>
      </c>
      <c r="B408" s="9">
        <f ca="1">Prices!C407*(1+J408/(50*(ABS(O408)+ABS(T408)+0.0001)))</f>
        <v>111.25410398945614</v>
      </c>
      <c r="C408" s="13">
        <f t="shared" ca="1" si="42"/>
        <v>-1</v>
      </c>
      <c r="D408" s="9">
        <f ca="1">D407+C408*(Prices!C408-Prices!C407)/Prices!C407</f>
        <v>0.21997712738778566</v>
      </c>
      <c r="E408" s="9">
        <f t="shared" ca="1" si="43"/>
        <v>0</v>
      </c>
      <c r="F408" s="9">
        <f t="shared" ca="1" si="44"/>
        <v>0.21997712738778566</v>
      </c>
      <c r="G408" s="13">
        <f ca="1">IF((Prices!C408-Prices!C407)*C408&gt;0,1,0)</f>
        <v>1</v>
      </c>
      <c r="H408" s="9">
        <f>ABS(Prices!C408-Prices!C407)/Prices!C407</f>
        <v>1.0863757791629554E-2</v>
      </c>
      <c r="I408" s="13"/>
      <c r="J408" s="1">
        <f t="shared" ca="1" si="45"/>
        <v>-3.429207129985205E-4</v>
      </c>
      <c r="K408" s="9"/>
      <c r="L408" s="9">
        <f ca="1">L407-O408*Prices!C408</f>
        <v>1.6931044604808312</v>
      </c>
      <c r="M408" s="1">
        <f t="shared" ca="1" si="46"/>
        <v>4.4069522404962458E-3</v>
      </c>
      <c r="N408" s="9">
        <f ca="1">IF(Prices!D407&gt;OFFSET(Prices!D407,-$N$3,0),1,IF(Prices!D407&lt;OFFSET(Prices!D407,-$N$3,0),-1,0))</f>
        <v>-1</v>
      </c>
      <c r="O408" s="1">
        <f ca="1">IF(N408=1,O$3*L407/Prices!C407,O$3*M407*N408)</f>
        <v>-4.8966136005513844E-4</v>
      </c>
      <c r="P408" s="14"/>
      <c r="Q408" s="9">
        <f ca="1">Q407-T408*Prices!C408</f>
        <v>0.80764878214786062</v>
      </c>
      <c r="R408" s="1">
        <f t="shared" ca="1" si="47"/>
        <v>1.190362857516865E-2</v>
      </c>
      <c r="S408" s="9">
        <f ca="1">IF(Prices!C407&lt;OFFSET(Prices!C407,-S$3,0),1,IF(Prices!C407&gt;OFFSET(Prices!C407,-S$3,0),-1,0))</f>
        <v>1</v>
      </c>
      <c r="T408" s="1">
        <f ca="1">IF(S408=1,T$3*Q407/Prices!C407,T$3*R407*S408)</f>
        <v>1.4674064705661794E-4</v>
      </c>
      <c r="V408" s="9"/>
      <c r="W408" s="1"/>
      <c r="X408" s="1"/>
      <c r="Y408" s="1"/>
      <c r="Z408" s="1"/>
      <c r="AA408" s="1"/>
      <c r="AB408" s="1"/>
      <c r="AC408" s="1"/>
      <c r="AD408" s="1"/>
      <c r="AE408" s="16"/>
    </row>
    <row r="409" spans="1:31" x14ac:dyDescent="0.2">
      <c r="A409" s="4">
        <v>34079</v>
      </c>
      <c r="B409" s="9">
        <f ca="1">Prices!C408*(1+J409/(50*(ABS(O409)+ABS(T409)+0.0001)))</f>
        <v>110.12390492100174</v>
      </c>
      <c r="C409" s="13">
        <f t="shared" ca="1" si="42"/>
        <v>-1</v>
      </c>
      <c r="D409" s="9">
        <f ca="1">D408+C409*(Prices!C409-Prices!C408)/Prices!C408</f>
        <v>0.22474846336185841</v>
      </c>
      <c r="E409" s="9">
        <f t="shared" ca="1" si="43"/>
        <v>0</v>
      </c>
      <c r="F409" s="9">
        <f t="shared" ca="1" si="44"/>
        <v>0.22474846336185841</v>
      </c>
      <c r="G409" s="13">
        <f ca="1">IF((Prices!C409-Prices!C408)*C409&gt;0,1,0)</f>
        <v>1</v>
      </c>
      <c r="H409" s="9">
        <f>ABS(Prices!C409-Prices!C408)/Prices!C408</f>
        <v>4.7713359740727511E-3</v>
      </c>
      <c r="I409" s="13"/>
      <c r="J409" s="1">
        <f t="shared" ca="1" si="45"/>
        <v>-2.9527772636365763E-4</v>
      </c>
      <c r="K409" s="9"/>
      <c r="L409" s="9">
        <f ca="1">L408-O409*Prices!C409</f>
        <v>1.7418233174995172</v>
      </c>
      <c r="M409" s="1">
        <f t="shared" ca="1" si="46"/>
        <v>3.9662570164466209E-3</v>
      </c>
      <c r="N409" s="9">
        <f ca="1">IF(Prices!D408&gt;OFFSET(Prices!D408,-$N$3,0),1,IF(Prices!D408&lt;OFFSET(Prices!D408,-$N$3,0),-1,0))</f>
        <v>-1</v>
      </c>
      <c r="O409" s="1">
        <f ca="1">IF(N409=1,O$3*L408/Prices!C408,O$3*M408*N409)</f>
        <v>-4.4069522404962462E-4</v>
      </c>
      <c r="P409" s="14"/>
      <c r="Q409" s="9">
        <f ca="1">Q408-T409*Prices!C409</f>
        <v>0.79157287777867702</v>
      </c>
      <c r="R409" s="1">
        <f t="shared" ca="1" si="47"/>
        <v>1.2049046072854617E-2</v>
      </c>
      <c r="S409" s="9">
        <f ca="1">IF(Prices!C408&lt;OFFSET(Prices!C408,-S$3,0),1,IF(Prices!C408&gt;OFFSET(Prices!C408,-S$3,0),-1,0))</f>
        <v>1</v>
      </c>
      <c r="T409" s="1">
        <f ca="1">IF(S409=1,T$3*Q408/Prices!C408,T$3*R408*S409)</f>
        <v>1.4541749768596699E-4</v>
      </c>
      <c r="V409" s="9"/>
      <c r="W409" s="1"/>
      <c r="X409" s="1"/>
      <c r="Y409" s="1"/>
      <c r="Z409" s="1"/>
      <c r="AA409" s="1"/>
      <c r="AB409" s="1"/>
      <c r="AC409" s="1"/>
      <c r="AD409" s="1"/>
      <c r="AE409" s="16"/>
    </row>
    <row r="410" spans="1:31" x14ac:dyDescent="0.2">
      <c r="A410" s="4">
        <v>34080</v>
      </c>
      <c r="B410" s="9">
        <f ca="1">Prices!C409*(1+J410/(50*(ABS(O410)+ABS(T410)+0.0001)))</f>
        <v>109.67428533561042</v>
      </c>
      <c r="C410" s="13">
        <f t="shared" ca="1" si="42"/>
        <v>-1</v>
      </c>
      <c r="D410" s="9">
        <f ca="1">D409+C410*(Prices!C410-Prices!C409)/Prices!C409</f>
        <v>0.22384389529311116</v>
      </c>
      <c r="E410" s="9">
        <f t="shared" ca="1" si="43"/>
        <v>9.0456806874725237E-4</v>
      </c>
      <c r="F410" s="9">
        <f t="shared" ca="1" si="44"/>
        <v>0.22474846336185841</v>
      </c>
      <c r="G410" s="13">
        <f ca="1">IF((Prices!C410-Prices!C409)*C410&gt;0,1,0)</f>
        <v>0</v>
      </c>
      <c r="H410" s="9">
        <f>ABS(Prices!C410-Prices!C409)/Prices!C409</f>
        <v>9.0456806874725042E-4</v>
      </c>
      <c r="I410" s="13"/>
      <c r="J410" s="1">
        <f t="shared" ca="1" si="45"/>
        <v>-2.5341939177968211E-4</v>
      </c>
      <c r="K410" s="9"/>
      <c r="L410" s="9">
        <f ca="1">L409-O410*Prices!C410</f>
        <v>1.7857099513864991</v>
      </c>
      <c r="M410" s="1">
        <f t="shared" ca="1" si="46"/>
        <v>3.569631314801959E-3</v>
      </c>
      <c r="N410" s="9">
        <f ca="1">IF(Prices!D409&gt;OFFSET(Prices!D409,-$N$3,0),1,IF(Prices!D409&lt;OFFSET(Prices!D409,-$N$3,0),-1,0))</f>
        <v>-1</v>
      </c>
      <c r="O410" s="1">
        <f ca="1">IF(N410=1,O$3*L409/Prices!C409,O$3*M409*N410)</f>
        <v>-3.9662570164466214E-4</v>
      </c>
      <c r="P410" s="14"/>
      <c r="Q410" s="9">
        <f ca="1">Q409-T410*Prices!C410</f>
        <v>0.77572709959211694</v>
      </c>
      <c r="R410" s="1">
        <f t="shared" ca="1" si="47"/>
        <v>1.2192252382719598E-2</v>
      </c>
      <c r="S410" s="9">
        <f ca="1">IF(Prices!C409&lt;OFFSET(Prices!C409,-S$3,0),1,IF(Prices!C409&gt;OFFSET(Prices!C409,-S$3,0),-1,0))</f>
        <v>1</v>
      </c>
      <c r="T410" s="1">
        <f ca="1">IF(S410=1,T$3*Q409/Prices!C409,T$3*R409*S410)</f>
        <v>1.4320630986498003E-4</v>
      </c>
      <c r="V410" s="9"/>
      <c r="W410" s="1"/>
      <c r="X410" s="1"/>
      <c r="Y410" s="1"/>
      <c r="Z410" s="1"/>
      <c r="AA410" s="1"/>
      <c r="AB410" s="1"/>
      <c r="AC410" s="1"/>
      <c r="AD410" s="1"/>
      <c r="AE410" s="16"/>
    </row>
    <row r="411" spans="1:31" x14ac:dyDescent="0.2">
      <c r="A411" s="4">
        <v>34081</v>
      </c>
      <c r="B411" s="9">
        <f ca="1">Prices!C410*(1+J411/(50*(ABS(O411)+ABS(T411)+0.0001)))</f>
        <v>109.84677171121287</v>
      </c>
      <c r="C411" s="13">
        <f t="shared" ca="1" si="42"/>
        <v>-1</v>
      </c>
      <c r="D411" s="9">
        <f ca="1">D410+C411*(Prices!C411-Prices!C410)/Prices!C410</f>
        <v>0.22980864902108233</v>
      </c>
      <c r="E411" s="9">
        <f t="shared" ca="1" si="43"/>
        <v>0</v>
      </c>
      <c r="F411" s="9">
        <f t="shared" ca="1" si="44"/>
        <v>0.22980864902108233</v>
      </c>
      <c r="G411" s="13">
        <f ca="1">IF((Prices!C411-Prices!C410)*C411&gt;0,1,0)</f>
        <v>1</v>
      </c>
      <c r="H411" s="9">
        <f>ABS(Prices!C411-Prices!C410)/Prices!C410</f>
        <v>5.964753727971177E-3</v>
      </c>
      <c r="I411" s="13"/>
      <c r="J411" s="1">
        <f t="shared" ca="1" si="45"/>
        <v>-2.1675037059594527E-4</v>
      </c>
      <c r="K411" s="9"/>
      <c r="L411" s="9">
        <f ca="1">L410-O411*Prices!C411</f>
        <v>1.824972326218006</v>
      </c>
      <c r="M411" s="1">
        <f t="shared" ca="1" si="46"/>
        <v>3.2126681833217633E-3</v>
      </c>
      <c r="N411" s="9">
        <f ca="1">IF(Prices!D410&gt;OFFSET(Prices!D410,-$N$3,0),1,IF(Prices!D410&lt;OFFSET(Prices!D410,-$N$3,0),-1,0))</f>
        <v>-1</v>
      </c>
      <c r="O411" s="1">
        <f ca="1">IF(N411=1,O$3*L410/Prices!C410,O$3*M410*N411)</f>
        <v>-3.5696313148019594E-4</v>
      </c>
      <c r="P411" s="14"/>
      <c r="Q411" s="9">
        <f ca="1">Q410-T411*Prices!C411</f>
        <v>0.76030509802245816</v>
      </c>
      <c r="R411" s="1">
        <f t="shared" ca="1" si="47"/>
        <v>1.2332465143603848E-2</v>
      </c>
      <c r="S411" s="9">
        <f ca="1">IF(Prices!C410&lt;OFFSET(Prices!C410,-S$3,0),1,IF(Prices!C410&gt;OFFSET(Prices!C410,-S$3,0),-1,0))</f>
        <v>1</v>
      </c>
      <c r="T411" s="1">
        <f ca="1">IF(S411=1,T$3*Q410/Prices!C410,T$3*R410*S411)</f>
        <v>1.4021276088425067E-4</v>
      </c>
      <c r="V411" s="9"/>
      <c r="W411" s="1"/>
      <c r="X411" s="1"/>
      <c r="Y411" s="1"/>
      <c r="Z411" s="1"/>
      <c r="AA411" s="1"/>
      <c r="AB411" s="1"/>
      <c r="AC411" s="1"/>
      <c r="AD411" s="1"/>
      <c r="AE411" s="16"/>
    </row>
    <row r="412" spans="1:31" x14ac:dyDescent="0.2">
      <c r="A412" s="4">
        <v>34082</v>
      </c>
      <c r="B412" s="9">
        <f ca="1">Prices!C411*(1+J412/(50*(ABS(O412)+ABS(T412)+0.0001)))</f>
        <v>109.27044913713685</v>
      </c>
      <c r="C412" s="13">
        <f t="shared" ca="1" si="42"/>
        <v>-1</v>
      </c>
      <c r="D412" s="9">
        <f ca="1">D411+C412*(Prices!C412-Prices!C411)/Prices!C411</f>
        <v>0.22335351673632911</v>
      </c>
      <c r="E412" s="9">
        <f t="shared" ca="1" si="43"/>
        <v>6.4551322847532233E-3</v>
      </c>
      <c r="F412" s="9">
        <f t="shared" ca="1" si="44"/>
        <v>0.22980864902108233</v>
      </c>
      <c r="G412" s="13">
        <f ca="1">IF((Prices!C412-Prices!C411)*C412&gt;0,1,0)</f>
        <v>0</v>
      </c>
      <c r="H412" s="9">
        <f>ABS(Prices!C412-Prices!C411)/Prices!C411</f>
        <v>6.455132284753232E-3</v>
      </c>
      <c r="I412" s="13"/>
      <c r="J412" s="1">
        <f t="shared" ca="1" si="45"/>
        <v>-1.8301695961366407E-4</v>
      </c>
      <c r="K412" s="9"/>
      <c r="L412" s="9">
        <f ca="1">L411-O412*Prices!C412</f>
        <v>1.8605365630073778</v>
      </c>
      <c r="M412" s="1">
        <f t="shared" ca="1" si="46"/>
        <v>2.8914013649895868E-3</v>
      </c>
      <c r="N412" s="9">
        <f ca="1">IF(Prices!D411&gt;OFFSET(Prices!D411,-$N$3,0),1,IF(Prices!D411&lt;OFFSET(Prices!D411,-$N$3,0),-1,0))</f>
        <v>-1</v>
      </c>
      <c r="O412" s="1">
        <f ca="1">IF(N412=1,O$3*L411/Prices!C411,O$3*M411*N412)</f>
        <v>-3.2126681833217634E-4</v>
      </c>
      <c r="P412" s="14"/>
      <c r="Q412" s="9">
        <f ca="1">Q411-T412*Prices!C412</f>
        <v>0.74500083866231881</v>
      </c>
      <c r="R412" s="1">
        <f t="shared" ca="1" si="47"/>
        <v>1.2470715002322361E-2</v>
      </c>
      <c r="S412" s="9">
        <f ca="1">IF(Prices!C411&lt;OFFSET(Prices!C411,-S$3,0),1,IF(Prices!C411&gt;OFFSET(Prices!C411,-S$3,0),-1,0))</f>
        <v>1</v>
      </c>
      <c r="T412" s="1">
        <f ca="1">IF(S412=1,T$3*Q411/Prices!C411,T$3*R411*S412)</f>
        <v>1.3824985871851227E-4</v>
      </c>
      <c r="V412" s="9"/>
      <c r="W412" s="1"/>
      <c r="X412" s="1"/>
      <c r="Y412" s="1"/>
      <c r="Z412" s="1"/>
      <c r="AA412" s="1"/>
      <c r="AB412" s="1"/>
      <c r="AC412" s="1"/>
      <c r="AD412" s="1"/>
      <c r="AE412" s="16"/>
    </row>
    <row r="413" spans="1:31" x14ac:dyDescent="0.2">
      <c r="A413" s="4">
        <v>34085</v>
      </c>
      <c r="B413" s="9">
        <f ca="1">Prices!C412*(1+J413/(50*(ABS(O413)+ABS(T413)+0.0001)))</f>
        <v>112.79840451179504</v>
      </c>
      <c r="C413" s="13">
        <f t="shared" ca="1" si="42"/>
        <v>1</v>
      </c>
      <c r="D413" s="9">
        <f ca="1">D412+C413*(Prices!C413-Prices!C412)/Prices!C412</f>
        <v>0.22226950589622066</v>
      </c>
      <c r="E413" s="9">
        <f t="shared" ca="1" si="43"/>
        <v>7.5391431248616747E-3</v>
      </c>
      <c r="F413" s="9">
        <f t="shared" ca="1" si="44"/>
        <v>0.22980864902108233</v>
      </c>
      <c r="G413" s="13">
        <f ca="1">IF((Prices!C413-Prices!C412)*C413&gt;0,1,0)</f>
        <v>0</v>
      </c>
      <c r="H413" s="9">
        <f>ABS(Prices!C413-Prices!C412)/Prices!C412</f>
        <v>1.0840108401084421E-3</v>
      </c>
      <c r="I413" s="13"/>
      <c r="J413" s="1">
        <f t="shared" ca="1" si="45"/>
        <v>1.8152996664316545E-3</v>
      </c>
      <c r="K413" s="9"/>
      <c r="L413" s="9">
        <f ca="1">L412-O413*Prices!C413</f>
        <v>1.6746845908869119</v>
      </c>
      <c r="M413" s="1">
        <f t="shared" ca="1" si="46"/>
        <v>4.5721028672546073E-3</v>
      </c>
      <c r="N413" s="9">
        <f ca="1">IF(Prices!D412&gt;OFFSET(Prices!D412,-$N$3,0),1,IF(Prices!D412&lt;OFFSET(Prices!D412,-$N$3,0),-1,0))</f>
        <v>1</v>
      </c>
      <c r="O413" s="1">
        <f ca="1">IF(N413=1,O$3*L412/Prices!C412,O$3*M412*N413)</f>
        <v>1.6807015022650205E-3</v>
      </c>
      <c r="P413" s="14"/>
      <c r="Q413" s="9">
        <f ca="1">Q412-T413*Prices!C413</f>
        <v>0.73011697366877248</v>
      </c>
      <c r="R413" s="1">
        <f t="shared" ca="1" si="47"/>
        <v>1.2605313166488996E-2</v>
      </c>
      <c r="S413" s="9">
        <f ca="1">IF(Prices!C412&lt;OFFSET(Prices!C412,-S$3,0),1,IF(Prices!C412&gt;OFFSET(Prices!C412,-S$3,0),-1,0))</f>
        <v>1</v>
      </c>
      <c r="T413" s="1">
        <f ca="1">IF(S413=1,T$3*Q412/Prices!C412,T$3*R412*S413)</f>
        <v>1.3459816416663394E-4</v>
      </c>
      <c r="V413" s="9"/>
      <c r="W413" s="1"/>
      <c r="X413" s="1"/>
      <c r="Y413" s="1"/>
      <c r="Z413" s="1"/>
      <c r="AA413" s="1"/>
      <c r="AB413" s="1"/>
      <c r="AC413" s="1"/>
      <c r="AD413" s="1"/>
      <c r="AE413" s="16"/>
    </row>
    <row r="414" spans="1:31" x14ac:dyDescent="0.2">
      <c r="A414" s="4">
        <v>34086</v>
      </c>
      <c r="B414" s="9">
        <f ca="1">Prices!C413*(1+J414/(50*(ABS(O414)+ABS(T414)+0.0001)))</f>
        <v>112.07569729316725</v>
      </c>
      <c r="C414" s="13">
        <f t="shared" ca="1" si="42"/>
        <v>1</v>
      </c>
      <c r="D414" s="9">
        <f ca="1">D413+C414*(Prices!C414-Prices!C413)/Prices!C413</f>
        <v>0.23493002316878356</v>
      </c>
      <c r="E414" s="9">
        <f t="shared" ca="1" si="43"/>
        <v>0</v>
      </c>
      <c r="F414" s="9">
        <f t="shared" ca="1" si="44"/>
        <v>0.23493002316878356</v>
      </c>
      <c r="G414" s="13">
        <f ca="1">IF((Prices!C414-Prices!C413)*C414&gt;0,1,0)</f>
        <v>1</v>
      </c>
      <c r="H414" s="9">
        <f>ABS(Prices!C414-Prices!C413)/Prices!C413</f>
        <v>1.2660517272562902E-2</v>
      </c>
      <c r="I414" s="13"/>
      <c r="J414" s="1">
        <f t="shared" ca="1" si="45"/>
        <v>1.2623489644572631E-3</v>
      </c>
      <c r="K414" s="9"/>
      <c r="L414" s="9">
        <f ca="1">L413-O414*Prices!C414</f>
        <v>1.5050958944793189</v>
      </c>
      <c r="M414" s="1">
        <f t="shared" ca="1" si="46"/>
        <v>6.0865580950416505E-3</v>
      </c>
      <c r="N414" s="9">
        <f ca="1">IF(Prices!D413&gt;OFFSET(Prices!D413,-$N$3,0),1,IF(Prices!D413&lt;OFFSET(Prices!D413,-$N$3,0),-1,0))</f>
        <v>1</v>
      </c>
      <c r="O414" s="1">
        <f ca="1">IF(N414=1,O$3*L413/Prices!C413,O$3*M413*N414)</f>
        <v>1.514455227787043E-3</v>
      </c>
      <c r="P414" s="14"/>
      <c r="Q414" s="9">
        <f ca="1">Q413-T414*Prices!C414</f>
        <v>0.75834783303644127</v>
      </c>
      <c r="R414" s="1">
        <f t="shared" ca="1" si="47"/>
        <v>1.2353206903159216E-2</v>
      </c>
      <c r="S414" s="9">
        <f ca="1">IF(Prices!C413&lt;OFFSET(Prices!C413,-S$3,0),1,IF(Prices!C413&gt;OFFSET(Prices!C413,-S$3,0),-1,0))</f>
        <v>-1</v>
      </c>
      <c r="T414" s="1">
        <f ca="1">IF(S414=1,T$3*Q413/Prices!C413,T$3*R413*S414)</f>
        <v>-2.5210626332977995E-4</v>
      </c>
      <c r="V414" s="9"/>
      <c r="W414" s="1"/>
      <c r="X414" s="1"/>
      <c r="Y414" s="1"/>
      <c r="Z414" s="1"/>
      <c r="AA414" s="1"/>
      <c r="AB414" s="1"/>
      <c r="AC414" s="1"/>
      <c r="AD414" s="1"/>
      <c r="AE414" s="16"/>
    </row>
    <row r="415" spans="1:31" x14ac:dyDescent="0.2">
      <c r="A415" s="4">
        <v>34087</v>
      </c>
      <c r="B415" s="9">
        <f ca="1">Prices!C414*(1+J415/(50*(ABS(O415)+ABS(T415)+0.0001)))</f>
        <v>113.43278763266844</v>
      </c>
      <c r="C415" s="13">
        <f t="shared" ca="1" si="42"/>
        <v>1</v>
      </c>
      <c r="D415" s="9">
        <f ca="1">D414+C415*(Prices!C415-Prices!C414)/Prices!C414</f>
        <v>0.23573373811788151</v>
      </c>
      <c r="E415" s="9">
        <f t="shared" ca="1" si="43"/>
        <v>0</v>
      </c>
      <c r="F415" s="9">
        <f t="shared" ca="1" si="44"/>
        <v>0.23573373811788151</v>
      </c>
      <c r="G415" s="13">
        <f ca="1">IF((Prices!C415-Prices!C414)*C415&gt;0,1,0)</f>
        <v>1</v>
      </c>
      <c r="H415" s="9">
        <f>ABS(Prices!C415-Prices!C414)/Prices!C414</f>
        <v>8.0371494909795677E-4</v>
      </c>
      <c r="I415" s="13"/>
      <c r="J415" s="1">
        <f t="shared" ca="1" si="45"/>
        <v>1.097011495513632E-3</v>
      </c>
      <c r="K415" s="9"/>
      <c r="L415" s="9">
        <f ca="1">L414-O415*Prices!C415</f>
        <v>1.3544653382243652</v>
      </c>
      <c r="M415" s="1">
        <f t="shared" ca="1" si="46"/>
        <v>7.4306337286184666E-3</v>
      </c>
      <c r="N415" s="9">
        <f ca="1">IF(Prices!D414&gt;OFFSET(Prices!D414,-$N$3,0),1,IF(Prices!D414&lt;OFFSET(Prices!D414,-$N$3,0),-1,0))</f>
        <v>1</v>
      </c>
      <c r="O415" s="1">
        <f ca="1">IF(N415=1,O$3*L414/Prices!C414,O$3*M414*N415)</f>
        <v>1.3440756335768164E-3</v>
      </c>
      <c r="P415" s="14"/>
      <c r="Q415" s="9">
        <f ca="1">Q414-T415*Prices!C415</f>
        <v>0.78603631098918236</v>
      </c>
      <c r="R415" s="1">
        <f t="shared" ca="1" si="47"/>
        <v>1.2106142765096032E-2</v>
      </c>
      <c r="S415" s="9">
        <f ca="1">IF(Prices!C414&lt;OFFSET(Prices!C414,-S$3,0),1,IF(Prices!C414&gt;OFFSET(Prices!C414,-S$3,0),-1,0))</f>
        <v>-1</v>
      </c>
      <c r="T415" s="1">
        <f ca="1">IF(S415=1,T$3*Q414/Prices!C414,T$3*R414*S415)</f>
        <v>-2.4706413806318433E-4</v>
      </c>
      <c r="V415" s="9"/>
      <c r="W415" s="1"/>
      <c r="X415" s="1"/>
      <c r="Y415" s="1"/>
      <c r="Z415" s="1"/>
      <c r="AA415" s="1"/>
      <c r="AB415" s="1"/>
      <c r="AC415" s="1"/>
      <c r="AD415" s="1"/>
      <c r="AE415" s="16"/>
    </row>
    <row r="416" spans="1:31" x14ac:dyDescent="0.2">
      <c r="A416" s="4">
        <v>34088</v>
      </c>
      <c r="B416" s="9">
        <f ca="1">Prices!C415*(1+J416/(50*(ABS(O416)+ABS(T416)+0.0001)))</f>
        <v>113.46693066930324</v>
      </c>
      <c r="C416" s="13">
        <f t="shared" ca="1" si="42"/>
        <v>1</v>
      </c>
      <c r="D416" s="9">
        <f ca="1">D415+C416*(Prices!C416-Prices!C415)/Prices!C415</f>
        <v>0.2297553317647095</v>
      </c>
      <c r="E416" s="9">
        <f t="shared" ca="1" si="43"/>
        <v>5.9784063531720111E-3</v>
      </c>
      <c r="F416" s="9">
        <f t="shared" ca="1" si="44"/>
        <v>0.23573373811788151</v>
      </c>
      <c r="G416" s="13">
        <f ca="1">IF((Prices!C416-Prices!C415)*C416&gt;0,1,0)</f>
        <v>0</v>
      </c>
      <c r="H416" s="9">
        <f>ABS(Prices!C416-Prices!C415)/Prices!C415</f>
        <v>5.9784063531720137E-3</v>
      </c>
      <c r="I416" s="13"/>
      <c r="J416" s="1">
        <f t="shared" ca="1" si="45"/>
        <v>9.6646582875658323E-4</v>
      </c>
      <c r="K416" s="9"/>
      <c r="L416" s="9">
        <f ca="1">L415-O416*Prices!C416</f>
        <v>1.219828558820248</v>
      </c>
      <c r="M416" s="1">
        <f t="shared" ca="1" si="46"/>
        <v>8.6392224126769709E-3</v>
      </c>
      <c r="N416" s="9">
        <f ca="1">IF(Prices!D415&gt;OFFSET(Prices!D415,-$N$3,0),1,IF(Prices!D415&lt;OFFSET(Prices!D415,-$N$3,0),-1,0))</f>
        <v>1</v>
      </c>
      <c r="O416" s="1">
        <f ca="1">IF(N416=1,O$3*L415/Prices!C415,O$3*M415*N416)</f>
        <v>1.2085886840585039E-3</v>
      </c>
      <c r="P416" s="14"/>
      <c r="Q416" s="9">
        <f ca="1">Q415-T416*Prices!C416</f>
        <v>0.81300879706981632</v>
      </c>
      <c r="R416" s="1">
        <f t="shared" ca="1" si="47"/>
        <v>1.1864019909794112E-2</v>
      </c>
      <c r="S416" s="9">
        <f ca="1">IF(Prices!C415&lt;OFFSET(Prices!C415,-S$3,0),1,IF(Prices!C415&gt;OFFSET(Prices!C415,-S$3,0),-1,0))</f>
        <v>-1</v>
      </c>
      <c r="T416" s="1">
        <f ca="1">IF(S416=1,T$3*Q415/Prices!C415,T$3*R415*S416)</f>
        <v>-2.4212285530192065E-4</v>
      </c>
      <c r="W416" s="1"/>
      <c r="X416" s="1"/>
      <c r="Y416" s="1"/>
      <c r="Z416" s="1"/>
      <c r="AA416" s="1"/>
      <c r="AB416" s="1"/>
      <c r="AC416" s="1"/>
      <c r="AD416" s="1"/>
      <c r="AE416" s="16"/>
    </row>
    <row r="417" spans="1:31" x14ac:dyDescent="0.2">
      <c r="A417" s="4">
        <v>34089</v>
      </c>
      <c r="B417" s="9">
        <f ca="1">Prices!C416*(1+J417/(50*(ABS(O417)+ABS(T417)+0.0001)))</f>
        <v>109.35748077791396</v>
      </c>
      <c r="C417" s="13">
        <f t="shared" ca="1" si="42"/>
        <v>-1</v>
      </c>
      <c r="D417" s="9">
        <f ca="1">D416+C417*(Prices!C417-Prices!C416)/Prices!C416</f>
        <v>0.23289716300348876</v>
      </c>
      <c r="E417" s="9">
        <f t="shared" ca="1" si="43"/>
        <v>2.8365751143927531E-3</v>
      </c>
      <c r="F417" s="9">
        <f t="shared" ca="1" si="44"/>
        <v>0.23573373811788151</v>
      </c>
      <c r="G417" s="13">
        <f ca="1">IF((Prices!C417-Prices!C416)*C417&gt;0,1,0)</f>
        <v>1</v>
      </c>
      <c r="H417" s="9">
        <f>ABS(Prices!C417-Prices!C416)/Prices!C416</f>
        <v>3.1418312387792506E-3</v>
      </c>
      <c r="I417" s="13"/>
      <c r="J417" s="1">
        <f t="shared" ca="1" si="45"/>
        <v>-1.1012026394635794E-3</v>
      </c>
      <c r="K417" s="9"/>
      <c r="L417" s="9">
        <f ca="1">L416-O417*Prices!C417</f>
        <v>1.3157671237130257</v>
      </c>
      <c r="M417" s="1">
        <f t="shared" ca="1" si="46"/>
        <v>7.7753001714092737E-3</v>
      </c>
      <c r="N417" s="9">
        <f ca="1">IF(Prices!D416&gt;OFFSET(Prices!D416,-$N$3,0),1,IF(Prices!D416&lt;OFFSET(Prices!D416,-$N$3,0),-1,0))</f>
        <v>-1</v>
      </c>
      <c r="O417" s="1">
        <f ca="1">IF(N417=1,O$3*L416/Prices!C416,O$3*M416*N417)</f>
        <v>-8.6392224126769716E-4</v>
      </c>
      <c r="P417" s="14"/>
      <c r="Q417" s="9">
        <f ca="1">Q416-T417*Prices!C417</f>
        <v>0.83935878528946906</v>
      </c>
      <c r="R417" s="1">
        <f t="shared" ca="1" si="47"/>
        <v>1.162673951159823E-2</v>
      </c>
      <c r="S417" s="9">
        <f ca="1">IF(Prices!C416&lt;OFFSET(Prices!C416,-S$3,0),1,IF(Prices!C416&gt;OFFSET(Prices!C416,-S$3,0),-1,0))</f>
        <v>-1</v>
      </c>
      <c r="T417" s="1">
        <f ca="1">IF(S417=1,T$3*Q416/Prices!C416,T$3*R416*S417)</f>
        <v>-2.3728039819588222E-4</v>
      </c>
      <c r="W417" s="1"/>
      <c r="X417" s="1"/>
      <c r="Y417" s="1"/>
      <c r="Z417" s="1"/>
      <c r="AA417" s="1"/>
      <c r="AB417" s="1"/>
      <c r="AC417" s="1"/>
      <c r="AD417" s="1"/>
      <c r="AE417" s="16"/>
    </row>
    <row r="418" spans="1:31" x14ac:dyDescent="0.2">
      <c r="A418" s="4">
        <v>34092</v>
      </c>
      <c r="B418" s="9">
        <f ca="1">Prices!C417*(1+J418/(50*(ABS(O418)+ABS(T418)+0.0001)))</f>
        <v>112.44390188917806</v>
      </c>
      <c r="C418" s="13">
        <f t="shared" ca="1" si="42"/>
        <v>1</v>
      </c>
      <c r="D418" s="9">
        <f ca="1">D417+C418*(Prices!C418-Prices!C417)/Prices!C417</f>
        <v>0.23136632104040905</v>
      </c>
      <c r="E418" s="9">
        <f t="shared" ca="1" si="43"/>
        <v>4.3674170774724574E-3</v>
      </c>
      <c r="F418" s="9">
        <f t="shared" ca="1" si="44"/>
        <v>0.23573373811788151</v>
      </c>
      <c r="G418" s="13">
        <f ca="1">IF((Prices!C418-Prices!C417)*C418&gt;0,1,0)</f>
        <v>0</v>
      </c>
      <c r="H418" s="9">
        <f>ABS(Prices!C418-Prices!C417)/Prices!C417</f>
        <v>1.5308419630797093E-3</v>
      </c>
      <c r="I418" s="13"/>
      <c r="J418" s="1">
        <f t="shared" ca="1" si="45"/>
        <v>9.5230728425072431E-4</v>
      </c>
      <c r="K418" s="9"/>
      <c r="L418" s="9">
        <f ca="1">L417-O418*Prices!C418</f>
        <v>1.1843918344943851</v>
      </c>
      <c r="M418" s="1">
        <f t="shared" ca="1" si="46"/>
        <v>8.9601422458919621E-3</v>
      </c>
      <c r="N418" s="9">
        <f ca="1">IF(Prices!D417&gt;OFFSET(Prices!D417,-$N$3,0),1,IF(Prices!D417&lt;OFFSET(Prices!D417,-$N$3,0),-1,0))</f>
        <v>1</v>
      </c>
      <c r="O418" s="1">
        <f ca="1">IF(N418=1,O$3*L417/Prices!C417,O$3*M417*N418)</f>
        <v>1.1848420744826889E-3</v>
      </c>
      <c r="P418" s="14"/>
      <c r="Q418" s="9">
        <f ca="1">Q417-T418*Prices!C418</f>
        <v>0.86514224283038932</v>
      </c>
      <c r="R418" s="1">
        <f t="shared" ca="1" si="47"/>
        <v>1.1394204721366265E-2</v>
      </c>
      <c r="S418" s="9">
        <f ca="1">IF(Prices!C417&lt;OFFSET(Prices!C417,-S$3,0),1,IF(Prices!C417&gt;OFFSET(Prices!C417,-S$3,0),-1,0))</f>
        <v>-1</v>
      </c>
      <c r="T418" s="1">
        <f ca="1">IF(S418=1,T$3*Q417/Prices!C417,T$3*R417*S418)</f>
        <v>-2.3253479023196459E-4</v>
      </c>
      <c r="W418" s="1"/>
      <c r="X418" s="1"/>
      <c r="Y418" s="1"/>
      <c r="Z418" s="1"/>
      <c r="AA418" s="1"/>
      <c r="AB418" s="1"/>
      <c r="AC418" s="1"/>
      <c r="AD418" s="1"/>
      <c r="AE418" s="16"/>
    </row>
    <row r="419" spans="1:31" x14ac:dyDescent="0.2">
      <c r="A419" s="4">
        <v>34093</v>
      </c>
      <c r="B419" s="9">
        <f ca="1">Prices!C418*(1+J419/(50*(ABS(O419)+ABS(T419)+0.0001)))</f>
        <v>109.45564887063435</v>
      </c>
      <c r="C419" s="13">
        <f t="shared" ca="1" si="42"/>
        <v>-1</v>
      </c>
      <c r="D419" s="9">
        <f ca="1">D418+C419*(Prices!C419-Prices!C418)/Prices!C418</f>
        <v>0.23795001512410305</v>
      </c>
      <c r="E419" s="9">
        <f t="shared" ca="1" si="43"/>
        <v>0</v>
      </c>
      <c r="F419" s="9">
        <f t="shared" ca="1" si="44"/>
        <v>0.23795001512410305</v>
      </c>
      <c r="G419" s="13">
        <f ca="1">IF((Prices!C419-Prices!C418)*C419&gt;0,1,0)</f>
        <v>1</v>
      </c>
      <c r="H419" s="9">
        <f>ABS(Prices!C419-Prices!C418)/Prices!C418</f>
        <v>6.583694083693992E-3</v>
      </c>
      <c r="I419" s="13"/>
      <c r="J419" s="1">
        <f t="shared" ca="1" si="45"/>
        <v>-7.399640364884767E-4</v>
      </c>
      <c r="K419" s="9"/>
      <c r="L419" s="9">
        <f ca="1">L418-O419*Prices!C419</f>
        <v>1.283087801332885</v>
      </c>
      <c r="M419" s="1">
        <f t="shared" ca="1" si="46"/>
        <v>8.0641280213027654E-3</v>
      </c>
      <c r="N419" s="9">
        <f ca="1">IF(Prices!D418&gt;OFFSET(Prices!D418,-$N$3,0),1,IF(Prices!D418&lt;OFFSET(Prices!D418,-$N$3,0),-1,0))</f>
        <v>-1</v>
      </c>
      <c r="O419" s="1">
        <f ca="1">IF(N419=1,O$3*L418/Prices!C418,O$3*M418*N419)</f>
        <v>-8.960142245891963E-4</v>
      </c>
      <c r="P419" s="14"/>
      <c r="Q419" s="9">
        <f ca="1">Q418-T419*Prices!C419</f>
        <v>0.84795331461109502</v>
      </c>
      <c r="R419" s="1">
        <f t="shared" ca="1" si="47"/>
        <v>1.1550254909466985E-2</v>
      </c>
      <c r="S419" s="9">
        <f ca="1">IF(Prices!C418&lt;OFFSET(Prices!C418,-S$3,0),1,IF(Prices!C418&gt;OFFSET(Prices!C418,-S$3,0),-1,0))</f>
        <v>1</v>
      </c>
      <c r="T419" s="1">
        <f ca="1">IF(S419=1,T$3*Q418/Prices!C418,T$3*R418*S419)</f>
        <v>1.5605018810071957E-4</v>
      </c>
      <c r="W419" s="1"/>
      <c r="X419" s="1"/>
      <c r="Y419" s="1"/>
      <c r="Z419" s="1"/>
      <c r="AA419" s="1"/>
      <c r="AB419" s="1"/>
      <c r="AC419" s="1"/>
      <c r="AD419" s="1"/>
      <c r="AE419" s="16"/>
    </row>
    <row r="420" spans="1:31" x14ac:dyDescent="0.2">
      <c r="A420" s="4">
        <v>34094</v>
      </c>
      <c r="B420" s="9">
        <f ca="1">Prices!C419*(1+J420/(50*(ABS(O420)+ABS(T420)+0.0001)))</f>
        <v>108.79449418833342</v>
      </c>
      <c r="C420" s="13">
        <f t="shared" ca="1" si="42"/>
        <v>-1</v>
      </c>
      <c r="D420" s="9">
        <f ca="1">D419+C420*(Prices!C420-Prices!C419)/Prices!C419</f>
        <v>0.23749608866019023</v>
      </c>
      <c r="E420" s="9">
        <f t="shared" ca="1" si="43"/>
        <v>4.5392646391281821E-4</v>
      </c>
      <c r="F420" s="9">
        <f t="shared" ca="1" si="44"/>
        <v>0.23795001512410305</v>
      </c>
      <c r="G420" s="13">
        <f ca="1">IF((Prices!C420-Prices!C419)*C420&gt;0,1,0)</f>
        <v>0</v>
      </c>
      <c r="H420" s="9">
        <f>ABS(Prices!C420-Prices!C419)/Prices!C419</f>
        <v>4.5392646391282027E-4</v>
      </c>
      <c r="I420" s="13"/>
      <c r="J420" s="1">
        <f t="shared" ca="1" si="45"/>
        <v>-6.5244942226443993E-4</v>
      </c>
      <c r="K420" s="9"/>
      <c r="L420" s="9">
        <f ca="1">L419-O420*Prices!C420</f>
        <v>1.3719544921276414</v>
      </c>
      <c r="M420" s="1">
        <f t="shared" ca="1" si="46"/>
        <v>7.2577152191724888E-3</v>
      </c>
      <c r="N420" s="9">
        <f ca="1">IF(Prices!D419&gt;OFFSET(Prices!D419,-$N$3,0),1,IF(Prices!D419&lt;OFFSET(Prices!D419,-$N$3,0),-1,0))</f>
        <v>-1</v>
      </c>
      <c r="O420" s="1">
        <f ca="1">IF(N420=1,O$3*L419/Prices!C419,O$3*M419*N420)</f>
        <v>-8.0641280213027654E-4</v>
      </c>
      <c r="P420" s="14"/>
      <c r="Q420" s="9">
        <f ca="1">Q419-T420*Prices!C420</f>
        <v>0.83098655014987988</v>
      </c>
      <c r="R420" s="1">
        <f t="shared" ca="1" si="47"/>
        <v>1.1704218289332822E-2</v>
      </c>
      <c r="S420" s="9">
        <f ca="1">IF(Prices!C419&lt;OFFSET(Prices!C419,-S$3,0),1,IF(Prices!C419&gt;OFFSET(Prices!C419,-S$3,0),-1,0))</f>
        <v>1</v>
      </c>
      <c r="T420" s="1">
        <f ca="1">IF(S420=1,T$3*Q419/Prices!C419,T$3*R419*S420)</f>
        <v>1.5396337986583658E-4</v>
      </c>
      <c r="W420" s="1"/>
      <c r="X420" s="1"/>
      <c r="Y420" s="1"/>
      <c r="Z420" s="1"/>
      <c r="AA420" s="1"/>
      <c r="AB420" s="1"/>
      <c r="AC420" s="1"/>
      <c r="AD420" s="1"/>
      <c r="AE420" s="16"/>
    </row>
    <row r="421" spans="1:31" x14ac:dyDescent="0.2">
      <c r="A421" s="4">
        <v>34095</v>
      </c>
      <c r="B421" s="9">
        <f ca="1">Prices!C420*(1+J421/(50*(ABS(O421)+ABS(T421)+0.0001)))</f>
        <v>108.90241217617893</v>
      </c>
      <c r="C421" s="13">
        <f t="shared" ca="1" si="42"/>
        <v>-1</v>
      </c>
      <c r="D421" s="9">
        <f ca="1">D420+C421*(Prices!C421-Prices!C420)/Prices!C420</f>
        <v>0.2388572501846912</v>
      </c>
      <c r="E421" s="9">
        <f t="shared" ca="1" si="43"/>
        <v>0</v>
      </c>
      <c r="F421" s="9">
        <f t="shared" ca="1" si="44"/>
        <v>0.2388572501846912</v>
      </c>
      <c r="G421" s="13">
        <f ca="1">IF((Prices!C421-Prices!C420)*C421&gt;0,1,0)</f>
        <v>1</v>
      </c>
      <c r="H421" s="9">
        <f>ABS(Prices!C421-Prices!C420)/Prices!C420</f>
        <v>1.361161524500959E-3</v>
      </c>
      <c r="I421" s="13"/>
      <c r="J421" s="1">
        <f t="shared" ca="1" si="45"/>
        <v>-5.749572659916809E-4</v>
      </c>
      <c r="K421" s="9"/>
      <c r="L421" s="9">
        <f ca="1">L420-O421*Prices!C421</f>
        <v>1.4518256481146348</v>
      </c>
      <c r="M421" s="1">
        <f t="shared" ca="1" si="46"/>
        <v>6.5319436972552398E-3</v>
      </c>
      <c r="N421" s="9">
        <f ca="1">IF(Prices!D420&gt;OFFSET(Prices!D420,-$N$3,0),1,IF(Prices!D420&lt;OFFSET(Prices!D420,-$N$3,0),-1,0))</f>
        <v>-1</v>
      </c>
      <c r="O421" s="1">
        <f ca="1">IF(N421=1,O$3*L420/Prices!C420,O$3*M420*N421)</f>
        <v>-7.2577152191724895E-4</v>
      </c>
      <c r="P421" s="14"/>
      <c r="Q421" s="9">
        <f ca="1">Q420-T421*Prices!C421</f>
        <v>0.81438944128527113</v>
      </c>
      <c r="R421" s="1">
        <f t="shared" ca="1" si="47"/>
        <v>1.185503254525839E-2</v>
      </c>
      <c r="S421" s="9">
        <f ca="1">IF(Prices!C420&lt;OFFSET(Prices!C420,-S$3,0),1,IF(Prices!C420&gt;OFFSET(Prices!C420,-S$3,0),-1,0))</f>
        <v>1</v>
      </c>
      <c r="T421" s="1">
        <f ca="1">IF(S421=1,T$3*Q420/Prices!C420,T$3*R420*S421)</f>
        <v>1.5081425592556802E-4</v>
      </c>
      <c r="W421" s="1"/>
      <c r="X421" s="1"/>
      <c r="Y421" s="1"/>
      <c r="Z421" s="1"/>
      <c r="AA421" s="1"/>
      <c r="AB421" s="1"/>
      <c r="AC421" s="1"/>
      <c r="AD421" s="1"/>
      <c r="AE421" s="16"/>
    </row>
    <row r="422" spans="1:31" x14ac:dyDescent="0.2">
      <c r="A422" s="4">
        <v>34096</v>
      </c>
      <c r="B422" s="9">
        <f ca="1">Prices!C421*(1+J422/(50*(ABS(O422)+ABS(T422)+0.0001)))</f>
        <v>108.81616997479099</v>
      </c>
      <c r="C422" s="13">
        <f t="shared" ca="1" si="42"/>
        <v>-1</v>
      </c>
      <c r="D422" s="9">
        <f ca="1">D421+C422*(Prices!C422-Prices!C421)/Prices!C421</f>
        <v>0.2356768776267629</v>
      </c>
      <c r="E422" s="9">
        <f t="shared" ca="1" si="43"/>
        <v>3.1803725579283015E-3</v>
      </c>
      <c r="F422" s="9">
        <f t="shared" ca="1" si="44"/>
        <v>0.2388572501846912</v>
      </c>
      <c r="G422" s="13">
        <f ca="1">IF((Prices!C422-Prices!C421)*C422&gt;0,1,0)</f>
        <v>0</v>
      </c>
      <c r="H422" s="9">
        <f>ABS(Prices!C422-Prices!C421)/Prices!C421</f>
        <v>3.180372557928292E-3</v>
      </c>
      <c r="I422" s="13"/>
      <c r="J422" s="1">
        <f t="shared" ca="1" si="45"/>
        <v>-5.0519083655237162E-4</v>
      </c>
      <c r="K422" s="9"/>
      <c r="L422" s="9">
        <f ca="1">L421-O422*Prices!C422</f>
        <v>1.5239383065323326</v>
      </c>
      <c r="M422" s="1">
        <f t="shared" ca="1" si="46"/>
        <v>5.878749327529716E-3</v>
      </c>
      <c r="N422" s="9">
        <f ca="1">IF(Prices!D421&gt;OFFSET(Prices!D421,-$N$3,0),1,IF(Prices!D421&lt;OFFSET(Prices!D421,-$N$3,0),-1,0))</f>
        <v>-1</v>
      </c>
      <c r="O422" s="1">
        <f ca="1">IF(N422=1,O$3*L421/Prices!C421,O$3*M421*N422)</f>
        <v>-6.5319436972552402E-4</v>
      </c>
      <c r="P422" s="14"/>
      <c r="Q422" s="9">
        <f ca="1">Q421-T422*Prices!C422</f>
        <v>0.79804985122295513</v>
      </c>
      <c r="R422" s="1">
        <f t="shared" ca="1" si="47"/>
        <v>1.2003036078431542E-2</v>
      </c>
      <c r="S422" s="9">
        <f ca="1">IF(Prices!C421&lt;OFFSET(Prices!C421,-S$3,0),1,IF(Prices!C421&gt;OFFSET(Prices!C421,-S$3,0),-1,0))</f>
        <v>1</v>
      </c>
      <c r="T422" s="1">
        <f ca="1">IF(S422=1,T$3*Q421/Prices!C421,T$3*R421*S422)</f>
        <v>1.480035331731524E-4</v>
      </c>
      <c r="W422" s="1"/>
      <c r="X422" s="1"/>
      <c r="Y422" s="1"/>
      <c r="Z422" s="1"/>
      <c r="AA422" s="1"/>
      <c r="AB422" s="1"/>
      <c r="AC422" s="1"/>
      <c r="AD422" s="1"/>
      <c r="AE422" s="16"/>
    </row>
    <row r="423" spans="1:31" x14ac:dyDescent="0.2">
      <c r="A423" s="4">
        <v>34099</v>
      </c>
      <c r="B423" s="9">
        <f ca="1">Prices!C422*(1+J423/(50*(ABS(O423)+ABS(T423)+0.0001)))</f>
        <v>109.22418298536617</v>
      </c>
      <c r="C423" s="13">
        <f t="shared" ca="1" si="42"/>
        <v>-1</v>
      </c>
      <c r="D423" s="9">
        <f ca="1">D422+C423*(Prices!C423-Prices!C422)/Prices!C422</f>
        <v>0.22272397907603833</v>
      </c>
      <c r="E423" s="9">
        <f t="shared" ca="1" si="43"/>
        <v>1.6133271108652869E-2</v>
      </c>
      <c r="F423" s="9">
        <f t="shared" ca="1" si="44"/>
        <v>0.2388572501846912</v>
      </c>
      <c r="G423" s="13">
        <f ca="1">IF((Prices!C423-Prices!C422)*C423&gt;0,1,0)</f>
        <v>0</v>
      </c>
      <c r="H423" s="9">
        <f>ABS(Prices!C423-Prices!C422)/Prices!C422</f>
        <v>1.2952898550724569E-2</v>
      </c>
      <c r="I423" s="13"/>
      <c r="J423" s="1">
        <f t="shared" ca="1" si="45"/>
        <v>-4.4330068434301595E-4</v>
      </c>
      <c r="K423" s="9"/>
      <c r="L423" s="9">
        <f ca="1">L422-O423*Prices!C423</f>
        <v>1.5896803602620975</v>
      </c>
      <c r="M423" s="1">
        <f t="shared" ca="1" si="46"/>
        <v>5.2908743947767444E-3</v>
      </c>
      <c r="N423" s="9">
        <f ca="1">IF(Prices!D422&gt;OFFSET(Prices!D422,-$N$3,0),1,IF(Prices!D422&lt;OFFSET(Prices!D422,-$N$3,0),-1,0))</f>
        <v>-1</v>
      </c>
      <c r="O423" s="1">
        <f ca="1">IF(N423=1,O$3*L422/Prices!C422,O$3*M422*N423)</f>
        <v>-5.878749327529716E-4</v>
      </c>
      <c r="P423" s="14"/>
      <c r="Q423" s="9">
        <f ca="1">Q422-T423*Prices!C423</f>
        <v>0.78188211302326982</v>
      </c>
      <c r="R423" s="1">
        <f t="shared" ca="1" si="47"/>
        <v>1.2147610326841498E-2</v>
      </c>
      <c r="S423" s="9">
        <f ca="1">IF(Prices!C422&lt;OFFSET(Prices!C422,-S$3,0),1,IF(Prices!C422&gt;OFFSET(Prices!C422,-S$3,0),-1,0))</f>
        <v>1</v>
      </c>
      <c r="T423" s="1">
        <f ca="1">IF(S423=1,T$3*Q422/Prices!C422,T$3*R422*S423)</f>
        <v>1.4457424840995563E-4</v>
      </c>
      <c r="W423" s="1"/>
      <c r="X423" s="1"/>
      <c r="Y423" s="1"/>
      <c r="Z423" s="1"/>
      <c r="AA423" s="1"/>
      <c r="AB423" s="1"/>
      <c r="AC423" s="1"/>
      <c r="AD423" s="1"/>
      <c r="AE423" s="16"/>
    </row>
    <row r="424" spans="1:31" x14ac:dyDescent="0.2">
      <c r="A424" s="4">
        <v>34100</v>
      </c>
      <c r="B424" s="9">
        <f ca="1">Prices!C423*(1+J424/(50*(ABS(O424)+ABS(T424)+0.0001)))</f>
        <v>110.24556084263909</v>
      </c>
      <c r="C424" s="13">
        <f t="shared" ca="1" si="42"/>
        <v>-1</v>
      </c>
      <c r="D424" s="9">
        <f ca="1">D423+C424*(Prices!C424-Prices!C423)/Prices!C423</f>
        <v>0.2267479440228326</v>
      </c>
      <c r="E424" s="9">
        <f t="shared" ca="1" si="43"/>
        <v>1.2109306161858596E-2</v>
      </c>
      <c r="F424" s="9">
        <f t="shared" ca="1" si="44"/>
        <v>0.2388572501846912</v>
      </c>
      <c r="G424" s="13">
        <f ca="1">IF((Prices!C424-Prices!C423)*C424&gt;0,1,0)</f>
        <v>1</v>
      </c>
      <c r="H424" s="9">
        <f>ABS(Prices!C424-Prices!C423)/Prices!C423</f>
        <v>4.0239649467942668E-3</v>
      </c>
      <c r="I424" s="13"/>
      <c r="J424" s="1">
        <f t="shared" ca="1" si="45"/>
        <v>-2.4295220653682996E-4</v>
      </c>
      <c r="K424" s="9"/>
      <c r="L424" s="9">
        <f ca="1">L423-O424*Prices!C424</f>
        <v>1.5896803602620975</v>
      </c>
      <c r="M424" s="1">
        <f t="shared" ca="1" si="46"/>
        <v>5.2908743947767444E-3</v>
      </c>
      <c r="N424" s="9">
        <f ca="1">IF(Prices!D423&gt;OFFSET(Prices!D423,-$N$3,0),1,IF(Prices!D423&lt;OFFSET(Prices!D423,-$N$3,0),-1,0))</f>
        <v>0</v>
      </c>
      <c r="O424" s="1">
        <f ca="1">IF(N424=1,O$3*L423/Prices!C423,O$3*M423*N424)</f>
        <v>0</v>
      </c>
      <c r="P424" s="14"/>
      <c r="Q424" s="9">
        <f ca="1">Q423-T424*Prices!C424</f>
        <v>0.80894212978734192</v>
      </c>
      <c r="R424" s="1">
        <f t="shared" ca="1" si="47"/>
        <v>1.1904658120304668E-2</v>
      </c>
      <c r="S424" s="9">
        <f ca="1">IF(Prices!C423&lt;OFFSET(Prices!C423,-S$3,0),1,IF(Prices!C423&gt;OFFSET(Prices!C423,-S$3,0),-1,0))</f>
        <v>-1</v>
      </c>
      <c r="T424" s="1">
        <f ca="1">IF(S424=1,T$3*Q423/Prices!C423,T$3*R423*S424)</f>
        <v>-2.4295220653682996E-4</v>
      </c>
      <c r="W424" s="1"/>
      <c r="X424" s="1"/>
      <c r="Y424" s="1"/>
      <c r="Z424" s="1"/>
      <c r="AA424" s="1"/>
      <c r="AB424" s="1"/>
      <c r="AC424" s="1"/>
      <c r="AD424" s="1"/>
      <c r="AE424" s="16"/>
    </row>
    <row r="425" spans="1:31" x14ac:dyDescent="0.2">
      <c r="A425" s="4">
        <v>34101</v>
      </c>
      <c r="B425" s="9">
        <f ca="1">Prices!C424*(1+J425/(50*(ABS(O425)+ABS(T425)+0.0001)))</f>
        <v>109.40927843975764</v>
      </c>
      <c r="C425" s="13">
        <f t="shared" ca="1" si="42"/>
        <v>-1</v>
      </c>
      <c r="D425" s="9">
        <f ca="1">D424+C425*(Prices!C425-Prices!C424)/Prices!C424</f>
        <v>0.22522163768417214</v>
      </c>
      <c r="E425" s="9">
        <f t="shared" ca="1" si="43"/>
        <v>1.3635612500519062E-2</v>
      </c>
      <c r="F425" s="9">
        <f t="shared" ca="1" si="44"/>
        <v>0.2388572501846912</v>
      </c>
      <c r="G425" s="13">
        <f ca="1">IF((Prices!C425-Prices!C424)*C425&gt;0,1,0)</f>
        <v>0</v>
      </c>
      <c r="H425" s="9">
        <f>ABS(Prices!C425-Prices!C424)/Prices!C424</f>
        <v>1.5263063386604572E-3</v>
      </c>
      <c r="I425" s="13"/>
      <c r="J425" s="1">
        <f t="shared" ca="1" si="45"/>
        <v>-7.6718060188376777E-4</v>
      </c>
      <c r="K425" s="9"/>
      <c r="L425" s="9">
        <f ca="1">L424-O425*Prices!C425</f>
        <v>1.648700064135832</v>
      </c>
      <c r="M425" s="1">
        <f t="shared" ca="1" si="46"/>
        <v>4.7617869552990695E-3</v>
      </c>
      <c r="N425" s="9">
        <f ca="1">IF(Prices!D424&gt;OFFSET(Prices!D424,-$N$3,0),1,IF(Prices!D424&lt;OFFSET(Prices!D424,-$N$3,0),-1,0))</f>
        <v>-1</v>
      </c>
      <c r="O425" s="1">
        <f ca="1">IF(N425=1,O$3*L424/Prices!C424,O$3*M424*N425)</f>
        <v>-5.2908743947767444E-4</v>
      </c>
      <c r="P425" s="14"/>
      <c r="Q425" s="9">
        <f ca="1">Q424-T425*Prices!C425</f>
        <v>0.83550142205374167</v>
      </c>
      <c r="R425" s="1">
        <f t="shared" ca="1" si="47"/>
        <v>1.1666564957898574E-2</v>
      </c>
      <c r="S425" s="9">
        <f ca="1">IF(Prices!C424&lt;OFFSET(Prices!C424,-S$3,0),1,IF(Prices!C424&gt;OFFSET(Prices!C424,-S$3,0),-1,0))</f>
        <v>-1</v>
      </c>
      <c r="T425" s="1">
        <f ca="1">IF(S425=1,T$3*Q424/Prices!C424,T$3*R424*S425)</f>
        <v>-2.3809316240609336E-4</v>
      </c>
      <c r="W425" s="1"/>
      <c r="X425" s="1"/>
      <c r="Y425" s="1"/>
      <c r="Z425" s="1"/>
      <c r="AA425" s="1"/>
      <c r="AB425" s="1"/>
      <c r="AC425" s="1"/>
      <c r="AD425" s="1"/>
      <c r="AE425" s="16"/>
    </row>
    <row r="426" spans="1:31" x14ac:dyDescent="0.2">
      <c r="A426" s="4">
        <v>34102</v>
      </c>
      <c r="B426" s="9">
        <f ca="1">Prices!C425*(1+J426/(50*(ABS(O426)+ABS(T426)+0.0001)))</f>
        <v>113.08304383455243</v>
      </c>
      <c r="C426" s="13">
        <f t="shared" ca="1" si="42"/>
        <v>1</v>
      </c>
      <c r="D426" s="9">
        <f ca="1">D425+C426*(Prices!C426-Prices!C425)/Prices!C425</f>
        <v>0.22880747363217757</v>
      </c>
      <c r="E426" s="9">
        <f t="shared" ca="1" si="43"/>
        <v>1.0049776552513628E-2</v>
      </c>
      <c r="F426" s="9">
        <f t="shared" ca="1" si="44"/>
        <v>0.2388572501846912</v>
      </c>
      <c r="G426" s="13">
        <f ca="1">IF((Prices!C426-Prices!C425)*C426&gt;0,1,0)</f>
        <v>1</v>
      </c>
      <c r="H426" s="9">
        <f>ABS(Prices!C426-Prices!C425)/Prices!C425</f>
        <v>3.5858359480054297E-3</v>
      </c>
      <c r="I426" s="13"/>
      <c r="J426" s="1">
        <f t="shared" ca="1" si="45"/>
        <v>1.2446606902062887E-3</v>
      </c>
      <c r="K426" s="9"/>
      <c r="L426" s="9">
        <f ca="1">L425-O426*Prices!C426</f>
        <v>1.483238860926503</v>
      </c>
      <c r="M426" s="1">
        <f t="shared" ca="1" si="46"/>
        <v>6.2397789446633298E-3</v>
      </c>
      <c r="N426" s="9">
        <f ca="1">IF(Prices!D425&gt;OFFSET(Prices!D425,-$N$3,0),1,IF(Prices!D425&lt;OFFSET(Prices!D425,-$N$3,0),-1,0))</f>
        <v>1</v>
      </c>
      <c r="O426" s="1">
        <f ca="1">IF(N426=1,O$3*L425/Prices!C425,O$3*M425*N426)</f>
        <v>1.4779919893642601E-3</v>
      </c>
      <c r="P426" s="14"/>
      <c r="Q426" s="9">
        <f ca="1">Q425-T426*Prices!C426</f>
        <v>0.8616228609944766</v>
      </c>
      <c r="R426" s="1">
        <f t="shared" ca="1" si="47"/>
        <v>1.1433233658740603E-2</v>
      </c>
      <c r="S426" s="9">
        <f ca="1">IF(Prices!C425&lt;OFFSET(Prices!C425,-S$3,0),1,IF(Prices!C425&gt;OFFSET(Prices!C425,-S$3,0),-1,0))</f>
        <v>-1</v>
      </c>
      <c r="T426" s="1">
        <f ca="1">IF(S426=1,T$3*Q425/Prices!C425,T$3*R425*S426)</f>
        <v>-2.3333129915797149E-4</v>
      </c>
      <c r="W426" s="1"/>
      <c r="X426" s="1"/>
      <c r="Y426" s="1"/>
      <c r="Z426" s="1"/>
      <c r="AA426" s="1"/>
      <c r="AB426" s="1"/>
      <c r="AC426" s="1"/>
      <c r="AD426" s="1"/>
      <c r="AE426" s="16"/>
    </row>
    <row r="427" spans="1:31" x14ac:dyDescent="0.2">
      <c r="A427" s="4">
        <v>34103</v>
      </c>
      <c r="B427" s="9">
        <f ca="1">Prices!C426*(1+J427/(50*(ABS(O427)+ABS(T427)+0.0001)))</f>
        <v>113.43435674112801</v>
      </c>
      <c r="C427" s="13">
        <f t="shared" ca="1" si="42"/>
        <v>1</v>
      </c>
      <c r="D427" s="9">
        <f ca="1">D426+C427*(Prices!C427-Prices!C426)/Prices!C426</f>
        <v>0.21790975143476801</v>
      </c>
      <c r="E427" s="9">
        <f t="shared" ca="1" si="43"/>
        <v>2.0947498749923188E-2</v>
      </c>
      <c r="F427" s="9">
        <f t="shared" ca="1" si="44"/>
        <v>0.2388572501846912</v>
      </c>
      <c r="G427" s="13">
        <f ca="1">IF((Prices!C427-Prices!C426)*C427&gt;0,1,0)</f>
        <v>0</v>
      </c>
      <c r="H427" s="9">
        <f>ABS(Prices!C427-Prices!C426)/Prices!C426</f>
        <v>1.0897722197409547E-2</v>
      </c>
      <c r="I427" s="13"/>
      <c r="J427" s="1">
        <f t="shared" ca="1" si="45"/>
        <v>1.0962472168890586E-3</v>
      </c>
      <c r="K427" s="9"/>
      <c r="L427" s="9">
        <f ca="1">L426-O427*Prices!C427</f>
        <v>1.3365313673397305</v>
      </c>
      <c r="M427" s="1">
        <f t="shared" ca="1" si="46"/>
        <v>7.5646908347272003E-3</v>
      </c>
      <c r="N427" s="9">
        <f ca="1">IF(Prices!D426&gt;OFFSET(Prices!D426,-$N$3,0),1,IF(Prices!D426&lt;OFFSET(Prices!D426,-$N$3,0),-1,0))</f>
        <v>1</v>
      </c>
      <c r="O427" s="1">
        <f ca="1">IF(N427=1,O$3*L426/Prices!C426,O$3*M426*N427)</f>
        <v>1.3249118900638707E-3</v>
      </c>
      <c r="P427" s="14"/>
      <c r="Q427" s="9">
        <f ca="1">Q426-T427*Prices!C427</f>
        <v>0.88694290025512357</v>
      </c>
      <c r="R427" s="1">
        <f t="shared" ca="1" si="47"/>
        <v>1.120456898556579E-2</v>
      </c>
      <c r="S427" s="9">
        <f ca="1">IF(Prices!C426&lt;OFFSET(Prices!C426,-S$3,0),1,IF(Prices!C426&gt;OFFSET(Prices!C426,-S$3,0),-1,0))</f>
        <v>-1</v>
      </c>
      <c r="T427" s="1">
        <f ca="1">IF(S427=1,T$3*Q426/Prices!C426,T$3*R426*S427)</f>
        <v>-2.2866467317481207E-4</v>
      </c>
      <c r="W427" s="9"/>
      <c r="X427" s="1"/>
      <c r="Y427" s="9"/>
      <c r="Z427" s="1"/>
      <c r="AA427" s="17"/>
      <c r="AB427" s="16"/>
      <c r="AC427" s="16"/>
      <c r="AD427" s="1"/>
      <c r="AE427" s="16"/>
    </row>
    <row r="428" spans="1:31" x14ac:dyDescent="0.2">
      <c r="A428" s="4">
        <v>34106</v>
      </c>
      <c r="B428" s="9">
        <f ca="1">Prices!C427*(1+J428/(50*(ABS(O428)+ABS(T428)+0.0001)))</f>
        <v>112.79366123414842</v>
      </c>
      <c r="C428" s="13">
        <f t="shared" ca="1" si="42"/>
        <v>1</v>
      </c>
      <c r="D428" s="9">
        <f ca="1">D427+C428*(Prices!C428-Prices!C427)/Prices!C427</f>
        <v>0.22341864694637281</v>
      </c>
      <c r="E428" s="9">
        <f t="shared" ca="1" si="43"/>
        <v>1.5438603238318388E-2</v>
      </c>
      <c r="F428" s="9">
        <f t="shared" ca="1" si="44"/>
        <v>0.2388572501846912</v>
      </c>
      <c r="G428" s="13">
        <f ca="1">IF((Prices!C428-Prices!C427)*C428&gt;0,1,0)</f>
        <v>1</v>
      </c>
      <c r="H428" s="9">
        <f>ABS(Prices!C428-Prices!C427)/Prices!C427</f>
        <v>5.5088955116047991E-3</v>
      </c>
      <c r="I428" s="13"/>
      <c r="J428" s="1">
        <f t="shared" ca="1" si="45"/>
        <v>1.367217508706543E-3</v>
      </c>
      <c r="K428" s="9"/>
      <c r="L428" s="9">
        <f ca="1">L427-O428*Prices!C428</f>
        <v>1.2021419494406917</v>
      </c>
      <c r="M428" s="1">
        <f t="shared" ca="1" si="46"/>
        <v>8.7717091381135735E-3</v>
      </c>
      <c r="N428" s="9">
        <f ca="1">IF(Prices!D427&gt;OFFSET(Prices!D427,-$N$3,0),1,IF(Prices!D427&lt;OFFSET(Prices!D427,-$N$3,0),-1,0))</f>
        <v>1</v>
      </c>
      <c r="O428" s="1">
        <f ca="1">IF(N428=1,O$3*L427/Prices!C427,O$3*M427*N428)</f>
        <v>1.2070183033863727E-3</v>
      </c>
      <c r="P428" s="14"/>
      <c r="Q428" s="9">
        <f ca="1">Q427-T428*Prices!C428</f>
        <v>0.86910632073477578</v>
      </c>
      <c r="R428" s="1">
        <f t="shared" ca="1" si="47"/>
        <v>1.1364768190885961E-2</v>
      </c>
      <c r="S428" s="9">
        <f ca="1">IF(Prices!C427&lt;OFFSET(Prices!C427,-S$3,0),1,IF(Prices!C427&gt;OFFSET(Prices!C427,-S$3,0),-1,0))</f>
        <v>1</v>
      </c>
      <c r="T428" s="1">
        <f ca="1">IF(S428=1,T$3*Q427/Prices!C427,T$3*R427*S428)</f>
        <v>1.601992053201704E-4</v>
      </c>
      <c r="W428" s="9"/>
      <c r="X428" s="1"/>
      <c r="Y428" s="9"/>
      <c r="Z428" s="1"/>
      <c r="AA428" s="1"/>
      <c r="AB428" s="1"/>
      <c r="AC428" s="1"/>
      <c r="AD428" s="16"/>
      <c r="AE428" s="16"/>
    </row>
    <row r="429" spans="1:31" x14ac:dyDescent="0.2">
      <c r="A429" s="4">
        <v>34107</v>
      </c>
      <c r="B429" s="9">
        <f ca="1">Prices!C428*(1+J429/(50*(ABS(O429)+ABS(T429)+0.0001)))</f>
        <v>113.40010103119864</v>
      </c>
      <c r="C429" s="13">
        <f t="shared" ca="1" si="42"/>
        <v>1</v>
      </c>
      <c r="D429" s="9">
        <f ca="1">D428+C429*(Prices!C429-Prices!C428)/Prices!C428</f>
        <v>0.22449642672003897</v>
      </c>
      <c r="E429" s="9">
        <f t="shared" ca="1" si="43"/>
        <v>1.4360823464652228E-2</v>
      </c>
      <c r="F429" s="9">
        <f t="shared" ca="1" si="44"/>
        <v>0.2388572501846912</v>
      </c>
      <c r="G429" s="13">
        <f ca="1">IF((Prices!C429-Prices!C428)*C429&gt;0,1,0)</f>
        <v>1</v>
      </c>
      <c r="H429" s="9">
        <f>ABS(Prices!C429-Prices!C428)/Prices!C428</f>
        <v>1.0777797736661607E-3</v>
      </c>
      <c r="I429" s="13"/>
      <c r="J429" s="1">
        <f t="shared" ca="1" si="45"/>
        <v>1.2358211007613138E-3</v>
      </c>
      <c r="K429" s="9"/>
      <c r="L429" s="9">
        <f ca="1">L428-O429*Prices!C429</f>
        <v>1.0817981900688043</v>
      </c>
      <c r="M429" s="1">
        <f t="shared" ca="1" si="46"/>
        <v>9.8514127032659823E-3</v>
      </c>
      <c r="N429" s="9">
        <f ca="1">IF(Prices!D428&gt;OFFSET(Prices!D428,-$N$3,0),1,IF(Prices!D428&lt;OFFSET(Prices!D428,-$N$3,0),-1,0))</f>
        <v>1</v>
      </c>
      <c r="O429" s="1">
        <f ca="1">IF(N429=1,O$3*L428/Prices!C428,O$3*M428*N429)</f>
        <v>1.0797035651524086E-3</v>
      </c>
      <c r="P429" s="14"/>
      <c r="Q429" s="9">
        <f ca="1">Q428-T429*Prices!C429</f>
        <v>0.85170546021580718</v>
      </c>
      <c r="R429" s="1">
        <f t="shared" ca="1" si="47"/>
        <v>1.1520885726494866E-2</v>
      </c>
      <c r="S429" s="9">
        <f ca="1">IF(Prices!C428&lt;OFFSET(Prices!C428,-S$3,0),1,IF(Prices!C428&gt;OFFSET(Prices!C428,-S$3,0),-1,0))</f>
        <v>1</v>
      </c>
      <c r="T429" s="1">
        <f ca="1">IF(S429=1,T$3*Q428/Prices!C428,T$3*R428*S429)</f>
        <v>1.5611753560890529E-4</v>
      </c>
    </row>
    <row r="430" spans="1:31" x14ac:dyDescent="0.2">
      <c r="A430" s="4">
        <v>34108</v>
      </c>
      <c r="B430" s="9">
        <f ca="1">Prices!C429*(1+J430/(50*(ABS(O430)+ABS(T430)+0.0001)))</f>
        <v>113.50698618157148</v>
      </c>
      <c r="C430" s="13">
        <f t="shared" ca="1" si="42"/>
        <v>1</v>
      </c>
      <c r="D430" s="9">
        <f ca="1">D429+C430*(Prices!C430-Prices!C429)/Prices!C429</f>
        <v>0.21857501993733669</v>
      </c>
      <c r="E430" s="9">
        <f t="shared" ca="1" si="43"/>
        <v>2.028223024735451E-2</v>
      </c>
      <c r="F430" s="9">
        <f t="shared" ca="1" si="44"/>
        <v>0.2388572501846912</v>
      </c>
      <c r="G430" s="13">
        <f ca="1">IF((Prices!C430-Prices!C429)*C430&gt;0,1,0)</f>
        <v>0</v>
      </c>
      <c r="H430" s="9">
        <f>ABS(Prices!C430-Prices!C429)/Prices!C429</f>
        <v>5.9214067827022846E-3</v>
      </c>
      <c r="I430" s="13"/>
      <c r="J430" s="1">
        <f t="shared" ca="1" si="45"/>
        <v>1.1233978845433033E-3</v>
      </c>
      <c r="K430" s="9"/>
      <c r="L430" s="9">
        <f ca="1">L429-O430*Prices!C430</f>
        <v>0.97425894777594269</v>
      </c>
      <c r="M430" s="1">
        <f t="shared" ca="1" si="46"/>
        <v>1.0821983482082423E-2</v>
      </c>
      <c r="N430" s="9">
        <f ca="1">IF(Prices!D429&gt;OFFSET(Prices!D429,-$N$3,0),1,IF(Prices!D429&lt;OFFSET(Prices!D429,-$N$3,0),-1,0))</f>
        <v>1</v>
      </c>
      <c r="O430" s="1">
        <f ca="1">IF(N430=1,O$3*L429/Prices!C429,O$3*M429*N430)</f>
        <v>9.705707788164404E-4</v>
      </c>
      <c r="P430" s="14"/>
      <c r="Q430" s="9">
        <f ca="1">Q429-T430*Prices!C430</f>
        <v>0.83477221690127079</v>
      </c>
      <c r="R430" s="1">
        <f t="shared" ca="1" si="47"/>
        <v>1.1673712832221728E-2</v>
      </c>
      <c r="S430" s="9">
        <f ca="1">IF(Prices!C429&lt;OFFSET(Prices!C429,-S$3,0),1,IF(Prices!C429&gt;OFFSET(Prices!C429,-S$3,0),-1,0))</f>
        <v>1</v>
      </c>
      <c r="T430" s="1">
        <f ca="1">IF(S430=1,T$3*Q429/Prices!C429,T$3*R429*S430)</f>
        <v>1.5282710572686294E-4</v>
      </c>
    </row>
    <row r="431" spans="1:31" x14ac:dyDescent="0.2">
      <c r="A431" s="4">
        <v>34109</v>
      </c>
      <c r="B431" s="9">
        <f ca="1">Prices!C430*(1+J431/(50*(ABS(O431)+ABS(T431)+0.0001)))</f>
        <v>112.81988963749561</v>
      </c>
      <c r="C431" s="13">
        <f t="shared" ca="1" si="42"/>
        <v>1</v>
      </c>
      <c r="D431" s="9">
        <f ca="1">D430+C431*(Prices!C431-Prices!C430)/Prices!C430</f>
        <v>0.21812375639943057</v>
      </c>
      <c r="E431" s="9">
        <f t="shared" ca="1" si="43"/>
        <v>2.0733493785260626E-2</v>
      </c>
      <c r="F431" s="9">
        <f t="shared" ca="1" si="44"/>
        <v>0.2388572501846912</v>
      </c>
      <c r="G431" s="13">
        <f ca="1">IF((Prices!C431-Prices!C430)*C431&gt;0,1,0)</f>
        <v>0</v>
      </c>
      <c r="H431" s="9">
        <f>ABS(Prices!C431-Prices!C430)/Prices!C430</f>
        <v>4.5126353790611156E-4</v>
      </c>
      <c r="I431" s="13"/>
      <c r="J431" s="1">
        <f t="shared" ca="1" si="45"/>
        <v>1.0299759847980118E-3</v>
      </c>
      <c r="K431" s="9"/>
      <c r="L431" s="9">
        <f ca="1">L430-O431*Prices!C431</f>
        <v>0.87687701775230942</v>
      </c>
      <c r="M431" s="1">
        <f t="shared" ca="1" si="46"/>
        <v>1.1701278561302588E-2</v>
      </c>
      <c r="N431" s="9">
        <f ca="1">IF(Prices!D430&gt;OFFSET(Prices!D430,-$N$3,0),1,IF(Prices!D430&lt;OFFSET(Prices!D430,-$N$3,0),-1,0))</f>
        <v>1</v>
      </c>
      <c r="O431" s="1">
        <f ca="1">IF(N431=1,O$3*L430/Prices!C430,O$3*M430*N431)</f>
        <v>8.7929507922016503E-4</v>
      </c>
      <c r="P431" s="14"/>
      <c r="Q431" s="9">
        <f ca="1">Q430-T431*Prices!C431</f>
        <v>0.81808430660852427</v>
      </c>
      <c r="R431" s="1">
        <f t="shared" ca="1" si="47"/>
        <v>1.1824393737799576E-2</v>
      </c>
      <c r="S431" s="9">
        <f ca="1">IF(Prices!C430&lt;OFFSET(Prices!C430,-S$3,0),1,IF(Prices!C430&gt;OFFSET(Prices!C430,-S$3,0),-1,0))</f>
        <v>1</v>
      </c>
      <c r="T431" s="1">
        <f ca="1">IF(S431=1,T$3*Q430/Prices!C430,T$3*R430*S431)</f>
        <v>1.5068090557784672E-4</v>
      </c>
      <c r="Y431" s="9"/>
      <c r="Z431" s="9"/>
    </row>
    <row r="432" spans="1:31" x14ac:dyDescent="0.2">
      <c r="A432" s="4">
        <v>34110</v>
      </c>
      <c r="B432" s="9">
        <f ca="1">Prices!C431*(1+J432/(50*(ABS(O432)+ABS(T432)+0.0001)))</f>
        <v>108.68201824457236</v>
      </c>
      <c r="C432" s="13">
        <f t="shared" ca="1" si="42"/>
        <v>-1</v>
      </c>
      <c r="D432" s="9">
        <f ca="1">D431+C432*(Prices!C432-Prices!C431)/Prices!C431</f>
        <v>0.22038109274254569</v>
      </c>
      <c r="E432" s="9">
        <f t="shared" ca="1" si="43"/>
        <v>1.8476157442145508E-2</v>
      </c>
      <c r="F432" s="9">
        <f t="shared" ca="1" si="44"/>
        <v>0.2388572501846912</v>
      </c>
      <c r="G432" s="13">
        <f ca="1">IF((Prices!C432-Prices!C431)*C432&gt;0,1,0)</f>
        <v>1</v>
      </c>
      <c r="H432" s="9">
        <f>ABS(Prices!C432-Prices!C431)/Prices!C431</f>
        <v>2.257336343115124E-3</v>
      </c>
      <c r="I432" s="13"/>
      <c r="J432" s="1">
        <f t="shared" ca="1" si="45"/>
        <v>-1.4066157308862503E-3</v>
      </c>
      <c r="K432" s="9"/>
      <c r="L432" s="9">
        <f ca="1">L431-O432*Prices!C432</f>
        <v>1.0061761458547029</v>
      </c>
      <c r="M432" s="1">
        <f t="shared" ca="1" si="46"/>
        <v>1.053115070517233E-2</v>
      </c>
      <c r="N432" s="9">
        <f ca="1">IF(Prices!D431&gt;OFFSET(Prices!D431,-$N$3,0),1,IF(Prices!D431&lt;OFFSET(Prices!D431,-$N$3,0),-1,0))</f>
        <v>-1</v>
      </c>
      <c r="O432" s="1">
        <f ca="1">IF(N432=1,O$3*L431/Prices!C431,O$3*M431*N432)</f>
        <v>-1.1701278561302589E-3</v>
      </c>
      <c r="P432" s="14"/>
      <c r="Q432" s="9">
        <f ca="1">Q431-T432*Prices!C432</f>
        <v>0.84421621676906133</v>
      </c>
      <c r="R432" s="1">
        <f t="shared" ca="1" si="47"/>
        <v>1.1587905863043584E-2</v>
      </c>
      <c r="S432" s="9">
        <f ca="1">IF(Prices!C431&lt;OFFSET(Prices!C431,-S$3,0),1,IF(Prices!C431&gt;OFFSET(Prices!C431,-S$3,0),-1,0))</f>
        <v>-1</v>
      </c>
      <c r="T432" s="1">
        <f ca="1">IF(S432=1,T$3*Q431/Prices!C431,T$3*R431*S432)</f>
        <v>-2.3648787475599151E-4</v>
      </c>
    </row>
    <row r="433" spans="1:20" x14ac:dyDescent="0.2">
      <c r="A433" s="4">
        <v>34113</v>
      </c>
      <c r="B433" s="9">
        <f ca="1">Prices!C432*(1+J433/(50*(ABS(O433)+ABS(T433)+0.0001)))</f>
        <v>112.5200339815564</v>
      </c>
      <c r="C433" s="13">
        <f t="shared" ca="1" si="42"/>
        <v>1</v>
      </c>
      <c r="D433" s="9">
        <f ca="1">D432+C433*(Prices!C433-Prices!C432)/Prices!C432</f>
        <v>0.22173855880589416</v>
      </c>
      <c r="E433" s="9">
        <f t="shared" ca="1" si="43"/>
        <v>1.7118691378797041E-2</v>
      </c>
      <c r="F433" s="9">
        <f t="shared" ca="1" si="44"/>
        <v>0.2388572501846912</v>
      </c>
      <c r="G433" s="13">
        <f ca="1">IF((Prices!C433-Prices!C432)*C433&gt;0,1,0)</f>
        <v>1</v>
      </c>
      <c r="H433" s="9">
        <f>ABS(Prices!C433-Prices!C432)/Prices!C432</f>
        <v>1.3574660633484676E-3</v>
      </c>
      <c r="I433" s="13"/>
      <c r="J433" s="1">
        <f t="shared" ca="1" si="45"/>
        <v>1.0633659630846293E-3</v>
      </c>
      <c r="K433" s="9"/>
      <c r="L433" s="9">
        <f ca="1">L432-O433*Prices!C433</f>
        <v>0.90542194627205774</v>
      </c>
      <c r="M433" s="1">
        <f t="shared" ca="1" si="46"/>
        <v>1.144171735300464E-2</v>
      </c>
      <c r="N433" s="9">
        <f ca="1">IF(Prices!D432&gt;OFFSET(Prices!D432,-$N$3,0),1,IF(Prices!D432&lt;OFFSET(Prices!D432,-$N$3,0),-1,0))</f>
        <v>1</v>
      </c>
      <c r="O433" s="1">
        <f ca="1">IF(N433=1,O$3*L432/Prices!C432,O$3*M432*N433)</f>
        <v>9.105666478323105E-4</v>
      </c>
      <c r="P433" s="14"/>
      <c r="Q433" s="9">
        <f ca="1">Q432-T433*Prices!C433</f>
        <v>0.82730897253639224</v>
      </c>
      <c r="R433" s="1">
        <f t="shared" ca="1" si="47"/>
        <v>1.1740705178295903E-2</v>
      </c>
      <c r="S433" s="9">
        <f ca="1">IF(Prices!C432&lt;OFFSET(Prices!C432,-S$3,0),1,IF(Prices!C432&gt;OFFSET(Prices!C432,-S$3,0),-1,0))</f>
        <v>1</v>
      </c>
      <c r="T433" s="1">
        <f ca="1">IF(S433=1,T$3*Q432/Prices!C432,T$3*R432*S433)</f>
        <v>1.5279931525231878E-4</v>
      </c>
    </row>
    <row r="434" spans="1:20" x14ac:dyDescent="0.2">
      <c r="A434" s="4">
        <v>34114</v>
      </c>
      <c r="B434" s="9">
        <f ca="1">Prices!C433*(1+J434/(50*(ABS(O434)+ABS(T434)+0.0001)))</f>
        <v>112.65575373901851</v>
      </c>
      <c r="C434" s="13">
        <f t="shared" ca="1" si="42"/>
        <v>1</v>
      </c>
      <c r="D434" s="9">
        <f ca="1">D433+C434*(Prices!C434-Prices!C433)/Prices!C433</f>
        <v>0.20998980146292071</v>
      </c>
      <c r="E434" s="9">
        <f t="shared" ca="1" si="43"/>
        <v>2.8867448721770494E-2</v>
      </c>
      <c r="F434" s="9">
        <f t="shared" ca="1" si="44"/>
        <v>0.2388572501846912</v>
      </c>
      <c r="G434" s="13">
        <f ca="1">IF((Prices!C434-Prices!C433)*C434&gt;0,1,0)</f>
        <v>0</v>
      </c>
      <c r="H434" s="9">
        <f>ABS(Prices!C434-Prices!C433)/Prices!C433</f>
        <v>1.1748757342973442E-2</v>
      </c>
      <c r="I434" s="13"/>
      <c r="J434" s="1">
        <f t="shared" ca="1" si="45"/>
        <v>9.67811785611691E-4</v>
      </c>
      <c r="K434" s="9"/>
      <c r="L434" s="9">
        <f ca="1">L433-O434*Prices!C434</f>
        <v>0.81594350991882725</v>
      </c>
      <c r="M434" s="1">
        <f t="shared" ca="1" si="46"/>
        <v>1.225999294837026E-2</v>
      </c>
      <c r="N434" s="9">
        <f ca="1">IF(Prices!D433&gt;OFFSET(Prices!D433,-$N$3,0),1,IF(Prices!D433&lt;OFFSET(Prices!D433,-$N$3,0),-1,0))</f>
        <v>1</v>
      </c>
      <c r="O434" s="1">
        <f ca="1">IF(N434=1,O$3*L433/Prices!C433,O$3*M433*N434)</f>
        <v>8.1827559536561925E-4</v>
      </c>
      <c r="P434" s="14"/>
      <c r="Q434" s="9">
        <f ca="1">Q433-T434*Prices!C434</f>
        <v>0.81095719013298428</v>
      </c>
      <c r="R434" s="1">
        <f t="shared" ca="1" si="47"/>
        <v>1.1890241368541974E-2</v>
      </c>
      <c r="S434" s="9">
        <f ca="1">IF(Prices!C433&lt;OFFSET(Prices!C433,-S$3,0),1,IF(Prices!C433&gt;OFFSET(Prices!C433,-S$3,0),-1,0))</f>
        <v>1</v>
      </c>
      <c r="T434" s="1">
        <f ca="1">IF(S434=1,T$3*Q433/Prices!C433,T$3*R433*S434)</f>
        <v>1.495361902460718E-4</v>
      </c>
    </row>
    <row r="435" spans="1:20" x14ac:dyDescent="0.2">
      <c r="A435" s="4">
        <v>34115</v>
      </c>
      <c r="B435" s="9">
        <f ca="1">Prices!C434*(1+J435/(50*(ABS(O435)+ABS(T435)+0.0001)))</f>
        <v>111.31709033554732</v>
      </c>
      <c r="C435" s="13">
        <f t="shared" ca="1" si="42"/>
        <v>1</v>
      </c>
      <c r="D435" s="9">
        <f ca="1">D434+C435*(Prices!C435-Prices!C434)/Prices!C434</f>
        <v>0.20221659615885126</v>
      </c>
      <c r="E435" s="9">
        <f t="shared" ca="1" si="43"/>
        <v>3.6640654025839936E-2</v>
      </c>
      <c r="F435" s="9">
        <f t="shared" ca="1" si="44"/>
        <v>0.2388572501846912</v>
      </c>
      <c r="G435" s="13">
        <f ca="1">IF((Prices!C435-Prices!C434)*C435&gt;0,1,0)</f>
        <v>0</v>
      </c>
      <c r="H435" s="9">
        <f>ABS(Prices!C435-Prices!C434)/Prices!C434</f>
        <v>7.7732053040694502E-3</v>
      </c>
      <c r="I435" s="13"/>
      <c r="J435" s="1">
        <f t="shared" ca="1" si="45"/>
        <v>8.9449926652530789E-4</v>
      </c>
      <c r="K435" s="9"/>
      <c r="L435" s="9">
        <f ca="1">L434-O435*Prices!C435</f>
        <v>0.73498340856885669</v>
      </c>
      <c r="M435" s="1">
        <f t="shared" ca="1" si="46"/>
        <v>1.3006168997678744E-2</v>
      </c>
      <c r="N435" s="9">
        <f ca="1">IF(Prices!D434&gt;OFFSET(Prices!D434,-$N$3,0),1,IF(Prices!D434&lt;OFFSET(Prices!D434,-$N$3,0),-1,0))</f>
        <v>1</v>
      </c>
      <c r="O435" s="1">
        <f ca="1">IF(N435=1,O$3*L434/Prices!C434,O$3*M434*N435)</f>
        <v>7.4617604930848403E-4</v>
      </c>
      <c r="P435" s="14"/>
      <c r="Q435" s="9">
        <f ca="1">Q434-T435*Prices!C435</f>
        <v>0.79486412106495885</v>
      </c>
      <c r="R435" s="1">
        <f t="shared" ca="1" si="47"/>
        <v>1.2038564585758797E-2</v>
      </c>
      <c r="S435" s="9">
        <f ca="1">IF(Prices!C434&lt;OFFSET(Prices!C434,-S$3,0),1,IF(Prices!C434&gt;OFFSET(Prices!C434,-S$3,0),-1,0))</f>
        <v>1</v>
      </c>
      <c r="T435" s="1">
        <f ca="1">IF(S435=1,T$3*Q434/Prices!C434,T$3*R434*S435)</f>
        <v>1.4832321721682386E-4</v>
      </c>
    </row>
    <row r="436" spans="1:20" x14ac:dyDescent="0.2">
      <c r="A436" s="4">
        <v>34116</v>
      </c>
      <c r="B436" s="9">
        <f ca="1">Prices!C435*(1+J436/(50*(ABS(O436)+ABS(T436)+0.0001)))</f>
        <v>106.88127118744008</v>
      </c>
      <c r="C436" s="13">
        <f t="shared" ca="1" si="42"/>
        <v>-1</v>
      </c>
      <c r="D436" s="9">
        <f ca="1">D435+C436*(Prices!C436-Prices!C435)/Prices!C435</f>
        <v>0.21263134270263001</v>
      </c>
      <c r="E436" s="9">
        <f t="shared" ca="1" si="43"/>
        <v>2.6225907482061189E-2</v>
      </c>
      <c r="F436" s="9">
        <f t="shared" ca="1" si="44"/>
        <v>0.2388572501846912</v>
      </c>
      <c r="G436" s="13">
        <f ca="1">IF((Prices!C436-Prices!C435)*C436&gt;0,1,0)</f>
        <v>1</v>
      </c>
      <c r="H436" s="9">
        <f>ABS(Prices!C436-Prices!C435)/Prices!C435</f>
        <v>1.0414746543778761E-2</v>
      </c>
      <c r="I436" s="13"/>
      <c r="J436" s="1">
        <f t="shared" ca="1" si="45"/>
        <v>-1.1540981677743336E-3</v>
      </c>
      <c r="K436" s="9"/>
      <c r="L436" s="9">
        <f ca="1">L435-O436*Prices!C436</f>
        <v>0.87463064509693333</v>
      </c>
      <c r="M436" s="1">
        <f t="shared" ca="1" si="46"/>
        <v>1.170555209791087E-2</v>
      </c>
      <c r="N436" s="9">
        <f ca="1">IF(Prices!D435&gt;OFFSET(Prices!D435,-$N$3,0),1,IF(Prices!D435&lt;OFFSET(Prices!D435,-$N$3,0),-1,0))</f>
        <v>-1</v>
      </c>
      <c r="O436" s="1">
        <f ca="1">IF(N436=1,O$3*L435/Prices!C435,O$3*M435*N436)</f>
        <v>-1.3006168997678745E-3</v>
      </c>
      <c r="P436" s="14"/>
      <c r="Q436" s="9">
        <f ca="1">Q435-T436*Prices!C436</f>
        <v>0.77913240481081236</v>
      </c>
      <c r="R436" s="1">
        <f t="shared" ca="1" si="47"/>
        <v>1.2185083317752338E-2</v>
      </c>
      <c r="S436" s="9">
        <f ca="1">IF(Prices!C435&lt;OFFSET(Prices!C435,-S$3,0),1,IF(Prices!C435&gt;OFFSET(Prices!C435,-S$3,0),-1,0))</f>
        <v>1</v>
      </c>
      <c r="T436" s="1">
        <f ca="1">IF(S436=1,T$3*Q435/Prices!C435,T$3*R435*S436)</f>
        <v>1.4651873199354081E-4</v>
      </c>
    </row>
    <row r="437" spans="1:20" x14ac:dyDescent="0.2">
      <c r="A437" s="4">
        <v>34117</v>
      </c>
      <c r="B437" s="9">
        <f ca="1">Prices!C436*(1+J437/(50*(ABS(O437)+ABS(T437)+0.0001)))</f>
        <v>105.81457178690447</v>
      </c>
      <c r="C437" s="13">
        <f t="shared" ca="1" si="42"/>
        <v>-1</v>
      </c>
      <c r="D437" s="9">
        <f ca="1">D436+C437*(Prices!C437-Prices!C436)/Prices!C436</f>
        <v>0.21654304988340678</v>
      </c>
      <c r="E437" s="9">
        <f t="shared" ca="1" si="43"/>
        <v>2.231420030128442E-2</v>
      </c>
      <c r="F437" s="9">
        <f t="shared" ca="1" si="44"/>
        <v>0.2388572501846912</v>
      </c>
      <c r="G437" s="13">
        <f ca="1">IF((Prices!C437-Prices!C436)*C437&gt;0,1,0)</f>
        <v>1</v>
      </c>
      <c r="H437" s="9">
        <f>ABS(Prices!C437-Prices!C436)/Prices!C436</f>
        <v>3.9117071807767689E-3</v>
      </c>
      <c r="I437" s="13"/>
      <c r="J437" s="1">
        <f t="shared" ca="1" si="45"/>
        <v>-1.0254248372827863E-3</v>
      </c>
      <c r="K437" s="9"/>
      <c r="L437" s="9">
        <f ca="1">L436-O437*Prices!C437</f>
        <v>0.99982152478409003</v>
      </c>
      <c r="M437" s="1">
        <f t="shared" ca="1" si="46"/>
        <v>1.0534996888119782E-2</v>
      </c>
      <c r="N437" s="9">
        <f ca="1">IF(Prices!D436&gt;OFFSET(Prices!D436,-$N$3,0),1,IF(Prices!D436&lt;OFFSET(Prices!D436,-$N$3,0),-1,0))</f>
        <v>-1</v>
      </c>
      <c r="O437" s="1">
        <f ca="1">IF(N437=1,O$3*L436/Prices!C436,O$3*M436*N437)</f>
        <v>-1.1705552097910871E-3</v>
      </c>
      <c r="P437" s="14"/>
      <c r="Q437" s="9">
        <f ca="1">Q436-T437*Prices!C437</f>
        <v>0.76361071147104964</v>
      </c>
      <c r="R437" s="1">
        <f t="shared" ca="1" si="47"/>
        <v>1.2330213690260638E-2</v>
      </c>
      <c r="S437" s="9">
        <f ca="1">IF(Prices!C436&lt;OFFSET(Prices!C436,-S$3,0),1,IF(Prices!C436&gt;OFFSET(Prices!C436,-S$3,0),-1,0))</f>
        <v>1</v>
      </c>
      <c r="T437" s="1">
        <f ca="1">IF(S437=1,T$3*Q436/Prices!C436,T$3*R436*S437)</f>
        <v>1.451303725083007E-4</v>
      </c>
    </row>
    <row r="438" spans="1:20" x14ac:dyDescent="0.2">
      <c r="A438" s="4">
        <v>34120</v>
      </c>
      <c r="B438" s="9">
        <f ca="1">Prices!C437*(1+J438/(50*(ABS(O438)+ABS(T438)+0.0001)))</f>
        <v>108.90736665321973</v>
      </c>
      <c r="C438" s="13">
        <f t="shared" ca="1" si="42"/>
        <v>1</v>
      </c>
      <c r="D438" s="9">
        <f ca="1">D437+C438*(Prices!C438-Prices!C437)/Prices!C437</f>
        <v>0.217758571155029</v>
      </c>
      <c r="E438" s="9">
        <f t="shared" ca="1" si="43"/>
        <v>2.1098679029662198E-2</v>
      </c>
      <c r="F438" s="9">
        <f t="shared" ca="1" si="44"/>
        <v>0.2388572501846912</v>
      </c>
      <c r="G438" s="13">
        <f ca="1">IF((Prices!C438-Prices!C437)*C438&gt;0,1,0)</f>
        <v>1</v>
      </c>
      <c r="H438" s="9">
        <f>ABS(Prices!C438-Prices!C437)/Prices!C437</f>
        <v>1.2155212716222108E-3</v>
      </c>
      <c r="I438" s="13"/>
      <c r="J438" s="1">
        <f t="shared" ca="1" si="45"/>
        <v>1.0776471875439924E-3</v>
      </c>
      <c r="K438" s="9"/>
      <c r="L438" s="9">
        <f ca="1">L437-O438*Prices!C438</f>
        <v>0.89971784187256099</v>
      </c>
      <c r="M438" s="1">
        <f t="shared" ca="1" si="46"/>
        <v>1.1469846373658903E-2</v>
      </c>
      <c r="N438" s="9">
        <f ca="1">IF(Prices!D437&gt;OFFSET(Prices!D437,-$N$3,0),1,IF(Prices!D437&lt;OFFSET(Prices!D437,-$N$3,0),-1,0))</f>
        <v>1</v>
      </c>
      <c r="O438" s="1">
        <f ca="1">IF(N438=1,O$3*L437/Prices!C437,O$3*M437*N438)</f>
        <v>9.3484948553912114E-4</v>
      </c>
      <c r="P438" s="14"/>
      <c r="Q438" s="9">
        <f ca="1">Q437-T438*Prices!C438</f>
        <v>0.74831993354036797</v>
      </c>
      <c r="R438" s="1">
        <f t="shared" ca="1" si="47"/>
        <v>1.2473011392265509E-2</v>
      </c>
      <c r="S438" s="9">
        <f ca="1">IF(Prices!C437&lt;OFFSET(Prices!C437,-S$3,0),1,IF(Prices!C437&gt;OFFSET(Prices!C437,-S$3,0),-1,0))</f>
        <v>1</v>
      </c>
      <c r="T438" s="1">
        <f ca="1">IF(S438=1,T$3*Q437/Prices!C437,T$3*R437*S438)</f>
        <v>1.4279770200487137E-4</v>
      </c>
    </row>
    <row r="439" spans="1:20" x14ac:dyDescent="0.2">
      <c r="A439" s="4">
        <v>34121</v>
      </c>
      <c r="B439" s="9">
        <f ca="1">Prices!C438*(1+J439/(50*(ABS(O439)+ABS(T439)+0.0001)))</f>
        <v>109.02330333137459</v>
      </c>
      <c r="C439" s="13">
        <f t="shared" ca="1" si="42"/>
        <v>1</v>
      </c>
      <c r="D439" s="9">
        <f ca="1">D438+C439*(Prices!C439-Prices!C438)/Prices!C438</f>
        <v>0.21794534739709098</v>
      </c>
      <c r="E439" s="9">
        <f t="shared" ca="1" si="43"/>
        <v>2.0911902787600217E-2</v>
      </c>
      <c r="F439" s="9">
        <f t="shared" ca="1" si="44"/>
        <v>0.2388572501846912</v>
      </c>
      <c r="G439" s="13">
        <f ca="1">IF((Prices!C439-Prices!C438)*C439&gt;0,1,0)</f>
        <v>1</v>
      </c>
      <c r="H439" s="9">
        <f>ABS(Prices!C439-Prices!C438)/Prices!C438</f>
        <v>1.8677624206197256E-4</v>
      </c>
      <c r="I439" s="13"/>
      <c r="J439" s="1">
        <f t="shared" ca="1" si="45"/>
        <v>9.7999797215225499E-4</v>
      </c>
      <c r="K439" s="9"/>
      <c r="L439" s="9">
        <f ca="1">L438-O439*Prices!C439</f>
        <v>0.80972925309356281</v>
      </c>
      <c r="M439" s="1">
        <f t="shared" ca="1" si="46"/>
        <v>1.2310075960764395E-2</v>
      </c>
      <c r="N439" s="9">
        <f ca="1">IF(Prices!D438&gt;OFFSET(Prices!D438,-$N$3,0),1,IF(Prices!D438&lt;OFFSET(Prices!D438,-$N$3,0),-1,0))</f>
        <v>1</v>
      </c>
      <c r="O439" s="1">
        <f ca="1">IF(N439=1,O$3*L438/Prices!C438,O$3*M438*N439)</f>
        <v>8.4022958710549211E-4</v>
      </c>
      <c r="P439" s="14"/>
      <c r="Q439" s="9">
        <f ca="1">Q438-T439*Prices!C439</f>
        <v>0.73335073950185969</v>
      </c>
      <c r="R439" s="1">
        <f t="shared" ca="1" si="47"/>
        <v>1.2612779777312271E-2</v>
      </c>
      <c r="S439" s="9">
        <f ca="1">IF(Prices!C438&lt;OFFSET(Prices!C438,-S$3,0),1,IF(Prices!C438&gt;OFFSET(Prices!C438,-S$3,0),-1,0))</f>
        <v>1</v>
      </c>
      <c r="T439" s="1">
        <f ca="1">IF(S439=1,T$3*Q438/Prices!C438,T$3*R438*S439)</f>
        <v>1.3976838504676281E-4</v>
      </c>
    </row>
    <row r="440" spans="1:20" x14ac:dyDescent="0.2">
      <c r="A440" s="4">
        <v>34122</v>
      </c>
      <c r="B440" s="9">
        <f ca="1">Prices!C439*(1+J440/(50*(ABS(O440)+ABS(T440)+0.0001)))</f>
        <v>105.50357589119591</v>
      </c>
      <c r="C440" s="13">
        <f t="shared" ca="1" si="42"/>
        <v>-1</v>
      </c>
      <c r="D440" s="9">
        <f ca="1">D439+C440*(Prices!C440-Prices!C439)/Prices!C439</f>
        <v>0.21701164058103115</v>
      </c>
      <c r="E440" s="9">
        <f t="shared" ca="1" si="43"/>
        <v>2.1845609603660054E-2</v>
      </c>
      <c r="F440" s="9">
        <f t="shared" ca="1" si="44"/>
        <v>0.2388572501846912</v>
      </c>
      <c r="G440" s="13">
        <f ca="1">IF((Prices!C440-Prices!C439)*C440&gt;0,1,0)</f>
        <v>0</v>
      </c>
      <c r="H440" s="9">
        <f>ABS(Prices!C440-Prices!C439)/Prices!C439</f>
        <v>9.3370681605983686E-4</v>
      </c>
      <c r="I440" s="13"/>
      <c r="J440" s="1">
        <f t="shared" ca="1" si="45"/>
        <v>-1.0940606792693697E-3</v>
      </c>
      <c r="K440" s="9"/>
      <c r="L440" s="9">
        <f ca="1">L439-O440*Prices!C440</f>
        <v>0.94169326739295711</v>
      </c>
      <c r="M440" s="1">
        <f t="shared" ca="1" si="46"/>
        <v>1.1079068364687956E-2</v>
      </c>
      <c r="N440" s="9">
        <f ca="1">IF(Prices!D439&gt;OFFSET(Prices!D439,-$N$3,0),1,IF(Prices!D439&lt;OFFSET(Prices!D439,-$N$3,0),-1,0))</f>
        <v>-1</v>
      </c>
      <c r="O440" s="1">
        <f ca="1">IF(N440=1,O$3*L439/Prices!C439,O$3*M439*N440)</f>
        <v>-1.2310075960764396E-3</v>
      </c>
      <c r="P440" s="14"/>
      <c r="Q440" s="9">
        <f ca="1">Q439-T440*Prices!C440</f>
        <v>0.71867003002014185</v>
      </c>
      <c r="R440" s="1">
        <f t="shared" ca="1" si="47"/>
        <v>1.2749726694119341E-2</v>
      </c>
      <c r="S440" s="9">
        <f ca="1">IF(Prices!C439&lt;OFFSET(Prices!C439,-S$3,0),1,IF(Prices!C439&gt;OFFSET(Prices!C439,-S$3,0),-1,0))</f>
        <v>1</v>
      </c>
      <c r="T440" s="1">
        <f ca="1">IF(S440=1,T$3*Q439/Prices!C439,T$3*R439*S440)</f>
        <v>1.3694691680706997E-4</v>
      </c>
    </row>
    <row r="441" spans="1:20" x14ac:dyDescent="0.2">
      <c r="A441" s="4">
        <v>34123</v>
      </c>
      <c r="B441" s="9">
        <f ca="1">Prices!C440*(1+J441/(50*(ABS(O441)+ABS(T441)+0.0001)))</f>
        <v>105.64418452431003</v>
      </c>
      <c r="C441" s="13">
        <f t="shared" ca="1" si="42"/>
        <v>-1</v>
      </c>
      <c r="D441" s="9">
        <f ca="1">D440+C441*(Prices!C441-Prices!C440)/Prices!C440</f>
        <v>0.21701164058103115</v>
      </c>
      <c r="E441" s="9">
        <f t="shared" ca="1" si="43"/>
        <v>2.1845609603660054E-2</v>
      </c>
      <c r="F441" s="9">
        <f t="shared" ca="1" si="44"/>
        <v>0.2388572501846912</v>
      </c>
      <c r="G441" s="13">
        <f ca="1">IF((Prices!C441-Prices!C440)*C441&gt;0,1,0)</f>
        <v>0</v>
      </c>
      <c r="H441" s="9">
        <f>ABS(Prices!C441-Prices!C440)/Prices!C440</f>
        <v>0</v>
      </c>
      <c r="I441" s="13"/>
      <c r="J441" s="1">
        <f t="shared" ca="1" si="45"/>
        <v>-9.7382660698742583E-4</v>
      </c>
      <c r="K441" s="9"/>
      <c r="L441" s="9">
        <f ca="1">L440-O441*Prices!C441</f>
        <v>1.060460880262412</v>
      </c>
      <c r="M441" s="1">
        <f t="shared" ca="1" si="46"/>
        <v>9.9711615282191603E-3</v>
      </c>
      <c r="N441" s="9">
        <f ca="1">IF(Prices!D440&gt;OFFSET(Prices!D440,-$N$3,0),1,IF(Prices!D440&lt;OFFSET(Prices!D440,-$N$3,0),-1,0))</f>
        <v>-1</v>
      </c>
      <c r="O441" s="1">
        <f ca="1">IF(N441=1,O$3*L440/Prices!C440,O$3*M440*N441)</f>
        <v>-1.1079068364687956E-3</v>
      </c>
      <c r="P441" s="14"/>
      <c r="Q441" s="9">
        <f ca="1">Q440-T441*Prices!C441</f>
        <v>0.70429662941973903</v>
      </c>
      <c r="R441" s="1">
        <f t="shared" ca="1" si="47"/>
        <v>1.2883806923600711E-2</v>
      </c>
      <c r="S441" s="9">
        <f ca="1">IF(Prices!C440&lt;OFFSET(Prices!C440,-S$3,0),1,IF(Prices!C440&gt;OFFSET(Prices!C440,-S$3,0),-1,0))</f>
        <v>1</v>
      </c>
      <c r="T441" s="1">
        <f ca="1">IF(S441=1,T$3*Q440/Prices!C440,T$3*R440*S441)</f>
        <v>1.3408022948136974E-4</v>
      </c>
    </row>
    <row r="442" spans="1:20" x14ac:dyDescent="0.2">
      <c r="A442" s="4">
        <v>34124</v>
      </c>
      <c r="B442" s="9">
        <f ca="1">Prices!C441*(1+J442/(50*(ABS(O442)+ABS(T442)+0.0001)))</f>
        <v>105.21425304098479</v>
      </c>
      <c r="C442" s="13">
        <f t="shared" ca="1" si="42"/>
        <v>-1</v>
      </c>
      <c r="D442" s="9">
        <f ca="1">D441+C442*(Prices!C442-Prices!C441)/Prices!C441</f>
        <v>0.21150790923774754</v>
      </c>
      <c r="E442" s="9">
        <f t="shared" ca="1" si="43"/>
        <v>2.7349340946943662E-2</v>
      </c>
      <c r="F442" s="9">
        <f t="shared" ca="1" si="44"/>
        <v>0.2388572501846912</v>
      </c>
      <c r="G442" s="13">
        <f ca="1">IF((Prices!C442-Prices!C441)*C442&gt;0,1,0)</f>
        <v>0</v>
      </c>
      <c r="H442" s="9">
        <f>ABS(Prices!C442-Prices!C441)/Prices!C441</f>
        <v>5.5037313432836138E-3</v>
      </c>
      <c r="I442" s="13"/>
      <c r="J442" s="1">
        <f t="shared" ca="1" si="45"/>
        <v>-1.2547922912939302E-3</v>
      </c>
      <c r="K442" s="9"/>
      <c r="L442" s="9">
        <f ca="1">L441-O442*Prices!C442</f>
        <v>1.1679400303750864</v>
      </c>
      <c r="M442" s="1">
        <f t="shared" ca="1" si="46"/>
        <v>8.9740453753972445E-3</v>
      </c>
      <c r="N442" s="9">
        <f ca="1">IF(Prices!D441&gt;OFFSET(Prices!D441,-$N$3,0),1,IF(Prices!D441&lt;OFFSET(Prices!D441,-$N$3,0),-1,0))</f>
        <v>-1</v>
      </c>
      <c r="O442" s="1">
        <f ca="1">IF(N442=1,O$3*L441/Prices!C441,O$3*M441*N442)</f>
        <v>-9.9711615282191608E-4</v>
      </c>
      <c r="P442" s="14"/>
      <c r="Q442" s="9">
        <f ca="1">Q441-T442*Prices!C442</f>
        <v>0.73207154038563749</v>
      </c>
      <c r="R442" s="1">
        <f t="shared" ca="1" si="47"/>
        <v>1.2626130785128697E-2</v>
      </c>
      <c r="S442" s="9">
        <f ca="1">IF(Prices!C441&lt;OFFSET(Prices!C441,-S$3,0),1,IF(Prices!C441&gt;OFFSET(Prices!C441,-S$3,0),-1,0))</f>
        <v>-1</v>
      </c>
      <c r="T442" s="1">
        <f ca="1">IF(S442=1,T$3*Q441/Prices!C441,T$3*R441*S442)</f>
        <v>-2.5767613847201421E-4</v>
      </c>
    </row>
    <row r="443" spans="1:20" x14ac:dyDescent="0.2">
      <c r="A443" s="4">
        <v>34127</v>
      </c>
      <c r="B443" s="9">
        <f ca="1">Prices!C442*(1+J443/(50*(ABS(O443)+ABS(T443)+0.0001)))</f>
        <v>109.0375088057191</v>
      </c>
      <c r="C443" s="13">
        <f t="shared" ca="1" si="42"/>
        <v>1</v>
      </c>
      <c r="D443" s="9">
        <f ca="1">D442+C443*(Prices!C443-Prices!C442)/Prices!C442</f>
        <v>0.2064053950898673</v>
      </c>
      <c r="E443" s="9">
        <f t="shared" ca="1" si="43"/>
        <v>3.24518550948239E-2</v>
      </c>
      <c r="F443" s="9">
        <f t="shared" ca="1" si="44"/>
        <v>0.2388572501846912</v>
      </c>
      <c r="G443" s="13">
        <f ca="1">IF((Prices!C443-Prices!C442)*C443&gt;0,1,0)</f>
        <v>0</v>
      </c>
      <c r="H443" s="9">
        <f>ABS(Prices!C443-Prices!C442)/Prices!C442</f>
        <v>5.1025141478802426E-3</v>
      </c>
      <c r="I443" s="13"/>
      <c r="J443" s="1">
        <f t="shared" ca="1" si="45"/>
        <v>8.3101020772732327E-4</v>
      </c>
      <c r="K443" s="9"/>
      <c r="L443" s="9">
        <f ca="1">L442-O443*Prices!C443</f>
        <v>1.0517419703904642</v>
      </c>
      <c r="M443" s="1">
        <f t="shared" ca="1" si="46"/>
        <v>1.0057578198827142E-2</v>
      </c>
      <c r="N443" s="9">
        <f ca="1">IF(Prices!D442&gt;OFFSET(Prices!D442,-$N$3,0),1,IF(Prices!D442&lt;OFFSET(Prices!D442,-$N$3,0),-1,0))</f>
        <v>1</v>
      </c>
      <c r="O443" s="1">
        <f ca="1">IF(N443=1,O$3*L442/Prices!C442,O$3*M442*N443)</f>
        <v>1.0835328234298973E-3</v>
      </c>
      <c r="P443" s="14"/>
      <c r="Q443" s="9">
        <f ca="1">Q442-T443*Prices!C443</f>
        <v>0.75915206569358151</v>
      </c>
      <c r="R443" s="1">
        <f t="shared" ca="1" si="47"/>
        <v>1.2373608169426124E-2</v>
      </c>
      <c r="S443" s="9">
        <f ca="1">IF(Prices!C442&lt;OFFSET(Prices!C442,-S$3,0),1,IF(Prices!C442&gt;OFFSET(Prices!C442,-S$3,0),-1,0))</f>
        <v>-1</v>
      </c>
      <c r="T443" s="1">
        <f ca="1">IF(S443=1,T$3*Q442/Prices!C442,T$3*R442*S443)</f>
        <v>-2.5252261570257397E-4</v>
      </c>
    </row>
    <row r="444" spans="1:20" x14ac:dyDescent="0.2">
      <c r="A444" s="4">
        <v>34128</v>
      </c>
      <c r="B444" s="9">
        <f ca="1">Prices!C443*(1+J444/(50*(ABS(O444)+ABS(T444)+0.0001)))</f>
        <v>108.42408012604851</v>
      </c>
      <c r="C444" s="13">
        <f t="shared" ca="1" si="42"/>
        <v>1</v>
      </c>
      <c r="D444" s="9">
        <f ca="1">D443+C444*(Prices!C444-Prices!C443)/Prices!C443</f>
        <v>0.19717376510105719</v>
      </c>
      <c r="E444" s="9">
        <f t="shared" ca="1" si="43"/>
        <v>4.1683485083634009E-2</v>
      </c>
      <c r="F444" s="9">
        <f t="shared" ca="1" si="44"/>
        <v>0.2388572501846912</v>
      </c>
      <c r="G444" s="13">
        <f ca="1">IF((Prices!C444-Prices!C443)*C444&gt;0,1,0)</f>
        <v>0</v>
      </c>
      <c r="H444" s="9">
        <f>ABS(Prices!C444-Prices!C443)/Prices!C443</f>
        <v>9.2316299888100979E-3</v>
      </c>
      <c r="I444" s="13"/>
      <c r="J444" s="1">
        <f t="shared" ca="1" si="45"/>
        <v>7.3326447442429409E-4</v>
      </c>
      <c r="K444" s="9"/>
      <c r="L444" s="9">
        <f ca="1">L443-O444*Prices!C444</f>
        <v>0.94753870262285245</v>
      </c>
      <c r="M444" s="1">
        <f t="shared" ca="1" si="46"/>
        <v>1.1038314836639957E-2</v>
      </c>
      <c r="N444" s="9">
        <f ca="1">IF(Prices!D443&gt;OFFSET(Prices!D443,-$N$3,0),1,IF(Prices!D443&lt;OFFSET(Prices!D443,-$N$3,0),-1,0))</f>
        <v>1</v>
      </c>
      <c r="O444" s="1">
        <f ca="1">IF(N444=1,O$3*L443/Prices!C443,O$3*M443*N444)</f>
        <v>9.8073663781281652E-4</v>
      </c>
      <c r="P444" s="14"/>
      <c r="Q444" s="9">
        <f ca="1">Q443-T444*Prices!C444</f>
        <v>0.78544598305361202</v>
      </c>
      <c r="R444" s="1">
        <f t="shared" ca="1" si="47"/>
        <v>1.2126136006037602E-2</v>
      </c>
      <c r="S444" s="9">
        <f ca="1">IF(Prices!C443&lt;OFFSET(Prices!C443,-S$3,0),1,IF(Prices!C443&gt;OFFSET(Prices!C443,-S$3,0),-1,0))</f>
        <v>-1</v>
      </c>
      <c r="T444" s="1">
        <f ca="1">IF(S444=1,T$3*Q443/Prices!C443,T$3*R443*S444)</f>
        <v>-2.4747216338852248E-4</v>
      </c>
    </row>
    <row r="445" spans="1:20" x14ac:dyDescent="0.2">
      <c r="A445" s="4">
        <v>34129</v>
      </c>
      <c r="B445" s="9">
        <f ca="1">Prices!C444*(1+J445/(50*(ABS(O445)+ABS(T445)+0.0001)))</f>
        <v>104.74708266733862</v>
      </c>
      <c r="C445" s="13">
        <f t="shared" ca="1" si="42"/>
        <v>-1</v>
      </c>
      <c r="D445" s="9">
        <f ca="1">D444+C445*(Prices!C445-Prices!C444)/Prices!C444</f>
        <v>0.19604435333635126</v>
      </c>
      <c r="E445" s="9">
        <f t="shared" ca="1" si="43"/>
        <v>4.2812896848339943E-2</v>
      </c>
      <c r="F445" s="9">
        <f t="shared" ca="1" si="44"/>
        <v>0.2388572501846912</v>
      </c>
      <c r="G445" s="13">
        <f ca="1">IF((Prices!C445-Prices!C444)*C445&gt;0,1,0)</f>
        <v>0</v>
      </c>
      <c r="H445" s="9">
        <f>ABS(Prices!C445-Prices!C444)/Prices!C444</f>
        <v>1.1294117647059252E-3</v>
      </c>
      <c r="I445" s="13"/>
      <c r="J445" s="1">
        <f t="shared" ca="1" si="45"/>
        <v>-9.559828280303747E-4</v>
      </c>
      <c r="K445" s="9"/>
      <c r="L445" s="9">
        <f ca="1">L444-O445*Prices!C445</f>
        <v>1.0649532575401917</v>
      </c>
      <c r="M445" s="1">
        <f t="shared" ca="1" si="46"/>
        <v>9.9344833529759619E-3</v>
      </c>
      <c r="N445" s="9">
        <f ca="1">IF(Prices!D444&gt;OFFSET(Prices!D444,-$N$3,0),1,IF(Prices!D444&lt;OFFSET(Prices!D444,-$N$3,0),-1,0))</f>
        <v>-1</v>
      </c>
      <c r="O445" s="1">
        <f ca="1">IF(N445=1,O$3*L444/Prices!C444,O$3*M444*N445)</f>
        <v>-1.1038314836639958E-3</v>
      </c>
      <c r="P445" s="14"/>
      <c r="Q445" s="9">
        <f ca="1">Q444-T445*Prices!C445</f>
        <v>0.7697193215538638</v>
      </c>
      <c r="R445" s="1">
        <f t="shared" ca="1" si="47"/>
        <v>1.2273984661671223E-2</v>
      </c>
      <c r="S445" s="9">
        <f ca="1">IF(Prices!C444&lt;OFFSET(Prices!C444,-S$3,0),1,IF(Prices!C444&gt;OFFSET(Prices!C444,-S$3,0),-1,0))</f>
        <v>1</v>
      </c>
      <c r="T445" s="1">
        <f ca="1">IF(S445=1,T$3*Q444/Prices!C444,T$3*R444*S445)</f>
        <v>1.4784865563362108E-4</v>
      </c>
    </row>
    <row r="446" spans="1:20" x14ac:dyDescent="0.2">
      <c r="A446" s="4">
        <v>34130</v>
      </c>
      <c r="B446" s="9">
        <f ca="1">Prices!C445*(1+J446/(50*(ABS(O446)+ABS(T446)+0.0001)))</f>
        <v>104.91174341310173</v>
      </c>
      <c r="C446" s="13">
        <f t="shared" ca="1" si="42"/>
        <v>-1</v>
      </c>
      <c r="D446" s="9">
        <f ca="1">D445+C446*(Prices!C446-Prices!C445)/Prices!C445</f>
        <v>0.19905272035712787</v>
      </c>
      <c r="E446" s="9">
        <f t="shared" ca="1" si="43"/>
        <v>3.9804529827563329E-2</v>
      </c>
      <c r="F446" s="9">
        <f t="shared" ca="1" si="44"/>
        <v>0.2388572501846912</v>
      </c>
      <c r="G446" s="13">
        <f ca="1">IF((Prices!C446-Prices!C445)*C446&gt;0,1,0)</f>
        <v>1</v>
      </c>
      <c r="H446" s="9">
        <f>ABS(Prices!C446-Prices!C445)/Prices!C445</f>
        <v>3.008367020776604E-3</v>
      </c>
      <c r="I446" s="13"/>
      <c r="J446" s="1">
        <f t="shared" ca="1" si="45"/>
        <v>-8.4872344640902543E-4</v>
      </c>
      <c r="K446" s="9"/>
      <c r="L446" s="9">
        <f ca="1">L445-O446*Prices!C446</f>
        <v>1.1703084534985018</v>
      </c>
      <c r="M446" s="1">
        <f t="shared" ca="1" si="46"/>
        <v>8.9410350176783657E-3</v>
      </c>
      <c r="N446" s="9">
        <f ca="1">IF(Prices!D445&gt;OFFSET(Prices!D445,-$N$3,0),1,IF(Prices!D445&lt;OFFSET(Prices!D445,-$N$3,0),-1,0))</f>
        <v>-1</v>
      </c>
      <c r="O446" s="1">
        <f ca="1">IF(N446=1,O$3*L445/Prices!C445,O$3*M445*N446)</f>
        <v>-9.9344833529759619E-4</v>
      </c>
      <c r="P446" s="14"/>
      <c r="Q446" s="9">
        <f ca="1">Q445-T446*Prices!C446</f>
        <v>0.75437124708723091</v>
      </c>
      <c r="R446" s="1">
        <f t="shared" ca="1" si="47"/>
        <v>1.2418709550559794E-2</v>
      </c>
      <c r="S446" s="9">
        <f ca="1">IF(Prices!C445&lt;OFFSET(Prices!C445,-S$3,0),1,IF(Prices!C445&gt;OFFSET(Prices!C445,-S$3,0),-1,0))</f>
        <v>1</v>
      </c>
      <c r="T446" s="1">
        <f ca="1">IF(S446=1,T$3*Q445/Prices!C445,T$3*R445*S446)</f>
        <v>1.4472488888857079E-4</v>
      </c>
    </row>
    <row r="447" spans="1:20" x14ac:dyDescent="0.2">
      <c r="A447" s="4">
        <v>34131</v>
      </c>
      <c r="B447" s="9">
        <f ca="1">Prices!C446*(1+J447/(50*(ABS(O447)+ABS(T447)+0.0001)))</f>
        <v>104.64672096467335</v>
      </c>
      <c r="C447" s="13">
        <f t="shared" ca="1" si="42"/>
        <v>-1</v>
      </c>
      <c r="D447" s="9">
        <f ca="1">D446+C447*(Prices!C447-Prices!C446)/Prices!C446</f>
        <v>0.19782688348772656</v>
      </c>
      <c r="E447" s="9">
        <f t="shared" ca="1" si="43"/>
        <v>4.1030366696964637E-2</v>
      </c>
      <c r="F447" s="9">
        <f t="shared" ca="1" si="44"/>
        <v>0.2388572501846912</v>
      </c>
      <c r="G447" s="13">
        <f ca="1">IF((Prices!C447-Prices!C446)*C447&gt;0,1,0)</f>
        <v>0</v>
      </c>
      <c r="H447" s="9">
        <f>ABS(Prices!C447-Prices!C446)/Prices!C446</f>
        <v>1.2258368694013169E-3</v>
      </c>
      <c r="I447" s="13"/>
      <c r="J447" s="1">
        <f t="shared" ca="1" si="45"/>
        <v>-7.5183641132234281E-4</v>
      </c>
      <c r="K447" s="9"/>
      <c r="L447" s="9">
        <f ca="1">L446-O447*Prices!C447</f>
        <v>1.2652443633162107</v>
      </c>
      <c r="M447" s="1">
        <f t="shared" ca="1" si="46"/>
        <v>8.0469315159105298E-3</v>
      </c>
      <c r="N447" s="9">
        <f ca="1">IF(Prices!D446&gt;OFFSET(Prices!D446,-$N$3,0),1,IF(Prices!D446&lt;OFFSET(Prices!D446,-$N$3,0),-1,0))</f>
        <v>-1</v>
      </c>
      <c r="O447" s="1">
        <f ca="1">IF(N447=1,O$3*L446/Prices!C446,O$3*M446*N447)</f>
        <v>-8.9410350176783663E-4</v>
      </c>
      <c r="P447" s="14"/>
      <c r="Q447" s="9">
        <f ca="1">Q446-T447*Prices!C447</f>
        <v>0.73926532742372841</v>
      </c>
      <c r="R447" s="1">
        <f t="shared" ca="1" si="47"/>
        <v>1.2560976641005289E-2</v>
      </c>
      <c r="S447" s="9">
        <f ca="1">IF(Prices!C446&lt;OFFSET(Prices!C446,-S$3,0),1,IF(Prices!C446&gt;OFFSET(Prices!C446,-S$3,0),-1,0))</f>
        <v>1</v>
      </c>
      <c r="T447" s="1">
        <f ca="1">IF(S447=1,T$3*Q446/Prices!C446,T$3*R446*S447)</f>
        <v>1.4226709044549383E-4</v>
      </c>
    </row>
    <row r="448" spans="1:20" x14ac:dyDescent="0.2">
      <c r="A448" s="4">
        <v>34134</v>
      </c>
      <c r="B448" s="9">
        <f ca="1">Prices!C447*(1+J448/(50*(ABS(O448)+ABS(T448)+0.0001)))</f>
        <v>104.82634052292734</v>
      </c>
      <c r="C448" s="13">
        <f t="shared" ca="1" si="42"/>
        <v>-1</v>
      </c>
      <c r="D448" s="9">
        <f ca="1">D447+C448*(Prices!C448-Prices!C447)/Prices!C447</f>
        <v>0.20809247022722555</v>
      </c>
      <c r="E448" s="9">
        <f t="shared" ca="1" si="43"/>
        <v>3.0764779957465654E-2</v>
      </c>
      <c r="F448" s="9">
        <f t="shared" ca="1" si="44"/>
        <v>0.2388572501846912</v>
      </c>
      <c r="G448" s="13">
        <f ca="1">IF((Prices!C448-Prices!C447)*C448&gt;0,1,0)</f>
        <v>1</v>
      </c>
      <c r="H448" s="9">
        <f>ABS(Prices!C448-Prices!C447)/Prices!C447</f>
        <v>1.0265586739498995E-2</v>
      </c>
      <c r="I448" s="13"/>
      <c r="J448" s="1">
        <f t="shared" ca="1" si="45"/>
        <v>-6.6544558567963312E-4</v>
      </c>
      <c r="K448" s="9"/>
      <c r="L448" s="9">
        <f ca="1">L447-O448*Prices!C448</f>
        <v>1.3498095666169145</v>
      </c>
      <c r="M448" s="1">
        <f t="shared" ca="1" si="46"/>
        <v>7.2422383643194772E-3</v>
      </c>
      <c r="N448" s="9">
        <f ca="1">IF(Prices!D447&gt;OFFSET(Prices!D447,-$N$3,0),1,IF(Prices!D447&lt;OFFSET(Prices!D447,-$N$3,0),-1,0))</f>
        <v>-1</v>
      </c>
      <c r="O448" s="1">
        <f ca="1">IF(N448=1,O$3*L447/Prices!C447,O$3*M447*N448)</f>
        <v>-8.0469315159105307E-4</v>
      </c>
      <c r="P448" s="14"/>
      <c r="Q448" s="9">
        <f ca="1">Q447-T448*Prices!C448</f>
        <v>0.72463180072209732</v>
      </c>
      <c r="R448" s="1">
        <f t="shared" ca="1" si="47"/>
        <v>1.2700224206916709E-2</v>
      </c>
      <c r="S448" s="9">
        <f ca="1">IF(Prices!C447&lt;OFFSET(Prices!C447,-S$3,0),1,IF(Prices!C447&gt;OFFSET(Prices!C447,-S$3,0),-1,0))</f>
        <v>1</v>
      </c>
      <c r="T448" s="1">
        <f ca="1">IF(S448=1,T$3*Q447/Prices!C447,T$3*R447*S448)</f>
        <v>1.3924756591141994E-4</v>
      </c>
    </row>
    <row r="449" spans="1:20" x14ac:dyDescent="0.2">
      <c r="A449" s="4">
        <v>34135</v>
      </c>
      <c r="B449" s="9">
        <f ca="1">Prices!C448*(1+J449/(50*(ABS(O449)+ABS(T449)+0.0001)))</f>
        <v>103.80917516636814</v>
      </c>
      <c r="C449" s="13">
        <f t="shared" ca="1" si="42"/>
        <v>-1</v>
      </c>
      <c r="D449" s="9">
        <f ca="1">D448+C449*(Prices!C449-Prices!C448)/Prices!C448</f>
        <v>0.19895744310761385</v>
      </c>
      <c r="E449" s="9">
        <f t="shared" ca="1" si="43"/>
        <v>3.9899807077077354E-2</v>
      </c>
      <c r="F449" s="9">
        <f t="shared" ca="1" si="44"/>
        <v>0.2388572501846912</v>
      </c>
      <c r="G449" s="13">
        <f ca="1">IF((Prices!C449-Prices!C448)*C449&gt;0,1,0)</f>
        <v>0</v>
      </c>
      <c r="H449" s="9">
        <f>ABS(Prices!C449-Prices!C448)/Prices!C448</f>
        <v>9.1350271196117012E-3</v>
      </c>
      <c r="I449" s="13"/>
      <c r="J449" s="1">
        <f t="shared" ca="1" si="45"/>
        <v>-5.8631693744591725E-4</v>
      </c>
      <c r="K449" s="9"/>
      <c r="L449" s="9">
        <f ca="1">L448-O449*Prices!C449</f>
        <v>1.4266135044705226</v>
      </c>
      <c r="M449" s="1">
        <f t="shared" ca="1" si="46"/>
        <v>6.5180145278875296E-3</v>
      </c>
      <c r="N449" s="9">
        <f ca="1">IF(Prices!D448&gt;OFFSET(Prices!D448,-$N$3,0),1,IF(Prices!D448&lt;OFFSET(Prices!D448,-$N$3,0),-1,0))</f>
        <v>-1</v>
      </c>
      <c r="O449" s="1">
        <f ca="1">IF(N449=1,O$3*L448/Prices!C448,O$3*M448*N449)</f>
        <v>-7.2422383643194776E-4</v>
      </c>
      <c r="P449" s="14"/>
      <c r="Q449" s="9">
        <f ca="1">Q448-T449*Prices!C449</f>
        <v>0.71000677408462876</v>
      </c>
      <c r="R449" s="1">
        <f t="shared" ca="1" si="47"/>
        <v>1.2838131105902739E-2</v>
      </c>
      <c r="S449" s="9">
        <f ca="1">IF(Prices!C448&lt;OFFSET(Prices!C448,-S$3,0),1,IF(Prices!C448&gt;OFFSET(Prices!C448,-S$3,0),-1,0))</f>
        <v>1</v>
      </c>
      <c r="T449" s="1">
        <f ca="1">IF(S449=1,T$3*Q448/Prices!C448,T$3*R448*S449)</f>
        <v>1.3790689898603051E-4</v>
      </c>
    </row>
    <row r="450" spans="1:20" x14ac:dyDescent="0.2">
      <c r="A450" s="4">
        <v>34136</v>
      </c>
      <c r="B450" s="9">
        <f ca="1">Prices!C449*(1+J450/(50*(ABS(O450)+ABS(T450)+0.0001)))</f>
        <v>104.80977656483347</v>
      </c>
      <c r="C450" s="13">
        <f t="shared" ca="1" si="42"/>
        <v>-1</v>
      </c>
      <c r="D450" s="9">
        <f ca="1">D449+C450*(Prices!C450-Prices!C449)/Prices!C449</f>
        <v>0.19377121019860868</v>
      </c>
      <c r="E450" s="9">
        <f t="shared" ca="1" si="43"/>
        <v>4.5086039986082516E-2</v>
      </c>
      <c r="F450" s="9">
        <f t="shared" ca="1" si="44"/>
        <v>0.2388572501846912</v>
      </c>
      <c r="G450" s="13">
        <f ca="1">IF((Prices!C450-Prices!C449)*C450&gt;0,1,0)</f>
        <v>0</v>
      </c>
      <c r="H450" s="9">
        <f>ABS(Prices!C450-Prices!C449)/Prices!C449</f>
        <v>5.1862329090051592E-3</v>
      </c>
      <c r="I450" s="13"/>
      <c r="J450" s="1">
        <f t="shared" ca="1" si="45"/>
        <v>-5.179010710660507E-4</v>
      </c>
      <c r="K450" s="9"/>
      <c r="L450" s="9">
        <f ca="1">L449-O450*Prices!C450</f>
        <v>1.4960955393378037</v>
      </c>
      <c r="M450" s="1">
        <f t="shared" ca="1" si="46"/>
        <v>5.8662130750987765E-3</v>
      </c>
      <c r="N450" s="9">
        <f ca="1">IF(Prices!D449&gt;OFFSET(Prices!D449,-$N$3,0),1,IF(Prices!D449&lt;OFFSET(Prices!D449,-$N$3,0),-1,0))</f>
        <v>-1</v>
      </c>
      <c r="O450" s="1">
        <f ca="1">IF(N450=1,O$3*L449/Prices!C449,O$3*M449*N450)</f>
        <v>-6.5180145278875303E-4</v>
      </c>
      <c r="P450" s="14"/>
      <c r="Q450" s="9">
        <f ca="1">Q449-T450*Prices!C450</f>
        <v>0.69573299339298866</v>
      </c>
      <c r="R450" s="1">
        <f t="shared" ca="1" si="47"/>
        <v>1.2972031487625442E-2</v>
      </c>
      <c r="S450" s="9">
        <f ca="1">IF(Prices!C449&lt;OFFSET(Prices!C449,-S$3,0),1,IF(Prices!C449&gt;OFFSET(Prices!C449,-S$3,0),-1,0))</f>
        <v>1</v>
      </c>
      <c r="T450" s="1">
        <f ca="1">IF(S450=1,T$3*Q449/Prices!C449,T$3*R449*S450)</f>
        <v>1.3390038172270228E-4</v>
      </c>
    </row>
    <row r="451" spans="1:20" x14ac:dyDescent="0.2">
      <c r="A451" s="4">
        <v>34137</v>
      </c>
      <c r="B451" s="9">
        <f ca="1">Prices!C450*(1+J451/(50*(ABS(O451)+ABS(T451)+0.0001)))</f>
        <v>104.69335522422234</v>
      </c>
      <c r="C451" s="13">
        <f t="shared" ca="1" si="42"/>
        <v>-1</v>
      </c>
      <c r="D451" s="9">
        <f ca="1">D450+C451*(Prices!C451-Prices!C450)/Prices!C450</f>
        <v>0.18729841470142283</v>
      </c>
      <c r="E451" s="9">
        <f t="shared" ca="1" si="43"/>
        <v>5.1558835483268367E-2</v>
      </c>
      <c r="F451" s="9">
        <f t="shared" ca="1" si="44"/>
        <v>0.2388572501846912</v>
      </c>
      <c r="G451" s="13">
        <f ca="1">IF((Prices!C451-Prices!C450)*C451&gt;0,1,0)</f>
        <v>0</v>
      </c>
      <c r="H451" s="9">
        <f>ABS(Prices!C451-Prices!C450)/Prices!C450</f>
        <v>6.4727954971858532E-3</v>
      </c>
      <c r="I451" s="13"/>
      <c r="J451" s="1">
        <f t="shared" ca="1" si="45"/>
        <v>-8.4606193726238647E-4</v>
      </c>
      <c r="K451" s="9"/>
      <c r="L451" s="9">
        <f ca="1">L450-O451*Prices!C451</f>
        <v>1.5590341394205385</v>
      </c>
      <c r="M451" s="1">
        <f t="shared" ca="1" si="46"/>
        <v>5.2795917675888988E-3</v>
      </c>
      <c r="N451" s="9">
        <f ca="1">IF(Prices!D450&gt;OFFSET(Prices!D450,-$N$3,0),1,IF(Prices!D450&lt;OFFSET(Prices!D450,-$N$3,0),-1,0))</f>
        <v>-1</v>
      </c>
      <c r="O451" s="1">
        <f ca="1">IF(N451=1,O$3*L450/Prices!C450,O$3*M450*N451)</f>
        <v>-5.8662130750987765E-4</v>
      </c>
      <c r="P451" s="14"/>
      <c r="Q451" s="9">
        <f ca="1">Q450-T451*Prices!C451</f>
        <v>0.72356837855913536</v>
      </c>
      <c r="R451" s="1">
        <f t="shared" ca="1" si="47"/>
        <v>1.2712590857872933E-2</v>
      </c>
      <c r="S451" s="9">
        <f ca="1">IF(Prices!C450&lt;OFFSET(Prices!C450,-S$3,0),1,IF(Prices!C450&gt;OFFSET(Prices!C450,-S$3,0),-1,0))</f>
        <v>-1</v>
      </c>
      <c r="T451" s="1">
        <f ca="1">IF(S451=1,T$3*Q450/Prices!C450,T$3*R450*S451)</f>
        <v>-2.5944062975250882E-4</v>
      </c>
    </row>
    <row r="452" spans="1:20" x14ac:dyDescent="0.2">
      <c r="A452" s="4">
        <v>34138</v>
      </c>
      <c r="B452" s="9">
        <f ca="1">Prices!C451*(1+J452/(50*(ABS(O452)+ABS(T452)+0.0001)))</f>
        <v>105.38742979591019</v>
      </c>
      <c r="C452" s="13">
        <f t="shared" ca="1" si="42"/>
        <v>-1</v>
      </c>
      <c r="D452" s="9">
        <f ca="1">D451+C452*(Prices!C452-Prices!C451)/Prices!C451</f>
        <v>0.16576798316073882</v>
      </c>
      <c r="E452" s="9">
        <f t="shared" ca="1" si="43"/>
        <v>7.3089267023952381E-2</v>
      </c>
      <c r="F452" s="9">
        <f t="shared" ca="1" si="44"/>
        <v>0.2388572501846912</v>
      </c>
      <c r="G452" s="13">
        <f ca="1">IF((Prices!C452-Prices!C451)*C452&gt;0,1,0)</f>
        <v>0</v>
      </c>
      <c r="H452" s="9">
        <f>ABS(Prices!C452-Prices!C451)/Prices!C451</f>
        <v>2.1530431540684014E-2</v>
      </c>
      <c r="I452" s="13"/>
      <c r="J452" s="1">
        <f t="shared" ca="1" si="45"/>
        <v>-7.8221099391634851E-4</v>
      </c>
      <c r="K452" s="9"/>
      <c r="L452" s="9">
        <f ca="1">L451-O452*Prices!C452</f>
        <v>1.6168984651933127</v>
      </c>
      <c r="M452" s="1">
        <f t="shared" ca="1" si="46"/>
        <v>4.7516325908300086E-3</v>
      </c>
      <c r="N452" s="9">
        <f ca="1">IF(Prices!D451&gt;OFFSET(Prices!D451,-$N$3,0),1,IF(Prices!D451&lt;OFFSET(Prices!D451,-$N$3,0),-1,0))</f>
        <v>-1</v>
      </c>
      <c r="O452" s="1">
        <f ca="1">IF(N452=1,O$3*L451/Prices!C451,O$3*M451*N452)</f>
        <v>-5.2795917675888991E-4</v>
      </c>
      <c r="P452" s="14"/>
      <c r="Q452" s="9">
        <f ca="1">Q451-T452*Prices!C452</f>
        <v>0.75143437771959287</v>
      </c>
      <c r="R452" s="1">
        <f t="shared" ca="1" si="47"/>
        <v>1.2458339040715475E-2</v>
      </c>
      <c r="S452" s="9">
        <f ca="1">IF(Prices!C451&lt;OFFSET(Prices!C451,-S$3,0),1,IF(Prices!C451&gt;OFFSET(Prices!C451,-S$3,0),-1,0))</f>
        <v>-1</v>
      </c>
      <c r="T452" s="1">
        <f ca="1">IF(S452=1,T$3*Q451/Prices!C451,T$3*R451*S452)</f>
        <v>-2.5425181715745866E-4</v>
      </c>
    </row>
    <row r="453" spans="1:20" x14ac:dyDescent="0.2">
      <c r="A453" s="4">
        <v>34141</v>
      </c>
      <c r="B453" s="9">
        <f ca="1">Prices!C452*(1+J453/(50*(ABS(O453)+ABS(T453)+0.0001)))</f>
        <v>111.07312307783674</v>
      </c>
      <c r="C453" s="13">
        <f t="shared" ca="1" si="42"/>
        <v>1</v>
      </c>
      <c r="D453" s="9">
        <f ca="1">D452+C453*(Prices!C453-Prices!C452)/Prices!C452</f>
        <v>0.17553075688336661</v>
      </c>
      <c r="E453" s="9">
        <f t="shared" ca="1" si="43"/>
        <v>6.3326493301324588E-2</v>
      </c>
      <c r="F453" s="9">
        <f t="shared" ca="1" si="44"/>
        <v>0.2388572501846912</v>
      </c>
      <c r="G453" s="13">
        <f ca="1">IF((Prices!C453-Prices!C452)*C453&gt;0,1,0)</f>
        <v>1</v>
      </c>
      <c r="H453" s="9">
        <f>ABS(Prices!C453-Prices!C452)/Prices!C452</f>
        <v>9.7627737226278054E-3</v>
      </c>
      <c r="I453" s="13"/>
      <c r="J453" s="1">
        <f t="shared" ca="1" si="45"/>
        <v>1.2261055414423626E-3</v>
      </c>
      <c r="K453" s="9"/>
      <c r="L453" s="9">
        <f ca="1">L452-O453*Prices!C453</f>
        <v>1.4536300772891668</v>
      </c>
      <c r="M453" s="1">
        <f t="shared" ca="1" si="46"/>
        <v>6.226904913086681E-3</v>
      </c>
      <c r="N453" s="9">
        <f ca="1">IF(Prices!D452&gt;OFFSET(Prices!D452,-$N$3,0),1,IF(Prices!D452&lt;OFFSET(Prices!D452,-$N$3,0),-1,0))</f>
        <v>1</v>
      </c>
      <c r="O453" s="1">
        <f ca="1">IF(N453=1,O$3*L452/Prices!C452,O$3*M452*N453)</f>
        <v>1.4752723222566722E-3</v>
      </c>
      <c r="P453" s="14"/>
      <c r="Q453" s="9">
        <f ca="1">Q452-T453*Prices!C453</f>
        <v>0.77900966535231253</v>
      </c>
      <c r="R453" s="1">
        <f t="shared" ca="1" si="47"/>
        <v>1.2209172259901166E-2</v>
      </c>
      <c r="S453" s="9">
        <f ca="1">IF(Prices!C452&lt;OFFSET(Prices!C452,-S$3,0),1,IF(Prices!C452&gt;OFFSET(Prices!C452,-S$3,0),-1,0))</f>
        <v>-1</v>
      </c>
      <c r="T453" s="1">
        <f ca="1">IF(S453=1,T$3*Q452/Prices!C452,T$3*R452*S453)</f>
        <v>-2.4916678081430952E-4</v>
      </c>
    </row>
    <row r="454" spans="1:20" x14ac:dyDescent="0.2">
      <c r="A454" s="4">
        <v>34142</v>
      </c>
      <c r="B454" s="9">
        <f ca="1">Prices!C453*(1+J454/(50*(ABS(O454)+ABS(T454)+0.0001)))</f>
        <v>108.68552332872237</v>
      </c>
      <c r="C454" s="13">
        <f t="shared" ca="1" si="42"/>
        <v>-1</v>
      </c>
      <c r="D454" s="9">
        <f ca="1">D453+C454*(Prices!C454-Prices!C453)/Prices!C453</f>
        <v>0.17318143005586137</v>
      </c>
      <c r="E454" s="9">
        <f t="shared" ca="1" si="43"/>
        <v>6.5675820128829832E-2</v>
      </c>
      <c r="F454" s="9">
        <f t="shared" ca="1" si="44"/>
        <v>0.2388572501846912</v>
      </c>
      <c r="G454" s="13">
        <f ca="1">IF((Prices!C454-Prices!C453)*C454&gt;0,1,0)</f>
        <v>0</v>
      </c>
      <c r="H454" s="9">
        <f>ABS(Prices!C454-Prices!C453)/Prices!C453</f>
        <v>2.349326827505242E-3</v>
      </c>
      <c r="I454" s="13"/>
      <c r="J454" s="1">
        <f t="shared" ca="1" si="45"/>
        <v>-8.6687393650669152E-4</v>
      </c>
      <c r="K454" s="9"/>
      <c r="L454" s="9">
        <f ca="1">L453-O454*Prices!C454</f>
        <v>1.5227051334900374</v>
      </c>
      <c r="M454" s="1">
        <f t="shared" ca="1" si="46"/>
        <v>5.6042144217780133E-3</v>
      </c>
      <c r="N454" s="9">
        <f ca="1">IF(Prices!D453&gt;OFFSET(Prices!D453,-$N$3,0),1,IF(Prices!D453&lt;OFFSET(Prices!D453,-$N$3,0),-1,0))</f>
        <v>-1</v>
      </c>
      <c r="O454" s="1">
        <f ca="1">IF(N454=1,O$3*L453/Prices!C453,O$3*M453*N454)</f>
        <v>-6.2269049130866819E-4</v>
      </c>
      <c r="P454" s="14"/>
      <c r="Q454" s="9">
        <f ca="1">Q453-T454*Prices!C454</f>
        <v>0.80609693492812928</v>
      </c>
      <c r="R454" s="1">
        <f t="shared" ca="1" si="47"/>
        <v>1.1964988814703143E-2</v>
      </c>
      <c r="S454" s="9">
        <f ca="1">IF(Prices!C453&lt;OFFSET(Prices!C453,-S$3,0),1,IF(Prices!C453&gt;OFFSET(Prices!C453,-S$3,0),-1,0))</f>
        <v>-1</v>
      </c>
      <c r="T454" s="1">
        <f ca="1">IF(S454=1,T$3*Q453/Prices!C453,T$3*R453*S454)</f>
        <v>-2.4418344519802333E-4</v>
      </c>
    </row>
    <row r="455" spans="1:20" x14ac:dyDescent="0.2">
      <c r="A455" s="4">
        <v>34143</v>
      </c>
      <c r="B455" s="9">
        <f ca="1">Prices!C454*(1+J455/(50*(ABS(O455)+ABS(T455)+0.0001)))</f>
        <v>108.95798749337581</v>
      </c>
      <c r="C455" s="13">
        <f t="shared" ca="1" si="42"/>
        <v>-1</v>
      </c>
      <c r="D455" s="9">
        <f ca="1">D454+C455*(Prices!C455-Prices!C454)/Prices!C454</f>
        <v>0.19193199347423343</v>
      </c>
      <c r="E455" s="9">
        <f t="shared" ca="1" si="43"/>
        <v>4.6925256710457774E-2</v>
      </c>
      <c r="F455" s="9">
        <f t="shared" ca="1" si="44"/>
        <v>0.2388572501846912</v>
      </c>
      <c r="G455" s="13">
        <f ca="1">IF((Prices!C455-Prices!C454)*C455&gt;0,1,0)</f>
        <v>1</v>
      </c>
      <c r="H455" s="9">
        <f>ABS(Prices!C455-Prices!C454)/Prices!C454</f>
        <v>1.8750563418372057E-2</v>
      </c>
      <c r="I455" s="13"/>
      <c r="J455" s="1">
        <f t="shared" ca="1" si="45"/>
        <v>-7.9972121847186428E-4</v>
      </c>
      <c r="K455" s="9"/>
      <c r="L455" s="9">
        <f ca="1">L454-O455*Prices!C455</f>
        <v>1.5837070074710911</v>
      </c>
      <c r="M455" s="1">
        <f t="shared" ca="1" si="46"/>
        <v>5.0437929796002118E-3</v>
      </c>
      <c r="N455" s="9">
        <f ca="1">IF(Prices!D454&gt;OFFSET(Prices!D454,-$N$3,0),1,IF(Prices!D454&lt;OFFSET(Prices!D454,-$N$3,0),-1,0))</f>
        <v>-1</v>
      </c>
      <c r="O455" s="1">
        <f ca="1">IF(N455=1,O$3*L454/Prices!C454,O$3*M454*N455)</f>
        <v>-5.6042144217780139E-4</v>
      </c>
      <c r="P455" s="14"/>
      <c r="Q455" s="9">
        <f ca="1">Q454-T455*Prices!C455</f>
        <v>0.83214471557773806</v>
      </c>
      <c r="R455" s="1">
        <f t="shared" ca="1" si="47"/>
        <v>1.1725689038409081E-2</v>
      </c>
      <c r="S455" s="9">
        <f ca="1">IF(Prices!C454&lt;OFFSET(Prices!C454,-S$3,0),1,IF(Prices!C454&gt;OFFSET(Prices!C454,-S$3,0),-1,0))</f>
        <v>-1</v>
      </c>
      <c r="T455" s="1">
        <f ca="1">IF(S455=1,T$3*Q454/Prices!C454,T$3*R454*S455)</f>
        <v>-2.3929977629406286E-4</v>
      </c>
    </row>
    <row r="456" spans="1:20" x14ac:dyDescent="0.2">
      <c r="A456" s="4">
        <v>34144</v>
      </c>
      <c r="B456" s="9">
        <f ca="1">Prices!C455*(1+J456/(50*(ABS(O456)+ABS(T456)+0.0001)))</f>
        <v>106.93250863765623</v>
      </c>
      <c r="C456" s="13">
        <f t="shared" ca="1" si="42"/>
        <v>-1</v>
      </c>
      <c r="D456" s="9">
        <f ca="1">D455+C456*(Prices!C456-Prices!C455)/Prices!C455</f>
        <v>0.19422873210537719</v>
      </c>
      <c r="E456" s="9">
        <f t="shared" ca="1" si="43"/>
        <v>4.4628518079314006E-2</v>
      </c>
      <c r="F456" s="9">
        <f t="shared" ca="1" si="44"/>
        <v>0.2388572501846912</v>
      </c>
      <c r="G456" s="13">
        <f ca="1">IF((Prices!C456-Prices!C455)*C456&gt;0,1,0)</f>
        <v>1</v>
      </c>
      <c r="H456" s="9">
        <f>ABS(Prices!C456-Prices!C455)/Prices!C455</f>
        <v>2.2967386311437761E-3</v>
      </c>
      <c r="I456" s="13"/>
      <c r="J456" s="1">
        <f t="shared" ca="1" si="45"/>
        <v>-7.388930787282029E-4</v>
      </c>
      <c r="K456" s="9"/>
      <c r="L456" s="9">
        <f ca="1">L455-O456*Prices!C456</f>
        <v>1.6384825992295493</v>
      </c>
      <c r="M456" s="1">
        <f t="shared" ca="1" si="46"/>
        <v>4.5394136816401904E-3</v>
      </c>
      <c r="N456" s="9">
        <f ca="1">IF(Prices!D455&gt;OFFSET(Prices!D455,-$N$3,0),1,IF(Prices!D455&lt;OFFSET(Prices!D455,-$N$3,0),-1,0))</f>
        <v>-1</v>
      </c>
      <c r="O456" s="1">
        <f ca="1">IF(N456=1,O$3*L455/Prices!C455,O$3*M455*N456)</f>
        <v>-5.0437929796002124E-4</v>
      </c>
      <c r="P456" s="14"/>
      <c r="Q456" s="9">
        <f ca="1">Q455-T456*Prices!C456</f>
        <v>0.85761291216916258</v>
      </c>
      <c r="R456" s="1">
        <f t="shared" ca="1" si="47"/>
        <v>1.1491175257640899E-2</v>
      </c>
      <c r="S456" s="9">
        <f ca="1">IF(Prices!C455&lt;OFFSET(Prices!C455,-S$3,0),1,IF(Prices!C455&gt;OFFSET(Prices!C455,-S$3,0),-1,0))</f>
        <v>-1</v>
      </c>
      <c r="T456" s="1">
        <f ca="1">IF(S456=1,T$3*Q455/Prices!C455,T$3*R455*S456)</f>
        <v>-2.3451378076818163E-4</v>
      </c>
    </row>
    <row r="457" spans="1:20" x14ac:dyDescent="0.2">
      <c r="A457" s="4">
        <v>34145</v>
      </c>
      <c r="B457" s="9">
        <f ca="1">Prices!C456*(1+J457/(50*(ABS(O457)+ABS(T457)+0.0001)))</f>
        <v>107.69687803371541</v>
      </c>
      <c r="C457" s="13">
        <f t="shared" ca="1" si="42"/>
        <v>-1</v>
      </c>
      <c r="D457" s="9">
        <f ca="1">D456+C457*(Prices!C457-Prices!C456)/Prices!C456</f>
        <v>0.21586777446265154</v>
      </c>
      <c r="E457" s="9">
        <f t="shared" ca="1" si="43"/>
        <v>2.2989475722039659E-2</v>
      </c>
      <c r="F457" s="9">
        <f t="shared" ca="1" si="44"/>
        <v>0.2388572501846912</v>
      </c>
      <c r="G457" s="13">
        <f ca="1">IF((Prices!C457-Prices!C456)*C457&gt;0,1,0)</f>
        <v>1</v>
      </c>
      <c r="H457" s="9">
        <f>ABS(Prices!C457-Prices!C456)/Prices!C456</f>
        <v>2.163904235727435E-2</v>
      </c>
      <c r="I457" s="13"/>
      <c r="J457" s="1">
        <f t="shared" ca="1" si="45"/>
        <v>-2.9600160533360236E-4</v>
      </c>
      <c r="K457" s="9"/>
      <c r="L457" s="9">
        <f ca="1">L456-O457*Prices!C457</f>
        <v>1.6867138695969763</v>
      </c>
      <c r="M457" s="1">
        <f t="shared" ca="1" si="46"/>
        <v>4.0854723134761718E-3</v>
      </c>
      <c r="N457" s="9">
        <f ca="1">IF(Prices!D456&gt;OFFSET(Prices!D456,-$N$3,0),1,IF(Prices!D456&lt;OFFSET(Prices!D456,-$N$3,0),-1,0))</f>
        <v>-1</v>
      </c>
      <c r="O457" s="1">
        <f ca="1">IF(N457=1,O$3*L456/Prices!C456,O$3*M456*N457)</f>
        <v>-4.5394136816401904E-4</v>
      </c>
      <c r="P457" s="14"/>
      <c r="Q457" s="9">
        <f ca="1">Q456-T457*Prices!C457</f>
        <v>0.84083181236843085</v>
      </c>
      <c r="R457" s="1">
        <f t="shared" ca="1" si="47"/>
        <v>1.1649115020471315E-2</v>
      </c>
      <c r="S457" s="9">
        <f ca="1">IF(Prices!C456&lt;OFFSET(Prices!C456,-S$3,0),1,IF(Prices!C456&gt;OFFSET(Prices!C456,-S$3,0),-1,0))</f>
        <v>1</v>
      </c>
      <c r="T457" s="1">
        <f ca="1">IF(S457=1,T$3*Q456/Prices!C456,T$3*R456*S457)</f>
        <v>1.5793976283041668E-4</v>
      </c>
    </row>
    <row r="458" spans="1:20" x14ac:dyDescent="0.2">
      <c r="A458" s="4">
        <v>34148</v>
      </c>
      <c r="B458" s="9">
        <f ca="1">Prices!C457*(1+J458/(50*(ABS(O458)+ABS(T458)+0.0001)))</f>
        <v>105.4524399668062</v>
      </c>
      <c r="C458" s="13">
        <f t="shared" ca="1" si="42"/>
        <v>-1</v>
      </c>
      <c r="D458" s="9">
        <f ca="1">D457+C458*(Prices!C458-Prices!C457)/Prices!C457</f>
        <v>0.21567953916853394</v>
      </c>
      <c r="E458" s="9">
        <f t="shared" ca="1" si="43"/>
        <v>2.317771101615726E-2</v>
      </c>
      <c r="F458" s="9">
        <f t="shared" ca="1" si="44"/>
        <v>0.2388572501846912</v>
      </c>
      <c r="G458" s="13">
        <f ca="1">IF((Prices!C458-Prices!C457)*C458&gt;0,1,0)</f>
        <v>0</v>
      </c>
      <c r="H458" s="9">
        <f>ABS(Prices!C458-Prices!C457)/Prices!C457</f>
        <v>1.8823529411760961E-4</v>
      </c>
      <c r="I458" s="13"/>
      <c r="J458" s="1">
        <f t="shared" ca="1" si="45"/>
        <v>-2.5027300784297141E-4</v>
      </c>
      <c r="K458" s="9"/>
      <c r="L458" s="9">
        <f ca="1">L457-O458*Prices!C458</f>
        <v>1.7301301838722876</v>
      </c>
      <c r="M458" s="1">
        <f t="shared" ca="1" si="46"/>
        <v>3.6769250821285545E-3</v>
      </c>
      <c r="N458" s="9">
        <f ca="1">IF(Prices!D457&gt;OFFSET(Prices!D457,-$N$3,0),1,IF(Prices!D457&lt;OFFSET(Prices!D457,-$N$3,0),-1,0))</f>
        <v>-1</v>
      </c>
      <c r="O458" s="1">
        <f ca="1">IF(N458=1,O$3*L457/Prices!C457,O$3*M457*N458)</f>
        <v>-4.0854723134761721E-4</v>
      </c>
      <c r="P458" s="14"/>
      <c r="Q458" s="9">
        <f ca="1">Q457-T458*Prices!C458</f>
        <v>0.82401201063659213</v>
      </c>
      <c r="R458" s="1">
        <f t="shared" ca="1" si="47"/>
        <v>1.1807389243975961E-2</v>
      </c>
      <c r="S458" s="9">
        <f ca="1">IF(Prices!C457&lt;OFFSET(Prices!C457,-S$3,0),1,IF(Prices!C457&gt;OFFSET(Prices!C457,-S$3,0),-1,0))</f>
        <v>1</v>
      </c>
      <c r="T458" s="1">
        <f ca="1">IF(S458=1,T$3*Q457/Prices!C457,T$3*R457*S458)</f>
        <v>1.582742235046458E-4</v>
      </c>
    </row>
    <row r="459" spans="1:20" x14ac:dyDescent="0.2">
      <c r="A459" s="4">
        <v>34149</v>
      </c>
      <c r="B459" s="9">
        <f ca="1">Prices!C458*(1+J459/(50*(ABS(O459)+ABS(T459)+0.0001)))</f>
        <v>105.54439055627586</v>
      </c>
      <c r="C459" s="13">
        <f t="shared" ca="1" si="42"/>
        <v>-1</v>
      </c>
      <c r="D459" s="9">
        <f ca="1">D458+C459*(Prices!C459-Prices!C458)/Prices!C458</f>
        <v>0.21426804015658318</v>
      </c>
      <c r="E459" s="9">
        <f t="shared" ca="1" si="43"/>
        <v>2.4589210028108016E-2</v>
      </c>
      <c r="F459" s="9">
        <f t="shared" ca="1" si="44"/>
        <v>0.2388572501846912</v>
      </c>
      <c r="G459" s="13">
        <f ca="1">IF((Prices!C459-Prices!C458)*C459&gt;0,1,0)</f>
        <v>0</v>
      </c>
      <c r="H459" s="9">
        <f>ABS(Prices!C459-Prices!C458)/Prices!C458</f>
        <v>1.4114990119507452E-3</v>
      </c>
      <c r="I459" s="13"/>
      <c r="J459" s="1">
        <f t="shared" ca="1" si="45"/>
        <v>-2.1261355636631511E-4</v>
      </c>
      <c r="K459" s="9"/>
      <c r="L459" s="9">
        <f ca="1">L458-O459*Prices!C459</f>
        <v>1.7692600205962996</v>
      </c>
      <c r="M459" s="1">
        <f t="shared" ca="1" si="46"/>
        <v>3.3092325739156993E-3</v>
      </c>
      <c r="N459" s="9">
        <f ca="1">IF(Prices!D458&gt;OFFSET(Prices!D458,-$N$3,0),1,IF(Prices!D458&lt;OFFSET(Prices!D458,-$N$3,0),-1,0))</f>
        <v>-1</v>
      </c>
      <c r="O459" s="1">
        <f ca="1">IF(N459=1,O$3*L458/Prices!C458,O$3*M458*N459)</f>
        <v>-3.6769250821285545E-4</v>
      </c>
      <c r="P459" s="14"/>
      <c r="Q459" s="9">
        <f ca="1">Q458-T459*Prices!C459</f>
        <v>0.80750850858108336</v>
      </c>
      <c r="R459" s="1">
        <f t="shared" ca="1" si="47"/>
        <v>1.1962468195822501E-2</v>
      </c>
      <c r="S459" s="9">
        <f ca="1">IF(Prices!C458&lt;OFFSET(Prices!C458,-S$3,0),1,IF(Prices!C458&gt;OFFSET(Prices!C458,-S$3,0),-1,0))</f>
        <v>1</v>
      </c>
      <c r="T459" s="1">
        <f ca="1">IF(S459=1,T$3*Q458/Prices!C458,T$3*R458*S459)</f>
        <v>1.5507895184654034E-4</v>
      </c>
    </row>
    <row r="460" spans="1:20" x14ac:dyDescent="0.2">
      <c r="A460" s="4">
        <v>34150</v>
      </c>
      <c r="B460" s="9">
        <f ca="1">Prices!C459*(1+J460/(50*(ABS(O460)+ABS(T460)+0.0001)))</f>
        <v>105.76555447365014</v>
      </c>
      <c r="C460" s="13">
        <f t="shared" ca="1" si="42"/>
        <v>-1</v>
      </c>
      <c r="D460" s="9">
        <f ca="1">D459+C460*(Prices!C460-Prices!C459)/Prices!C459</f>
        <v>0.20599891781115942</v>
      </c>
      <c r="E460" s="9">
        <f t="shared" ca="1" si="43"/>
        <v>3.2858332373531779E-2</v>
      </c>
      <c r="F460" s="9">
        <f t="shared" ca="1" si="44"/>
        <v>0.2388572501846912</v>
      </c>
      <c r="G460" s="13">
        <f ca="1">IF((Prices!C460-Prices!C459)*C460&gt;0,1,0)</f>
        <v>0</v>
      </c>
      <c r="H460" s="9">
        <f>ABS(Prices!C460-Prices!C459)/Prices!C459</f>
        <v>8.2691223454237489E-3</v>
      </c>
      <c r="I460" s="13"/>
      <c r="J460" s="1">
        <f t="shared" ca="1" si="45"/>
        <v>-1.791644698363955E-4</v>
      </c>
      <c r="K460" s="9"/>
      <c r="L460" s="9">
        <f ca="1">L459-O460*Prices!C460</f>
        <v>1.8047680861144151</v>
      </c>
      <c r="M460" s="1">
        <f t="shared" ca="1" si="46"/>
        <v>2.9783093165241291E-3</v>
      </c>
      <c r="N460" s="9">
        <f ca="1">IF(Prices!D459&gt;OFFSET(Prices!D459,-$N$3,0),1,IF(Prices!D459&lt;OFFSET(Prices!D459,-$N$3,0),-1,0))</f>
        <v>-1</v>
      </c>
      <c r="O460" s="1">
        <f ca="1">IF(N460=1,O$3*L459/Prices!C459,O$3*M459*N460)</f>
        <v>-3.3092325739156997E-4</v>
      </c>
      <c r="P460" s="14"/>
      <c r="Q460" s="9">
        <f ca="1">Q459-T460*Prices!C460</f>
        <v>0.79122479067641316</v>
      </c>
      <c r="R460" s="1">
        <f t="shared" ca="1" si="47"/>
        <v>1.2114226983377675E-2</v>
      </c>
      <c r="S460" s="9">
        <f ca="1">IF(Prices!C459&lt;OFFSET(Prices!C459,-S$3,0),1,IF(Prices!C459&gt;OFFSET(Prices!C459,-S$3,0),-1,0))</f>
        <v>1</v>
      </c>
      <c r="T460" s="1">
        <f ca="1">IF(S460=1,T$3*Q459/Prices!C459,T$3*R459*S460)</f>
        <v>1.5175878755517447E-4</v>
      </c>
    </row>
    <row r="461" spans="1:20" x14ac:dyDescent="0.2">
      <c r="A461" s="4">
        <v>34151</v>
      </c>
      <c r="B461" s="9">
        <f ca="1">Prices!C460*(1+J461/(50*(ABS(O461)+ABS(T461)+0.0001)))</f>
        <v>108.57885568810275</v>
      </c>
      <c r="C461" s="13">
        <f t="shared" ca="1" si="42"/>
        <v>1</v>
      </c>
      <c r="D461" s="9">
        <f ca="1">D460+C461*(Prices!C461-Prices!C460)/Prices!C460</f>
        <v>0.20665129432560497</v>
      </c>
      <c r="E461" s="9">
        <f t="shared" ca="1" si="43"/>
        <v>3.2205955859086227E-2</v>
      </c>
      <c r="F461" s="9">
        <f t="shared" ca="1" si="44"/>
        <v>0.2388572501846912</v>
      </c>
      <c r="G461" s="13">
        <f ca="1">IF((Prices!C461-Prices!C460)*C461&gt;0,1,0)</f>
        <v>1</v>
      </c>
      <c r="H461" s="9">
        <f>ABS(Prices!C461-Prices!C460)/Prices!C460</f>
        <v>6.5237651444554885E-4</v>
      </c>
      <c r="I461" s="13"/>
      <c r="J461" s="1">
        <f t="shared" ca="1" si="45"/>
        <v>1.4747899173838083E-4</v>
      </c>
      <c r="K461" s="9"/>
      <c r="L461" s="9">
        <f ca="1">L460-O461*Prices!C461</f>
        <v>1.8047680861144151</v>
      </c>
      <c r="M461" s="1">
        <f t="shared" ca="1" si="46"/>
        <v>2.9783093165241291E-3</v>
      </c>
      <c r="N461" s="9">
        <f ca="1">IF(Prices!D460&gt;OFFSET(Prices!D460,-$N$3,0),1,IF(Prices!D460&lt;OFFSET(Prices!D460,-$N$3,0),-1,0))</f>
        <v>0</v>
      </c>
      <c r="O461" s="1">
        <f ca="1">IF(N461=1,O$3*L460/Prices!C460,O$3*M460*N461)</f>
        <v>0</v>
      </c>
      <c r="P461" s="14"/>
      <c r="Q461" s="9">
        <f ca="1">Q460-T461*Prices!C461</f>
        <v>0.77538997133346321</v>
      </c>
      <c r="R461" s="1">
        <f t="shared" ca="1" si="47"/>
        <v>1.2261705975116055E-2</v>
      </c>
      <c r="S461" s="9">
        <f ca="1">IF(Prices!C460&lt;OFFSET(Prices!C460,-S$3,0),1,IF(Prices!C460&gt;OFFSET(Prices!C460,-S$3,0),-1,0))</f>
        <v>1</v>
      </c>
      <c r="T461" s="1">
        <f ca="1">IF(S461=1,T$3*Q460/Prices!C460,T$3*R460*S461)</f>
        <v>1.4747899173838083E-4</v>
      </c>
    </row>
    <row r="462" spans="1:20" x14ac:dyDescent="0.2">
      <c r="A462" s="4">
        <v>34152</v>
      </c>
      <c r="B462" s="9">
        <f ca="1">Prices!C461*(1+J462/(50*(ABS(O462)+ABS(T462)+0.0001)))</f>
        <v>108.89158762836755</v>
      </c>
      <c r="C462" s="13">
        <f t="shared" ca="1" si="42"/>
        <v>1</v>
      </c>
      <c r="D462" s="9">
        <f ca="1">D461+C462*(Prices!C462-Prices!C461)/Prices!C461</f>
        <v>0.21810700821216536</v>
      </c>
      <c r="E462" s="9">
        <f t="shared" ca="1" si="43"/>
        <v>2.075024197252584E-2</v>
      </c>
      <c r="F462" s="9">
        <f t="shared" ca="1" si="44"/>
        <v>0.2388572501846912</v>
      </c>
      <c r="G462" s="13">
        <f ca="1">IF((Prices!C462-Prices!C461)*C462&gt;0,1,0)</f>
        <v>1</v>
      </c>
      <c r="H462" s="9">
        <f>ABS(Prices!C462-Prices!C461)/Prices!C461</f>
        <v>1.1455713886560396E-2</v>
      </c>
      <c r="I462" s="13"/>
      <c r="J462" s="1">
        <f t="shared" ca="1" si="45"/>
        <v>1.4356526143287445E-3</v>
      </c>
      <c r="K462" s="9"/>
      <c r="L462" s="9">
        <f ca="1">L461-O462*Prices!C462</f>
        <v>1.6222237868203613</v>
      </c>
      <c r="M462" s="1">
        <f t="shared" ca="1" si="46"/>
        <v>4.6591960503551948E-3</v>
      </c>
      <c r="N462" s="9">
        <f ca="1">IF(Prices!D461&gt;OFFSET(Prices!D461,-$N$3,0),1,IF(Prices!D461&lt;OFFSET(Prices!D461,-$N$3,0),-1,0))</f>
        <v>1</v>
      </c>
      <c r="O462" s="1">
        <f ca="1">IF(N462=1,O$3*L461/Prices!C461,O$3*M461*N462)</f>
        <v>1.6808867338310657E-3</v>
      </c>
      <c r="P462" s="14"/>
      <c r="Q462" s="9">
        <f ca="1">Q461-T462*Prices!C462</f>
        <v>0.80202239671141529</v>
      </c>
      <c r="R462" s="1">
        <f t="shared" ca="1" si="47"/>
        <v>1.2016471855613733E-2</v>
      </c>
      <c r="S462" s="9">
        <f ca="1">IF(Prices!C461&lt;OFFSET(Prices!C461,-S$3,0),1,IF(Prices!C461&gt;OFFSET(Prices!C461,-S$3,0),-1,0))</f>
        <v>-1</v>
      </c>
      <c r="T462" s="1">
        <f ca="1">IF(S462=1,T$3*Q461/Prices!C461,T$3*R461*S462)</f>
        <v>-2.4523411950232111E-4</v>
      </c>
    </row>
    <row r="463" spans="1:20" x14ac:dyDescent="0.2">
      <c r="A463" s="4">
        <v>34155</v>
      </c>
      <c r="B463" s="9">
        <f ca="1">Prices!C462*(1+J463/(50*(ABS(O463)+ABS(T463)+0.0001)))</f>
        <v>106.69739566888835</v>
      </c>
      <c r="C463" s="13">
        <f t="shared" ca="1" si="42"/>
        <v>-1</v>
      </c>
      <c r="D463" s="9">
        <f ca="1">D462+C463*(Prices!C463-Prices!C462)/Prices!C462</f>
        <v>0.21396336180332556</v>
      </c>
      <c r="E463" s="9">
        <f t="shared" ca="1" si="43"/>
        <v>2.4893888381365636E-2</v>
      </c>
      <c r="F463" s="9">
        <f t="shared" ca="1" si="44"/>
        <v>0.2388572501846912</v>
      </c>
      <c r="G463" s="13">
        <f ca="1">IF((Prices!C463-Prices!C462)*C463&gt;0,1,0)</f>
        <v>0</v>
      </c>
      <c r="H463" s="9">
        <f>ABS(Prices!C463-Prices!C462)/Prices!C462</f>
        <v>4.1436464088398057E-3</v>
      </c>
      <c r="I463" s="13"/>
      <c r="J463" s="1">
        <f t="shared" ca="1" si="45"/>
        <v>-7.0624904214779409E-4</v>
      </c>
      <c r="K463" s="9"/>
      <c r="L463" s="9">
        <f ca="1">L462-O463*Prices!C463</f>
        <v>1.6730323197494847</v>
      </c>
      <c r="M463" s="1">
        <f t="shared" ca="1" si="46"/>
        <v>4.1932764453196754E-3</v>
      </c>
      <c r="N463" s="9">
        <f ca="1">IF(Prices!D462&gt;OFFSET(Prices!D462,-$N$3,0),1,IF(Prices!D462&lt;OFFSET(Prices!D462,-$N$3,0),-1,0))</f>
        <v>-1</v>
      </c>
      <c r="O463" s="1">
        <f ca="1">IF(N463=1,O$3*L462/Prices!C462,O$3*M462*N463)</f>
        <v>-4.6591960503551948E-4</v>
      </c>
      <c r="P463" s="14"/>
      <c r="Q463" s="9">
        <f ca="1">Q462-T463*Prices!C463</f>
        <v>0.82823032182850886</v>
      </c>
      <c r="R463" s="1">
        <f t="shared" ca="1" si="47"/>
        <v>1.1776142418501459E-2</v>
      </c>
      <c r="S463" s="9">
        <f ca="1">IF(Prices!C462&lt;OFFSET(Prices!C462,-S$3,0),1,IF(Prices!C462&gt;OFFSET(Prices!C462,-S$3,0),-1,0))</f>
        <v>-1</v>
      </c>
      <c r="T463" s="1">
        <f ca="1">IF(S463=1,T$3*Q462/Prices!C462,T$3*R462*S463)</f>
        <v>-2.4032943711227466E-4</v>
      </c>
    </row>
    <row r="464" spans="1:20" x14ac:dyDescent="0.2">
      <c r="A464" s="4">
        <v>34156</v>
      </c>
      <c r="B464" s="9">
        <f ca="1">Prices!C463*(1+J464/(50*(ABS(O464)+ABS(T464)+0.0001)))</f>
        <v>107.15793138714334</v>
      </c>
      <c r="C464" s="13">
        <f t="shared" ca="1" si="42"/>
        <v>-1</v>
      </c>
      <c r="D464" s="9">
        <f ca="1">D463+C464*(Prices!C464-Prices!C463)/Prices!C463</f>
        <v>0.21451356813069836</v>
      </c>
      <c r="E464" s="9">
        <f t="shared" ca="1" si="43"/>
        <v>2.4343682053992843E-2</v>
      </c>
      <c r="F464" s="9">
        <f t="shared" ca="1" si="44"/>
        <v>0.2388572501846912</v>
      </c>
      <c r="G464" s="13">
        <f ca="1">IF((Prices!C464-Prices!C463)*C464&gt;0,1,0)</f>
        <v>1</v>
      </c>
      <c r="H464" s="9">
        <f>ABS(Prices!C464-Prices!C463)/Prices!C463</f>
        <v>5.502063273727857E-4</v>
      </c>
      <c r="I464" s="13"/>
      <c r="J464" s="1">
        <f t="shared" ca="1" si="45"/>
        <v>-6.5485049290199679E-4</v>
      </c>
      <c r="K464" s="9"/>
      <c r="L464" s="9">
        <f ca="1">L463-O464*Prices!C464</f>
        <v>1.7187348397270239</v>
      </c>
      <c r="M464" s="1">
        <f t="shared" ca="1" si="46"/>
        <v>3.7739488007877079E-3</v>
      </c>
      <c r="N464" s="9">
        <f ca="1">IF(Prices!D463&gt;OFFSET(Prices!D463,-$N$3,0),1,IF(Prices!D463&lt;OFFSET(Prices!D463,-$N$3,0),-1,0))</f>
        <v>-1</v>
      </c>
      <c r="O464" s="1">
        <f ca="1">IF(N464=1,O$3*L463/Prices!C463,O$3*M463*N464)</f>
        <v>-4.1932764453196756E-4</v>
      </c>
      <c r="P464" s="14"/>
      <c r="Q464" s="9">
        <f ca="1">Q463-T464*Prices!C464</f>
        <v>0.85389995707235833</v>
      </c>
      <c r="R464" s="1">
        <f t="shared" ca="1" si="47"/>
        <v>1.154061957013143E-2</v>
      </c>
      <c r="S464" s="9">
        <f ca="1">IF(Prices!C463&lt;OFFSET(Prices!C463,-S$3,0),1,IF(Prices!C463&gt;OFFSET(Prices!C463,-S$3,0),-1,0))</f>
        <v>-1</v>
      </c>
      <c r="T464" s="1">
        <f ca="1">IF(S464=1,T$3*Q463/Prices!C463,T$3*R463*S464)</f>
        <v>-2.3552284837002917E-4</v>
      </c>
    </row>
    <row r="465" spans="1:20" x14ac:dyDescent="0.2">
      <c r="A465" s="4">
        <v>34157</v>
      </c>
      <c r="B465" s="9">
        <f ca="1">Prices!C464*(1+J465/(50*(ABS(O465)+ABS(T465)+0.0001)))</f>
        <v>110.528095520723</v>
      </c>
      <c r="C465" s="13">
        <f t="shared" ca="1" si="42"/>
        <v>1</v>
      </c>
      <c r="D465" s="9">
        <f ca="1">D464+C465*(Prices!C465-Prices!C464)/Prices!C464</f>
        <v>0.20157660143650627</v>
      </c>
      <c r="E465" s="9">
        <f t="shared" ca="1" si="43"/>
        <v>3.728064874818493E-2</v>
      </c>
      <c r="F465" s="9">
        <f t="shared" ca="1" si="44"/>
        <v>0.2388572501846912</v>
      </c>
      <c r="G465" s="13">
        <f ca="1">IF((Prices!C465-Prices!C464)*C465&gt;0,1,0)</f>
        <v>0</v>
      </c>
      <c r="H465" s="9">
        <f>ABS(Prices!C465-Prices!C464)/Prices!C464</f>
        <v>1.2936966694192097E-2</v>
      </c>
      <c r="I465" s="13"/>
      <c r="J465" s="1">
        <f t="shared" ca="1" si="45"/>
        <v>1.3461532382212124E-3</v>
      </c>
      <c r="K465" s="9"/>
      <c r="L465" s="9">
        <f ca="1">L464-O465*Prices!C465</f>
        <v>1.5490848772920911</v>
      </c>
      <c r="M465" s="1">
        <f t="shared" ca="1" si="46"/>
        <v>5.3509144304115484E-3</v>
      </c>
      <c r="N465" s="9">
        <f ca="1">IF(Prices!D464&gt;OFFSET(Prices!D464,-$N$3,0),1,IF(Prices!D464&lt;OFFSET(Prices!D464,-$N$3,0),-1,0))</f>
        <v>1</v>
      </c>
      <c r="O465" s="1">
        <f ca="1">IF(N465=1,O$3*L464/Prices!C464,O$3*M464*N465)</f>
        <v>1.576965629623841E-3</v>
      </c>
      <c r="P465" s="14"/>
      <c r="Q465" s="9">
        <f ca="1">Q464-T465*Prices!C465</f>
        <v>0.87873075413945312</v>
      </c>
      <c r="R465" s="1">
        <f t="shared" ca="1" si="47"/>
        <v>1.1309807178728801E-2</v>
      </c>
      <c r="S465" s="9">
        <f ca="1">IF(Prices!C464&lt;OFFSET(Prices!C464,-S$3,0),1,IF(Prices!C464&gt;OFFSET(Prices!C464,-S$3,0),-1,0))</f>
        <v>-1</v>
      </c>
      <c r="T465" s="1">
        <f ca="1">IF(S465=1,T$3*Q464/Prices!C464,T$3*R464*S465)</f>
        <v>-2.308123914026286E-4</v>
      </c>
    </row>
    <row r="466" spans="1:20" x14ac:dyDescent="0.2">
      <c r="A466" s="4">
        <v>34158</v>
      </c>
      <c r="B466" s="9">
        <f ca="1">Prices!C465*(1+J466/(50*(ABS(O466)+ABS(T466)+0.0001)))</f>
        <v>109.05864573204454</v>
      </c>
      <c r="C466" s="13">
        <f t="shared" ref="C466:C529" ca="1" si="48">IF(J466&gt;0,1,IF(J466&lt;0,-1,0))</f>
        <v>1</v>
      </c>
      <c r="D466" s="9">
        <f ca="1">D465+C466*(Prices!C466-Prices!C465)/Prices!C465</f>
        <v>0.21105791766628873</v>
      </c>
      <c r="E466" s="9">
        <f t="shared" ref="E466:E529" ca="1" si="49">F466-D466</f>
        <v>2.779933251840247E-2</v>
      </c>
      <c r="F466" s="9">
        <f t="shared" ref="F466:F529" ca="1" si="50">MAX(F465,D466)</f>
        <v>0.2388572501846912</v>
      </c>
      <c r="G466" s="13">
        <f ca="1">IF((Prices!C466-Prices!C465)*C466&gt;0,1,0)</f>
        <v>1</v>
      </c>
      <c r="H466" s="9">
        <f>ABS(Prices!C466-Prices!C465)/Prices!C465</f>
        <v>9.4813162297824501E-3</v>
      </c>
      <c r="I466" s="13"/>
      <c r="J466" s="1">
        <f t="shared" ref="J466:J529" ca="1" si="51">O466+T466</f>
        <v>1.2137414631293571E-3</v>
      </c>
      <c r="K466" s="9"/>
      <c r="L466" s="9">
        <f ca="1">L465-O466*Prices!C466</f>
        <v>1.3927076532040439</v>
      </c>
      <c r="M466" s="1">
        <f t="shared" ref="M466:M529" ca="1" si="52">M465+O466</f>
        <v>6.7908520371154817E-3</v>
      </c>
      <c r="N466" s="9">
        <f ca="1">IF(Prices!D465&gt;OFFSET(Prices!D465,-$N$3,0),1,IF(Prices!D465&lt;OFFSET(Prices!D465,-$N$3,0),-1,0))</f>
        <v>1</v>
      </c>
      <c r="O466" s="1">
        <f ca="1">IF(N466=1,O$3*L465/Prices!C465,O$3*M465*N466)</f>
        <v>1.439937606703933E-3</v>
      </c>
      <c r="P466" s="14"/>
      <c r="Q466" s="9">
        <f ca="1">Q465-T466*Prices!C466</f>
        <v>0.90329565533165213</v>
      </c>
      <c r="R466" s="1">
        <f t="shared" ref="R466:R529" ca="1" si="53">R465+T466</f>
        <v>1.1083611035154225E-2</v>
      </c>
      <c r="S466" s="9">
        <f ca="1">IF(Prices!C465&lt;OFFSET(Prices!C465,-S$3,0),1,IF(Prices!C465&gt;OFFSET(Prices!C465,-S$3,0),-1,0))</f>
        <v>-1</v>
      </c>
      <c r="T466" s="1">
        <f ca="1">IF(S466=1,T$3*Q465/Prices!C465,T$3*R465*S466)</f>
        <v>-2.2619614357457602E-4</v>
      </c>
    </row>
    <row r="467" spans="1:20" x14ac:dyDescent="0.2">
      <c r="A467" s="4">
        <v>34159</v>
      </c>
      <c r="B467" s="9">
        <f ca="1">Prices!C466*(1+J467/(50*(ABS(O467)+ABS(T467)+0.0001)))</f>
        <v>106.70678850601354</v>
      </c>
      <c r="C467" s="13">
        <f t="shared" ca="1" si="48"/>
        <v>-1</v>
      </c>
      <c r="D467" s="9">
        <f ca="1">D466+C467*(Prices!C467-Prices!C466)/Prices!C466</f>
        <v>0.19816657328323159</v>
      </c>
      <c r="E467" s="9">
        <f t="shared" ca="1" si="49"/>
        <v>4.069067690145961E-2</v>
      </c>
      <c r="F467" s="9">
        <f t="shared" ca="1" si="50"/>
        <v>0.2388572501846912</v>
      </c>
      <c r="G467" s="13">
        <f ca="1">IF((Prices!C467-Prices!C466)*C467&gt;0,1,0)</f>
        <v>0</v>
      </c>
      <c r="H467" s="9">
        <f>ABS(Prices!C467-Prices!C466)/Prices!C466</f>
        <v>1.2891344383057144E-2</v>
      </c>
      <c r="I467" s="13"/>
      <c r="J467" s="1">
        <f t="shared" ca="1" si="51"/>
        <v>-6.7908520371154823E-4</v>
      </c>
      <c r="K467" s="9"/>
      <c r="L467" s="9">
        <f ca="1">L466-O467*Prices!C467</f>
        <v>1.4674070256123142</v>
      </c>
      <c r="M467" s="1">
        <f t="shared" ca="1" si="52"/>
        <v>6.1117668334039338E-3</v>
      </c>
      <c r="N467" s="9">
        <f ca="1">IF(Prices!D466&gt;OFFSET(Prices!D466,-$N$3,0),1,IF(Prices!D466&lt;OFFSET(Prices!D466,-$N$3,0),-1,0))</f>
        <v>-1</v>
      </c>
      <c r="O467" s="1">
        <f ca="1">IF(N467=1,O$3*L466/Prices!C466,O$3*M466*N467)</f>
        <v>-6.7908520371154823E-4</v>
      </c>
      <c r="P467" s="14"/>
      <c r="Q467" s="9">
        <f ca="1">Q466-T467*Prices!C467</f>
        <v>0.90329565533165213</v>
      </c>
      <c r="R467" s="1">
        <f t="shared" ca="1" si="53"/>
        <v>1.1083611035154225E-2</v>
      </c>
      <c r="S467" s="9">
        <f ca="1">IF(Prices!C466&lt;OFFSET(Prices!C466,-S$3,0),1,IF(Prices!C466&gt;OFFSET(Prices!C466,-S$3,0),-1,0))</f>
        <v>0</v>
      </c>
      <c r="T467" s="1">
        <f ca="1">IF(S467=1,T$3*Q466/Prices!C466,T$3*R466*S467)</f>
        <v>0</v>
      </c>
    </row>
    <row r="468" spans="1:20" x14ac:dyDescent="0.2">
      <c r="A468" s="4">
        <v>34162</v>
      </c>
      <c r="B468" s="9">
        <f ca="1">Prices!C467*(1+J468/(50*(ABS(O468)+ABS(T468)+0.0001)))</f>
        <v>108.03583669235864</v>
      </c>
      <c r="C468" s="13">
        <f t="shared" ca="1" si="48"/>
        <v>-1</v>
      </c>
      <c r="D468" s="9">
        <f ca="1">D467+C468*(Prices!C468-Prices!C467)/Prices!C467</f>
        <v>0.20407566419232254</v>
      </c>
      <c r="E468" s="9">
        <f t="shared" ca="1" si="49"/>
        <v>3.4781585992368663E-2</v>
      </c>
      <c r="F468" s="9">
        <f t="shared" ca="1" si="50"/>
        <v>0.2388572501846912</v>
      </c>
      <c r="G468" s="13">
        <f ca="1">IF((Prices!C468-Prices!C467)*C468&gt;0,1,0)</f>
        <v>1</v>
      </c>
      <c r="H468" s="9">
        <f>ABS(Prices!C468-Prices!C467)/Prices!C467</f>
        <v>5.909090909090961E-3</v>
      </c>
      <c r="I468" s="13"/>
      <c r="J468" s="1">
        <f t="shared" ca="1" si="51"/>
        <v>-8.3284890404347796E-4</v>
      </c>
      <c r="K468" s="9"/>
      <c r="L468" s="9">
        <f ca="1">L467-O468*Prices!C468</f>
        <v>1.5342391959355861</v>
      </c>
      <c r="M468" s="1">
        <f t="shared" ca="1" si="52"/>
        <v>5.5005901500635402E-3</v>
      </c>
      <c r="N468" s="9">
        <f ca="1">IF(Prices!D467&gt;OFFSET(Prices!D467,-$N$3,0),1,IF(Prices!D467&lt;OFFSET(Prices!D467,-$N$3,0),-1,0))</f>
        <v>-1</v>
      </c>
      <c r="O468" s="1">
        <f ca="1">IF(N468=1,O$3*L467/Prices!C467,O$3*M467*N468)</f>
        <v>-6.1117668334039344E-4</v>
      </c>
      <c r="P468" s="14"/>
      <c r="Q468" s="9">
        <f ca="1">Q467-T468*Prices!C468</f>
        <v>0.92753551266553447</v>
      </c>
      <c r="R468" s="1">
        <f t="shared" ca="1" si="53"/>
        <v>1.086193881445114E-2</v>
      </c>
      <c r="S468" s="9">
        <f ca="1">IF(Prices!C467&lt;OFFSET(Prices!C467,-S$3,0),1,IF(Prices!C467&gt;OFFSET(Prices!C467,-S$3,0),-1,0))</f>
        <v>-1</v>
      </c>
      <c r="T468" s="1">
        <f ca="1">IF(S468=1,T$3*Q467/Prices!C467,T$3*R467*S468)</f>
        <v>-2.2167222070308451E-4</v>
      </c>
    </row>
    <row r="469" spans="1:20" x14ac:dyDescent="0.2">
      <c r="A469" s="4">
        <v>34163</v>
      </c>
      <c r="B469" s="9">
        <f ca="1">Prices!C468*(1+J469/(50*(ABS(O469)+ABS(T469)+0.0001)))</f>
        <v>107.41516252387008</v>
      </c>
      <c r="C469" s="13">
        <f t="shared" ca="1" si="48"/>
        <v>-1</v>
      </c>
      <c r="D469" s="9">
        <f ca="1">D468+C469*(Prices!C469-Prices!C468)/Prices!C468</f>
        <v>0.21523250004051639</v>
      </c>
      <c r="E469" s="9">
        <f t="shared" ca="1" si="49"/>
        <v>2.3624750144174811E-2</v>
      </c>
      <c r="F469" s="9">
        <f t="shared" ca="1" si="50"/>
        <v>0.2388572501846912</v>
      </c>
      <c r="G469" s="13">
        <f ca="1">IF((Prices!C469-Prices!C468)*C469&gt;0,1,0)</f>
        <v>1</v>
      </c>
      <c r="H469" s="9">
        <f>ABS(Prices!C469-Prices!C468)/Prices!C468</f>
        <v>1.1156835848193863E-2</v>
      </c>
      <c r="I469" s="13"/>
      <c r="J469" s="1">
        <f t="shared" ca="1" si="51"/>
        <v>-7.6729779129537678E-4</v>
      </c>
      <c r="K469" s="9"/>
      <c r="L469" s="9">
        <f ca="1">L468-O469*Prices!C469</f>
        <v>1.5937170772282232</v>
      </c>
      <c r="M469" s="1">
        <f t="shared" ca="1" si="52"/>
        <v>4.9505311350571861E-3</v>
      </c>
      <c r="N469" s="9">
        <f ca="1">IF(Prices!D468&gt;OFFSET(Prices!D468,-$N$3,0),1,IF(Prices!D468&lt;OFFSET(Prices!D468,-$N$3,0),-1,0))</f>
        <v>-1</v>
      </c>
      <c r="O469" s="1">
        <f ca="1">IF(N469=1,O$3*L468/Prices!C468,O$3*M468*N469)</f>
        <v>-5.50059015006354E-4</v>
      </c>
      <c r="P469" s="14"/>
      <c r="Q469" s="9">
        <f ca="1">Q468-T469*Prices!C469</f>
        <v>0.95102554154566654</v>
      </c>
      <c r="R469" s="1">
        <f t="shared" ca="1" si="53"/>
        <v>1.0644700038162118E-2</v>
      </c>
      <c r="S469" s="9">
        <f ca="1">IF(Prices!C468&lt;OFFSET(Prices!C468,-S$3,0),1,IF(Prices!C468&gt;OFFSET(Prices!C468,-S$3,0),-1,0))</f>
        <v>-1</v>
      </c>
      <c r="T469" s="1">
        <f ca="1">IF(S469=1,T$3*Q468/Prices!C468,T$3*R468*S469)</f>
        <v>-2.1723877628902281E-4</v>
      </c>
    </row>
    <row r="470" spans="1:20" x14ac:dyDescent="0.2">
      <c r="A470" s="4">
        <v>34164</v>
      </c>
      <c r="B470" s="9">
        <f ca="1">Prices!C469*(1+J470/(50*(ABS(O470)+ABS(T470)+0.0001)))</f>
        <v>109.65622244265869</v>
      </c>
      <c r="C470" s="13">
        <f t="shared" ca="1" si="48"/>
        <v>1</v>
      </c>
      <c r="D470" s="9">
        <f ca="1">D469+C470*(Prices!C470-Prices!C469)/Prices!C469</f>
        <v>0.20524452260594692</v>
      </c>
      <c r="E470" s="9">
        <f t="shared" ca="1" si="49"/>
        <v>3.3612727578744284E-2</v>
      </c>
      <c r="F470" s="9">
        <f t="shared" ca="1" si="50"/>
        <v>0.2388572501846912</v>
      </c>
      <c r="G470" s="13">
        <f ca="1">IF((Prices!C470-Prices!C469)*C470&gt;0,1,0)</f>
        <v>0</v>
      </c>
      <c r="H470" s="9">
        <f>ABS(Prices!C470-Prices!C469)/Prices!C469</f>
        <v>9.9879774345694849E-3</v>
      </c>
      <c r="I470" s="13"/>
      <c r="J470" s="1">
        <f t="shared" ca="1" si="51"/>
        <v>1.260995832981531E-3</v>
      </c>
      <c r="K470" s="9"/>
      <c r="L470" s="9">
        <f ca="1">L469-O470*Prices!C470</f>
        <v>1.4359371705258452</v>
      </c>
      <c r="M470" s="1">
        <f t="shared" ca="1" si="52"/>
        <v>6.4244209688019589E-3</v>
      </c>
      <c r="N470" s="9">
        <f ca="1">IF(Prices!D469&gt;OFFSET(Prices!D469,-$N$3,0),1,IF(Prices!D469&lt;OFFSET(Prices!D469,-$N$3,0),-1,0))</f>
        <v>1</v>
      </c>
      <c r="O470" s="1">
        <f ca="1">IF(N470=1,O$3*L469/Prices!C469,O$3*M469*N470)</f>
        <v>1.4738898337447732E-3</v>
      </c>
      <c r="P470" s="14"/>
      <c r="Q470" s="9">
        <f ca="1">Q469-T470*Prices!C470</f>
        <v>0.97381584432737167</v>
      </c>
      <c r="R470" s="1">
        <f t="shared" ca="1" si="53"/>
        <v>1.0431806037398876E-2</v>
      </c>
      <c r="S470" s="9">
        <f ca="1">IF(Prices!C469&lt;OFFSET(Prices!C469,-S$3,0),1,IF(Prices!C469&gt;OFFSET(Prices!C469,-S$3,0),-1,0))</f>
        <v>-1</v>
      </c>
      <c r="T470" s="1">
        <f ca="1">IF(S470=1,T$3*Q469/Prices!C469,T$3*R469*S470)</f>
        <v>-2.1289400076324235E-4</v>
      </c>
    </row>
    <row r="471" spans="1:20" x14ac:dyDescent="0.2">
      <c r="A471" s="4">
        <v>34165</v>
      </c>
      <c r="B471" s="9">
        <f ca="1">Prices!C470*(1+J471/(50*(ABS(O471)+ABS(T471)+0.0001)))</f>
        <v>105.98340017831201</v>
      </c>
      <c r="C471" s="13">
        <f t="shared" ca="1" si="48"/>
        <v>-1</v>
      </c>
      <c r="D471" s="9">
        <f ca="1">D470+C471*(Prices!C471-Prices!C470)/Prices!C470</f>
        <v>0.19403480751953867</v>
      </c>
      <c r="E471" s="9">
        <f t="shared" ca="1" si="49"/>
        <v>4.4822442665152534E-2</v>
      </c>
      <c r="F471" s="9">
        <f t="shared" ca="1" si="50"/>
        <v>0.2388572501846912</v>
      </c>
      <c r="G471" s="13">
        <f ca="1">IF((Prices!C471-Prices!C470)*C471&gt;0,1,0)</f>
        <v>0</v>
      </c>
      <c r="H471" s="9">
        <f>ABS(Prices!C471-Prices!C470)/Prices!C470</f>
        <v>1.1209715086408247E-2</v>
      </c>
      <c r="I471" s="13"/>
      <c r="J471" s="1">
        <f t="shared" ca="1" si="51"/>
        <v>-4.6050546085453097E-4</v>
      </c>
      <c r="K471" s="9"/>
      <c r="L471" s="9">
        <f ca="1">L470-O471*Prices!C471</f>
        <v>1.5054815275131264</v>
      </c>
      <c r="M471" s="1">
        <f t="shared" ca="1" si="52"/>
        <v>5.7819788719217632E-3</v>
      </c>
      <c r="N471" s="9">
        <f ca="1">IF(Prices!D470&gt;OFFSET(Prices!D470,-$N$3,0),1,IF(Prices!D470&lt;OFFSET(Prices!D470,-$N$3,0),-1,0))</f>
        <v>-1</v>
      </c>
      <c r="O471" s="1">
        <f ca="1">IF(N471=1,O$3*L470/Prices!C470,O$3*M470*N471)</f>
        <v>-6.4244209688019594E-4</v>
      </c>
      <c r="P471" s="14"/>
      <c r="Q471" s="9">
        <f ca="1">Q470-T471*Prices!C471</f>
        <v>0.95412120347759344</v>
      </c>
      <c r="R471" s="1">
        <f t="shared" ca="1" si="53"/>
        <v>1.0613742673424541E-2</v>
      </c>
      <c r="S471" s="9">
        <f ca="1">IF(Prices!C470&lt;OFFSET(Prices!C470,-S$3,0),1,IF(Prices!C470&gt;OFFSET(Prices!C470,-S$3,0),-1,0))</f>
        <v>1</v>
      </c>
      <c r="T471" s="1">
        <f ca="1">IF(S471=1,T$3*Q470/Prices!C470,T$3*R470*S471)</f>
        <v>1.8193663602566497E-4</v>
      </c>
    </row>
    <row r="472" spans="1:20" x14ac:dyDescent="0.2">
      <c r="A472" s="4">
        <v>34166</v>
      </c>
      <c r="B472" s="9">
        <f ca="1">Prices!C471*(1+J472/(50*(ABS(O472)+ABS(T472)+0.0001)))</f>
        <v>107.23166016425158</v>
      </c>
      <c r="C472" s="13">
        <f t="shared" ca="1" si="48"/>
        <v>-1</v>
      </c>
      <c r="D472" s="9">
        <f ca="1">D471+C472*(Prices!C472-Prices!C471)/Prices!C471</f>
        <v>0.20050132022161721</v>
      </c>
      <c r="E472" s="9">
        <f t="shared" ca="1" si="49"/>
        <v>3.8355929963073992E-2</v>
      </c>
      <c r="F472" s="9">
        <f t="shared" ca="1" si="50"/>
        <v>0.2388572501846912</v>
      </c>
      <c r="G472" s="13">
        <f ca="1">IF((Prices!C472-Prices!C471)*C472&gt;0,1,0)</f>
        <v>1</v>
      </c>
      <c r="H472" s="9">
        <f>ABS(Prices!C472-Prices!C471)/Prices!C471</f>
        <v>6.4665127020785479E-3</v>
      </c>
      <c r="I472" s="13"/>
      <c r="J472" s="1">
        <f t="shared" ca="1" si="51"/>
        <v>-4.0191683343188188E-4</v>
      </c>
      <c r="K472" s="9"/>
      <c r="L472" s="9">
        <f ca="1">L471-O472*Prices!C472</f>
        <v>1.567666710280645</v>
      </c>
      <c r="M472" s="1">
        <f t="shared" ca="1" si="52"/>
        <v>5.2037809847295868E-3</v>
      </c>
      <c r="N472" s="9">
        <f ca="1">IF(Prices!D471&gt;OFFSET(Prices!D471,-$N$3,0),1,IF(Prices!D471&lt;OFFSET(Prices!D471,-$N$3,0),-1,0))</f>
        <v>-1</v>
      </c>
      <c r="O472" s="1">
        <f ca="1">IF(N472=1,O$3*L471/Prices!C471,O$3*M471*N472)</f>
        <v>-5.781978871921763E-4</v>
      </c>
      <c r="P472" s="14"/>
      <c r="Q472" s="9">
        <f ca="1">Q471-T472*Prices!C472</f>
        <v>0.93516217614567376</v>
      </c>
      <c r="R472" s="1">
        <f t="shared" ca="1" si="53"/>
        <v>1.0790023727184836E-2</v>
      </c>
      <c r="S472" s="9">
        <f ca="1">IF(Prices!C471&lt;OFFSET(Prices!C471,-S$3,0),1,IF(Prices!C471&gt;OFFSET(Prices!C471,-S$3,0),-1,0))</f>
        <v>1</v>
      </c>
      <c r="T472" s="1">
        <f ca="1">IF(S472=1,T$3*Q471/Prices!C471,T$3*R471*S472)</f>
        <v>1.7628105376029439E-4</v>
      </c>
    </row>
    <row r="473" spans="1:20" x14ac:dyDescent="0.2">
      <c r="A473" s="4">
        <v>34169</v>
      </c>
      <c r="B473" s="9">
        <f ca="1">Prices!C472*(1+J473/(50*(ABS(O473)+ABS(T473)+0.0001)))</f>
        <v>106.61170670398594</v>
      </c>
      <c r="C473" s="13">
        <f t="shared" ca="1" si="48"/>
        <v>-1</v>
      </c>
      <c r="D473" s="9">
        <f ca="1">D472+C473*(Prices!C473-Prices!C472)/Prices!C472</f>
        <v>0.19120331929181711</v>
      </c>
      <c r="E473" s="9">
        <f t="shared" ca="1" si="49"/>
        <v>4.7653930892874091E-2</v>
      </c>
      <c r="F473" s="9">
        <f t="shared" ca="1" si="50"/>
        <v>0.2388572501846912</v>
      </c>
      <c r="G473" s="13">
        <f ca="1">IF((Prices!C473-Prices!C472)*C473&gt;0,1,0)</f>
        <v>0</v>
      </c>
      <c r="H473" s="9">
        <f>ABS(Prices!C473-Prices!C472)/Prices!C472</f>
        <v>9.2980009298000935E-3</v>
      </c>
      <c r="I473" s="13"/>
      <c r="J473" s="1">
        <f t="shared" ca="1" si="51"/>
        <v>-3.4647532280663164E-4</v>
      </c>
      <c r="K473" s="9"/>
      <c r="L473" s="9">
        <f ca="1">L472-O473*Prices!C473</f>
        <v>1.6241537528698846</v>
      </c>
      <c r="M473" s="1">
        <f t="shared" ca="1" si="52"/>
        <v>4.6834028862566286E-3</v>
      </c>
      <c r="N473" s="9">
        <f ca="1">IF(Prices!D472&gt;OFFSET(Prices!D472,-$N$3,0),1,IF(Prices!D472&lt;OFFSET(Prices!D472,-$N$3,0),-1,0))</f>
        <v>-1</v>
      </c>
      <c r="O473" s="1">
        <f ca="1">IF(N473=1,O$3*L472/Prices!C472,O$3*M472*N473)</f>
        <v>-5.2037809847295868E-4</v>
      </c>
      <c r="P473" s="14"/>
      <c r="Q473" s="9">
        <f ca="1">Q472-T473*Prices!C473</f>
        <v>0.91628502984709392</v>
      </c>
      <c r="R473" s="1">
        <f t="shared" ca="1" si="53"/>
        <v>1.0963926502851162E-2</v>
      </c>
      <c r="S473" s="9">
        <f ca="1">IF(Prices!C472&lt;OFFSET(Prices!C472,-S$3,0),1,IF(Prices!C472&gt;OFFSET(Prices!C472,-S$3,0),-1,0))</f>
        <v>1</v>
      </c>
      <c r="T473" s="1">
        <f ca="1">IF(S473=1,T$3*Q472/Prices!C472,T$3*R472*S473)</f>
        <v>1.7390277566632704E-4</v>
      </c>
    </row>
    <row r="474" spans="1:20" x14ac:dyDescent="0.2">
      <c r="A474" s="4">
        <v>34170</v>
      </c>
      <c r="B474" s="9">
        <f ca="1">Prices!C473*(1+J474/(50*(ABS(O474)+ABS(T474)+0.0001)))</f>
        <v>106.65464095073693</v>
      </c>
      <c r="C474" s="13">
        <f t="shared" ca="1" si="48"/>
        <v>-1</v>
      </c>
      <c r="D474" s="9">
        <f ca="1">D473+C474*(Prices!C474-Prices!C473)/Prices!C473</f>
        <v>0.19470401021765768</v>
      </c>
      <c r="E474" s="9">
        <f t="shared" ca="1" si="49"/>
        <v>4.415323996703352E-2</v>
      </c>
      <c r="F474" s="9">
        <f t="shared" ca="1" si="50"/>
        <v>0.2388572501846912</v>
      </c>
      <c r="G474" s="13">
        <f ca="1">IF((Prices!C474-Prices!C473)*C474&gt;0,1,0)</f>
        <v>1</v>
      </c>
      <c r="H474" s="9">
        <f>ABS(Prices!C474-Prices!C473)/Prices!C473</f>
        <v>3.5006909258405846E-3</v>
      </c>
      <c r="I474" s="13"/>
      <c r="J474" s="1">
        <f t="shared" ca="1" si="51"/>
        <v>-6.8761881868268618E-4</v>
      </c>
      <c r="K474" s="9"/>
      <c r="L474" s="9">
        <f ca="1">L473-O474*Prices!C474</f>
        <v>1.6748141218905226</v>
      </c>
      <c r="M474" s="1">
        <f t="shared" ca="1" si="52"/>
        <v>4.2150625976309659E-3</v>
      </c>
      <c r="N474" s="9">
        <f ca="1">IF(Prices!D473&gt;OFFSET(Prices!D473,-$N$3,0),1,IF(Prices!D473&lt;OFFSET(Prices!D473,-$N$3,0),-1,0))</f>
        <v>-1</v>
      </c>
      <c r="O474" s="1">
        <f ca="1">IF(N474=1,O$3*L473/Prices!C473,O$3*M473*N474)</f>
        <v>-4.683402886256629E-4</v>
      </c>
      <c r="P474" s="14"/>
      <c r="Q474" s="9">
        <f ca="1">Q473-T474*Prices!C474</f>
        <v>0.94000438844336209</v>
      </c>
      <c r="R474" s="1">
        <f t="shared" ca="1" si="53"/>
        <v>1.074464797279414E-2</v>
      </c>
      <c r="S474" s="9">
        <f ca="1">IF(Prices!C473&lt;OFFSET(Prices!C473,-S$3,0),1,IF(Prices!C473&gt;OFFSET(Prices!C473,-S$3,0),-1,0))</f>
        <v>-1</v>
      </c>
      <c r="T474" s="1">
        <f ca="1">IF(S474=1,T$3*Q473/Prices!C473,T$3*R473*S474)</f>
        <v>-2.1927853005702325E-4</v>
      </c>
    </row>
    <row r="475" spans="1:20" x14ac:dyDescent="0.2">
      <c r="A475" s="4">
        <v>34171</v>
      </c>
      <c r="B475" s="9">
        <f ca="1">Prices!C474*(1+J475/(50*(ABS(O475)+ABS(T475)+0.0001)))</f>
        <v>109.7182578011538</v>
      </c>
      <c r="C475" s="13">
        <f t="shared" ca="1" si="48"/>
        <v>1</v>
      </c>
      <c r="D475" s="9">
        <f ca="1">D474+C475*(Prices!C475-Prices!C474)/Prices!C474</f>
        <v>0.19451911606955752</v>
      </c>
      <c r="E475" s="9">
        <f t="shared" ca="1" si="49"/>
        <v>4.4338134115133682E-2</v>
      </c>
      <c r="F475" s="9">
        <f t="shared" ca="1" si="50"/>
        <v>0.2388572501846912</v>
      </c>
      <c r="G475" s="13">
        <f ca="1">IF((Prices!C475-Prices!C474)*C475&gt;0,1,0)</f>
        <v>0</v>
      </c>
      <c r="H475" s="9">
        <f>ABS(Prices!C475-Prices!C474)/Prices!C474</f>
        <v>1.8489414810017585E-4</v>
      </c>
      <c r="I475" s="13"/>
      <c r="J475" s="1">
        <f t="shared" ca="1" si="51"/>
        <v>1.3334236920098865E-3</v>
      </c>
      <c r="K475" s="9"/>
      <c r="L475" s="9">
        <f ca="1">L474-O475*Prices!C475</f>
        <v>1.5073636760344997</v>
      </c>
      <c r="M475" s="1">
        <f t="shared" ca="1" si="52"/>
        <v>5.7633792490967353E-3</v>
      </c>
      <c r="N475" s="9">
        <f ca="1">IF(Prices!D474&gt;OFFSET(Prices!D474,-$N$3,0),1,IF(Prices!D474&lt;OFFSET(Prices!D474,-$N$3,0),-1,0))</f>
        <v>1</v>
      </c>
      <c r="O475" s="1">
        <f ca="1">IF(N475=1,O$3*L474/Prices!C474,O$3*M474*N475)</f>
        <v>1.5483166514657692E-3</v>
      </c>
      <c r="P475" s="14"/>
      <c r="Q475" s="9">
        <f ca="1">Q474-T475*Prices!C475</f>
        <v>0.96324506200851578</v>
      </c>
      <c r="R475" s="1">
        <f t="shared" ca="1" si="53"/>
        <v>1.0529755013338258E-2</v>
      </c>
      <c r="S475" s="9">
        <f ca="1">IF(Prices!C474&lt;OFFSET(Prices!C474,-S$3,0),1,IF(Prices!C474&gt;OFFSET(Prices!C474,-S$3,0),-1,0))</f>
        <v>-1</v>
      </c>
      <c r="T475" s="1">
        <f ca="1">IF(S475=1,T$3*Q474/Prices!C474,T$3*R474*S475)</f>
        <v>-2.148929594558828E-4</v>
      </c>
    </row>
    <row r="476" spans="1:20" x14ac:dyDescent="0.2">
      <c r="A476" s="4">
        <v>34172</v>
      </c>
      <c r="B476" s="9">
        <f ca="1">Prices!C475*(1+J476/(50*(ABS(O476)+ABS(T476)+0.0001)))</f>
        <v>110.18362643671611</v>
      </c>
      <c r="C476" s="13">
        <f t="shared" ca="1" si="48"/>
        <v>1</v>
      </c>
      <c r="D476" s="9">
        <f ca="1">D475+C476*(Prices!C476-Prices!C475)/Prices!C475</f>
        <v>0.17186539438670959</v>
      </c>
      <c r="E476" s="9">
        <f t="shared" ca="1" si="49"/>
        <v>6.6991855797981614E-2</v>
      </c>
      <c r="F476" s="9">
        <f t="shared" ca="1" si="50"/>
        <v>0.2388572501846912</v>
      </c>
      <c r="G476" s="13">
        <f ca="1">IF((Prices!C476-Prices!C475)*C476&gt;0,1,0)</f>
        <v>0</v>
      </c>
      <c r="H476" s="9">
        <f>ABS(Prices!C476-Prices!C475)/Prices!C475</f>
        <v>2.2653721682847922E-2</v>
      </c>
      <c r="I476" s="13"/>
      <c r="J476" s="1">
        <f t="shared" ca="1" si="51"/>
        <v>1.5719026245364798E-3</v>
      </c>
      <c r="K476" s="9"/>
      <c r="L476" s="9">
        <f ca="1">L475-O476*Prices!C476</f>
        <v>1.3600420481502218</v>
      </c>
      <c r="M476" s="1">
        <f t="shared" ca="1" si="52"/>
        <v>7.1571505630444931E-3</v>
      </c>
      <c r="N476" s="9">
        <f ca="1">IF(Prices!D475&gt;OFFSET(Prices!D475,-$N$3,0),1,IF(Prices!D475&lt;OFFSET(Prices!D475,-$N$3,0),-1,0))</f>
        <v>1</v>
      </c>
      <c r="O476" s="1">
        <f ca="1">IF(N476=1,O$3*L475/Prices!C475,O$3*M475*N476)</f>
        <v>1.3937713139477576E-3</v>
      </c>
      <c r="P476" s="14"/>
      <c r="Q476" s="9">
        <f ca="1">Q475-T476*Prices!C476</f>
        <v>0.94441658247928784</v>
      </c>
      <c r="R476" s="1">
        <f t="shared" ca="1" si="53"/>
        <v>1.0707886323926981E-2</v>
      </c>
      <c r="S476" s="9">
        <f ca="1">IF(Prices!C475&lt;OFFSET(Prices!C475,-S$3,0),1,IF(Prices!C475&gt;OFFSET(Prices!C475,-S$3,0),-1,0))</f>
        <v>1</v>
      </c>
      <c r="T476" s="1">
        <f ca="1">IF(S476=1,T$3*Q475/Prices!C475,T$3*R475*S476)</f>
        <v>1.7813131058872227E-4</v>
      </c>
    </row>
    <row r="477" spans="1:20" x14ac:dyDescent="0.2">
      <c r="A477" s="4">
        <v>34173</v>
      </c>
      <c r="B477" s="9">
        <f ca="1">Prices!C476*(1+J477/(50*(ABS(O477)+ABS(T477)+0.0001)))</f>
        <v>107.67895444541443</v>
      </c>
      <c r="C477" s="13">
        <f t="shared" ca="1" si="48"/>
        <v>1</v>
      </c>
      <c r="D477" s="9">
        <f ca="1">D476+C477*(Prices!C477-Prices!C476)/Prices!C476</f>
        <v>0.18482660536116549</v>
      </c>
      <c r="E477" s="9">
        <f t="shared" ca="1" si="49"/>
        <v>5.4030644823525709E-2</v>
      </c>
      <c r="F477" s="9">
        <f t="shared" ca="1" si="50"/>
        <v>0.2388572501846912</v>
      </c>
      <c r="G477" s="13">
        <f ca="1">IF((Prices!C477-Prices!C476)*C477&gt;0,1,0)</f>
        <v>1</v>
      </c>
      <c r="H477" s="9">
        <f>ABS(Prices!C477-Prices!C476)/Prices!C476</f>
        <v>1.2961210974455916E-2</v>
      </c>
      <c r="I477" s="13"/>
      <c r="J477" s="1">
        <f t="shared" ca="1" si="51"/>
        <v>1.4653976959754771E-3</v>
      </c>
      <c r="K477" s="9"/>
      <c r="L477" s="9">
        <f ca="1">L476-O477*Prices!C477</f>
        <v>1.222275064143179</v>
      </c>
      <c r="M477" s="1">
        <f t="shared" ca="1" si="52"/>
        <v>8.4438507032055347E-3</v>
      </c>
      <c r="N477" s="9">
        <f ca="1">IF(Prices!D476&gt;OFFSET(Prices!D476,-$N$3,0),1,IF(Prices!D476&lt;OFFSET(Prices!D476,-$N$3,0),-1,0))</f>
        <v>1</v>
      </c>
      <c r="O477" s="1">
        <f ca="1">IF(N477=1,O$3*L476/Prices!C476,O$3*M476*N477)</f>
        <v>1.2867001401610423E-3</v>
      </c>
      <c r="P477" s="14"/>
      <c r="Q477" s="9">
        <f ca="1">Q476-T477*Prices!C477</f>
        <v>0.9252834351782363</v>
      </c>
      <c r="R477" s="1">
        <f t="shared" ca="1" si="53"/>
        <v>1.0886583879741415E-2</v>
      </c>
      <c r="S477" s="9">
        <f ca="1">IF(Prices!C476&lt;OFFSET(Prices!C476,-S$3,0),1,IF(Prices!C476&gt;OFFSET(Prices!C476,-S$3,0),-1,0))</f>
        <v>1</v>
      </c>
      <c r="T477" s="1">
        <f ca="1">IF(S477=1,T$3*Q476/Prices!C476,T$3*R476*S477)</f>
        <v>1.786975558144348E-4</v>
      </c>
    </row>
    <row r="478" spans="1:20" x14ac:dyDescent="0.2">
      <c r="A478" s="4">
        <v>34176</v>
      </c>
      <c r="B478" s="9">
        <f ca="1">Prices!C477*(1+J478/(50*(ABS(O478)+ABS(T478)+0.0001)))</f>
        <v>109.06000048014238</v>
      </c>
      <c r="C478" s="13">
        <f t="shared" ca="1" si="48"/>
        <v>1</v>
      </c>
      <c r="D478" s="9">
        <f ca="1">D477+C478*(Prices!C478-Prices!C477)/Prices!C477</f>
        <v>0.18183790637919114</v>
      </c>
      <c r="E478" s="9">
        <f t="shared" ca="1" si="49"/>
        <v>5.7019343805500056E-2</v>
      </c>
      <c r="F478" s="9">
        <f t="shared" ca="1" si="50"/>
        <v>0.2388572501846912</v>
      </c>
      <c r="G478" s="13">
        <f ca="1">IF((Prices!C478-Prices!C477)*C478&gt;0,1,0)</f>
        <v>0</v>
      </c>
      <c r="H478" s="9">
        <f>ABS(Prices!C478-Prices!C477)/Prices!C477</f>
        <v>2.9886989819743457E-3</v>
      </c>
      <c r="I478" s="13"/>
      <c r="J478" s="1">
        <f t="shared" ca="1" si="51"/>
        <v>1.3144034287651315E-3</v>
      </c>
      <c r="K478" s="9"/>
      <c r="L478" s="9">
        <f ca="1">L477-O478*Prices!C478</f>
        <v>1.1004128589528508</v>
      </c>
      <c r="M478" s="1">
        <f t="shared" ca="1" si="52"/>
        <v>9.5854170281734798E-3</v>
      </c>
      <c r="N478" s="9">
        <f ca="1">IF(Prices!D477&gt;OFFSET(Prices!D477,-$N$3,0),1,IF(Prices!D477&lt;OFFSET(Prices!D477,-$N$3,0),-1,0))</f>
        <v>1</v>
      </c>
      <c r="O478" s="1">
        <f ca="1">IF(N478=1,O$3*L477/Prices!C477,O$3*M477*N478)</f>
        <v>1.1415663249679452E-3</v>
      </c>
      <c r="P478" s="14"/>
      <c r="Q478" s="9">
        <f ca="1">Q477-T478*Prices!C478</f>
        <v>0.90683307434788663</v>
      </c>
      <c r="R478" s="1">
        <f t="shared" ca="1" si="53"/>
        <v>1.1059420983538602E-2</v>
      </c>
      <c r="S478" s="9">
        <f ca="1">IF(Prices!C477&lt;OFFSET(Prices!C477,-S$3,0),1,IF(Prices!C477&gt;OFFSET(Prices!C477,-S$3,0),-1,0))</f>
        <v>1</v>
      </c>
      <c r="T478" s="1">
        <f ca="1">IF(S478=1,T$3*Q477/Prices!C477,T$3*R477*S478)</f>
        <v>1.7283710379718622E-4</v>
      </c>
    </row>
    <row r="479" spans="1:20" x14ac:dyDescent="0.2">
      <c r="A479" s="4">
        <v>34177</v>
      </c>
      <c r="B479" s="9">
        <f ca="1">Prices!C478*(1+J479/(50*(ABS(O479)+ABS(T479)+0.0001)))</f>
        <v>108.72086142440853</v>
      </c>
      <c r="C479" s="13">
        <f t="shared" ca="1" si="48"/>
        <v>1</v>
      </c>
      <c r="D479" s="9">
        <f ca="1">D478+C479*(Prices!C479-Prices!C478)/Prices!C478</f>
        <v>0.17677935836982339</v>
      </c>
      <c r="E479" s="9">
        <f t="shared" ca="1" si="49"/>
        <v>6.2077891814867808E-2</v>
      </c>
      <c r="F479" s="9">
        <f t="shared" ca="1" si="50"/>
        <v>0.2388572501846912</v>
      </c>
      <c r="G479" s="13">
        <f ca="1">IF((Prices!C479-Prices!C478)*C479&gt;0,1,0)</f>
        <v>0</v>
      </c>
      <c r="H479" s="9">
        <f>ABS(Prices!C479-Prices!C478)/Prices!C478</f>
        <v>5.0585480093677405E-3</v>
      </c>
      <c r="I479" s="13"/>
      <c r="J479" s="1">
        <f t="shared" ca="1" si="51"/>
        <v>1.2007301862505184E-3</v>
      </c>
      <c r="K479" s="9"/>
      <c r="L479" s="9">
        <f ca="1">L478-O479*Prices!C479</f>
        <v>0.99092822218527954</v>
      </c>
      <c r="M479" s="1">
        <f t="shared" ca="1" si="52"/>
        <v>1.0616248746162099E-2</v>
      </c>
      <c r="N479" s="9">
        <f ca="1">IF(Prices!D478&gt;OFFSET(Prices!D478,-$N$3,0),1,IF(Prices!D478&lt;OFFSET(Prices!D478,-$N$3,0),-1,0))</f>
        <v>1</v>
      </c>
      <c r="O479" s="1">
        <f ca="1">IF(N479=1,O$3*L478/Prices!C478,O$3*M478*N479)</f>
        <v>1.0308317179886191E-3</v>
      </c>
      <c r="P479" s="14"/>
      <c r="Q479" s="9">
        <f ca="1">Q478-T479*Prices!C479</f>
        <v>0.8887881580337903</v>
      </c>
      <c r="R479" s="1">
        <f t="shared" ca="1" si="53"/>
        <v>1.1229319451800501E-2</v>
      </c>
      <c r="S479" s="9">
        <f ca="1">IF(Prices!C478&lt;OFFSET(Prices!C478,-S$3,0),1,IF(Prices!C478&gt;OFFSET(Prices!C478,-S$3,0),-1,0))</f>
        <v>1</v>
      </c>
      <c r="T479" s="1">
        <f ca="1">IF(S479=1,T$3*Q478/Prices!C478,T$3*R478*S479)</f>
        <v>1.6989846826189915E-4</v>
      </c>
    </row>
    <row r="480" spans="1:20" x14ac:dyDescent="0.2">
      <c r="A480" s="4">
        <v>34178</v>
      </c>
      <c r="B480" s="9">
        <f ca="1">Prices!C479*(1+J480/(50*(ABS(O480)+ABS(T480)+0.0001)))</f>
        <v>104.78065180049158</v>
      </c>
      <c r="C480" s="13">
        <f t="shared" ca="1" si="48"/>
        <v>-1</v>
      </c>
      <c r="D480" s="9">
        <f ca="1">D479+C480*(Prices!C480-Prices!C479)/Prices!C479</f>
        <v>0.17856826713547633</v>
      </c>
      <c r="E480" s="9">
        <f t="shared" ca="1" si="49"/>
        <v>6.0288983049214873E-2</v>
      </c>
      <c r="F480" s="9">
        <f t="shared" ca="1" si="50"/>
        <v>0.2388572501846912</v>
      </c>
      <c r="G480" s="13">
        <f ca="1">IF((Prices!C480-Prices!C479)*C480&gt;0,1,0)</f>
        <v>1</v>
      </c>
      <c r="H480" s="9">
        <f>ABS(Prices!C480-Prices!C479)/Prices!C479</f>
        <v>1.7889087656529305E-3</v>
      </c>
      <c r="I480" s="13"/>
      <c r="J480" s="1">
        <f t="shared" ca="1" si="51"/>
        <v>-8.9426056654092693E-4</v>
      </c>
      <c r="K480" s="9"/>
      <c r="L480" s="9">
        <f ca="1">L479-O480*Prices!C480</f>
        <v>1.1034816913920902</v>
      </c>
      <c r="M480" s="1">
        <f t="shared" ca="1" si="52"/>
        <v>9.5546238715458892E-3</v>
      </c>
      <c r="N480" s="9">
        <f ca="1">IF(Prices!D479&gt;OFFSET(Prices!D479,-$N$3,0),1,IF(Prices!D479&lt;OFFSET(Prices!D479,-$N$3,0),-1,0))</f>
        <v>-1</v>
      </c>
      <c r="O480" s="1">
        <f ca="1">IF(N480=1,O$3*L479/Prices!C479,O$3*M479*N480)</f>
        <v>-1.0616248746162099E-3</v>
      </c>
      <c r="P480" s="14"/>
      <c r="Q480" s="9">
        <f ca="1">Q479-T480*Prices!C480</f>
        <v>0.87104419409164879</v>
      </c>
      <c r="R480" s="1">
        <f t="shared" ca="1" si="53"/>
        <v>1.1396683759875785E-2</v>
      </c>
      <c r="S480" s="9">
        <f ca="1">IF(Prices!C479&lt;OFFSET(Prices!C479,-S$3,0),1,IF(Prices!C479&gt;OFFSET(Prices!C479,-S$3,0),-1,0))</f>
        <v>1</v>
      </c>
      <c r="T480" s="1">
        <f ca="1">IF(S480=1,T$3*Q479/Prices!C479,T$3*R479*S480)</f>
        <v>1.6736430807528301E-4</v>
      </c>
    </row>
    <row r="481" spans="1:20" x14ac:dyDescent="0.2">
      <c r="A481" s="4">
        <v>34179</v>
      </c>
      <c r="B481" s="9">
        <f ca="1">Prices!C480*(1+J481/(50*(ABS(O481)+ABS(T481)+0.0001)))</f>
        <v>104.06481789821559</v>
      </c>
      <c r="C481" s="13">
        <f t="shared" ca="1" si="48"/>
        <v>-1</v>
      </c>
      <c r="D481" s="9">
        <f ca="1">D480+C481*(Prices!C481-Prices!C480)/Prices!C480</f>
        <v>0.17356921035373701</v>
      </c>
      <c r="E481" s="9">
        <f t="shared" ca="1" si="49"/>
        <v>6.5288039830954187E-2</v>
      </c>
      <c r="F481" s="9">
        <f t="shared" ca="1" si="50"/>
        <v>0.2388572501846912</v>
      </c>
      <c r="G481" s="13">
        <f ca="1">IF((Prices!C481-Prices!C480)*C481&gt;0,1,0)</f>
        <v>0</v>
      </c>
      <c r="H481" s="9">
        <f>ABS(Prices!C481-Prices!C480)/Prices!C480</f>
        <v>4.9990567817393052E-3</v>
      </c>
      <c r="I481" s="13"/>
      <c r="J481" s="1">
        <f t="shared" ca="1" si="51"/>
        <v>-1.1833960623521048E-3</v>
      </c>
      <c r="K481" s="9"/>
      <c r="L481" s="9">
        <f ca="1">L480-O481*Prices!C481</f>
        <v>1.2052862087434115</v>
      </c>
      <c r="M481" s="1">
        <f t="shared" ca="1" si="52"/>
        <v>8.5991614843913006E-3</v>
      </c>
      <c r="N481" s="9">
        <f ca="1">IF(Prices!D480&gt;OFFSET(Prices!D480,-$N$3,0),1,IF(Prices!D480&lt;OFFSET(Prices!D480,-$N$3,0),-1,0))</f>
        <v>-1</v>
      </c>
      <c r="O481" s="1">
        <f ca="1">IF(N481=1,O$3*L480/Prices!C480,O$3*M480*N481)</f>
        <v>-9.5546238715458901E-4</v>
      </c>
      <c r="P481" s="14"/>
      <c r="Q481" s="9">
        <f ca="1">Q480-T481*Prices!C481</f>
        <v>0.89533052718394412</v>
      </c>
      <c r="R481" s="1">
        <f t="shared" ca="1" si="53"/>
        <v>1.1168750084678269E-2</v>
      </c>
      <c r="S481" s="9">
        <f ca="1">IF(Prices!C480&lt;OFFSET(Prices!C480,-S$3,0),1,IF(Prices!C480&gt;OFFSET(Prices!C480,-S$3,0),-1,0))</f>
        <v>-1</v>
      </c>
      <c r="T481" s="1">
        <f ca="1">IF(S481=1,T$3*Q480/Prices!C480,T$3*R480*S481)</f>
        <v>-2.279336751975157E-4</v>
      </c>
    </row>
    <row r="482" spans="1:20" x14ac:dyDescent="0.2">
      <c r="A482" s="4">
        <v>34180</v>
      </c>
      <c r="B482" s="9">
        <f ca="1">Prices!C481*(1+J482/(50*(ABS(O482)+ABS(T482)+0.0001)))</f>
        <v>105.24292330185371</v>
      </c>
      <c r="C482" s="13">
        <f t="shared" ca="1" si="48"/>
        <v>-1</v>
      </c>
      <c r="D482" s="9">
        <f ca="1">D481+C482*(Prices!C482-Prices!C481)/Prices!C481</f>
        <v>0.18717784479766009</v>
      </c>
      <c r="E482" s="9">
        <f t="shared" ca="1" si="49"/>
        <v>5.1679405387031113E-2</v>
      </c>
      <c r="F482" s="9">
        <f t="shared" ca="1" si="50"/>
        <v>0.2388572501846912</v>
      </c>
      <c r="G482" s="13">
        <f ca="1">IF((Prices!C482-Prices!C481)*C482&gt;0,1,0)</f>
        <v>1</v>
      </c>
      <c r="H482" s="9">
        <f>ABS(Prices!C482-Prices!C481)/Prices!C481</f>
        <v>1.3608634443923068E-2</v>
      </c>
      <c r="I482" s="13"/>
      <c r="J482" s="1">
        <f t="shared" ca="1" si="51"/>
        <v>-6.9185786084007906E-4</v>
      </c>
      <c r="K482" s="9"/>
      <c r="L482" s="9">
        <f ca="1">L481-O482*Prices!C482</f>
        <v>1.2956633959443642</v>
      </c>
      <c r="M482" s="1">
        <f t="shared" ca="1" si="52"/>
        <v>7.7392453359521702E-3</v>
      </c>
      <c r="N482" s="9">
        <f ca="1">IF(Prices!D481&gt;OFFSET(Prices!D481,-$N$3,0),1,IF(Prices!D481&lt;OFFSET(Prices!D481,-$N$3,0),-1,0))</f>
        <v>-1</v>
      </c>
      <c r="O482" s="1">
        <f ca="1">IF(N482=1,O$3*L481/Prices!C481,O$3*M481*N482)</f>
        <v>-8.5991614843913009E-4</v>
      </c>
      <c r="P482" s="14"/>
      <c r="Q482" s="9">
        <f ca="1">Q481-T482*Prices!C482</f>
        <v>0.87766760115728382</v>
      </c>
      <c r="R482" s="1">
        <f t="shared" ca="1" si="53"/>
        <v>1.133680837227732E-2</v>
      </c>
      <c r="S482" s="9">
        <f ca="1">IF(Prices!C481&lt;OFFSET(Prices!C481,-S$3,0),1,IF(Prices!C481&gt;OFFSET(Prices!C481,-S$3,0),-1,0))</f>
        <v>1</v>
      </c>
      <c r="T482" s="1">
        <f ca="1">IF(S482=1,T$3*Q481/Prices!C481,T$3*R481*S482)</f>
        <v>1.68058287599051E-4</v>
      </c>
    </row>
    <row r="483" spans="1:20" x14ac:dyDescent="0.2">
      <c r="A483" s="4">
        <v>34183</v>
      </c>
      <c r="B483" s="9">
        <f ca="1">Prices!C482*(1+J483/(50*(ABS(O483)+ABS(T483)+0.0001)))</f>
        <v>103.87445191836525</v>
      </c>
      <c r="C483" s="13">
        <f t="shared" ca="1" si="48"/>
        <v>-1</v>
      </c>
      <c r="D483" s="9">
        <f ca="1">D482+C483*(Prices!C483-Prices!C482)/Prices!C482</f>
        <v>0.19440905317063811</v>
      </c>
      <c r="E483" s="9">
        <f t="shared" ca="1" si="49"/>
        <v>4.4448197014053087E-2</v>
      </c>
      <c r="F483" s="9">
        <f t="shared" ca="1" si="50"/>
        <v>0.2388572501846912</v>
      </c>
      <c r="G483" s="13">
        <f ca="1">IF((Prices!C483-Prices!C482)*C483&gt;0,1,0)</f>
        <v>1</v>
      </c>
      <c r="H483" s="9">
        <f>ABS(Prices!C483-Prices!C482)/Prices!C482</f>
        <v>7.2312083729780298E-3</v>
      </c>
      <c r="I483" s="13"/>
      <c r="J483" s="1">
        <f t="shared" ca="1" si="51"/>
        <v>-6.069088150115285E-4</v>
      </c>
      <c r="K483" s="9"/>
      <c r="L483" s="9">
        <f ca="1">L482-O483*Prices!C483</f>
        <v>1.3764146817796892</v>
      </c>
      <c r="M483" s="1">
        <f t="shared" ca="1" si="52"/>
        <v>6.9653208023569531E-3</v>
      </c>
      <c r="N483" s="9">
        <f ca="1">IF(Prices!D482&gt;OFFSET(Prices!D482,-$N$3,0),1,IF(Prices!D482&lt;OFFSET(Prices!D482,-$N$3,0),-1,0))</f>
        <v>-1</v>
      </c>
      <c r="O483" s="1">
        <f ca="1">IF(N483=1,O$3*L482/Prices!C482,O$3*M482*N483)</f>
        <v>-7.7392453359521711E-4</v>
      </c>
      <c r="P483" s="14"/>
      <c r="Q483" s="9">
        <f ca="1">Q482-T483*Prices!C483</f>
        <v>0.86024118108026171</v>
      </c>
      <c r="R483" s="1">
        <f t="shared" ca="1" si="53"/>
        <v>1.1503824090861009E-2</v>
      </c>
      <c r="S483" s="9">
        <f ca="1">IF(Prices!C482&lt;OFFSET(Prices!C482,-S$3,0),1,IF(Prices!C482&gt;OFFSET(Prices!C482,-S$3,0),-1,0))</f>
        <v>1</v>
      </c>
      <c r="T483" s="1">
        <f ca="1">IF(S483=1,T$3*Q482/Prices!C482,T$3*R482*S483)</f>
        <v>1.6701571858368866E-4</v>
      </c>
    </row>
    <row r="484" spans="1:20" x14ac:dyDescent="0.2">
      <c r="A484" s="4">
        <v>34184</v>
      </c>
      <c r="B484" s="9">
        <f ca="1">Prices!C483*(1+J484/(50*(ABS(O484)+ABS(T484)+0.0001)))</f>
        <v>106.29506214448845</v>
      </c>
      <c r="C484" s="13">
        <f t="shared" ca="1" si="48"/>
        <v>1</v>
      </c>
      <c r="D484" s="9">
        <f ca="1">D483+C484*(Prices!C484-Prices!C483)/Prices!C483</f>
        <v>0.19546329890573491</v>
      </c>
      <c r="E484" s="9">
        <f t="shared" ca="1" si="49"/>
        <v>4.3393951278956289E-2</v>
      </c>
      <c r="F484" s="9">
        <f t="shared" ca="1" si="50"/>
        <v>0.2388572501846912</v>
      </c>
      <c r="G484" s="13">
        <f ca="1">IF((Prices!C484-Prices!C483)*C484&gt;0,1,0)</f>
        <v>1</v>
      </c>
      <c r="H484" s="9">
        <f>ABS(Prices!C484-Prices!C483)/Prices!C483</f>
        <v>1.0542457350967934E-3</v>
      </c>
      <c r="I484" s="13"/>
      <c r="J484" s="1">
        <f t="shared" ca="1" si="51"/>
        <v>1.484054933865959E-3</v>
      </c>
      <c r="K484" s="9"/>
      <c r="L484" s="9">
        <f ca="1">L483-O484*Prices!C484</f>
        <v>1.2386281056709212</v>
      </c>
      <c r="M484" s="1">
        <f t="shared" ca="1" si="52"/>
        <v>8.2844838096213669E-3</v>
      </c>
      <c r="N484" s="9">
        <f ca="1">IF(Prices!D483&gt;OFFSET(Prices!D483,-$N$3,0),1,IF(Prices!D483&lt;OFFSET(Prices!D483,-$N$3,0),-1,0))</f>
        <v>1</v>
      </c>
      <c r="O484" s="1">
        <f ca="1">IF(N484=1,O$3*L483/Prices!C483,O$3*M483*N484)</f>
        <v>1.3191630072644138E-3</v>
      </c>
      <c r="P484" s="14"/>
      <c r="Q484" s="9">
        <f ca="1">Q483-T484*Prices!C484</f>
        <v>0.84301821934673027</v>
      </c>
      <c r="R484" s="1">
        <f t="shared" ca="1" si="53"/>
        <v>1.1668716017462555E-2</v>
      </c>
      <c r="S484" s="9">
        <f ca="1">IF(Prices!C483&lt;OFFSET(Prices!C483,-S$3,0),1,IF(Prices!C483&gt;OFFSET(Prices!C483,-S$3,0),-1,0))</f>
        <v>1</v>
      </c>
      <c r="T484" s="1">
        <f ca="1">IF(S484=1,T$3*Q483/Prices!C483,T$3*R483*S484)</f>
        <v>1.6489192660154527E-4</v>
      </c>
    </row>
    <row r="485" spans="1:20" x14ac:dyDescent="0.2">
      <c r="A485" s="4">
        <v>34185</v>
      </c>
      <c r="B485" s="9">
        <f ca="1">Prices!C484*(1+J485/(50*(ABS(O485)+ABS(T485)+0.0001)))</f>
        <v>105.73990409009738</v>
      </c>
      <c r="C485" s="13">
        <f t="shared" ca="1" si="48"/>
        <v>1</v>
      </c>
      <c r="D485" s="9">
        <f ca="1">D484+C485*(Prices!C485-Prices!C484)/Prices!C484</f>
        <v>0.1997715803801246</v>
      </c>
      <c r="E485" s="9">
        <f t="shared" ca="1" si="49"/>
        <v>3.9085669804566597E-2</v>
      </c>
      <c r="F485" s="9">
        <f t="shared" ca="1" si="50"/>
        <v>0.2388572501846912</v>
      </c>
      <c r="G485" s="13">
        <f ca="1">IF((Prices!C485-Prices!C484)*C485&gt;0,1,0)</f>
        <v>1</v>
      </c>
      <c r="H485" s="9">
        <f>ABS(Prices!C485-Prices!C484)/Prices!C484</f>
        <v>4.308281474389687E-3</v>
      </c>
      <c r="I485" s="13"/>
      <c r="J485" s="1">
        <f t="shared" ca="1" si="51"/>
        <v>1.6142043453264341E-4</v>
      </c>
      <c r="K485" s="9"/>
      <c r="L485" s="9">
        <f ca="1">L484-O485*Prices!C485</f>
        <v>1.2386281056709212</v>
      </c>
      <c r="M485" s="1">
        <f t="shared" ca="1" si="52"/>
        <v>8.2844838096213669E-3</v>
      </c>
      <c r="N485" s="9">
        <f ca="1">IF(Prices!D484&gt;OFFSET(Prices!D484,-$N$3,0),1,IF(Prices!D484&lt;OFFSET(Prices!D484,-$N$3,0),-1,0))</f>
        <v>0</v>
      </c>
      <c r="O485" s="1">
        <f ca="1">IF(N485=1,O$3*L484/Prices!C484,O$3*M484*N485)</f>
        <v>0</v>
      </c>
      <c r="P485" s="14"/>
      <c r="Q485" s="9">
        <f ca="1">Q484-T485*Prices!C485</f>
        <v>0.82608521576425598</v>
      </c>
      <c r="R485" s="1">
        <f t="shared" ca="1" si="53"/>
        <v>1.1830136451995198E-2</v>
      </c>
      <c r="S485" s="9">
        <f ca="1">IF(Prices!C484&lt;OFFSET(Prices!C484,-S$3,0),1,IF(Prices!C484&gt;OFFSET(Prices!C484,-S$3,0),-1,0))</f>
        <v>1</v>
      </c>
      <c r="T485" s="1">
        <f ca="1">IF(S485=1,T$3*Q484/Prices!C484,T$3*R484*S485)</f>
        <v>1.6142043453264341E-4</v>
      </c>
    </row>
    <row r="486" spans="1:20" x14ac:dyDescent="0.2">
      <c r="A486" s="4">
        <v>34186</v>
      </c>
      <c r="B486" s="9">
        <f ca="1">Prices!C485*(1+J486/(50*(ABS(O486)+ABS(T486)+0.0001)))</f>
        <v>106.85213030148164</v>
      </c>
      <c r="C486" s="13">
        <f t="shared" ca="1" si="48"/>
        <v>1</v>
      </c>
      <c r="D486" s="9">
        <f ca="1">D485+C486*(Prices!C486-Prices!C485)/Prices!C485</f>
        <v>0.19481447837821791</v>
      </c>
      <c r="E486" s="9">
        <f t="shared" ca="1" si="49"/>
        <v>4.4042771806473285E-2</v>
      </c>
      <c r="F486" s="9">
        <f t="shared" ca="1" si="50"/>
        <v>0.2388572501846912</v>
      </c>
      <c r="G486" s="13">
        <f ca="1">IF((Prices!C486-Prices!C485)*C486&gt;0,1,0)</f>
        <v>0</v>
      </c>
      <c r="H486" s="9">
        <f>ABS(Prices!C486-Prices!C485)/Prices!C485</f>
        <v>4.957102001906675E-3</v>
      </c>
      <c r="I486" s="13"/>
      <c r="J486" s="1">
        <f t="shared" ca="1" si="51"/>
        <v>1.3382699226156076E-3</v>
      </c>
      <c r="K486" s="9"/>
      <c r="L486" s="9">
        <f ca="1">L485-O486*Prices!C486</f>
        <v>1.115379295690053</v>
      </c>
      <c r="M486" s="1">
        <f t="shared" ca="1" si="52"/>
        <v>9.4652541677442657E-3</v>
      </c>
      <c r="N486" s="9">
        <f ca="1">IF(Prices!D485&gt;OFFSET(Prices!D485,-$N$3,0),1,IF(Prices!D485&lt;OFFSET(Prices!D485,-$N$3,0),-1,0))</f>
        <v>1</v>
      </c>
      <c r="O486" s="1">
        <f ca="1">IF(N486=1,O$3*L485/Prices!C485,O$3*M485*N486)</f>
        <v>1.1807703581228992E-3</v>
      </c>
      <c r="P486" s="14"/>
      <c r="Q486" s="9">
        <f ca="1">Q485-T486*Prices!C486</f>
        <v>0.80964541122250711</v>
      </c>
      <c r="R486" s="1">
        <f t="shared" ca="1" si="53"/>
        <v>1.1987636016487906E-2</v>
      </c>
      <c r="S486" s="9">
        <f ca="1">IF(Prices!C485&lt;OFFSET(Prices!C485,-S$3,0),1,IF(Prices!C485&gt;OFFSET(Prices!C485,-S$3,0),-1,0))</f>
        <v>1</v>
      </c>
      <c r="T486" s="1">
        <f ca="1">IF(S486=1,T$3*Q485/Prices!C485,T$3*R485*S486)</f>
        <v>1.5749956449270845E-4</v>
      </c>
    </row>
    <row r="487" spans="1:20" x14ac:dyDescent="0.2">
      <c r="A487" s="4">
        <v>34187</v>
      </c>
      <c r="B487" s="9">
        <f ca="1">Prices!C486*(1+J487/(50*(ABS(O487)+ABS(T487)+0.0001)))</f>
        <v>106.30989172693359</v>
      </c>
      <c r="C487" s="13">
        <f t="shared" ca="1" si="48"/>
        <v>1</v>
      </c>
      <c r="D487" s="9">
        <f ca="1">D486+C487*(Prices!C487-Prices!C486)/Prices!C486</f>
        <v>0.19500608596587848</v>
      </c>
      <c r="E487" s="9">
        <f t="shared" ca="1" si="49"/>
        <v>4.3851164218812716E-2</v>
      </c>
      <c r="F487" s="9">
        <f t="shared" ca="1" si="50"/>
        <v>0.2388572501846912</v>
      </c>
      <c r="G487" s="13">
        <f ca="1">IF((Prices!C487-Prices!C486)*C487&gt;0,1,0)</f>
        <v>1</v>
      </c>
      <c r="H487" s="9">
        <f>ABS(Prices!C487-Prices!C486)/Prices!C486</f>
        <v>1.916075876605694E-4</v>
      </c>
      <c r="I487" s="13"/>
      <c r="J487" s="1">
        <f t="shared" ca="1" si="51"/>
        <v>1.2237098849727482E-3</v>
      </c>
      <c r="K487" s="9"/>
      <c r="L487" s="9">
        <f ca="1">L486-O487*Prices!C487</f>
        <v>1.0038199946074302</v>
      </c>
      <c r="M487" s="1">
        <f t="shared" ca="1" si="52"/>
        <v>1.05338298486123E-2</v>
      </c>
      <c r="N487" s="9">
        <f ca="1">IF(Prices!D486&gt;OFFSET(Prices!D486,-$N$3,0),1,IF(Prices!D486&lt;OFFSET(Prices!D486,-$N$3,0),-1,0))</f>
        <v>1</v>
      </c>
      <c r="O487" s="1">
        <f ca="1">IF(N487=1,O$3*L486/Prices!C486,O$3*M486*N487)</f>
        <v>1.0685756808680334E-3</v>
      </c>
      <c r="P487" s="14"/>
      <c r="Q487" s="9">
        <f ca="1">Q486-T487*Prices!C487</f>
        <v>0.79344940031397482</v>
      </c>
      <c r="R487" s="1">
        <f t="shared" ca="1" si="53"/>
        <v>1.2142770220592621E-2</v>
      </c>
      <c r="S487" s="9">
        <f ca="1">IF(Prices!C486&lt;OFFSET(Prices!C486,-S$3,0),1,IF(Prices!C486&gt;OFFSET(Prices!C486,-S$3,0),-1,0))</f>
        <v>1</v>
      </c>
      <c r="T487" s="1">
        <f ca="1">IF(S487=1,T$3*Q486/Prices!C486,T$3*R486*S487)</f>
        <v>1.551342041047149E-4</v>
      </c>
    </row>
    <row r="488" spans="1:20" x14ac:dyDescent="0.2">
      <c r="A488" s="4">
        <v>34190</v>
      </c>
      <c r="B488" s="9">
        <f ca="1">Prices!C487*(1+J488/(50*(ABS(O488)+ABS(T488)+0.0001)))</f>
        <v>102.46154466343582</v>
      </c>
      <c r="C488" s="13">
        <f t="shared" ca="1" si="48"/>
        <v>-1</v>
      </c>
      <c r="D488" s="9">
        <f ca="1">D487+C488*(Prices!C488-Prices!C487)/Prices!C487</f>
        <v>0.18973788673216205</v>
      </c>
      <c r="E488" s="9">
        <f t="shared" ca="1" si="49"/>
        <v>4.9119363452529152E-2</v>
      </c>
      <c r="F488" s="9">
        <f t="shared" ca="1" si="50"/>
        <v>0.2388572501846912</v>
      </c>
      <c r="G488" s="13">
        <f ca="1">IF((Prices!C488-Prices!C487)*C488&gt;0,1,0)</f>
        <v>0</v>
      </c>
      <c r="H488" s="9">
        <f>ABS(Prices!C488-Prices!C487)/Prices!C487</f>
        <v>5.2681992337164476E-3</v>
      </c>
      <c r="I488" s="13"/>
      <c r="J488" s="1">
        <f t="shared" ca="1" si="51"/>
        <v>-1.2962383892730824E-3</v>
      </c>
      <c r="K488" s="9"/>
      <c r="L488" s="9">
        <f ca="1">L487-O488*Prices!C488</f>
        <v>1.1143725388686163</v>
      </c>
      <c r="M488" s="1">
        <f t="shared" ca="1" si="52"/>
        <v>9.4804468637510707E-3</v>
      </c>
      <c r="N488" s="9">
        <f ca="1">IF(Prices!D487&gt;OFFSET(Prices!D487,-$N$3,0),1,IF(Prices!D487&lt;OFFSET(Prices!D487,-$N$3,0),-1,0))</f>
        <v>-1</v>
      </c>
      <c r="O488" s="1">
        <f ca="1">IF(N488=1,O$3*L487/Prices!C487,O$3*M487*N488)</f>
        <v>-1.05338298486123E-3</v>
      </c>
      <c r="P488" s="14"/>
      <c r="Q488" s="9">
        <f ca="1">Q487-T488*Prices!C488</f>
        <v>0.81893707500699875</v>
      </c>
      <c r="R488" s="1">
        <f t="shared" ca="1" si="53"/>
        <v>1.1899914816180768E-2</v>
      </c>
      <c r="S488" s="9">
        <f ca="1">IF(Prices!C487&lt;OFFSET(Prices!C487,-S$3,0),1,IF(Prices!C487&gt;OFFSET(Prices!C487,-S$3,0),-1,0))</f>
        <v>-1</v>
      </c>
      <c r="T488" s="1">
        <f ca="1">IF(S488=1,T$3*Q487/Prices!C487,T$3*R487*S488)</f>
        <v>-2.4285540441185244E-4</v>
      </c>
    </row>
    <row r="489" spans="1:20" x14ac:dyDescent="0.2">
      <c r="A489" s="4">
        <v>34191</v>
      </c>
      <c r="B489" s="9">
        <f ca="1">Prices!C488*(1+J489/(50*(ABS(O489)+ABS(T489)+0.0001)))</f>
        <v>103.01421382941614</v>
      </c>
      <c r="C489" s="13">
        <f t="shared" ca="1" si="48"/>
        <v>-1</v>
      </c>
      <c r="D489" s="9">
        <f ca="1">D488+C489*(Prices!C489-Prices!C488)/Prices!C488</f>
        <v>0.19269167425002773</v>
      </c>
      <c r="E489" s="9">
        <f t="shared" ca="1" si="49"/>
        <v>4.6165575934663472E-2</v>
      </c>
      <c r="F489" s="9">
        <f t="shared" ca="1" si="50"/>
        <v>0.2388572501846912</v>
      </c>
      <c r="G489" s="13">
        <f ca="1">IF((Prices!C489-Prices!C488)*C489&gt;0,1,0)</f>
        <v>1</v>
      </c>
      <c r="H489" s="9">
        <f>ABS(Prices!C489-Prices!C488)/Prices!C488</f>
        <v>2.953787517865672E-3</v>
      </c>
      <c r="I489" s="13"/>
      <c r="J489" s="1">
        <f t="shared" ca="1" si="51"/>
        <v>-1.1860429826987225E-3</v>
      </c>
      <c r="K489" s="9"/>
      <c r="L489" s="9">
        <f ca="1">L488-O489*Prices!C489</f>
        <v>1.2135759348509074</v>
      </c>
      <c r="M489" s="1">
        <f t="shared" ca="1" si="52"/>
        <v>8.5324021773759643E-3</v>
      </c>
      <c r="N489" s="9">
        <f ca="1">IF(Prices!D488&gt;OFFSET(Prices!D488,-$N$3,0),1,IF(Prices!D488&lt;OFFSET(Prices!D488,-$N$3,0),-1,0))</f>
        <v>-1</v>
      </c>
      <c r="O489" s="1">
        <f ca="1">IF(N489=1,O$3*L488/Prices!C488,O$3*M488*N489)</f>
        <v>-9.4804468637510713E-4</v>
      </c>
      <c r="P489" s="14"/>
      <c r="Q489" s="9">
        <f ca="1">Q488-T489*Prices!C489</f>
        <v>0.8438412167343019</v>
      </c>
      <c r="R489" s="1">
        <f t="shared" ca="1" si="53"/>
        <v>1.1661916519857153E-2</v>
      </c>
      <c r="S489" s="9">
        <f ca="1">IF(Prices!C488&lt;OFFSET(Prices!C488,-S$3,0),1,IF(Prices!C488&gt;OFFSET(Prices!C488,-S$3,0),-1,0))</f>
        <v>-1</v>
      </c>
      <c r="T489" s="1">
        <f ca="1">IF(S489=1,T$3*Q488/Prices!C488,T$3*R488*S489)</f>
        <v>-2.3799829632361536E-4</v>
      </c>
    </row>
    <row r="490" spans="1:20" x14ac:dyDescent="0.2">
      <c r="A490" s="4">
        <v>34192</v>
      </c>
      <c r="B490" s="9">
        <f ca="1">Prices!C489*(1+J490/(50*(ABS(O490)+ABS(T490)+0.0001)))</f>
        <v>103.34067981361063</v>
      </c>
      <c r="C490" s="13">
        <f t="shared" ca="1" si="48"/>
        <v>-1</v>
      </c>
      <c r="D490" s="9">
        <f ca="1">D489+C490*(Prices!C490-Prices!C489)/Prices!C489</f>
        <v>0.20177042042739779</v>
      </c>
      <c r="E490" s="9">
        <f t="shared" ca="1" si="49"/>
        <v>3.708682975729341E-2</v>
      </c>
      <c r="F490" s="9">
        <f t="shared" ca="1" si="50"/>
        <v>0.2388572501846912</v>
      </c>
      <c r="G490" s="13">
        <f ca="1">IF((Prices!C490-Prices!C489)*C490&gt;0,1,0)</f>
        <v>1</v>
      </c>
      <c r="H490" s="9">
        <f>ABS(Prices!C490-Prices!C489)/Prices!C489</f>
        <v>9.0787461773700583E-3</v>
      </c>
      <c r="I490" s="13"/>
      <c r="J490" s="1">
        <f t="shared" ca="1" si="51"/>
        <v>-6.9195558151162137E-4</v>
      </c>
      <c r="K490" s="9"/>
      <c r="L490" s="9">
        <f ca="1">L489-O490*Prices!C490</f>
        <v>1.3020484130281189</v>
      </c>
      <c r="M490" s="1">
        <f t="shared" ca="1" si="52"/>
        <v>7.6791619596383674E-3</v>
      </c>
      <c r="N490" s="9">
        <f ca="1">IF(Prices!D489&gt;OFFSET(Prices!D489,-$N$3,0),1,IF(Prices!D489&lt;OFFSET(Prices!D489,-$N$3,0),-1,0))</f>
        <v>-1</v>
      </c>
      <c r="O490" s="1">
        <f ca="1">IF(N490=1,O$3*L489/Prices!C489,O$3*M489*N490)</f>
        <v>-8.5324021773759652E-4</v>
      </c>
      <c r="P490" s="14"/>
      <c r="Q490" s="9">
        <f ca="1">Q489-T490*Prices!C490</f>
        <v>0.82711761280403051</v>
      </c>
      <c r="R490" s="1">
        <f t="shared" ca="1" si="53"/>
        <v>1.1823201156083129E-2</v>
      </c>
      <c r="S490" s="9">
        <f ca="1">IF(Prices!C489&lt;OFFSET(Prices!C489,-S$3,0),1,IF(Prices!C489&gt;OFFSET(Prices!C489,-S$3,0),-1,0))</f>
        <v>1</v>
      </c>
      <c r="T490" s="1">
        <f ca="1">IF(S490=1,T$3*Q489/Prices!C489,T$3*R489*S490)</f>
        <v>1.6128463622597512E-4</v>
      </c>
    </row>
    <row r="491" spans="1:20" x14ac:dyDescent="0.2">
      <c r="A491" s="4">
        <v>34193</v>
      </c>
      <c r="B491" s="9">
        <f ca="1">Prices!C490*(1+J491/(50*(ABS(O491)+ABS(T491)+0.0001)))</f>
        <v>102.46205304132093</v>
      </c>
      <c r="C491" s="13">
        <f t="shared" ca="1" si="48"/>
        <v>-1</v>
      </c>
      <c r="D491" s="9">
        <f ca="1">D490+C491*(Prices!C491-Prices!C490)/Prices!C490</f>
        <v>0.20852131250956582</v>
      </c>
      <c r="E491" s="9">
        <f t="shared" ca="1" si="49"/>
        <v>3.033593767512538E-2</v>
      </c>
      <c r="F491" s="9">
        <f t="shared" ca="1" si="50"/>
        <v>0.2388572501846912</v>
      </c>
      <c r="G491" s="13">
        <f ca="1">IF((Prices!C491-Prices!C490)*C491&gt;0,1,0)</f>
        <v>1</v>
      </c>
      <c r="H491" s="9">
        <f>ABS(Prices!C491-Prices!C490)/Prices!C490</f>
        <v>6.7508920821680281E-3</v>
      </c>
      <c r="I491" s="13"/>
      <c r="J491" s="1">
        <f t="shared" ca="1" si="51"/>
        <v>-6.0837957472668165E-4</v>
      </c>
      <c r="K491" s="9"/>
      <c r="L491" s="9">
        <f ca="1">L490-O491*Prices!C491</f>
        <v>1.3811361020504345</v>
      </c>
      <c r="M491" s="1">
        <f t="shared" ca="1" si="52"/>
        <v>6.9112457636745306E-3</v>
      </c>
      <c r="N491" s="9">
        <f ca="1">IF(Prices!D490&gt;OFFSET(Prices!D490,-$N$3,0),1,IF(Prices!D490&lt;OFFSET(Prices!D490,-$N$3,0),-1,0))</f>
        <v>-1</v>
      </c>
      <c r="O491" s="1">
        <f ca="1">IF(N491=1,O$3*L490/Prices!C490,O$3*M490*N491)</f>
        <v>-7.6791619596383674E-4</v>
      </c>
      <c r="P491" s="14"/>
      <c r="Q491" s="9">
        <f ca="1">Q490-T491*Prices!C491</f>
        <v>0.81068693618281595</v>
      </c>
      <c r="R491" s="1">
        <f t="shared" ca="1" si="53"/>
        <v>1.1982737777320285E-2</v>
      </c>
      <c r="S491" s="9">
        <f ca="1">IF(Prices!C490&lt;OFFSET(Prices!C490,-S$3,0),1,IF(Prices!C490&gt;OFFSET(Prices!C490,-S$3,0),-1,0))</f>
        <v>1</v>
      </c>
      <c r="T491" s="1">
        <f ca="1">IF(S491=1,T$3*Q490/Prices!C490,T$3*R490*S491)</f>
        <v>1.5953662123715509E-4</v>
      </c>
    </row>
    <row r="492" spans="1:20" x14ac:dyDescent="0.2">
      <c r="A492" s="4">
        <v>34194</v>
      </c>
      <c r="B492" s="9">
        <f ca="1">Prices!C491*(1+J492/(50*(ABS(O492)+ABS(T492)+0.0001)))</f>
        <v>101.83107525677852</v>
      </c>
      <c r="C492" s="13">
        <f t="shared" ca="1" si="48"/>
        <v>-1</v>
      </c>
      <c r="D492" s="9">
        <f ca="1">D491+C492*(Prices!C492-Prices!C491)/Prices!C491</f>
        <v>0.21959034833828706</v>
      </c>
      <c r="E492" s="9">
        <f t="shared" ca="1" si="49"/>
        <v>1.9266901846404144E-2</v>
      </c>
      <c r="F492" s="9">
        <f t="shared" ca="1" si="50"/>
        <v>0.2388572501846912</v>
      </c>
      <c r="G492" s="13">
        <f ca="1">IF((Prices!C492-Prices!C491)*C492&gt;0,1,0)</f>
        <v>1</v>
      </c>
      <c r="H492" s="9">
        <f>ABS(Prices!C492-Prices!C491)/Prices!C491</f>
        <v>1.1069035828721241E-2</v>
      </c>
      <c r="I492" s="13"/>
      <c r="J492" s="1">
        <f t="shared" ca="1" si="51"/>
        <v>-5.3369435281510507E-4</v>
      </c>
      <c r="K492" s="9"/>
      <c r="L492" s="9">
        <f ca="1">L491-O492*Prices!C492</f>
        <v>1.4515271401534595</v>
      </c>
      <c r="M492" s="1">
        <f t="shared" ca="1" si="52"/>
        <v>6.2201211873070773E-3</v>
      </c>
      <c r="N492" s="9">
        <f ca="1">IF(Prices!D491&gt;OFFSET(Prices!D491,-$N$3,0),1,IF(Prices!D491&lt;OFFSET(Prices!D491,-$N$3,0),-1,0))</f>
        <v>-1</v>
      </c>
      <c r="O492" s="1">
        <f ca="1">IF(N492=1,O$3*L491/Prices!C491,O$3*M491*N492)</f>
        <v>-6.9112457636745311E-4</v>
      </c>
      <c r="P492" s="14"/>
      <c r="Q492" s="9">
        <f ca="1">Q491-T492*Prices!C492</f>
        <v>0.79465266791400935</v>
      </c>
      <c r="R492" s="1">
        <f t="shared" ca="1" si="53"/>
        <v>1.2140168000872633E-2</v>
      </c>
      <c r="S492" s="9">
        <f ca="1">IF(Prices!C491&lt;OFFSET(Prices!C491,-S$3,0),1,IF(Prices!C491&gt;OFFSET(Prices!C491,-S$3,0),-1,0))</f>
        <v>1</v>
      </c>
      <c r="T492" s="1">
        <f ca="1">IF(S492=1,T$3*Q491/Prices!C491,T$3*R491*S492)</f>
        <v>1.5743022355234801E-4</v>
      </c>
    </row>
    <row r="493" spans="1:20" x14ac:dyDescent="0.2">
      <c r="A493" s="4">
        <v>34197</v>
      </c>
      <c r="B493" s="9">
        <f ca="1">Prices!C492*(1+J493/(50*(ABS(O493)+ABS(T493)+0.0001)))</f>
        <v>100.76900085192089</v>
      </c>
      <c r="C493" s="13">
        <f t="shared" ca="1" si="48"/>
        <v>-1</v>
      </c>
      <c r="D493" s="9">
        <f ca="1">D492+C493*(Prices!C493-Prices!C492)/Prices!C492</f>
        <v>0.22184857121506654</v>
      </c>
      <c r="E493" s="9">
        <f t="shared" ca="1" si="49"/>
        <v>1.7008678969624658E-2</v>
      </c>
      <c r="F493" s="9">
        <f t="shared" ca="1" si="50"/>
        <v>0.2388572501846912</v>
      </c>
      <c r="G493" s="13">
        <f ca="1">IF((Prices!C493-Prices!C492)*C493&gt;0,1,0)</f>
        <v>1</v>
      </c>
      <c r="H493" s="9">
        <f>ABS(Prices!C493-Prices!C492)/Prices!C492</f>
        <v>2.2582228767794774E-3</v>
      </c>
      <c r="I493" s="13"/>
      <c r="J493" s="1">
        <f t="shared" ca="1" si="51"/>
        <v>-4.6596839405441728E-4</v>
      </c>
      <c r="K493" s="9"/>
      <c r="L493" s="9">
        <f ca="1">L492-O493*Prices!C493</f>
        <v>1.5147360116588739</v>
      </c>
      <c r="M493" s="1">
        <f t="shared" ca="1" si="52"/>
        <v>5.5981090685763698E-3</v>
      </c>
      <c r="N493" s="9">
        <f ca="1">IF(Prices!D492&gt;OFFSET(Prices!D492,-$N$3,0),1,IF(Prices!D492&lt;OFFSET(Prices!D492,-$N$3,0),-1,0))</f>
        <v>-1</v>
      </c>
      <c r="O493" s="1">
        <f ca="1">IF(N493=1,O$3*L492/Prices!C492,O$3*M492*N493)</f>
        <v>-6.2201211873070779E-4</v>
      </c>
      <c r="P493" s="14"/>
      <c r="Q493" s="9">
        <f ca="1">Q492-T493*Prices!C493</f>
        <v>0.77879550461240465</v>
      </c>
      <c r="R493" s="1">
        <f t="shared" ca="1" si="53"/>
        <v>1.2296211725548924E-2</v>
      </c>
      <c r="S493" s="9">
        <f ca="1">IF(Prices!C492&lt;OFFSET(Prices!C492,-S$3,0),1,IF(Prices!C492&gt;OFFSET(Prices!C492,-S$3,0),-1,0))</f>
        <v>1</v>
      </c>
      <c r="T493" s="1">
        <f ca="1">IF(S493=1,T$3*Q492/Prices!C492,T$3*R492*S493)</f>
        <v>1.5604372467629052E-4</v>
      </c>
    </row>
    <row r="494" spans="1:20" x14ac:dyDescent="0.2">
      <c r="A494" s="4">
        <v>34198</v>
      </c>
      <c r="B494" s="9">
        <f ca="1">Prices!C493*(1+J494/(50*(ABS(O494)+ABS(T494)+0.0001)))</f>
        <v>100.60382147275763</v>
      </c>
      <c r="C494" s="13">
        <f t="shared" ca="1" si="48"/>
        <v>-1</v>
      </c>
      <c r="D494" s="9">
        <f ca="1">D493+C494*(Prices!C494-Prices!C493)/Prices!C493</f>
        <v>0.22775292075255923</v>
      </c>
      <c r="E494" s="9">
        <f t="shared" ca="1" si="49"/>
        <v>1.1104329432131965E-2</v>
      </c>
      <c r="F494" s="9">
        <f t="shared" ca="1" si="50"/>
        <v>0.2388572501846912</v>
      </c>
      <c r="G494" s="13">
        <f ca="1">IF((Prices!C494-Prices!C493)*C494&gt;0,1,0)</f>
        <v>1</v>
      </c>
      <c r="H494" s="9">
        <f>ABS(Prices!C494-Prices!C493)/Prices!C493</f>
        <v>5.9043495374927028E-3</v>
      </c>
      <c r="I494" s="13"/>
      <c r="J494" s="1">
        <f t="shared" ca="1" si="51"/>
        <v>-4.065348776089843E-4</v>
      </c>
      <c r="K494" s="9"/>
      <c r="L494" s="9">
        <f ca="1">L493-O494*Prices!C494</f>
        <v>1.5712881094696325</v>
      </c>
      <c r="M494" s="1">
        <f t="shared" ca="1" si="52"/>
        <v>5.0382981617187331E-3</v>
      </c>
      <c r="N494" s="9">
        <f ca="1">IF(Prices!D493&gt;OFFSET(Prices!D493,-$N$3,0),1,IF(Prices!D493&lt;OFFSET(Prices!D493,-$N$3,0),-1,0))</f>
        <v>-1</v>
      </c>
      <c r="O494" s="1">
        <f ca="1">IF(N494=1,O$3*L493/Prices!C493,O$3*M493*N494)</f>
        <v>-5.5981090685763705E-4</v>
      </c>
      <c r="P494" s="14"/>
      <c r="Q494" s="9">
        <f ca="1">Q493-T494*Prices!C494</f>
        <v>0.76331156013770574</v>
      </c>
      <c r="R494" s="1">
        <f t="shared" ca="1" si="53"/>
        <v>1.2449487754797577E-2</v>
      </c>
      <c r="S494" s="9">
        <f ca="1">IF(Prices!C493&lt;OFFSET(Prices!C493,-S$3,0),1,IF(Prices!C493&gt;OFFSET(Prices!C493,-S$3,0),-1,0))</f>
        <v>1</v>
      </c>
      <c r="T494" s="1">
        <f ca="1">IF(S494=1,T$3*Q493/Prices!C493,T$3*R493*S494)</f>
        <v>1.5327602924865275E-4</v>
      </c>
    </row>
    <row r="495" spans="1:20" x14ac:dyDescent="0.2">
      <c r="A495" s="4">
        <v>34199</v>
      </c>
      <c r="B495" s="9">
        <f ca="1">Prices!C494*(1+J495/(50*(ABS(O495)+ABS(T495)+0.0001)))</f>
        <v>100.07607989894142</v>
      </c>
      <c r="C495" s="13">
        <f t="shared" ca="1" si="48"/>
        <v>-1</v>
      </c>
      <c r="D495" s="9">
        <f ca="1">D494+C495*(Prices!C495-Prices!C494)/Prices!C494</f>
        <v>0.22171451251656638</v>
      </c>
      <c r="E495" s="9">
        <f t="shared" ca="1" si="49"/>
        <v>1.7142737668124824E-2</v>
      </c>
      <c r="F495" s="9">
        <f t="shared" ca="1" si="50"/>
        <v>0.2388572501846912</v>
      </c>
      <c r="G495" s="13">
        <f ca="1">IF((Prices!C495-Prices!C494)*C495&gt;0,1,0)</f>
        <v>0</v>
      </c>
      <c r="H495" s="9">
        <f>ABS(Prices!C495-Prices!C494)/Prices!C494</f>
        <v>6.0384082359928671E-3</v>
      </c>
      <c r="I495" s="13"/>
      <c r="J495" s="1">
        <f t="shared" ca="1" si="51"/>
        <v>-3.5270893711075561E-4</v>
      </c>
      <c r="K495" s="9"/>
      <c r="L495" s="9">
        <f ca="1">L494-O495*Prices!C495</f>
        <v>1.6224923336871799</v>
      </c>
      <c r="M495" s="1">
        <f t="shared" ca="1" si="52"/>
        <v>4.5344683455468601E-3</v>
      </c>
      <c r="N495" s="9">
        <f ca="1">IF(Prices!D494&gt;OFFSET(Prices!D494,-$N$3,0),1,IF(Prices!D494&lt;OFFSET(Prices!D494,-$N$3,0),-1,0))</f>
        <v>-1</v>
      </c>
      <c r="O495" s="1">
        <f ca="1">IF(N495=1,O$3*L494/Prices!C494,O$3*M494*N495)</f>
        <v>-5.0382981617187338E-4</v>
      </c>
      <c r="P495" s="14"/>
      <c r="Q495" s="9">
        <f ca="1">Q494-T495*Prices!C495</f>
        <v>0.74795314519872436</v>
      </c>
      <c r="R495" s="1">
        <f t="shared" ca="1" si="53"/>
        <v>1.2600608633858696E-2</v>
      </c>
      <c r="S495" s="9">
        <f ca="1">IF(Prices!C494&lt;OFFSET(Prices!C494,-S$3,0),1,IF(Prices!C494&gt;OFFSET(Prices!C494,-S$3,0),-1,0))</f>
        <v>1</v>
      </c>
      <c r="T495" s="1">
        <f ca="1">IF(S495=1,T$3*Q494/Prices!C494,T$3*R494*S495)</f>
        <v>1.5112087906111776E-4</v>
      </c>
    </row>
    <row r="496" spans="1:20" x14ac:dyDescent="0.2">
      <c r="A496" s="4">
        <v>34200</v>
      </c>
      <c r="B496" s="9">
        <f ca="1">Prices!C495*(1+J496/(50*(ABS(O496)+ABS(T496)+0.0001)))</f>
        <v>103.55235198330304</v>
      </c>
      <c r="C496" s="13">
        <f t="shared" ca="1" si="48"/>
        <v>1</v>
      </c>
      <c r="D496" s="9">
        <f ca="1">D495+C496*(Prices!C496-Prices!C495)/Prices!C495</f>
        <v>0.26313928866534142</v>
      </c>
      <c r="E496" s="9">
        <f t="shared" ca="1" si="49"/>
        <v>0</v>
      </c>
      <c r="F496" s="9">
        <f t="shared" ca="1" si="50"/>
        <v>0.26313928866534142</v>
      </c>
      <c r="G496" s="13">
        <f ca="1">IF((Prices!C496-Prices!C495)*C496&gt;0,1,0)</f>
        <v>1</v>
      </c>
      <c r="H496" s="9">
        <f>ABS(Prices!C496-Prices!C495)/Prices!C495</f>
        <v>4.1424776148775051E-2</v>
      </c>
      <c r="I496" s="13"/>
      <c r="J496" s="1">
        <f t="shared" ca="1" si="51"/>
        <v>1.7436612838009689E-3</v>
      </c>
      <c r="K496" s="9"/>
      <c r="L496" s="9">
        <f ca="1">L495-O496*Prices!C496</f>
        <v>1.4535219621458524</v>
      </c>
      <c r="M496" s="1">
        <f t="shared" ca="1" si="52"/>
        <v>6.1309382202759562E-3</v>
      </c>
      <c r="N496" s="9">
        <f ca="1">IF(Prices!D495&gt;OFFSET(Prices!D495,-$N$3,0),1,IF(Prices!D495&lt;OFFSET(Prices!D495,-$N$3,0),-1,0))</f>
        <v>1</v>
      </c>
      <c r="O496" s="1">
        <f ca="1">IF(N496=1,O$3*L495/Prices!C495,O$3*M495*N496)</f>
        <v>1.5964698747290957E-3</v>
      </c>
      <c r="P496" s="14"/>
      <c r="Q496" s="9">
        <f ca="1">Q495-T496*Prices!C496</f>
        <v>0.73237440646255725</v>
      </c>
      <c r="R496" s="1">
        <f t="shared" ca="1" si="53"/>
        <v>1.2747800042930569E-2</v>
      </c>
      <c r="S496" s="9">
        <f ca="1">IF(Prices!C495&lt;OFFSET(Prices!C495,-S$3,0),1,IF(Prices!C495&gt;OFFSET(Prices!C495,-S$3,0),-1,0))</f>
        <v>1</v>
      </c>
      <c r="T496" s="1">
        <f ca="1">IF(S496=1,T$3*Q495/Prices!C495,T$3*R495*S496)</f>
        <v>1.4719140907187335E-4</v>
      </c>
    </row>
    <row r="497" spans="1:20" x14ac:dyDescent="0.2">
      <c r="A497" s="4">
        <v>34201</v>
      </c>
      <c r="B497" s="9">
        <f ca="1">Prices!C496*(1+J497/(50*(ABS(O497)+ABS(T497)+0.0001)))</f>
        <v>103.94186643120587</v>
      </c>
      <c r="C497" s="13">
        <f t="shared" ca="1" si="48"/>
        <v>-1</v>
      </c>
      <c r="D497" s="9">
        <f ca="1">D496+C497*(Prices!C497-Prices!C496)/Prices!C496</f>
        <v>0.276461284130194</v>
      </c>
      <c r="E497" s="9">
        <f t="shared" ca="1" si="49"/>
        <v>0</v>
      </c>
      <c r="F497" s="9">
        <f t="shared" ca="1" si="50"/>
        <v>0.276461284130194</v>
      </c>
      <c r="G497" s="13">
        <f ca="1">IF((Prices!C497-Prices!C496)*C497&gt;0,1,0)</f>
        <v>1</v>
      </c>
      <c r="H497" s="9">
        <f>ABS(Prices!C497-Prices!C496)/Prices!C496</f>
        <v>1.3321995464852575E-2</v>
      </c>
      <c r="I497" s="13"/>
      <c r="J497" s="1">
        <f t="shared" ca="1" si="51"/>
        <v>-8.6804982288620695E-4</v>
      </c>
      <c r="K497" s="9"/>
      <c r="L497" s="9">
        <f ca="1">L496-O497*Prices!C497</f>
        <v>1.5175473499801941</v>
      </c>
      <c r="M497" s="1">
        <f t="shared" ca="1" si="52"/>
        <v>5.5178443982483606E-3</v>
      </c>
      <c r="N497" s="9">
        <f ca="1">IF(Prices!D496&gt;OFFSET(Prices!D496,-$N$3,0),1,IF(Prices!D496&lt;OFFSET(Prices!D496,-$N$3,0),-1,0))</f>
        <v>-1</v>
      </c>
      <c r="O497" s="1">
        <f ca="1">IF(N497=1,O$3*L496/Prices!C496,O$3*M496*N497)</f>
        <v>-6.1309382202759562E-4</v>
      </c>
      <c r="P497" s="14"/>
      <c r="Q497" s="9">
        <f ca="1">Q496-T497*Prices!C497</f>
        <v>0.75899946163222198</v>
      </c>
      <c r="R497" s="1">
        <f t="shared" ca="1" si="53"/>
        <v>1.2492844042071958E-2</v>
      </c>
      <c r="S497" s="9">
        <f ca="1">IF(Prices!C496&lt;OFFSET(Prices!C496,-S$3,0),1,IF(Prices!C496&gt;OFFSET(Prices!C496,-S$3,0),-1,0))</f>
        <v>-1</v>
      </c>
      <c r="T497" s="1">
        <f ca="1">IF(S497=1,T$3*Q496/Prices!C496,T$3*R496*S497)</f>
        <v>-2.5495600085861139E-4</v>
      </c>
    </row>
    <row r="498" spans="1:20" x14ac:dyDescent="0.2">
      <c r="A498" s="4">
        <v>34204</v>
      </c>
      <c r="B498" s="9">
        <f ca="1">Prices!C497*(1+J498/(50*(ABS(O498)+ABS(T498)+0.0001)))</f>
        <v>102.57304421950589</v>
      </c>
      <c r="C498" s="13">
        <f t="shared" ca="1" si="48"/>
        <v>-1</v>
      </c>
      <c r="D498" s="9">
        <f ca="1">D497+C498*(Prices!C498-Prices!C497)/Prices!C497</f>
        <v>0.28967587763780683</v>
      </c>
      <c r="E498" s="9">
        <f t="shared" ca="1" si="49"/>
        <v>0</v>
      </c>
      <c r="F498" s="9">
        <f t="shared" ca="1" si="50"/>
        <v>0.28967587763780683</v>
      </c>
      <c r="G498" s="13">
        <f ca="1">IF((Prices!C498-Prices!C497)*C498&gt;0,1,0)</f>
        <v>1</v>
      </c>
      <c r="H498" s="9">
        <f>ABS(Prices!C498-Prices!C497)/Prices!C497</f>
        <v>1.3214593507612846E-2</v>
      </c>
      <c r="I498" s="13"/>
      <c r="J498" s="1">
        <f t="shared" ca="1" si="51"/>
        <v>-8.0164132066627529E-4</v>
      </c>
      <c r="K498" s="9"/>
      <c r="L498" s="9">
        <f ca="1">L497-O498*Prices!C498</f>
        <v>1.5744087365041435</v>
      </c>
      <c r="M498" s="1">
        <f t="shared" ca="1" si="52"/>
        <v>4.9660599584235247E-3</v>
      </c>
      <c r="N498" s="9">
        <f ca="1">IF(Prices!D497&gt;OFFSET(Prices!D497,-$N$3,0),1,IF(Prices!D497&lt;OFFSET(Prices!D497,-$N$3,0),-1,0))</f>
        <v>-1</v>
      </c>
      <c r="O498" s="1">
        <f ca="1">IF(N498=1,O$3*L497/Prices!C497,O$3*M497*N498)</f>
        <v>-5.517844398248361E-4</v>
      </c>
      <c r="P498" s="14"/>
      <c r="Q498" s="9">
        <f ca="1">Q497-T498*Prices!C498</f>
        <v>0.78474721320293228</v>
      </c>
      <c r="R498" s="1">
        <f t="shared" ca="1" si="53"/>
        <v>1.2242987161230519E-2</v>
      </c>
      <c r="S498" s="9">
        <f ca="1">IF(Prices!C497&lt;OFFSET(Prices!C497,-S$3,0),1,IF(Prices!C497&gt;OFFSET(Prices!C497,-S$3,0),-1,0))</f>
        <v>-1</v>
      </c>
      <c r="T498" s="1">
        <f ca="1">IF(S498=1,T$3*Q497/Prices!C497,T$3*R497*S498)</f>
        <v>-2.4985688084143919E-4</v>
      </c>
    </row>
    <row r="499" spans="1:20" x14ac:dyDescent="0.2">
      <c r="A499" s="4">
        <v>34205</v>
      </c>
      <c r="B499" s="9">
        <f ca="1">Prices!C498*(1+J499/(50*(ABS(O499)+ABS(T499)+0.0001)))</f>
        <v>101.23392975819613</v>
      </c>
      <c r="C499" s="13">
        <f t="shared" ca="1" si="48"/>
        <v>-1</v>
      </c>
      <c r="D499" s="9">
        <f ca="1">D498+C499*(Prices!C499-Prices!C498)/Prices!C498</f>
        <v>0.28307713916133903</v>
      </c>
      <c r="E499" s="9">
        <f t="shared" ca="1" si="49"/>
        <v>6.5987384764678025E-3</v>
      </c>
      <c r="F499" s="9">
        <f t="shared" ca="1" si="50"/>
        <v>0.28967587763780683</v>
      </c>
      <c r="G499" s="13">
        <f ca="1">IF((Prices!C499-Prices!C498)*C499&gt;0,1,0)</f>
        <v>0</v>
      </c>
      <c r="H499" s="9">
        <f>ABS(Prices!C499-Prices!C498)/Prices!C498</f>
        <v>6.5987384764678008E-3</v>
      </c>
      <c r="I499" s="13"/>
      <c r="J499" s="1">
        <f t="shared" ca="1" si="51"/>
        <v>-7.4146573906696287E-4</v>
      </c>
      <c r="K499" s="9"/>
      <c r="L499" s="9">
        <f ca="1">L498-O499*Prices!C499</f>
        <v>1.6259216764528708</v>
      </c>
      <c r="M499" s="1">
        <f t="shared" ca="1" si="52"/>
        <v>4.4694539625811719E-3</v>
      </c>
      <c r="N499" s="9">
        <f ca="1">IF(Prices!D498&gt;OFFSET(Prices!D498,-$N$3,0),1,IF(Prices!D498&lt;OFFSET(Prices!D498,-$N$3,0),-1,0))</f>
        <v>-1</v>
      </c>
      <c r="O499" s="1">
        <f ca="1">IF(N499=1,O$3*L498/Prices!C498,O$3*M498*N499)</f>
        <v>-4.9660599584235249E-4</v>
      </c>
      <c r="P499" s="14"/>
      <c r="Q499" s="9">
        <f ca="1">Q498-T499*Prices!C499</f>
        <v>0.81014651436762108</v>
      </c>
      <c r="R499" s="1">
        <f t="shared" ca="1" si="53"/>
        <v>1.1998127418005908E-2</v>
      </c>
      <c r="S499" s="9">
        <f ca="1">IF(Prices!C498&lt;OFFSET(Prices!C498,-S$3,0),1,IF(Prices!C498&gt;OFFSET(Prices!C498,-S$3,0),-1,0))</f>
        <v>-1</v>
      </c>
      <c r="T499" s="1">
        <f ca="1">IF(S499=1,T$3*Q498/Prices!C498,T$3*R498*S499)</f>
        <v>-2.4485974322461038E-4</v>
      </c>
    </row>
    <row r="500" spans="1:20" x14ac:dyDescent="0.2">
      <c r="A500" s="4">
        <v>34206</v>
      </c>
      <c r="B500" s="9">
        <f ca="1">Prices!C499*(1+J500/(50*(ABS(O500)+ABS(T500)+0.0001)))</f>
        <v>101.91903947831364</v>
      </c>
      <c r="C500" s="13">
        <f t="shared" ca="1" si="48"/>
        <v>-1</v>
      </c>
      <c r="D500" s="9">
        <f ca="1">D499+C500*(Prices!C500-Prices!C499)/Prices!C499</f>
        <v>0.27035179451658831</v>
      </c>
      <c r="E500" s="9">
        <f t="shared" ca="1" si="49"/>
        <v>1.9324083121218527E-2</v>
      </c>
      <c r="F500" s="9">
        <f t="shared" ca="1" si="50"/>
        <v>0.28967587763780683</v>
      </c>
      <c r="G500" s="13">
        <f ca="1">IF((Prices!C500-Prices!C499)*C500&gt;0,1,0)</f>
        <v>0</v>
      </c>
      <c r="H500" s="9">
        <f>ABS(Prices!C500-Prices!C499)/Prices!C499</f>
        <v>1.272534464475073E-2</v>
      </c>
      <c r="I500" s="13"/>
      <c r="J500" s="1">
        <f t="shared" ca="1" si="51"/>
        <v>-6.8690794461823536E-4</v>
      </c>
      <c r="K500" s="9"/>
      <c r="L500" s="9">
        <f ca="1">L499-O500*Prices!C500</f>
        <v>1.672873290329786</v>
      </c>
      <c r="M500" s="1">
        <f t="shared" ca="1" si="52"/>
        <v>4.0225085663230546E-3</v>
      </c>
      <c r="N500" s="9">
        <f ca="1">IF(Prices!D499&gt;OFFSET(Prices!D499,-$N$3,0),1,IF(Prices!D499&lt;OFFSET(Prices!D499,-$N$3,0),-1,0))</f>
        <v>-1</v>
      </c>
      <c r="O500" s="1">
        <f ca="1">IF(N500=1,O$3*L499/Prices!C499,O$3*M499*N500)</f>
        <v>-4.4694539625811722E-4</v>
      </c>
      <c r="P500" s="14"/>
      <c r="Q500" s="9">
        <f ca="1">Q499-T500*Prices!C500</f>
        <v>0.83535458007285146</v>
      </c>
      <c r="R500" s="1">
        <f t="shared" ca="1" si="53"/>
        <v>1.1758164869645791E-2</v>
      </c>
      <c r="S500" s="9">
        <f ca="1">IF(Prices!C499&lt;OFFSET(Prices!C499,-S$3,0),1,IF(Prices!C499&gt;OFFSET(Prices!C499,-S$3,0),-1,0))</f>
        <v>-1</v>
      </c>
      <c r="T500" s="1">
        <f ca="1">IF(S500=1,T$3*Q499/Prices!C499,T$3*R499*S500)</f>
        <v>-2.3996254836011817E-4</v>
      </c>
    </row>
    <row r="501" spans="1:20" x14ac:dyDescent="0.2">
      <c r="A501" s="4">
        <v>34207</v>
      </c>
      <c r="B501" s="9">
        <f ca="1">Prices!C500*(1+J501/(50*(ABS(O501)+ABS(T501)+0.0001)))</f>
        <v>104.27728757414107</v>
      </c>
      <c r="C501" s="13">
        <f t="shared" ca="1" si="48"/>
        <v>-1</v>
      </c>
      <c r="D501" s="9">
        <f ca="1">D500+C501*(Prices!C501-Prices!C500)/Prices!C500</f>
        <v>0.27644413149897767</v>
      </c>
      <c r="E501" s="9">
        <f t="shared" ca="1" si="49"/>
        <v>1.3231746138829159E-2</v>
      </c>
      <c r="F501" s="9">
        <f t="shared" ca="1" si="50"/>
        <v>0.28967587763780683</v>
      </c>
      <c r="G501" s="13">
        <f ca="1">IF((Prices!C501-Prices!C500)*C501&gt;0,1,0)</f>
        <v>1</v>
      </c>
      <c r="H501" s="9">
        <f>ABS(Prices!C501-Prices!C500)/Prices!C500</f>
        <v>6.0923369823893438E-3</v>
      </c>
      <c r="I501" s="13"/>
      <c r="J501" s="1">
        <f t="shared" ca="1" si="51"/>
        <v>-2.4321143158273834E-4</v>
      </c>
      <c r="K501" s="9"/>
      <c r="L501" s="9">
        <f ca="1">L500-O501*Prices!C501</f>
        <v>1.714872302270765</v>
      </c>
      <c r="M501" s="1">
        <f t="shared" ca="1" si="52"/>
        <v>3.6202577096907489E-3</v>
      </c>
      <c r="N501" s="9">
        <f ca="1">IF(Prices!D500&gt;OFFSET(Prices!D500,-$N$3,0),1,IF(Prices!D500&lt;OFFSET(Prices!D500,-$N$3,0),-1,0))</f>
        <v>-1</v>
      </c>
      <c r="O501" s="1">
        <f ca="1">IF(N501=1,O$3*L500/Prices!C500,O$3*M500*N501)</f>
        <v>-4.022508566323055E-4</v>
      </c>
      <c r="P501" s="14"/>
      <c r="Q501" s="9">
        <f ca="1">Q500-T501*Prices!C501</f>
        <v>0.81874927370342621</v>
      </c>
      <c r="R501" s="1">
        <f t="shared" ca="1" si="53"/>
        <v>1.1917204294695357E-2</v>
      </c>
      <c r="S501" s="9">
        <f ca="1">IF(Prices!C500&lt;OFFSET(Prices!C500,-S$3,0),1,IF(Prices!C500&gt;OFFSET(Prices!C500,-S$3,0),-1,0))</f>
        <v>1</v>
      </c>
      <c r="T501" s="1">
        <f ca="1">IF(S501=1,T$3*Q500/Prices!C500,T$3*R500*S501)</f>
        <v>1.5903942504956716E-4</v>
      </c>
    </row>
    <row r="502" spans="1:20" x14ac:dyDescent="0.2">
      <c r="A502" s="4">
        <v>34208</v>
      </c>
      <c r="B502" s="9">
        <f ca="1">Prices!C501*(1+J502/(50*(ABS(O502)+ABS(T502)+0.0001)))</f>
        <v>103.7176252917475</v>
      </c>
      <c r="C502" s="13">
        <f t="shared" ca="1" si="48"/>
        <v>-1</v>
      </c>
      <c r="D502" s="9">
        <f ca="1">D501+C502*(Prices!C502-Prices!C501)/Prices!C501</f>
        <v>0.28228648376408638</v>
      </c>
      <c r="E502" s="9">
        <f t="shared" ca="1" si="49"/>
        <v>7.3893938737204512E-3</v>
      </c>
      <c r="F502" s="9">
        <f t="shared" ca="1" si="50"/>
        <v>0.28967587763780683</v>
      </c>
      <c r="G502" s="13">
        <f ca="1">IF((Prices!C502-Prices!C501)*C502&gt;0,1,0)</f>
        <v>1</v>
      </c>
      <c r="H502" s="9">
        <f>ABS(Prices!C502-Prices!C501)/Prices!C501</f>
        <v>5.8423522651087009E-3</v>
      </c>
      <c r="I502" s="13"/>
      <c r="J502" s="1">
        <f t="shared" ca="1" si="51"/>
        <v>-2.0519227346817916E-4</v>
      </c>
      <c r="K502" s="9"/>
      <c r="L502" s="9">
        <f ca="1">L501-O502*Prices!C502</f>
        <v>1.7524505772973551</v>
      </c>
      <c r="M502" s="1">
        <f t="shared" ca="1" si="52"/>
        <v>3.2582319387216741E-3</v>
      </c>
      <c r="N502" s="9">
        <f ca="1">IF(Prices!D501&gt;OFFSET(Prices!D501,-$N$3,0),1,IF(Prices!D501&lt;OFFSET(Prices!D501,-$N$3,0),-1,0))</f>
        <v>-1</v>
      </c>
      <c r="O502" s="1">
        <f ca="1">IF(N502=1,O$3*L501/Prices!C501,O$3*M501*N502)</f>
        <v>-3.6202577096907491E-4</v>
      </c>
      <c r="P502" s="14"/>
      <c r="Q502" s="9">
        <f ca="1">Q501-T502*Prices!C502</f>
        <v>0.80246995666283327</v>
      </c>
      <c r="R502" s="1">
        <f t="shared" ca="1" si="53"/>
        <v>1.2074037792196252E-2</v>
      </c>
      <c r="S502" s="9">
        <f ca="1">IF(Prices!C501&lt;OFFSET(Prices!C501,-S$3,0),1,IF(Prices!C501&gt;OFFSET(Prices!C501,-S$3,0),-1,0))</f>
        <v>1</v>
      </c>
      <c r="T502" s="1">
        <f ca="1">IF(S502=1,T$3*Q501/Prices!C501,T$3*R501*S502)</f>
        <v>1.5683349750089575E-4</v>
      </c>
    </row>
    <row r="503" spans="1:20" x14ac:dyDescent="0.2">
      <c r="A503" s="4">
        <v>34211</v>
      </c>
      <c r="B503" s="9">
        <f ca="1">Prices!C502*(1+J503/(50*(ABS(O503)+ABS(T503)+0.0001)))</f>
        <v>102.03510260937063</v>
      </c>
      <c r="C503" s="13">
        <f t="shared" ca="1" si="48"/>
        <v>-1</v>
      </c>
      <c r="D503" s="9">
        <f ca="1">D502+C503*(Prices!C503-Prices!C502)/Prices!C502</f>
        <v>0.28228648376408638</v>
      </c>
      <c r="E503" s="9">
        <f t="shared" ca="1" si="49"/>
        <v>7.3893938737204512E-3</v>
      </c>
      <c r="F503" s="9">
        <f t="shared" ca="1" si="50"/>
        <v>0.28967587763780683</v>
      </c>
      <c r="G503" s="13">
        <f ca="1">IF((Prices!C503-Prices!C502)*C503&gt;0,1,0)</f>
        <v>0</v>
      </c>
      <c r="H503" s="9">
        <f>ABS(Prices!C503-Prices!C502)/Prices!C502</f>
        <v>0</v>
      </c>
      <c r="I503" s="13"/>
      <c r="J503" s="1">
        <f t="shared" ca="1" si="51"/>
        <v>-5.6730394971609246E-4</v>
      </c>
      <c r="K503" s="9"/>
      <c r="L503" s="9">
        <f ca="1">L502-O503*Prices!C503</f>
        <v>1.7862710248212861</v>
      </c>
      <c r="M503" s="1">
        <f t="shared" ca="1" si="52"/>
        <v>2.9324087448495068E-3</v>
      </c>
      <c r="N503" s="9">
        <f ca="1">IF(Prices!D502&gt;OFFSET(Prices!D502,-$N$3,0),1,IF(Prices!D502&lt;OFFSET(Prices!D502,-$N$3,0),-1,0))</f>
        <v>-1</v>
      </c>
      <c r="O503" s="1">
        <f ca="1">IF(N503=1,O$3*L502/Prices!C502,O$3*M502*N503)</f>
        <v>-3.2582319387216744E-4</v>
      </c>
      <c r="P503" s="14"/>
      <c r="Q503" s="9">
        <f ca="1">Q502-T503*Prices!C503</f>
        <v>0.82753565911943272</v>
      </c>
      <c r="R503" s="1">
        <f t="shared" ca="1" si="53"/>
        <v>1.1832557036352328E-2</v>
      </c>
      <c r="S503" s="9">
        <f ca="1">IF(Prices!C502&lt;OFFSET(Prices!C502,-S$3,0),1,IF(Prices!C502&gt;OFFSET(Prices!C502,-S$3,0),-1,0))</f>
        <v>-1</v>
      </c>
      <c r="T503" s="1">
        <f ca="1">IF(S503=1,T$3*Q502/Prices!C502,T$3*R502*S503)</f>
        <v>-2.4148075584392505E-4</v>
      </c>
    </row>
    <row r="504" spans="1:20" x14ac:dyDescent="0.2">
      <c r="A504" s="4">
        <v>34212</v>
      </c>
      <c r="B504" s="9">
        <f ca="1">Prices!C503*(1+J504/(50*(ABS(O504)+ABS(T504)+0.0001)))</f>
        <v>105.29755097502378</v>
      </c>
      <c r="C504" s="13">
        <f t="shared" ca="1" si="48"/>
        <v>1</v>
      </c>
      <c r="D504" s="9">
        <f ca="1">D503+C504*(Prices!C504-Prices!C503)/Prices!C503</f>
        <v>0.29143869956370105</v>
      </c>
      <c r="E504" s="9">
        <f t="shared" ca="1" si="49"/>
        <v>0</v>
      </c>
      <c r="F504" s="9">
        <f t="shared" ca="1" si="50"/>
        <v>0.29143869956370105</v>
      </c>
      <c r="G504" s="13">
        <f ca="1">IF((Prices!C504-Prices!C503)*C504&gt;0,1,0)</f>
        <v>1</v>
      </c>
      <c r="H504" s="9">
        <f>ABS(Prices!C504-Prices!C503)/Prices!C503</f>
        <v>9.1522157996146714E-3</v>
      </c>
      <c r="I504" s="13"/>
      <c r="J504" s="1">
        <f t="shared" ca="1" si="51"/>
        <v>1.4842265325111868E-3</v>
      </c>
      <c r="K504" s="9"/>
      <c r="L504" s="9">
        <f ca="1">L503-O504*Prices!C504</f>
        <v>1.6060090885495812</v>
      </c>
      <c r="M504" s="1">
        <f t="shared" ca="1" si="52"/>
        <v>4.6532864180877402E-3</v>
      </c>
      <c r="N504" s="9">
        <f ca="1">IF(Prices!D503&gt;OFFSET(Prices!D503,-$N$3,0),1,IF(Prices!D503&lt;OFFSET(Prices!D503,-$N$3,0),-1,0))</f>
        <v>1</v>
      </c>
      <c r="O504" s="1">
        <f ca="1">IF(N504=1,O$3*L503/Prices!C503,O$3*M503*N504)</f>
        <v>1.7208776732382334E-3</v>
      </c>
      <c r="P504" s="14"/>
      <c r="Q504" s="9">
        <f ca="1">Q503-T504*Prices!C504</f>
        <v>0.85232486611059088</v>
      </c>
      <c r="R504" s="1">
        <f t="shared" ca="1" si="53"/>
        <v>1.1595905895625281E-2</v>
      </c>
      <c r="S504" s="9">
        <f ca="1">IF(Prices!C503&lt;OFFSET(Prices!C503,-S$3,0),1,IF(Prices!C503&gt;OFFSET(Prices!C503,-S$3,0),-1,0))</f>
        <v>-1</v>
      </c>
      <c r="T504" s="1">
        <f ca="1">IF(S504=1,T$3*Q503/Prices!C503,T$3*R503*S504)</f>
        <v>-2.3665114072704657E-4</v>
      </c>
    </row>
    <row r="505" spans="1:20" x14ac:dyDescent="0.2">
      <c r="A505" s="4">
        <v>34213</v>
      </c>
      <c r="B505" s="9">
        <f ca="1">Prices!C504*(1+J505/(50*(ABS(O505)+ABS(T505)+0.0001)))</f>
        <v>103.87928833240967</v>
      </c>
      <c r="C505" s="13">
        <f t="shared" ca="1" si="48"/>
        <v>-1</v>
      </c>
      <c r="D505" s="9">
        <f ca="1">D504+C505*(Prices!C505-Prices!C504)/Prices!C504</f>
        <v>0.28571077593601613</v>
      </c>
      <c r="E505" s="9">
        <f t="shared" ca="1" si="49"/>
        <v>5.7279236276849277E-3</v>
      </c>
      <c r="F505" s="9">
        <f t="shared" ca="1" si="50"/>
        <v>0.29143869956370105</v>
      </c>
      <c r="G505" s="13">
        <f ca="1">IF((Prices!C505-Prices!C504)*C505&gt;0,1,0)</f>
        <v>0</v>
      </c>
      <c r="H505" s="9">
        <f>ABS(Prices!C505-Prices!C504)/Prices!C504</f>
        <v>5.7279236276849103E-3</v>
      </c>
      <c r="I505" s="13"/>
      <c r="J505" s="1">
        <f t="shared" ca="1" si="51"/>
        <v>-3.0259358384016478E-4</v>
      </c>
      <c r="K505" s="9"/>
      <c r="L505" s="9">
        <f ca="1">L504-O505*Prices!C505</f>
        <v>1.6550314609641357</v>
      </c>
      <c r="M505" s="1">
        <f t="shared" ca="1" si="52"/>
        <v>4.1879577762789664E-3</v>
      </c>
      <c r="N505" s="9">
        <f ca="1">IF(Prices!D504&gt;OFFSET(Prices!D504,-$N$3,0),1,IF(Prices!D504&lt;OFFSET(Prices!D504,-$N$3,0),-1,0))</f>
        <v>-1</v>
      </c>
      <c r="O505" s="1">
        <f ca="1">IF(N505=1,O$3*L504/Prices!C504,O$3*M504*N505)</f>
        <v>-4.6532864180877403E-4</v>
      </c>
      <c r="P505" s="14"/>
      <c r="Q505" s="9">
        <f ca="1">Q504-T505*Prices!C505</f>
        <v>0.83518072775359786</v>
      </c>
      <c r="R505" s="1">
        <f t="shared" ca="1" si="53"/>
        <v>1.175864095359389E-2</v>
      </c>
      <c r="S505" s="9">
        <f ca="1">IF(Prices!C504&lt;OFFSET(Prices!C504,-S$3,0),1,IF(Prices!C504&gt;OFFSET(Prices!C504,-S$3,0),-1,0))</f>
        <v>1</v>
      </c>
      <c r="T505" s="1">
        <f ca="1">IF(S505=1,T$3*Q504/Prices!C504,T$3*R504*S505)</f>
        <v>1.6273505796860922E-4</v>
      </c>
    </row>
    <row r="506" spans="1:20" x14ac:dyDescent="0.2">
      <c r="A506" s="4">
        <v>34214</v>
      </c>
      <c r="B506" s="9">
        <f ca="1">Prices!C505*(1+J506/(50*(ABS(O506)+ABS(T506)+0.0001)))</f>
        <v>106.8265595466866</v>
      </c>
      <c r="C506" s="13">
        <f t="shared" ca="1" si="48"/>
        <v>1</v>
      </c>
      <c r="D506" s="9">
        <f ca="1">D505+C506*(Prices!C506-Prices!C505)/Prices!C505</f>
        <v>0.29140607731238072</v>
      </c>
      <c r="E506" s="9">
        <f t="shared" ca="1" si="49"/>
        <v>3.2622251320335582E-5</v>
      </c>
      <c r="F506" s="9">
        <f t="shared" ca="1" si="50"/>
        <v>0.29143869956370105</v>
      </c>
      <c r="G506" s="13">
        <f ca="1">IF((Prices!C506-Prices!C505)*C506&gt;0,1,0)</f>
        <v>1</v>
      </c>
      <c r="H506" s="9">
        <f>ABS(Prices!C506-Prices!C505)/Prices!C505</f>
        <v>5.6953013763645808E-3</v>
      </c>
      <c r="I506" s="13"/>
      <c r="J506" s="1">
        <f t="shared" ca="1" si="51"/>
        <v>1.3358110071873873E-3</v>
      </c>
      <c r="K506" s="9"/>
      <c r="L506" s="9">
        <f ca="1">L505-O506*Prices!C506</f>
        <v>1.4885857245719665</v>
      </c>
      <c r="M506" s="1">
        <f t="shared" ca="1" si="52"/>
        <v>5.7589416025382312E-3</v>
      </c>
      <c r="N506" s="9">
        <f ca="1">IF(Prices!D505&gt;OFFSET(Prices!D505,-$N$3,0),1,IF(Prices!D505&lt;OFFSET(Prices!D505,-$N$3,0),-1,0))</f>
        <v>1</v>
      </c>
      <c r="O506" s="1">
        <f ca="1">IF(N506=1,O$3*L505/Prices!C505,O$3*M505*N506)</f>
        <v>1.5709838262592652E-3</v>
      </c>
      <c r="P506" s="14"/>
      <c r="Q506" s="9">
        <f ca="1">Q505-T506*Prices!C506</f>
        <v>0.86009728793426332</v>
      </c>
      <c r="R506" s="1">
        <f t="shared" ca="1" si="53"/>
        <v>1.1523468134522012E-2</v>
      </c>
      <c r="S506" s="9">
        <f ca="1">IF(Prices!C505&lt;OFFSET(Prices!C505,-S$3,0),1,IF(Prices!C505&gt;OFFSET(Prices!C505,-S$3,0),-1,0))</f>
        <v>-1</v>
      </c>
      <c r="T506" s="1">
        <f ca="1">IF(S506=1,T$3*Q505/Prices!C505,T$3*R505*S506)</f>
        <v>-2.351728190718778E-4</v>
      </c>
    </row>
    <row r="507" spans="1:20" x14ac:dyDescent="0.2">
      <c r="A507" s="4">
        <v>34215</v>
      </c>
      <c r="B507" s="9">
        <f ca="1">Prices!C506*(1+J507/(50*(ABS(O507)+ABS(T507)+0.0001)))</f>
        <v>104.06479140337825</v>
      </c>
      <c r="C507" s="13">
        <f t="shared" ca="1" si="48"/>
        <v>-1</v>
      </c>
      <c r="D507" s="9">
        <f ca="1">D506+C507*(Prices!C507-Prices!C506)/Prices!C506</f>
        <v>0.30329847938883192</v>
      </c>
      <c r="E507" s="9">
        <f t="shared" ca="1" si="49"/>
        <v>0</v>
      </c>
      <c r="F507" s="9">
        <f t="shared" ca="1" si="50"/>
        <v>0.30329847938883192</v>
      </c>
      <c r="G507" s="13">
        <f ca="1">IF((Prices!C507-Prices!C506)*C507&gt;0,1,0)</f>
        <v>1</v>
      </c>
      <c r="H507" s="9">
        <f>ABS(Prices!C507-Prices!C506)/Prices!C506</f>
        <v>1.1892402076451205E-2</v>
      </c>
      <c r="I507" s="13"/>
      <c r="J507" s="1">
        <f t="shared" ca="1" si="51"/>
        <v>-8.0636352294426335E-4</v>
      </c>
      <c r="K507" s="9"/>
      <c r="L507" s="9">
        <f ca="1">L506-O507*Prices!C507</f>
        <v>1.5488760842089393</v>
      </c>
      <c r="M507" s="1">
        <f t="shared" ca="1" si="52"/>
        <v>5.1830474422844084E-3</v>
      </c>
      <c r="N507" s="9">
        <f ca="1">IF(Prices!D506&gt;OFFSET(Prices!D506,-$N$3,0),1,IF(Prices!D506&lt;OFFSET(Prices!D506,-$N$3,0),-1,0))</f>
        <v>-1</v>
      </c>
      <c r="O507" s="1">
        <f ca="1">IF(N507=1,O$3*L506/Prices!C506,O$3*M506*N507)</f>
        <v>-5.758941602538231E-4</v>
      </c>
      <c r="P507" s="14"/>
      <c r="Q507" s="9">
        <f ca="1">Q506-T507*Prices!C507</f>
        <v>0.88422512551432553</v>
      </c>
      <c r="R507" s="1">
        <f t="shared" ca="1" si="53"/>
        <v>1.1292998771831571E-2</v>
      </c>
      <c r="S507" s="9">
        <f ca="1">IF(Prices!C506&lt;OFFSET(Prices!C506,-S$3,0),1,IF(Prices!C506&gt;OFFSET(Prices!C506,-S$3,0),-1,0))</f>
        <v>-1</v>
      </c>
      <c r="T507" s="1">
        <f ca="1">IF(S507=1,T$3*Q506/Prices!C506,T$3*R506*S507)</f>
        <v>-2.3046936269044025E-4</v>
      </c>
    </row>
    <row r="508" spans="1:20" x14ac:dyDescent="0.2">
      <c r="A508" s="4">
        <v>34218</v>
      </c>
      <c r="B508" s="9">
        <f ca="1">Prices!C507*(1+J508/(50*(ABS(O508)+ABS(T508)+0.0001)))</f>
        <v>102.84423216140456</v>
      </c>
      <c r="C508" s="13">
        <f t="shared" ca="1" si="48"/>
        <v>-1</v>
      </c>
      <c r="D508" s="9">
        <f ca="1">D507+C508*(Prices!C508-Prices!C507)/Prices!C507</f>
        <v>0.30597304238434248</v>
      </c>
      <c r="E508" s="9">
        <f t="shared" ca="1" si="49"/>
        <v>0</v>
      </c>
      <c r="F508" s="9">
        <f t="shared" ca="1" si="50"/>
        <v>0.30597304238434248</v>
      </c>
      <c r="G508" s="13">
        <f ca="1">IF((Prices!C508-Prices!C507)*C508&gt;0,1,0)</f>
        <v>1</v>
      </c>
      <c r="H508" s="9">
        <f>ABS(Prices!C508-Prices!C507)/Prices!C507</f>
        <v>2.674562995510566E-3</v>
      </c>
      <c r="I508" s="13"/>
      <c r="J508" s="1">
        <f t="shared" ca="1" si="51"/>
        <v>-7.4416471966507229E-4</v>
      </c>
      <c r="K508" s="9"/>
      <c r="L508" s="9">
        <f ca="1">L507-O508*Prices!C508</f>
        <v>1.6029922825538307</v>
      </c>
      <c r="M508" s="1">
        <f t="shared" ca="1" si="52"/>
        <v>4.6647426980559676E-3</v>
      </c>
      <c r="N508" s="9">
        <f ca="1">IF(Prices!D507&gt;OFFSET(Prices!D507,-$N$3,0),1,IF(Prices!D507&lt;OFFSET(Prices!D507,-$N$3,0),-1,0))</f>
        <v>-1</v>
      </c>
      <c r="O508" s="1">
        <f ca="1">IF(N508=1,O$3*L507/Prices!C507,O$3*M507*N508)</f>
        <v>-5.1830474422844084E-4</v>
      </c>
      <c r="P508" s="14"/>
      <c r="Q508" s="9">
        <f ca="1">Q507-T508*Prices!C508</f>
        <v>0.90780716554966423</v>
      </c>
      <c r="R508" s="1">
        <f t="shared" ca="1" si="53"/>
        <v>1.106713879639494E-2</v>
      </c>
      <c r="S508" s="9">
        <f ca="1">IF(Prices!C507&lt;OFFSET(Prices!C507,-S$3,0),1,IF(Prices!C507&gt;OFFSET(Prices!C507,-S$3,0),-1,0))</f>
        <v>-1</v>
      </c>
      <c r="T508" s="1">
        <f ca="1">IF(S508=1,T$3*Q507/Prices!C507,T$3*R507*S508)</f>
        <v>-2.2585997543663142E-4</v>
      </c>
    </row>
    <row r="509" spans="1:20" x14ac:dyDescent="0.2">
      <c r="A509" s="4">
        <v>34219</v>
      </c>
      <c r="B509" s="9">
        <f ca="1">Prices!C508*(1+J509/(50*(ABS(O509)+ABS(T509)+0.0001)))</f>
        <v>103.58477591856499</v>
      </c>
      <c r="C509" s="13">
        <f t="shared" ca="1" si="48"/>
        <v>-1</v>
      </c>
      <c r="D509" s="9">
        <f ca="1">D508+C509*(Prices!C509-Prices!C508)/Prices!C508</f>
        <v>0.30721813385067709</v>
      </c>
      <c r="E509" s="9">
        <f t="shared" ca="1" si="49"/>
        <v>0</v>
      </c>
      <c r="F509" s="9">
        <f t="shared" ca="1" si="50"/>
        <v>0.30721813385067709</v>
      </c>
      <c r="G509" s="13">
        <f ca="1">IF((Prices!C509-Prices!C508)*C509&gt;0,1,0)</f>
        <v>1</v>
      </c>
      <c r="H509" s="9">
        <f>ABS(Prices!C509-Prices!C508)/Prices!C508</f>
        <v>1.2450914663345988E-3</v>
      </c>
      <c r="I509" s="13"/>
      <c r="J509" s="1">
        <f t="shared" ca="1" si="51"/>
        <v>-2.9258150751277723E-4</v>
      </c>
      <c r="K509" s="9"/>
      <c r="L509" s="9">
        <f ca="1">L508-O509*Prices!C509</f>
        <v>1.6516362194091583</v>
      </c>
      <c r="M509" s="1">
        <f t="shared" ca="1" si="52"/>
        <v>4.1982684282503707E-3</v>
      </c>
      <c r="N509" s="9">
        <f ca="1">IF(Prices!D508&gt;OFFSET(Prices!D508,-$N$3,0),1,IF(Prices!D508&lt;OFFSET(Prices!D508,-$N$3,0),-1,0))</f>
        <v>-1</v>
      </c>
      <c r="O509" s="1">
        <f ca="1">IF(N509=1,O$3*L508/Prices!C508,O$3*M508*N509)</f>
        <v>-4.6647426980559679E-4</v>
      </c>
      <c r="P509" s="14"/>
      <c r="Q509" s="9">
        <f ca="1">Q508-T509*Prices!C509</f>
        <v>0.88967362829776897</v>
      </c>
      <c r="R509" s="1">
        <f t="shared" ca="1" si="53"/>
        <v>1.124103155868776E-2</v>
      </c>
      <c r="S509" s="9">
        <f ca="1">IF(Prices!C508&lt;OFFSET(Prices!C508,-S$3,0),1,IF(Prices!C508&gt;OFFSET(Prices!C508,-S$3,0),-1,0))</f>
        <v>1</v>
      </c>
      <c r="T509" s="1">
        <f ca="1">IF(S509=1,T$3*Q508/Prices!C508,T$3*R508*S509)</f>
        <v>1.7389276229281953E-4</v>
      </c>
    </row>
    <row r="510" spans="1:20" x14ac:dyDescent="0.2">
      <c r="A510" s="4">
        <v>34220</v>
      </c>
      <c r="B510" s="9">
        <f ca="1">Prices!C509*(1+J510/(50*(ABS(O510)+ABS(T510)+0.0001)))</f>
        <v>103.52728077378417</v>
      </c>
      <c r="C510" s="13">
        <f t="shared" ca="1" si="48"/>
        <v>-1</v>
      </c>
      <c r="D510" s="9">
        <f ca="1">D509+C510*(Prices!C510-Prices!C509)/Prices!C509</f>
        <v>0.29561475832325101</v>
      </c>
      <c r="E510" s="9">
        <f t="shared" ca="1" si="49"/>
        <v>1.1603375527426074E-2</v>
      </c>
      <c r="F510" s="9">
        <f t="shared" ca="1" si="50"/>
        <v>0.30721813385067709</v>
      </c>
      <c r="G510" s="13">
        <f ca="1">IF((Prices!C510-Prices!C509)*C510&gt;0,1,0)</f>
        <v>0</v>
      </c>
      <c r="H510" s="9">
        <f>ABS(Prices!C510-Prices!C509)/Prices!C509</f>
        <v>1.16033755274261E-2</v>
      </c>
      <c r="I510" s="13"/>
      <c r="J510" s="1">
        <f t="shared" ca="1" si="51"/>
        <v>-2.4919515346988384E-4</v>
      </c>
      <c r="K510" s="9"/>
      <c r="L510" s="9">
        <f ca="1">L509-O510*Prices!C510</f>
        <v>1.6959237530587714</v>
      </c>
      <c r="M510" s="1">
        <f t="shared" ca="1" si="52"/>
        <v>3.7784415854253336E-3</v>
      </c>
      <c r="N510" s="9">
        <f ca="1">IF(Prices!D509&gt;OFFSET(Prices!D509,-$N$3,0),1,IF(Prices!D509&lt;OFFSET(Prices!D509,-$N$3,0),-1,0))</f>
        <v>-1</v>
      </c>
      <c r="O510" s="1">
        <f ca="1">IF(N510=1,O$3*L509/Prices!C509,O$3*M509*N510)</f>
        <v>-4.1982684282503707E-4</v>
      </c>
      <c r="P510" s="14"/>
      <c r="Q510" s="9">
        <f ca="1">Q509-T510*Prices!C510</f>
        <v>0.87167369138769391</v>
      </c>
      <c r="R510" s="1">
        <f t="shared" ca="1" si="53"/>
        <v>1.1411663248042913E-2</v>
      </c>
      <c r="S510" s="9">
        <f ca="1">IF(Prices!C509&lt;OFFSET(Prices!C509,-S$3,0),1,IF(Prices!C509&gt;OFFSET(Prices!C509,-S$3,0),-1,0))</f>
        <v>1</v>
      </c>
      <c r="T510" s="1">
        <f ca="1">IF(S510=1,T$3*Q509/Prices!C509,T$3*R509*S510)</f>
        <v>1.7063168935515326E-4</v>
      </c>
    </row>
    <row r="511" spans="1:20" x14ac:dyDescent="0.2">
      <c r="A511" s="4">
        <v>34221</v>
      </c>
      <c r="B511" s="9">
        <f ca="1">Prices!C510*(1+J511/(50*(ABS(O511)+ABS(T511)+0.0001)))</f>
        <v>104.79259379515049</v>
      </c>
      <c r="C511" s="13">
        <f t="shared" ca="1" si="48"/>
        <v>-1</v>
      </c>
      <c r="D511" s="9">
        <f ca="1">D510+C511*(Prices!C511-Prices!C510)/Prices!C510</f>
        <v>0.2969418983365224</v>
      </c>
      <c r="E511" s="9">
        <f t="shared" ca="1" si="49"/>
        <v>1.0276235514154686E-2</v>
      </c>
      <c r="F511" s="9">
        <f t="shared" ca="1" si="50"/>
        <v>0.30721813385067709</v>
      </c>
      <c r="G511" s="13">
        <f ca="1">IF((Prices!C511-Prices!C510)*C511&gt;0,1,0)</f>
        <v>1</v>
      </c>
      <c r="H511" s="9">
        <f>ABS(Prices!C511-Prices!C510)/Prices!C510</f>
        <v>1.3271400132714055E-3</v>
      </c>
      <c r="I511" s="13"/>
      <c r="J511" s="1">
        <f t="shared" ca="1" si="51"/>
        <v>-2.1258229649159132E-4</v>
      </c>
      <c r="K511" s="9"/>
      <c r="L511" s="9">
        <f ca="1">L510-O511*Prices!C511</f>
        <v>1.7357296351612272</v>
      </c>
      <c r="M511" s="1">
        <f t="shared" ca="1" si="52"/>
        <v>3.4005974268828004E-3</v>
      </c>
      <c r="N511" s="9">
        <f ca="1">IF(Prices!D510&gt;OFFSET(Prices!D510,-$N$3,0),1,IF(Prices!D510&lt;OFFSET(Prices!D510,-$N$3,0),-1,0))</f>
        <v>-1</v>
      </c>
      <c r="O511" s="1">
        <f ca="1">IF(N511=1,O$3*L510/Prices!C510,O$3*M510*N511)</f>
        <v>-3.7784415854253339E-4</v>
      </c>
      <c r="P511" s="14"/>
      <c r="Q511" s="9">
        <f ca="1">Q510-T511*Prices!C511</f>
        <v>0.85426335422062716</v>
      </c>
      <c r="R511" s="1">
        <f t="shared" ca="1" si="53"/>
        <v>1.1576925110093856E-2</v>
      </c>
      <c r="S511" s="9">
        <f ca="1">IF(Prices!C510&lt;OFFSET(Prices!C510,-S$3,0),1,IF(Prices!C510&gt;OFFSET(Prices!C510,-S$3,0),-1,0))</f>
        <v>1</v>
      </c>
      <c r="T511" s="1">
        <f ca="1">IF(S511=1,T$3*Q510/Prices!C510,T$3*R510*S511)</f>
        <v>1.6526186205094207E-4</v>
      </c>
    </row>
    <row r="512" spans="1:20" x14ac:dyDescent="0.2">
      <c r="A512" s="4">
        <v>34222</v>
      </c>
      <c r="B512" s="9">
        <f ca="1">Prices!C511*(1+J512/(50*(ABS(O512)+ABS(T512)+0.0001)))</f>
        <v>106.8575407402069</v>
      </c>
      <c r="C512" s="13">
        <f t="shared" ca="1" si="48"/>
        <v>1</v>
      </c>
      <c r="D512" s="9">
        <f ca="1">D511+C512*(Prices!C512-Prices!C511)/Prices!C511</f>
        <v>0.30453563350500851</v>
      </c>
      <c r="E512" s="9">
        <f t="shared" ca="1" si="49"/>
        <v>2.6825003456685814E-3</v>
      </c>
      <c r="F512" s="9">
        <f t="shared" ca="1" si="50"/>
        <v>0.30721813385067709</v>
      </c>
      <c r="G512" s="13">
        <f ca="1">IF((Prices!C512-Prices!C511)*C512&gt;0,1,0)</f>
        <v>1</v>
      </c>
      <c r="H512" s="9">
        <f>ABS(Prices!C512-Prices!C511)/Prices!C511</f>
        <v>7.5937351684861078E-3</v>
      </c>
      <c r="I512" s="13"/>
      <c r="J512" s="1">
        <f t="shared" ca="1" si="51"/>
        <v>1.4160453944865208E-3</v>
      </c>
      <c r="K512" s="9"/>
      <c r="L512" s="9">
        <f ca="1">L511-O512*Prices!C512</f>
        <v>1.5608386045277538</v>
      </c>
      <c r="M512" s="1">
        <f t="shared" ca="1" si="52"/>
        <v>5.0481813235711982E-3</v>
      </c>
      <c r="N512" s="9">
        <f ca="1">IF(Prices!D511&gt;OFFSET(Prices!D511,-$N$3,0),1,IF(Prices!D511&lt;OFFSET(Prices!D511,-$N$3,0),-1,0))</f>
        <v>1</v>
      </c>
      <c r="O512" s="1">
        <f ca="1">IF(N512=1,O$3*L511/Prices!C511,O$3*M511*N512)</f>
        <v>1.647583896688398E-3</v>
      </c>
      <c r="P512" s="14"/>
      <c r="Q512" s="9">
        <f ca="1">Q511-T512*Prices!C512</f>
        <v>0.87884116622935637</v>
      </c>
      <c r="R512" s="1">
        <f t="shared" ca="1" si="53"/>
        <v>1.1345386607891979E-2</v>
      </c>
      <c r="S512" s="9">
        <f ca="1">IF(Prices!C511&lt;OFFSET(Prices!C511,-S$3,0),1,IF(Prices!C511&gt;OFFSET(Prices!C511,-S$3,0),-1,0))</f>
        <v>-1</v>
      </c>
      <c r="T512" s="1">
        <f ca="1">IF(S512=1,T$3*Q511/Prices!C511,T$3*R511*S512)</f>
        <v>-2.3153850220187713E-4</v>
      </c>
    </row>
    <row r="513" spans="1:20" x14ac:dyDescent="0.2">
      <c r="A513" s="4">
        <v>34225</v>
      </c>
      <c r="B513" s="9">
        <f ca="1">Prices!C512*(1+J513/(50*(ABS(O513)+ABS(T513)+0.0001)))</f>
        <v>107.6188300654413</v>
      </c>
      <c r="C513" s="13">
        <f t="shared" ca="1" si="48"/>
        <v>1</v>
      </c>
      <c r="D513" s="9">
        <f ca="1">D512+C513*(Prices!C513-Prices!C512)/Prices!C512</f>
        <v>0.3059487281823518</v>
      </c>
      <c r="E513" s="9">
        <f t="shared" ca="1" si="49"/>
        <v>1.2694056683252852E-3</v>
      </c>
      <c r="F513" s="9">
        <f t="shared" ca="1" si="50"/>
        <v>0.30721813385067709</v>
      </c>
      <c r="G513" s="13">
        <f ca="1">IF((Prices!C513-Prices!C512)*C513&gt;0,1,0)</f>
        <v>1</v>
      </c>
      <c r="H513" s="9">
        <f>ABS(Prices!C513-Prices!C512)/Prices!C512</f>
        <v>1.4130946773433016E-3</v>
      </c>
      <c r="I513" s="13"/>
      <c r="J513" s="1">
        <f t="shared" ca="1" si="51"/>
        <v>1.2435007506756545E-3</v>
      </c>
      <c r="K513" s="9"/>
      <c r="L513" s="9">
        <f ca="1">L512-O513*Prices!C513</f>
        <v>1.4045341828025535</v>
      </c>
      <c r="M513" s="1">
        <f t="shared" ca="1" si="52"/>
        <v>6.5185898064046921E-3</v>
      </c>
      <c r="N513" s="9">
        <f ca="1">IF(Prices!D512&gt;OFFSET(Prices!D512,-$N$3,0),1,IF(Prices!D512&lt;OFFSET(Prices!D512,-$N$3,0),-1,0))</f>
        <v>1</v>
      </c>
      <c r="O513" s="1">
        <f ca="1">IF(N513=1,O$3*L512/Prices!C512,O$3*M512*N513)</f>
        <v>1.470408482833494E-3</v>
      </c>
      <c r="P513" s="14"/>
      <c r="Q513" s="9">
        <f ca="1">Q512-T513*Prices!C513</f>
        <v>0.90296145815773476</v>
      </c>
      <c r="R513" s="1">
        <f t="shared" ca="1" si="53"/>
        <v>1.1118478875734139E-2</v>
      </c>
      <c r="S513" s="9">
        <f ca="1">IF(Prices!C512&lt;OFFSET(Prices!C512,-S$3,0),1,IF(Prices!C512&gt;OFFSET(Prices!C512,-S$3,0),-1,0))</f>
        <v>-1</v>
      </c>
      <c r="T513" s="1">
        <f ca="1">IF(S513=1,T$3*Q512/Prices!C512,T$3*R512*S513)</f>
        <v>-2.2690773215783958E-4</v>
      </c>
    </row>
    <row r="514" spans="1:20" x14ac:dyDescent="0.2">
      <c r="A514" s="4">
        <v>34226</v>
      </c>
      <c r="B514" s="9">
        <f ca="1">Prices!C513*(1+J514/(50*(ABS(O514)+ABS(T514)+0.0001)))</f>
        <v>104.39222394572644</v>
      </c>
      <c r="C514" s="13">
        <f t="shared" ca="1" si="48"/>
        <v>-1</v>
      </c>
      <c r="D514" s="9">
        <f ca="1">D513+C514*(Prices!C514-Prices!C513)/Prices!C513</f>
        <v>0.30924129638555026</v>
      </c>
      <c r="E514" s="9">
        <f t="shared" ca="1" si="49"/>
        <v>0</v>
      </c>
      <c r="F514" s="9">
        <f t="shared" ca="1" si="50"/>
        <v>0.30924129638555026</v>
      </c>
      <c r="G514" s="13">
        <f ca="1">IF((Prices!C514-Prices!C513)*C514&gt;0,1,0)</f>
        <v>1</v>
      </c>
      <c r="H514" s="9">
        <f>ABS(Prices!C514-Prices!C513)/Prices!C513</f>
        <v>3.2925682031984416E-3</v>
      </c>
      <c r="I514" s="13"/>
      <c r="J514" s="1">
        <f t="shared" ca="1" si="51"/>
        <v>-8.7422855815515209E-4</v>
      </c>
      <c r="K514" s="9"/>
      <c r="L514" s="9">
        <f ca="1">L513-O514*Prices!C514</f>
        <v>1.4735986418014113</v>
      </c>
      <c r="M514" s="1">
        <f t="shared" ca="1" si="52"/>
        <v>5.8667308257642232E-3</v>
      </c>
      <c r="N514" s="9">
        <f ca="1">IF(Prices!D513&gt;OFFSET(Prices!D513,-$N$3,0),1,IF(Prices!D513&lt;OFFSET(Prices!D513,-$N$3,0),-1,0))</f>
        <v>-1</v>
      </c>
      <c r="O514" s="1">
        <f ca="1">IF(N514=1,O$3*L513/Prices!C513,O$3*M513*N514)</f>
        <v>-6.5185898064046928E-4</v>
      </c>
      <c r="P514" s="14"/>
      <c r="Q514" s="9">
        <f ca="1">Q513-T514*Prices!C514</f>
        <v>0.92652151489541545</v>
      </c>
      <c r="R514" s="1">
        <f t="shared" ca="1" si="53"/>
        <v>1.0896109298219457E-2</v>
      </c>
      <c r="S514" s="9">
        <f ca="1">IF(Prices!C513&lt;OFFSET(Prices!C513,-S$3,0),1,IF(Prices!C513&gt;OFFSET(Prices!C513,-S$3,0),-1,0))</f>
        <v>-1</v>
      </c>
      <c r="T514" s="1">
        <f ca="1">IF(S514=1,T$3*Q513/Prices!C513,T$3*R513*S514)</f>
        <v>-2.2236957751468279E-4</v>
      </c>
    </row>
    <row r="515" spans="1:20" x14ac:dyDescent="0.2">
      <c r="A515" s="4">
        <v>34227</v>
      </c>
      <c r="B515" s="9">
        <f ca="1">Prices!C514*(1+J515/(50*(ABS(O515)+ABS(T515)+0.0001)))</f>
        <v>107.40451202334246</v>
      </c>
      <c r="C515" s="13">
        <f t="shared" ca="1" si="48"/>
        <v>1</v>
      </c>
      <c r="D515" s="9">
        <f ca="1">D514+C515*(Prices!C515-Prices!C514)/Prices!C514</f>
        <v>0.30905252809862249</v>
      </c>
      <c r="E515" s="9">
        <f t="shared" ca="1" si="49"/>
        <v>1.8876828692776515E-4</v>
      </c>
      <c r="F515" s="9">
        <f t="shared" ca="1" si="50"/>
        <v>0.30924129638555026</v>
      </c>
      <c r="G515" s="13">
        <f ca="1">IF((Prices!C515-Prices!C514)*C515&gt;0,1,0)</f>
        <v>0</v>
      </c>
      <c r="H515" s="9">
        <f>ABS(Prices!C515-Prices!C514)/Prices!C514</f>
        <v>1.8876828692775856E-4</v>
      </c>
      <c r="I515" s="13"/>
      <c r="J515" s="1">
        <f t="shared" ca="1" si="51"/>
        <v>1.1729212701955081E-3</v>
      </c>
      <c r="K515" s="9"/>
      <c r="L515" s="9">
        <f ca="1">L514-O515*Prices!C515</f>
        <v>1.3262665944903933</v>
      </c>
      <c r="M515" s="1">
        <f t="shared" ca="1" si="52"/>
        <v>7.2575742819241205E-3</v>
      </c>
      <c r="N515" s="9">
        <f ca="1">IF(Prices!D514&gt;OFFSET(Prices!D514,-$N$3,0),1,IF(Prices!D514&lt;OFFSET(Prices!D514,-$N$3,0),-1,0))</f>
        <v>1</v>
      </c>
      <c r="O515" s="1">
        <f ca="1">IF(N515=1,O$3*L514/Prices!C514,O$3*M514*N515)</f>
        <v>1.3908434561598973E-3</v>
      </c>
      <c r="P515" s="14"/>
      <c r="Q515" s="9">
        <f ca="1">Q514-T515*Prices!C515</f>
        <v>0.94960601205462325</v>
      </c>
      <c r="R515" s="1">
        <f t="shared" ca="1" si="53"/>
        <v>1.0678187112255069E-2</v>
      </c>
      <c r="S515" s="9">
        <f ca="1">IF(Prices!C514&lt;OFFSET(Prices!C514,-S$3,0),1,IF(Prices!C514&gt;OFFSET(Prices!C514,-S$3,0),-1,0))</f>
        <v>-1</v>
      </c>
      <c r="T515" s="1">
        <f ca="1">IF(S515=1,T$3*Q514/Prices!C514,T$3*R514*S515)</f>
        <v>-2.1792218596438916E-4</v>
      </c>
    </row>
    <row r="516" spans="1:20" x14ac:dyDescent="0.2">
      <c r="A516" s="4">
        <v>34228</v>
      </c>
      <c r="B516" s="9">
        <f ca="1">Prices!C515*(1+J516/(50*(ABS(O516)+ABS(T516)+0.0001)))</f>
        <v>107.3352743306788</v>
      </c>
      <c r="C516" s="13">
        <f t="shared" ca="1" si="48"/>
        <v>1</v>
      </c>
      <c r="D516" s="9">
        <f ca="1">D515+C516*(Prices!C516-Prices!C515)/Prices!C515</f>
        <v>0.29319299822040096</v>
      </c>
      <c r="E516" s="9">
        <f t="shared" ca="1" si="49"/>
        <v>1.60482981651493E-2</v>
      </c>
      <c r="F516" s="9">
        <f t="shared" ca="1" si="50"/>
        <v>0.30924129638555026</v>
      </c>
      <c r="G516" s="13">
        <f ca="1">IF((Prices!C516-Prices!C515)*C516&gt;0,1,0)</f>
        <v>0</v>
      </c>
      <c r="H516" s="9">
        <f>ABS(Prices!C516-Prices!C515)/Prices!C515</f>
        <v>1.5859529878221531E-2</v>
      </c>
      <c r="I516" s="13"/>
      <c r="J516" s="1">
        <f t="shared" ca="1" si="51"/>
        <v>1.0384579650053408E-3</v>
      </c>
      <c r="K516" s="9"/>
      <c r="L516" s="9">
        <f ca="1">L515-O516*Prices!C516</f>
        <v>1.1957433315095347</v>
      </c>
      <c r="M516" s="1">
        <f t="shared" ca="1" si="52"/>
        <v>8.5095959891745634E-3</v>
      </c>
      <c r="N516" s="9">
        <f ca="1">IF(Prices!D515&gt;OFFSET(Prices!D515,-$N$3,0),1,IF(Prices!D515&lt;OFFSET(Prices!D515,-$N$3,0),-1,0))</f>
        <v>1</v>
      </c>
      <c r="O516" s="1">
        <f ca="1">IF(N516=1,O$3*L515/Prices!C515,O$3*M515*N516)</f>
        <v>1.2520217072504421E-3</v>
      </c>
      <c r="P516" s="14"/>
      <c r="Q516" s="9">
        <f ca="1">Q515-T516*Prices!C516</f>
        <v>0.97187003218367507</v>
      </c>
      <c r="R516" s="1">
        <f t="shared" ca="1" si="53"/>
        <v>1.0464623370009966E-2</v>
      </c>
      <c r="S516" s="9">
        <f ca="1">IF(Prices!C515&lt;OFFSET(Prices!C515,-S$3,0),1,IF(Prices!C515&gt;OFFSET(Prices!C515,-S$3,0),-1,0))</f>
        <v>-1</v>
      </c>
      <c r="T516" s="1">
        <f ca="1">IF(S516=1,T$3*Q515/Prices!C515,T$3*R515*S516)</f>
        <v>-2.1356374224510137E-4</v>
      </c>
    </row>
    <row r="517" spans="1:20" x14ac:dyDescent="0.2">
      <c r="A517" s="4">
        <v>34229</v>
      </c>
      <c r="B517" s="9">
        <f ca="1">Prices!C516*(1+J517/(50*(ABS(O517)+ABS(T517)+0.0001)))</f>
        <v>105.60712399098917</v>
      </c>
      <c r="C517" s="13">
        <f t="shared" ca="1" si="48"/>
        <v>1</v>
      </c>
      <c r="D517" s="9">
        <f ca="1">D516+C517*(Prices!C517-Prices!C516)/Prices!C516</f>
        <v>0.29559107975517313</v>
      </c>
      <c r="E517" s="9">
        <f t="shared" ca="1" si="49"/>
        <v>1.3650216630377132E-2</v>
      </c>
      <c r="F517" s="9">
        <f t="shared" ca="1" si="50"/>
        <v>0.30924129638555026</v>
      </c>
      <c r="G517" s="13">
        <f ca="1">IF((Prices!C517-Prices!C516)*C517&gt;0,1,0)</f>
        <v>1</v>
      </c>
      <c r="H517" s="9">
        <f>ABS(Prices!C517-Prices!C516)/Prices!C516</f>
        <v>2.3980815347721821E-3</v>
      </c>
      <c r="I517" s="13"/>
      <c r="J517" s="1">
        <f t="shared" ca="1" si="51"/>
        <v>1.864498862702494E-4</v>
      </c>
      <c r="K517" s="9"/>
      <c r="L517" s="9">
        <f ca="1">L516-O517*Prices!C517</f>
        <v>1.1957433315095347</v>
      </c>
      <c r="M517" s="1">
        <f t="shared" ca="1" si="52"/>
        <v>8.5095959891745634E-3</v>
      </c>
      <c r="N517" s="9">
        <f ca="1">IF(Prices!D516&gt;OFFSET(Prices!D516,-$N$3,0),1,IF(Prices!D516&lt;OFFSET(Prices!D516,-$N$3,0),-1,0))</f>
        <v>0</v>
      </c>
      <c r="O517" s="1">
        <f ca="1">IF(N517=1,O$3*L516/Prices!C516,O$3*M516*N517)</f>
        <v>0</v>
      </c>
      <c r="P517" s="14"/>
      <c r="Q517" s="9">
        <f ca="1">Q516-T517*Prices!C517</f>
        <v>0.95238601906843401</v>
      </c>
      <c r="R517" s="1">
        <f t="shared" ca="1" si="53"/>
        <v>1.0651073256280216E-2</v>
      </c>
      <c r="S517" s="9">
        <f ca="1">IF(Prices!C516&lt;OFFSET(Prices!C516,-S$3,0),1,IF(Prices!C516&gt;OFFSET(Prices!C516,-S$3,0),-1,0))</f>
        <v>1</v>
      </c>
      <c r="T517" s="1">
        <f ca="1">IF(S517=1,T$3*Q516/Prices!C516,T$3*R516*S517)</f>
        <v>1.864498862702494E-4</v>
      </c>
    </row>
    <row r="518" spans="1:20" x14ac:dyDescent="0.2">
      <c r="A518" s="4">
        <v>34232</v>
      </c>
      <c r="B518" s="9">
        <f ca="1">Prices!C517*(1+J518/(50*(ABS(O518)+ABS(T518)+0.0001)))</f>
        <v>103.26675901223975</v>
      </c>
      <c r="C518" s="13">
        <f t="shared" ca="1" si="48"/>
        <v>-1</v>
      </c>
      <c r="D518" s="9">
        <f ca="1">D517+C518*(Prices!C518-Prices!C517)/Prices!C517</f>
        <v>0.29453844817622576</v>
      </c>
      <c r="E518" s="9">
        <f t="shared" ca="1" si="49"/>
        <v>1.4702848209324493E-2</v>
      </c>
      <c r="F518" s="9">
        <f t="shared" ca="1" si="50"/>
        <v>0.30924129638555026</v>
      </c>
      <c r="G518" s="13">
        <f ca="1">IF((Prices!C518-Prices!C517)*C518&gt;0,1,0)</f>
        <v>0</v>
      </c>
      <c r="H518" s="9">
        <f>ABS(Prices!C518-Prices!C517)/Prices!C517</f>
        <v>1.052631578947363E-3</v>
      </c>
      <c r="I518" s="13"/>
      <c r="J518" s="1">
        <f t="shared" ca="1" si="51"/>
        <v>-6.6868476273211023E-4</v>
      </c>
      <c r="K518" s="9"/>
      <c r="L518" s="9">
        <f ca="1">L517-O518*Prices!C518</f>
        <v>1.2847622151522899</v>
      </c>
      <c r="M518" s="1">
        <f t="shared" ca="1" si="52"/>
        <v>7.6586363902571069E-3</v>
      </c>
      <c r="N518" s="9">
        <f ca="1">IF(Prices!D517&gt;OFFSET(Prices!D517,-$N$3,0),1,IF(Prices!D517&lt;OFFSET(Prices!D517,-$N$3,0),-1,0))</f>
        <v>-1</v>
      </c>
      <c r="O518" s="1">
        <f ca="1">IF(N518=1,O$3*L517/Prices!C517,O$3*M517*N518)</f>
        <v>-8.5095959891745641E-4</v>
      </c>
      <c r="P518" s="14"/>
      <c r="Q518" s="9">
        <f ca="1">Q517-T518*Prices!C518</f>
        <v>0.93331824845508493</v>
      </c>
      <c r="R518" s="1">
        <f t="shared" ca="1" si="53"/>
        <v>1.0833348092465563E-2</v>
      </c>
      <c r="S518" s="9">
        <f ca="1">IF(Prices!C517&lt;OFFSET(Prices!C517,-S$3,0),1,IF(Prices!C517&gt;OFFSET(Prices!C517,-S$3,0),-1,0))</f>
        <v>1</v>
      </c>
      <c r="T518" s="1">
        <f ca="1">IF(S518=1,T$3*Q517/Prices!C517,T$3*R517*S518)</f>
        <v>1.8227483618534624E-4</v>
      </c>
    </row>
    <row r="519" spans="1:20" x14ac:dyDescent="0.2">
      <c r="A519" s="4">
        <v>34233</v>
      </c>
      <c r="B519" s="9">
        <f ca="1">Prices!C518*(1+J519/(50*(ABS(O519)+ABS(T519)+0.0001)))</f>
        <v>106.56332940264734</v>
      </c>
      <c r="C519" s="13">
        <f t="shared" ca="1" si="48"/>
        <v>1</v>
      </c>
      <c r="D519" s="9">
        <f ca="1">D518+C519*(Prices!C519-Prices!C518)/Prices!C518</f>
        <v>0.31260555457140787</v>
      </c>
      <c r="E519" s="9">
        <f t="shared" ca="1" si="49"/>
        <v>0</v>
      </c>
      <c r="F519" s="9">
        <f t="shared" ca="1" si="50"/>
        <v>0.31260555457140787</v>
      </c>
      <c r="G519" s="13">
        <f ca="1">IF((Prices!C519-Prices!C518)*C519&gt;0,1,0)</f>
        <v>1</v>
      </c>
      <c r="H519" s="9">
        <f>ABS(Prices!C519-Prices!C518)/Prices!C518</f>
        <v>1.8067106395182112E-2</v>
      </c>
      <c r="I519" s="13"/>
      <c r="J519" s="1">
        <f t="shared" ca="1" si="51"/>
        <v>1.4065824154892523E-3</v>
      </c>
      <c r="K519" s="9"/>
      <c r="L519" s="9">
        <f ca="1">L518-O519*Prices!C519</f>
        <v>1.1539648000736944</v>
      </c>
      <c r="M519" s="1">
        <f t="shared" ca="1" si="52"/>
        <v>8.8867811327791313E-3</v>
      </c>
      <c r="N519" s="9">
        <f ca="1">IF(Prices!D518&gt;OFFSET(Prices!D518,-$N$3,0),1,IF(Prices!D518&lt;OFFSET(Prices!D518,-$N$3,0),-1,0))</f>
        <v>1</v>
      </c>
      <c r="O519" s="1">
        <f ca="1">IF(N519=1,O$3*L518/Prices!C518,O$3*M518*N519)</f>
        <v>1.2281447425220246E-3</v>
      </c>
      <c r="P519" s="14"/>
      <c r="Q519" s="9">
        <f ca="1">Q518-T519*Prices!C519</f>
        <v>0.91431463628407517</v>
      </c>
      <c r="R519" s="1">
        <f t="shared" ca="1" si="53"/>
        <v>1.101178576543279E-2</v>
      </c>
      <c r="S519" s="9">
        <f ca="1">IF(Prices!C518&lt;OFFSET(Prices!C518,-S$3,0),1,IF(Prices!C518&gt;OFFSET(Prices!C518,-S$3,0),-1,0))</f>
        <v>1</v>
      </c>
      <c r="T519" s="1">
        <f ca="1">IF(S519=1,T$3*Q518/Prices!C518,T$3*R518*S519)</f>
        <v>1.784376729672278E-4</v>
      </c>
    </row>
    <row r="520" spans="1:20" x14ac:dyDescent="0.2">
      <c r="A520" s="4">
        <v>34234</v>
      </c>
      <c r="B520" s="9">
        <f ca="1">Prices!C519*(1+J520/(50*(ABS(O520)+ABS(T520)+0.0001)))</f>
        <v>107.8099201141945</v>
      </c>
      <c r="C520" s="13">
        <f t="shared" ca="1" si="48"/>
        <v>1</v>
      </c>
      <c r="D520" s="9">
        <f ca="1">D519+C520*(Prices!C520-Prices!C519)/Prices!C519</f>
        <v>0.31091541372633741</v>
      </c>
      <c r="E520" s="9">
        <f t="shared" ca="1" si="49"/>
        <v>1.6901408450704647E-3</v>
      </c>
      <c r="F520" s="9">
        <f t="shared" ca="1" si="50"/>
        <v>0.31260555457140787</v>
      </c>
      <c r="G520" s="13">
        <f ca="1">IF((Prices!C520-Prices!C519)*C520&gt;0,1,0)</f>
        <v>0</v>
      </c>
      <c r="H520" s="9">
        <f>ABS(Prices!C520-Prices!C519)/Prices!C519</f>
        <v>1.6901408450704866E-3</v>
      </c>
      <c r="I520" s="13"/>
      <c r="J520" s="1">
        <f t="shared" ca="1" si="51"/>
        <v>8.6329930823471942E-4</v>
      </c>
      <c r="K520" s="9"/>
      <c r="L520" s="9">
        <f ca="1">L519-O520*Prices!C520</f>
        <v>1.0387633563705627</v>
      </c>
      <c r="M520" s="1">
        <f t="shared" ca="1" si="52"/>
        <v>9.9703161563225069E-3</v>
      </c>
      <c r="N520" s="9">
        <f ca="1">IF(Prices!D519&gt;OFFSET(Prices!D519,-$N$3,0),1,IF(Prices!D519&lt;OFFSET(Prices!D519,-$N$3,0),-1,0))</f>
        <v>1</v>
      </c>
      <c r="O520" s="1">
        <f ca="1">IF(N520=1,O$3*L519/Prices!C519,O$3*M519*N520)</f>
        <v>1.0835350235433752E-3</v>
      </c>
      <c r="P520" s="14"/>
      <c r="Q520" s="9">
        <f ca="1">Q519-T520*Prices!C520</f>
        <v>0.93773009753569148</v>
      </c>
      <c r="R520" s="1">
        <f t="shared" ca="1" si="53"/>
        <v>1.0791550050124134E-2</v>
      </c>
      <c r="S520" s="9">
        <f ca="1">IF(Prices!C519&lt;OFFSET(Prices!C519,-S$3,0),1,IF(Prices!C519&gt;OFFSET(Prices!C519,-S$3,0),-1,0))</f>
        <v>-1</v>
      </c>
      <c r="T520" s="1">
        <f ca="1">IF(S520=1,T$3*Q519/Prices!C519,T$3*R519*S520)</f>
        <v>-2.2023571530865581E-4</v>
      </c>
    </row>
    <row r="521" spans="1:20" x14ac:dyDescent="0.2">
      <c r="A521" s="4">
        <v>34235</v>
      </c>
      <c r="B521" s="9">
        <f ca="1">Prices!C520*(1+J521/(50*(ABS(O521)+ABS(T521)+0.0001)))</f>
        <v>107.57195304279459</v>
      </c>
      <c r="C521" s="13">
        <f t="shared" ca="1" si="48"/>
        <v>1</v>
      </c>
      <c r="D521" s="9">
        <f ca="1">D520+C521*(Prices!C521-Prices!C520)/Prices!C520</f>
        <v>0.30668290808299664</v>
      </c>
      <c r="E521" s="9">
        <f t="shared" ca="1" si="49"/>
        <v>5.9226464884112318E-3</v>
      </c>
      <c r="F521" s="9">
        <f t="shared" ca="1" si="50"/>
        <v>0.31260555457140787</v>
      </c>
      <c r="G521" s="13">
        <f ca="1">IF((Prices!C521-Prices!C520)*C521&gt;0,1,0)</f>
        <v>0</v>
      </c>
      <c r="H521" s="9">
        <f>ABS(Prices!C521-Prices!C520)/Prices!C520</f>
        <v>4.2325056433407515E-3</v>
      </c>
      <c r="I521" s="13"/>
      <c r="J521" s="1">
        <f t="shared" ca="1" si="51"/>
        <v>7.6118494742731676E-4</v>
      </c>
      <c r="K521" s="9"/>
      <c r="L521" s="9">
        <f ca="1">L520-O521*Prices!C521</f>
        <v>0.93532667791029989</v>
      </c>
      <c r="M521" s="1">
        <f t="shared" ca="1" si="52"/>
        <v>1.0947332104752306E-2</v>
      </c>
      <c r="N521" s="9">
        <f ca="1">IF(Prices!D520&gt;OFFSET(Prices!D520,-$N$3,0),1,IF(Prices!D520&lt;OFFSET(Prices!D520,-$N$3,0),-1,0))</f>
        <v>1</v>
      </c>
      <c r="O521" s="1">
        <f ca="1">IF(N521=1,O$3*L520/Prices!C520,O$3*M520*N521)</f>
        <v>9.7701594842979946E-4</v>
      </c>
      <c r="P521" s="14"/>
      <c r="Q521" s="9">
        <f ca="1">Q520-T521*Prices!C521</f>
        <v>0.96058012561182426</v>
      </c>
      <c r="R521" s="1">
        <f t="shared" ca="1" si="53"/>
        <v>1.0575719049121652E-2</v>
      </c>
      <c r="S521" s="9">
        <f ca="1">IF(Prices!C520&lt;OFFSET(Prices!C520,-S$3,0),1,IF(Prices!C520&gt;OFFSET(Prices!C520,-S$3,0),-1,0))</f>
        <v>-1</v>
      </c>
      <c r="T521" s="1">
        <f ca="1">IF(S521=1,T$3*Q520/Prices!C520,T$3*R520*S521)</f>
        <v>-2.158310010024827E-4</v>
      </c>
    </row>
    <row r="522" spans="1:20" x14ac:dyDescent="0.2">
      <c r="A522" s="20">
        <v>34236</v>
      </c>
      <c r="B522" s="9">
        <f ca="1">Prices!C521*(1+J522/(50*(ABS(O522)+ABS(T522)+0.0001)))</f>
        <v>103.9031709245557</v>
      </c>
      <c r="C522" s="13">
        <f t="shared" ca="1" si="48"/>
        <v>-1</v>
      </c>
      <c r="D522" s="9">
        <f ca="1">D521+C522*(Prices!C522-Prices!C521)/Prices!C521</f>
        <v>0.3054549870477648</v>
      </c>
      <c r="E522" s="9">
        <f t="shared" ca="1" si="49"/>
        <v>7.1505675236430699E-3</v>
      </c>
      <c r="F522" s="9">
        <f t="shared" ca="1" si="50"/>
        <v>0.31260555457140787</v>
      </c>
      <c r="G522" s="13">
        <f ca="1">IF((Prices!C522-Prices!C521)*C522&gt;0,1,0)</f>
        <v>0</v>
      </c>
      <c r="H522" s="9">
        <f>ABS(Prices!C522-Prices!C521)/Prices!C521</f>
        <v>1.2279210352318451E-3</v>
      </c>
      <c r="I522" s="13"/>
      <c r="J522" s="1">
        <f t="shared" ca="1" si="51"/>
        <v>-1.3062475914576636E-3</v>
      </c>
      <c r="K522" s="9"/>
      <c r="L522" s="9">
        <f ca="1">L521-O522*Prices!C522</f>
        <v>1.0513683982206743</v>
      </c>
      <c r="M522" s="1">
        <f t="shared" ca="1" si="52"/>
        <v>9.8525988942770766E-3</v>
      </c>
      <c r="N522" s="9">
        <f ca="1">IF(Prices!D521&gt;OFFSET(Prices!D521,-$N$3,0),1,IF(Prices!D521&lt;OFFSET(Prices!D521,-$N$3,0),-1,0))</f>
        <v>-1</v>
      </c>
      <c r="O522" s="1">
        <f ca="1">IF(N522=1,O$3*L521/Prices!C521,O$3*M521*N522)</f>
        <v>-1.0947332104752306E-3</v>
      </c>
      <c r="P522" s="14"/>
      <c r="Q522" s="9">
        <f ca="1">Q521-T522*Prices!C522</f>
        <v>0.98300064999596215</v>
      </c>
      <c r="R522" s="1">
        <f t="shared" ca="1" si="53"/>
        <v>1.0364204668139219E-2</v>
      </c>
      <c r="S522" s="9">
        <f ca="1">IF(Prices!C521&lt;OFFSET(Prices!C521,-S$3,0),1,IF(Prices!C521&gt;OFFSET(Prices!C521,-S$3,0),-1,0))</f>
        <v>-1</v>
      </c>
      <c r="T522" s="1">
        <f ca="1">IF(S522=1,T$3*Q521/Prices!C521,T$3*R521*S522)</f>
        <v>-2.1151438098243304E-4</v>
      </c>
    </row>
    <row r="523" spans="1:20" x14ac:dyDescent="0.2">
      <c r="A523" s="4">
        <v>34239</v>
      </c>
      <c r="B523" s="9">
        <f ca="1">Prices!C522*(1+J523/(50*(ABS(O523)+ABS(T523)+0.0001)))</f>
        <v>104.04401762943672</v>
      </c>
      <c r="C523" s="13">
        <f t="shared" ca="1" si="48"/>
        <v>-1</v>
      </c>
      <c r="D523" s="9">
        <f ca="1">D522+C523*(Prices!C523-Prices!C522)/Prices!C522</f>
        <v>0.30356819459493461</v>
      </c>
      <c r="E523" s="9">
        <f t="shared" ca="1" si="49"/>
        <v>9.0373599764732582E-3</v>
      </c>
      <c r="F523" s="9">
        <f t="shared" ca="1" si="50"/>
        <v>0.31260555457140787</v>
      </c>
      <c r="G523" s="13">
        <f ca="1">IF((Prices!C523-Prices!C522)*C523&gt;0,1,0)</f>
        <v>0</v>
      </c>
      <c r="H523" s="9">
        <f>ABS(Prices!C523-Prices!C522)/Prices!C522</f>
        <v>1.8867924528302156E-3</v>
      </c>
      <c r="I523" s="13"/>
      <c r="J523" s="1">
        <f t="shared" ca="1" si="51"/>
        <v>-1.1925439827904921E-3</v>
      </c>
      <c r="K523" s="9"/>
      <c r="L523" s="9">
        <f ca="1">L522-O523*Prices!C523</f>
        <v>1.1560029984778968</v>
      </c>
      <c r="M523" s="1">
        <f t="shared" ca="1" si="52"/>
        <v>8.8673390048493693E-3</v>
      </c>
      <c r="N523" s="9">
        <f ca="1">IF(Prices!D522&gt;OFFSET(Prices!D522,-$N$3,0),1,IF(Prices!D522&lt;OFFSET(Prices!D522,-$N$3,0),-1,0))</f>
        <v>-1</v>
      </c>
      <c r="O523" s="1">
        <f ca="1">IF(N523=1,O$3*L522/Prices!C522,O$3*M522*N523)</f>
        <v>-9.8525988942770775E-4</v>
      </c>
      <c r="P523" s="14"/>
      <c r="Q523" s="9">
        <f ca="1">Q522-T523*Prices!C523</f>
        <v>1.0050142207110899</v>
      </c>
      <c r="R523" s="1">
        <f t="shared" ca="1" si="53"/>
        <v>1.0156920574776435E-2</v>
      </c>
      <c r="S523" s="9">
        <f ca="1">IF(Prices!C522&lt;OFFSET(Prices!C522,-S$3,0),1,IF(Prices!C522&gt;OFFSET(Prices!C522,-S$3,0),-1,0))</f>
        <v>-1</v>
      </c>
      <c r="T523" s="1">
        <f ca="1">IF(S523=1,T$3*Q522/Prices!C522,T$3*R522*S523)</f>
        <v>-2.072840933627844E-4</v>
      </c>
    </row>
    <row r="524" spans="1:20" x14ac:dyDescent="0.2">
      <c r="A524" s="4">
        <v>34240</v>
      </c>
      <c r="B524" s="9">
        <f ca="1">Prices!C523*(1+J524/(50*(ABS(O524)+ABS(T524)+0.0001)))</f>
        <v>104.94029383360639</v>
      </c>
      <c r="C524" s="13">
        <f t="shared" ca="1" si="48"/>
        <v>-1</v>
      </c>
      <c r="D524" s="9">
        <f ca="1">D523+C524*(Prices!C524-Prices!C523)/Prices!C523</f>
        <v>0.31458514374747698</v>
      </c>
      <c r="E524" s="9">
        <f t="shared" ca="1" si="49"/>
        <v>0</v>
      </c>
      <c r="F524" s="9">
        <f t="shared" ca="1" si="50"/>
        <v>0.31458514374747698</v>
      </c>
      <c r="G524" s="13">
        <f ca="1">IF((Prices!C524-Prices!C523)*C524&gt;0,1,0)</f>
        <v>1</v>
      </c>
      <c r="H524" s="9">
        <f>ABS(Prices!C524-Prices!C523)/Prices!C523</f>
        <v>1.1016949152542388E-2</v>
      </c>
      <c r="I524" s="13"/>
      <c r="J524" s="1">
        <f t="shared" ca="1" si="51"/>
        <v>-6.9746568566175619E-4</v>
      </c>
      <c r="K524" s="9"/>
      <c r="L524" s="9">
        <f ca="1">L523-O524*Prices!C524</f>
        <v>1.2491366600458298</v>
      </c>
      <c r="M524" s="1">
        <f t="shared" ca="1" si="52"/>
        <v>7.980605104364432E-3</v>
      </c>
      <c r="N524" s="9">
        <f ca="1">IF(Prices!D523&gt;OFFSET(Prices!D523,-$N$3,0),1,IF(Prices!D523&lt;OFFSET(Prices!D523,-$N$3,0),-1,0))</f>
        <v>-1</v>
      </c>
      <c r="O524" s="1">
        <f ca="1">IF(N524=1,O$3*L523/Prices!C523,O$3*M523*N524)</f>
        <v>-8.8673390048493695E-4</v>
      </c>
      <c r="P524" s="14"/>
      <c r="Q524" s="9">
        <f ca="1">Q523-T524*Prices!C524</f>
        <v>0.98513538010821122</v>
      </c>
      <c r="R524" s="1">
        <f t="shared" ca="1" si="53"/>
        <v>1.0346188789599616E-2</v>
      </c>
      <c r="S524" s="9">
        <f ca="1">IF(Prices!C523&lt;OFFSET(Prices!C523,-S$3,0),1,IF(Prices!C523&gt;OFFSET(Prices!C523,-S$3,0),-1,0))</f>
        <v>1</v>
      </c>
      <c r="T524" s="1">
        <f ca="1">IF(S524=1,T$3*Q523/Prices!C523,T$3*R523*S524)</f>
        <v>1.8926821482318079E-4</v>
      </c>
    </row>
    <row r="525" spans="1:20" x14ac:dyDescent="0.2">
      <c r="A525" s="4">
        <v>34241</v>
      </c>
      <c r="B525" s="9">
        <f ca="1">Prices!C524*(1+J525/(50*(ABS(O525)+ABS(T525)+0.0001)))</f>
        <v>103.84881850286536</v>
      </c>
      <c r="C525" s="13">
        <f t="shared" ca="1" si="48"/>
        <v>-1</v>
      </c>
      <c r="D525" s="9">
        <f ca="1">D524+C525*(Prices!C525-Prices!C524)/Prices!C524</f>
        <v>0.31439472196322488</v>
      </c>
      <c r="E525" s="9">
        <f t="shared" ca="1" si="49"/>
        <v>1.9042178425210388E-4</v>
      </c>
      <c r="F525" s="9">
        <f t="shared" ca="1" si="50"/>
        <v>0.31458514374747698</v>
      </c>
      <c r="G525" s="13">
        <f ca="1">IF((Prices!C525-Prices!C524)*C525&gt;0,1,0)</f>
        <v>0</v>
      </c>
      <c r="H525" s="9">
        <f>ABS(Prices!C525-Prices!C524)/Prices!C524</f>
        <v>1.9042178425208057E-4</v>
      </c>
      <c r="I525" s="13"/>
      <c r="J525" s="1">
        <f t="shared" ca="1" si="51"/>
        <v>-6.1046927362634878E-4</v>
      </c>
      <c r="K525" s="9"/>
      <c r="L525" s="9">
        <f ca="1">L524-O525*Prices!C525</f>
        <v>1.3329729166671782</v>
      </c>
      <c r="M525" s="1">
        <f t="shared" ca="1" si="52"/>
        <v>7.1825445939279892E-3</v>
      </c>
      <c r="N525" s="9">
        <f ca="1">IF(Prices!D524&gt;OFFSET(Prices!D524,-$N$3,0),1,IF(Prices!D524&lt;OFFSET(Prices!D524,-$N$3,0),-1,0))</f>
        <v>-1</v>
      </c>
      <c r="O525" s="1">
        <f ca="1">IF(N525=1,O$3*L524/Prices!C524,O$3*M524*N525)</f>
        <v>-7.9806051043644329E-4</v>
      </c>
      <c r="P525" s="14"/>
      <c r="Q525" s="9">
        <f ca="1">Q524-T525*Prices!C525</f>
        <v>0.96542892068131081</v>
      </c>
      <c r="R525" s="1">
        <f t="shared" ca="1" si="53"/>
        <v>1.0533780026409711E-2</v>
      </c>
      <c r="S525" s="9">
        <f ca="1">IF(Prices!C524&lt;OFFSET(Prices!C524,-S$3,0),1,IF(Prices!C524&gt;OFFSET(Prices!C524,-S$3,0),-1,0))</f>
        <v>1</v>
      </c>
      <c r="T525" s="1">
        <f ca="1">IF(S525=1,T$3*Q524/Prices!C524,T$3*R524*S525)</f>
        <v>1.8759123681009448E-4</v>
      </c>
    </row>
    <row r="526" spans="1:20" x14ac:dyDescent="0.2">
      <c r="A526" s="4">
        <v>34242</v>
      </c>
      <c r="B526" s="9">
        <f ca="1">Prices!C525*(1+J526/(50*(ABS(O526)+ABS(T526)+0.0001)))</f>
        <v>107.01568709909321</v>
      </c>
      <c r="C526" s="13">
        <f t="shared" ca="1" si="48"/>
        <v>1</v>
      </c>
      <c r="D526" s="9">
        <f ca="1">D525+C526*(Prices!C526-Prices!C525)/Prices!C525</f>
        <v>0.32629381763195403</v>
      </c>
      <c r="E526" s="9">
        <f t="shared" ca="1" si="49"/>
        <v>0</v>
      </c>
      <c r="F526" s="9">
        <f t="shared" ca="1" si="50"/>
        <v>0.32629381763195403</v>
      </c>
      <c r="G526" s="13">
        <f ca="1">IF((Prices!C526-Prices!C525)*C526&gt;0,1,0)</f>
        <v>1</v>
      </c>
      <c r="H526" s="9">
        <f>ABS(Prices!C526-Prices!C525)/Prices!C525</f>
        <v>1.1899095668729176E-2</v>
      </c>
      <c r="I526" s="13"/>
      <c r="J526" s="1">
        <f t="shared" ca="1" si="51"/>
        <v>1.4526974781565354E-3</v>
      </c>
      <c r="K526" s="9"/>
      <c r="L526" s="9">
        <f ca="1">L525-O526*Prices!C526</f>
        <v>1.1980895077745357</v>
      </c>
      <c r="M526" s="1">
        <f t="shared" ca="1" si="52"/>
        <v>8.4514383746678058E-3</v>
      </c>
      <c r="N526" s="9">
        <f ca="1">IF(Prices!D525&gt;OFFSET(Prices!D525,-$N$3,0),1,IF(Prices!D525&lt;OFFSET(Prices!D525,-$N$3,0),-1,0))</f>
        <v>1</v>
      </c>
      <c r="O526" s="1">
        <f ca="1">IF(N526=1,O$3*L525/Prices!C525,O$3*M525*N526)</f>
        <v>1.2688937807398175E-3</v>
      </c>
      <c r="P526" s="14"/>
      <c r="Q526" s="9">
        <f ca="1">Q525-T526*Prices!C526</f>
        <v>0.94589058764591372</v>
      </c>
      <c r="R526" s="1">
        <f t="shared" ca="1" si="53"/>
        <v>1.0717583723826429E-2</v>
      </c>
      <c r="S526" s="9">
        <f ca="1">IF(Prices!C525&lt;OFFSET(Prices!C525,-S$3,0),1,IF(Prices!C525&gt;OFFSET(Prices!C525,-S$3,0),-1,0))</f>
        <v>1</v>
      </c>
      <c r="T526" s="1">
        <f ca="1">IF(S526=1,T$3*Q525/Prices!C525,T$3*R525*S526)</f>
        <v>1.8380369741671792E-4</v>
      </c>
    </row>
    <row r="527" spans="1:20" x14ac:dyDescent="0.2">
      <c r="A527" s="4">
        <v>34243</v>
      </c>
      <c r="B527" s="9">
        <f ca="1">Prices!C526*(1+J527/(50*(ABS(O527)+ABS(T527)+0.0001)))</f>
        <v>107.64620530290129</v>
      </c>
      <c r="C527" s="13">
        <f t="shared" ca="1" si="48"/>
        <v>1</v>
      </c>
      <c r="D527" s="9">
        <f ca="1">D526+C527*(Prices!C527-Prices!C526)/Prices!C526</f>
        <v>0.32253088254258439</v>
      </c>
      <c r="E527" s="9">
        <f t="shared" ca="1" si="49"/>
        <v>3.7629350893696456E-3</v>
      </c>
      <c r="F527" s="9">
        <f t="shared" ca="1" si="50"/>
        <v>0.32629381763195403</v>
      </c>
      <c r="G527" s="13">
        <f ca="1">IF((Prices!C527-Prices!C526)*C527&gt;0,1,0)</f>
        <v>0</v>
      </c>
      <c r="H527" s="9">
        <f>ABS(Prices!C527-Prices!C526)/Prices!C526</f>
        <v>3.7629350893696283E-3</v>
      </c>
      <c r="I527" s="13"/>
      <c r="J527" s="1">
        <f t="shared" ca="1" si="51"/>
        <v>9.1273158777609219E-4</v>
      </c>
      <c r="K527" s="9"/>
      <c r="L527" s="9">
        <f ca="1">L526-O527*Prices!C527</f>
        <v>1.0787313903019831</v>
      </c>
      <c r="M527" s="1">
        <f t="shared" ca="1" si="52"/>
        <v>9.5785216369204257E-3</v>
      </c>
      <c r="N527" s="9">
        <f ca="1">IF(Prices!D526&gt;OFFSET(Prices!D526,-$N$3,0),1,IF(Prices!D526&lt;OFFSET(Prices!D526,-$N$3,0),-1,0))</f>
        <v>1</v>
      </c>
      <c r="O527" s="1">
        <f ca="1">IF(N527=1,O$3*L526/Prices!C526,O$3*M526*N527)</f>
        <v>1.1270832622526207E-3</v>
      </c>
      <c r="P527" s="14"/>
      <c r="Q527" s="9">
        <f ca="1">Q526-T527*Prices!C527</f>
        <v>0.96859042997297806</v>
      </c>
      <c r="R527" s="1">
        <f t="shared" ca="1" si="53"/>
        <v>1.05032320493499E-2</v>
      </c>
      <c r="S527" s="9">
        <f ca="1">IF(Prices!C526&lt;OFFSET(Prices!C526,-S$3,0),1,IF(Prices!C526&gt;OFFSET(Prices!C526,-S$3,0),-1,0))</f>
        <v>-1</v>
      </c>
      <c r="T527" s="1">
        <f ca="1">IF(S527=1,T$3*Q526/Prices!C526,T$3*R526*S527)</f>
        <v>-2.1435167447652858E-4</v>
      </c>
    </row>
    <row r="528" spans="1:20" x14ac:dyDescent="0.2">
      <c r="A528" s="4">
        <v>34246</v>
      </c>
      <c r="B528" s="9">
        <f ca="1">Prices!C527*(1+J528/(50*(ABS(O528)+ABS(T528)+0.0001)))</f>
        <v>104.57720480320236</v>
      </c>
      <c r="C528" s="13">
        <f t="shared" ca="1" si="48"/>
        <v>-1</v>
      </c>
      <c r="D528" s="9">
        <f ca="1">D527+C528*(Prices!C528-Prices!C527)/Prices!C527</f>
        <v>0.32489160020075247</v>
      </c>
      <c r="E528" s="9">
        <f t="shared" ca="1" si="49"/>
        <v>1.4022174312015578E-3</v>
      </c>
      <c r="F528" s="9">
        <f t="shared" ca="1" si="50"/>
        <v>0.32629381763195403</v>
      </c>
      <c r="G528" s="13">
        <f ca="1">IF((Prices!C528-Prices!C527)*C528&gt;0,1,0)</f>
        <v>1</v>
      </c>
      <c r="H528" s="9">
        <f>ABS(Prices!C528-Prices!C527)/Prices!C527</f>
        <v>2.360717658168083E-3</v>
      </c>
      <c r="I528" s="13"/>
      <c r="J528" s="1">
        <f t="shared" ca="1" si="51"/>
        <v>-7.7492668116645657E-4</v>
      </c>
      <c r="K528" s="9"/>
      <c r="L528" s="9">
        <f ca="1">L527-O528*Prices!C528</f>
        <v>1.1799284713960474</v>
      </c>
      <c r="M528" s="1">
        <f t="shared" ca="1" si="52"/>
        <v>8.6206694732283828E-3</v>
      </c>
      <c r="N528" s="9">
        <f ca="1">IF(Prices!D527&gt;OFFSET(Prices!D527,-$N$3,0),1,IF(Prices!D527&lt;OFFSET(Prices!D527,-$N$3,0),-1,0))</f>
        <v>-1</v>
      </c>
      <c r="O528" s="1">
        <f ca="1">IF(N528=1,O$3*L527/Prices!C527,O$3*M527*N528)</f>
        <v>-9.5785216369204259E-4</v>
      </c>
      <c r="P528" s="14"/>
      <c r="Q528" s="9">
        <f ca="1">Q527-T528*Prices!C528</f>
        <v>0.94926435274414989</v>
      </c>
      <c r="R528" s="1">
        <f t="shared" ca="1" si="53"/>
        <v>1.0686157531875486E-2</v>
      </c>
      <c r="S528" s="9">
        <f ca="1">IF(Prices!C527&lt;OFFSET(Prices!C527,-S$3,0),1,IF(Prices!C527&gt;OFFSET(Prices!C527,-S$3,0),-1,0))</f>
        <v>1</v>
      </c>
      <c r="T528" s="1">
        <f ca="1">IF(S528=1,T$3*Q527/Prices!C527,T$3*R527*S528)</f>
        <v>1.8292548252558604E-4</v>
      </c>
    </row>
    <row r="529" spans="1:20" x14ac:dyDescent="0.2">
      <c r="A529" s="4">
        <v>34247</v>
      </c>
      <c r="B529" s="9">
        <f ca="1">Prices!C528*(1+J529/(50*(ABS(O529)+ABS(T529)+0.0001)))</f>
        <v>103.71670894666195</v>
      </c>
      <c r="C529" s="13">
        <f t="shared" ca="1" si="48"/>
        <v>-1</v>
      </c>
      <c r="D529" s="9">
        <f ca="1">D528+C529*(Prices!C529-Prices!C528)/Prices!C528</f>
        <v>0.32347181790070523</v>
      </c>
      <c r="E529" s="9">
        <f t="shared" ca="1" si="49"/>
        <v>2.8219997312488032E-3</v>
      </c>
      <c r="F529" s="9">
        <f t="shared" ca="1" si="50"/>
        <v>0.32629381763195403</v>
      </c>
      <c r="G529" s="13">
        <f ca="1">IF((Prices!C529-Prices!C528)*C529&gt;0,1,0)</f>
        <v>0</v>
      </c>
      <c r="H529" s="9">
        <f>ABS(Prices!C529-Prices!C528)/Prices!C528</f>
        <v>1.4197823000472454E-3</v>
      </c>
      <c r="I529" s="13"/>
      <c r="J529" s="1">
        <f t="shared" ca="1" si="51"/>
        <v>-1.075790097960348E-3</v>
      </c>
      <c r="K529" s="9"/>
      <c r="L529" s="9">
        <f ca="1">L528-O529*Prices!C529</f>
        <v>1.2711351544228038</v>
      </c>
      <c r="M529" s="1">
        <f t="shared" ca="1" si="52"/>
        <v>7.7586025259055447E-3</v>
      </c>
      <c r="N529" s="9">
        <f ca="1">IF(Prices!D528&gt;OFFSET(Prices!D528,-$N$3,0),1,IF(Prices!D528&lt;OFFSET(Prices!D528,-$N$3,0),-1,0))</f>
        <v>-1</v>
      </c>
      <c r="O529" s="1">
        <f ca="1">IF(N529=1,O$3*L528/Prices!C528,O$3*M528*N529)</f>
        <v>-8.6206694732283832E-4</v>
      </c>
      <c r="P529" s="14"/>
      <c r="Q529" s="9">
        <f ca="1">Q528-T529*Prices!C529</f>
        <v>0.97187626208159839</v>
      </c>
      <c r="R529" s="1">
        <f t="shared" ca="1" si="53"/>
        <v>1.0472434381237976E-2</v>
      </c>
      <c r="S529" s="9">
        <f ca="1">IF(Prices!C528&lt;OFFSET(Prices!C528,-S$3,0),1,IF(Prices!C528&gt;OFFSET(Prices!C528,-S$3,0),-1,0))</f>
        <v>-1</v>
      </c>
      <c r="T529" s="1">
        <f ca="1">IF(S529=1,T$3*Q528/Prices!C528,T$3*R528*S529)</f>
        <v>-2.1372315063750974E-4</v>
      </c>
    </row>
    <row r="530" spans="1:20" x14ac:dyDescent="0.2">
      <c r="A530" s="4">
        <v>34248</v>
      </c>
      <c r="B530" s="9">
        <f ca="1">Prices!C529*(1+J530/(50*(ABS(O530)+ABS(T530)+0.0001)))</f>
        <v>107.1892893801764</v>
      </c>
      <c r="C530" s="13">
        <f t="shared" ref="C530:C593" ca="1" si="54">IF(J530&gt;0,1,IF(J530&lt;0,-1,0))</f>
        <v>1</v>
      </c>
      <c r="D530" s="9">
        <f ca="1">D529+C530*(Prices!C530-Prices!C529)/Prices!C529</f>
        <v>0.32214856648293583</v>
      </c>
      <c r="E530" s="9">
        <f t="shared" ref="E530:E593" ca="1" si="55">F530-D530</f>
        <v>4.1452511490182031E-3</v>
      </c>
      <c r="F530" s="9">
        <f t="shared" ref="F530:F593" ca="1" si="56">MAX(F529,D530)</f>
        <v>0.32629381763195403</v>
      </c>
      <c r="G530" s="13">
        <f ca="1">IF((Prices!C530-Prices!C529)*C530&gt;0,1,0)</f>
        <v>0</v>
      </c>
      <c r="H530" s="9">
        <f>ABS(Prices!C530-Prices!C529)/Prices!C529</f>
        <v>1.3232514177693815E-3</v>
      </c>
      <c r="I530" s="13"/>
      <c r="J530" s="1">
        <f t="shared" ref="J530:J593" ca="1" si="57">O530+T530</f>
        <v>9.9200230899414783E-4</v>
      </c>
      <c r="K530" s="9"/>
      <c r="L530" s="9">
        <f ca="1">L529-O530*Prices!C530</f>
        <v>1.14418984212005</v>
      </c>
      <c r="M530" s="1">
        <f t="shared" ref="M530:M593" ca="1" si="58">M529+O530</f>
        <v>8.9600535225244516E-3</v>
      </c>
      <c r="N530" s="9">
        <f ca="1">IF(Prices!D529&gt;OFFSET(Prices!D529,-$N$3,0),1,IF(Prices!D529&lt;OFFSET(Prices!D529,-$N$3,0),-1,0))</f>
        <v>1</v>
      </c>
      <c r="O530" s="1">
        <f ca="1">IF(N530=1,O$3*L529/Prices!C529,O$3*M529*N530)</f>
        <v>1.2014509966189074E-3</v>
      </c>
      <c r="P530" s="14"/>
      <c r="Q530" s="9">
        <f ca="1">Q529-T530*Prices!C530</f>
        <v>0.99400661041603044</v>
      </c>
      <c r="R530" s="1">
        <f t="shared" ref="R530:R593" ca="1" si="59">R529+T530</f>
        <v>1.0262985693613216E-2</v>
      </c>
      <c r="S530" s="9">
        <f ca="1">IF(Prices!C529&lt;OFFSET(Prices!C529,-S$3,0),1,IF(Prices!C529&gt;OFFSET(Prices!C529,-S$3,0),-1,0))</f>
        <v>-1</v>
      </c>
      <c r="T530" s="1">
        <f ca="1">IF(S530=1,T$3*Q529/Prices!C529,T$3*R529*S530)</f>
        <v>-2.0944868762475953E-4</v>
      </c>
    </row>
    <row r="531" spans="1:20" x14ac:dyDescent="0.2">
      <c r="A531" s="4">
        <v>34249</v>
      </c>
      <c r="B531" s="9">
        <f ca="1">Prices!C530*(1+J531/(50*(ABS(O531)+ABS(T531)+0.0001)))</f>
        <v>107.61906992540553</v>
      </c>
      <c r="C531" s="13">
        <f t="shared" ca="1" si="54"/>
        <v>1</v>
      </c>
      <c r="D531" s="9">
        <f ca="1">D530+C531*(Prices!C531-Prices!C530)/Prices!C530</f>
        <v>0.31590211560275416</v>
      </c>
      <c r="E531" s="9">
        <f t="shared" ca="1" si="55"/>
        <v>1.0391702029199867E-2</v>
      </c>
      <c r="F531" s="9">
        <f t="shared" ca="1" si="56"/>
        <v>0.32629381763195403</v>
      </c>
      <c r="G531" s="13">
        <f ca="1">IF((Prices!C531-Prices!C530)*C531&gt;0,1,0)</f>
        <v>0</v>
      </c>
      <c r="H531" s="9">
        <f>ABS(Prices!C531-Prices!C530)/Prices!C530</f>
        <v>6.2464508801816825E-3</v>
      </c>
      <c r="I531" s="13"/>
      <c r="J531" s="1">
        <f t="shared" ca="1" si="57"/>
        <v>1.2710497484414692E-3</v>
      </c>
      <c r="K531" s="9"/>
      <c r="L531" s="9">
        <f ca="1">L530-O531*Prices!C531</f>
        <v>1.0304855704726856</v>
      </c>
      <c r="M531" s="1">
        <f t="shared" ca="1" si="58"/>
        <v>1.0042951347737446E-2</v>
      </c>
      <c r="N531" s="9">
        <f ca="1">IF(Prices!D530&gt;OFFSET(Prices!D530,-$N$3,0),1,IF(Prices!D530&lt;OFFSET(Prices!D530,-$N$3,0),-1,0))</f>
        <v>1</v>
      </c>
      <c r="O531" s="1">
        <f ca="1">IF(N531=1,O$3*L530/Prices!C530,O$3*M530*N531)</f>
        <v>1.0828978252129947E-3</v>
      </c>
      <c r="P531" s="14"/>
      <c r="Q531" s="9">
        <f ca="1">Q530-T531*Prices!C531</f>
        <v>0.97425065847704062</v>
      </c>
      <c r="R531" s="1">
        <f t="shared" ca="1" si="59"/>
        <v>1.045113761684169E-2</v>
      </c>
      <c r="S531" s="9">
        <f ca="1">IF(Prices!C530&lt;OFFSET(Prices!C530,-S$3,0),1,IF(Prices!C530&gt;OFFSET(Prices!C530,-S$3,0),-1,0))</f>
        <v>1</v>
      </c>
      <c r="T531" s="1">
        <f ca="1">IF(S531=1,T$3*Q530/Prices!C530,T$3*R530*S531)</f>
        <v>1.8815192322847445E-4</v>
      </c>
    </row>
    <row r="532" spans="1:20" x14ac:dyDescent="0.2">
      <c r="A532" s="4">
        <v>34250</v>
      </c>
      <c r="B532" s="9">
        <f ca="1">Prices!C531*(1+J532/(50*(ABS(O532)+ABS(T532)+0.0001)))</f>
        <v>103.66705642171874</v>
      </c>
      <c r="C532" s="13">
        <f t="shared" ca="1" si="54"/>
        <v>-1</v>
      </c>
      <c r="D532" s="9">
        <f ca="1">D531+C532*(Prices!C532-Prices!C531)/Prices!C531</f>
        <v>0.30494973465037317</v>
      </c>
      <c r="E532" s="9">
        <f t="shared" ca="1" si="55"/>
        <v>2.1344082981580859E-2</v>
      </c>
      <c r="F532" s="9">
        <f t="shared" ca="1" si="56"/>
        <v>0.32629381763195403</v>
      </c>
      <c r="G532" s="13">
        <f ca="1">IF((Prices!C532-Prices!C531)*C532&gt;0,1,0)</f>
        <v>0</v>
      </c>
      <c r="H532" s="9">
        <f>ABS(Prices!C532-Prices!C531)/Prices!C531</f>
        <v>1.0952380952381007E-2</v>
      </c>
      <c r="I532" s="13"/>
      <c r="J532" s="1">
        <f t="shared" ca="1" si="57"/>
        <v>-8.1872358077811781E-4</v>
      </c>
      <c r="K532" s="9"/>
      <c r="L532" s="9">
        <f ca="1">L531-O532*Prices!C532</f>
        <v>1.1370914990289187</v>
      </c>
      <c r="M532" s="1">
        <f t="shared" ca="1" si="58"/>
        <v>9.0386562129637013E-3</v>
      </c>
      <c r="N532" s="9">
        <f ca="1">IF(Prices!D531&gt;OFFSET(Prices!D531,-$N$3,0),1,IF(Prices!D531&lt;OFFSET(Prices!D531,-$N$3,0),-1,0))</f>
        <v>-1</v>
      </c>
      <c r="O532" s="1">
        <f ca="1">IF(N532=1,O$3*L531/Prices!C531,O$3*M531*N532)</f>
        <v>-1.0042951347737446E-3</v>
      </c>
      <c r="P532" s="14"/>
      <c r="Q532" s="9">
        <f ca="1">Q531-T532*Prices!C532</f>
        <v>0.95455223802040479</v>
      </c>
      <c r="R532" s="1">
        <f t="shared" ca="1" si="59"/>
        <v>1.0636709170837316E-2</v>
      </c>
      <c r="S532" s="9">
        <f ca="1">IF(Prices!C531&lt;OFFSET(Prices!C531,-S$3,0),1,IF(Prices!C531&gt;OFFSET(Prices!C531,-S$3,0),-1,0))</f>
        <v>1</v>
      </c>
      <c r="T532" s="1">
        <f ca="1">IF(S532=1,T$3*Q531/Prices!C531,T$3*R531*S532)</f>
        <v>1.8557155399562681E-4</v>
      </c>
    </row>
    <row r="533" spans="1:20" x14ac:dyDescent="0.2">
      <c r="A533" s="4">
        <v>34253</v>
      </c>
      <c r="B533" s="9">
        <f ca="1">Prices!C532*(1+J533/(50*(ABS(O533)+ABS(T533)+0.0001)))</f>
        <v>104.20150274048832</v>
      </c>
      <c r="C533" s="13">
        <f t="shared" ca="1" si="54"/>
        <v>-1</v>
      </c>
      <c r="D533" s="9">
        <f ca="1">D532+C533*(Prices!C533-Prices!C532)/Prices!C532</f>
        <v>0.30447870309125874</v>
      </c>
      <c r="E533" s="9">
        <f t="shared" ca="1" si="55"/>
        <v>2.1815114540695291E-2</v>
      </c>
      <c r="F533" s="9">
        <f t="shared" ca="1" si="56"/>
        <v>0.32629381763195403</v>
      </c>
      <c r="G533" s="13">
        <f ca="1">IF((Prices!C533-Prices!C532)*C533&gt;0,1,0)</f>
        <v>0</v>
      </c>
      <c r="H533" s="9">
        <f>ABS(Prices!C533-Prices!C532)/Prices!C532</f>
        <v>4.7103155911443385E-4</v>
      </c>
      <c r="I533" s="13"/>
      <c r="J533" s="1">
        <f t="shared" ca="1" si="57"/>
        <v>-1.1165998047131165E-3</v>
      </c>
      <c r="K533" s="9"/>
      <c r="L533" s="9">
        <f ca="1">L532-O533*Prices!C533</f>
        <v>1.2330820280105932</v>
      </c>
      <c r="M533" s="1">
        <f t="shared" ca="1" si="58"/>
        <v>8.1347905916673308E-3</v>
      </c>
      <c r="N533" s="9">
        <f ca="1">IF(Prices!D532&gt;OFFSET(Prices!D532,-$N$3,0),1,IF(Prices!D532&lt;OFFSET(Prices!D532,-$N$3,0),-1,0))</f>
        <v>-1</v>
      </c>
      <c r="O533" s="1">
        <f ca="1">IF(N533=1,O$3*L532/Prices!C532,O$3*M532*N533)</f>
        <v>-9.0386562129637015E-4</v>
      </c>
      <c r="P533" s="14"/>
      <c r="Q533" s="9">
        <f ca="1">Q532-T533*Prices!C533</f>
        <v>0.9771446082992632</v>
      </c>
      <c r="R533" s="1">
        <f t="shared" ca="1" si="59"/>
        <v>1.042397498742057E-2</v>
      </c>
      <c r="S533" s="9">
        <f ca="1">IF(Prices!C532&lt;OFFSET(Prices!C532,-S$3,0),1,IF(Prices!C532&gt;OFFSET(Prices!C532,-S$3,0),-1,0))</f>
        <v>-1</v>
      </c>
      <c r="T533" s="1">
        <f ca="1">IF(S533=1,T$3*Q532/Prices!C532,T$3*R532*S533)</f>
        <v>-2.1273418341674632E-4</v>
      </c>
    </row>
    <row r="534" spans="1:20" x14ac:dyDescent="0.2">
      <c r="A534" s="4">
        <v>34254</v>
      </c>
      <c r="B534" s="9">
        <f ca="1">Prices!C533*(1+J534/(50*(ABS(O534)+ABS(T534)+0.0001)))</f>
        <v>104.26531180506825</v>
      </c>
      <c r="C534" s="13">
        <f t="shared" ca="1" si="54"/>
        <v>-1</v>
      </c>
      <c r="D534" s="9">
        <f ca="1">D533+C534*(Prices!C534-Prices!C533)/Prices!C533</f>
        <v>0.30589113246978988</v>
      </c>
      <c r="E534" s="9">
        <f t="shared" ca="1" si="55"/>
        <v>2.0402685162164147E-2</v>
      </c>
      <c r="F534" s="9">
        <f t="shared" ca="1" si="56"/>
        <v>0.32629381763195403</v>
      </c>
      <c r="G534" s="13">
        <f ca="1">IF((Prices!C534-Prices!C533)*C534&gt;0,1,0)</f>
        <v>1</v>
      </c>
      <c r="H534" s="9">
        <f>ABS(Prices!C534-Prices!C533)/Prices!C533</f>
        <v>1.412429378531127E-3</v>
      </c>
      <c r="I534" s="13"/>
      <c r="J534" s="1">
        <f t="shared" ca="1" si="57"/>
        <v>-1.0219585589151445E-3</v>
      </c>
      <c r="K534" s="9"/>
      <c r="L534" s="9">
        <f ca="1">L533-O534*Prices!C534</f>
        <v>1.3193514822352252</v>
      </c>
      <c r="M534" s="1">
        <f t="shared" ca="1" si="58"/>
        <v>7.3213115325005979E-3</v>
      </c>
      <c r="N534" s="9">
        <f ca="1">IF(Prices!D533&gt;OFFSET(Prices!D533,-$N$3,0),1,IF(Prices!D533&lt;OFFSET(Prices!D533,-$N$3,0),-1,0))</f>
        <v>-1</v>
      </c>
      <c r="O534" s="1">
        <f ca="1">IF(N534=1,O$3*L533/Prices!C533,O$3*M533*N534)</f>
        <v>-8.1347905916673313E-4</v>
      </c>
      <c r="P534" s="14"/>
      <c r="Q534" s="9">
        <f ca="1">Q533-T534*Prices!C534</f>
        <v>0.99925385924758225</v>
      </c>
      <c r="R534" s="1">
        <f t="shared" ca="1" si="59"/>
        <v>1.0215495487672158E-2</v>
      </c>
      <c r="S534" s="9">
        <f ca="1">IF(Prices!C533&lt;OFFSET(Prices!C533,-S$3,0),1,IF(Prices!C533&gt;OFFSET(Prices!C533,-S$3,0),-1,0))</f>
        <v>-1</v>
      </c>
      <c r="T534" s="1">
        <f ca="1">IF(S534=1,T$3*Q533/Prices!C533,T$3*R533*S534)</f>
        <v>-2.084794997484114E-4</v>
      </c>
    </row>
    <row r="535" spans="1:20" x14ac:dyDescent="0.2">
      <c r="A535" s="4">
        <v>34255</v>
      </c>
      <c r="B535" s="9">
        <f ca="1">Prices!C534*(1+J535/(50*(ABS(O535)+ABS(T535)+0.0001)))</f>
        <v>107.47428944886791</v>
      </c>
      <c r="C535" s="13">
        <f t="shared" ca="1" si="54"/>
        <v>1</v>
      </c>
      <c r="D535" s="9">
        <f ca="1">D534+C535*(Prices!C535-Prices!C534)/Prices!C534</f>
        <v>0.304948181031789</v>
      </c>
      <c r="E535" s="9">
        <f t="shared" ca="1" si="55"/>
        <v>2.134563660016503E-2</v>
      </c>
      <c r="F535" s="9">
        <f t="shared" ca="1" si="56"/>
        <v>0.32629381763195403</v>
      </c>
      <c r="G535" s="13">
        <f ca="1">IF((Prices!C535-Prices!C534)*C535&gt;0,1,0)</f>
        <v>0</v>
      </c>
      <c r="H535" s="9">
        <f>ABS(Prices!C535-Prices!C534)/Prices!C534</f>
        <v>9.4295143800088939E-4</v>
      </c>
      <c r="I535" s="13"/>
      <c r="J535" s="1">
        <f t="shared" ca="1" si="57"/>
        <v>1.0397744676489383E-3</v>
      </c>
      <c r="K535" s="9"/>
      <c r="L535" s="9">
        <f ca="1">L534-O535*Prices!C535</f>
        <v>1.1875407424494429</v>
      </c>
      <c r="M535" s="1">
        <f t="shared" ca="1" si="58"/>
        <v>8.5653959099029793E-3</v>
      </c>
      <c r="N535" s="9">
        <f ca="1">IF(Prices!D534&gt;OFFSET(Prices!D534,-$N$3,0),1,IF(Prices!D534&lt;OFFSET(Prices!D534,-$N$3,0),-1,0))</f>
        <v>1</v>
      </c>
      <c r="O535" s="1">
        <f ca="1">IF(N535=1,O$3*L534/Prices!C534,O$3*M534*N535)</f>
        <v>1.2440843774023814E-3</v>
      </c>
      <c r="P535" s="14"/>
      <c r="Q535" s="9">
        <f ca="1">Q534-T535*Prices!C535</f>
        <v>1.0209004941859596</v>
      </c>
      <c r="R535" s="1">
        <f t="shared" ca="1" si="59"/>
        <v>1.0011185577918715E-2</v>
      </c>
      <c r="S535" s="9">
        <f ca="1">IF(Prices!C534&lt;OFFSET(Prices!C534,-S$3,0),1,IF(Prices!C534&gt;OFFSET(Prices!C534,-S$3,0),-1,0))</f>
        <v>-1</v>
      </c>
      <c r="T535" s="1">
        <f ca="1">IF(S535=1,T$3*Q534/Prices!C534,T$3*R534*S535)</f>
        <v>-2.0430990975344316E-4</v>
      </c>
    </row>
    <row r="536" spans="1:20" x14ac:dyDescent="0.2">
      <c r="A536" s="4">
        <v>34256</v>
      </c>
      <c r="B536" s="9">
        <f ca="1">Prices!C535*(1+J536/(50*(ABS(O536)+ABS(T536)+0.0001)))</f>
        <v>107.3227699043894</v>
      </c>
      <c r="C536" s="13">
        <f t="shared" ca="1" si="54"/>
        <v>1</v>
      </c>
      <c r="D536" s="9">
        <f ca="1">D535+C536*(Prices!C536-Prices!C535)/Prices!C535</f>
        <v>0.31721811968209573</v>
      </c>
      <c r="E536" s="9">
        <f t="shared" ca="1" si="55"/>
        <v>9.0756979498582968E-3</v>
      </c>
      <c r="F536" s="9">
        <f t="shared" ca="1" si="56"/>
        <v>0.32629381763195403</v>
      </c>
      <c r="G536" s="13">
        <f ca="1">IF((Prices!C536-Prices!C535)*C536&gt;0,1,0)</f>
        <v>1</v>
      </c>
      <c r="H536" s="9">
        <f>ABS(Prices!C536-Prices!C535)/Prices!C535</f>
        <v>1.2269938650306721E-2</v>
      </c>
      <c r="I536" s="13"/>
      <c r="J536" s="1">
        <f t="shared" ca="1" si="57"/>
        <v>9.2062644648734809E-4</v>
      </c>
      <c r="K536" s="9"/>
      <c r="L536" s="9">
        <f ca="1">L535-O536*Prices!C536</f>
        <v>1.0673295629990391</v>
      </c>
      <c r="M536" s="1">
        <f t="shared" ca="1" si="58"/>
        <v>9.6862460679487013E-3</v>
      </c>
      <c r="N536" s="9">
        <f ca="1">IF(Prices!D535&gt;OFFSET(Prices!D535,-$N$3,0),1,IF(Prices!D535&lt;OFFSET(Prices!D535,-$N$3,0),-1,0))</f>
        <v>1</v>
      </c>
      <c r="O536" s="1">
        <f ca="1">IF(N536=1,O$3*L535/Prices!C535,O$3*M535*N536)</f>
        <v>1.1208501580457224E-3</v>
      </c>
      <c r="P536" s="14"/>
      <c r="Q536" s="9">
        <f ca="1">Q535-T536*Prices!C536</f>
        <v>1.0423744872505953</v>
      </c>
      <c r="R536" s="1">
        <f t="shared" ca="1" si="59"/>
        <v>9.8109618663603411E-3</v>
      </c>
      <c r="S536" s="9">
        <f ca="1">IF(Prices!C535&lt;OFFSET(Prices!C535,-S$3,0),1,IF(Prices!C535&gt;OFFSET(Prices!C535,-S$3,0),-1,0))</f>
        <v>-1</v>
      </c>
      <c r="T536" s="1">
        <f ca="1">IF(S536=1,T$3*Q535/Prices!C535,T$3*R535*S536)</f>
        <v>-2.0022371155837431E-4</v>
      </c>
    </row>
    <row r="537" spans="1:20" x14ac:dyDescent="0.2">
      <c r="A537" s="4">
        <v>34257</v>
      </c>
      <c r="B537" s="9">
        <f ca="1">Prices!C536*(1+J537/(50*(ABS(O537)+ABS(T537)+0.0001)))</f>
        <v>105.27458615167936</v>
      </c>
      <c r="C537" s="13">
        <f t="shared" ca="1" si="54"/>
        <v>-1</v>
      </c>
      <c r="D537" s="9">
        <f ca="1">D536+C537*(Prices!C537-Prices!C536)/Prices!C536</f>
        <v>0.31768432014829617</v>
      </c>
      <c r="E537" s="9">
        <f t="shared" ca="1" si="55"/>
        <v>8.6094974836578575E-3</v>
      </c>
      <c r="F537" s="9">
        <f t="shared" ca="1" si="56"/>
        <v>0.32629381763195403</v>
      </c>
      <c r="G537" s="13">
        <f ca="1">IF((Prices!C537-Prices!C536)*C537&gt;0,1,0)</f>
        <v>1</v>
      </c>
      <c r="H537" s="9">
        <f>ABS(Prices!C537-Prices!C536)/Prices!C536</f>
        <v>4.6620046620043969E-4</v>
      </c>
      <c r="I537" s="13"/>
      <c r="J537" s="1">
        <f t="shared" ca="1" si="57"/>
        <v>-1.164843844122077E-3</v>
      </c>
      <c r="K537" s="9"/>
      <c r="L537" s="9">
        <f ca="1">L536-O537*Prices!C537</f>
        <v>1.1711661208474493</v>
      </c>
      <c r="M537" s="1">
        <f t="shared" ca="1" si="58"/>
        <v>8.7176214611538305E-3</v>
      </c>
      <c r="N537" s="9">
        <f ca="1">IF(Prices!D536&gt;OFFSET(Prices!D536,-$N$3,0),1,IF(Prices!D536&lt;OFFSET(Prices!D536,-$N$3,0),-1,0))</f>
        <v>-1</v>
      </c>
      <c r="O537" s="1">
        <f ca="1">IF(N537=1,O$3*L536/Prices!C536,O$3*M536*N537)</f>
        <v>-9.6862460679487017E-4</v>
      </c>
      <c r="P537" s="14"/>
      <c r="Q537" s="9">
        <f ca="1">Q536-T537*Prices!C537</f>
        <v>1.0634091894920719</v>
      </c>
      <c r="R537" s="1">
        <f t="shared" ca="1" si="59"/>
        <v>9.6147426290331336E-3</v>
      </c>
      <c r="S537" s="9">
        <f ca="1">IF(Prices!C536&lt;OFFSET(Prices!C536,-S$3,0),1,IF(Prices!C536&gt;OFFSET(Prices!C536,-S$3,0),-1,0))</f>
        <v>-1</v>
      </c>
      <c r="T537" s="1">
        <f ca="1">IF(S537=1,T$3*Q536/Prices!C536,T$3*R536*S537)</f>
        <v>-1.9621923732720682E-4</v>
      </c>
    </row>
    <row r="538" spans="1:20" x14ac:dyDescent="0.2">
      <c r="A538" s="4">
        <v>34260</v>
      </c>
      <c r="B538" s="9">
        <f ca="1">Prices!C537*(1+J538/(50*(ABS(O538)+ABS(T538)+0.0001)))</f>
        <v>105.24018342077765</v>
      </c>
      <c r="C538" s="13">
        <f t="shared" ca="1" si="54"/>
        <v>-1</v>
      </c>
      <c r="D538" s="9">
        <f ca="1">D537+C538*(Prices!C538-Prices!C537)/Prices!C537</f>
        <v>0.31488581268560961</v>
      </c>
      <c r="E538" s="9">
        <f t="shared" ca="1" si="55"/>
        <v>1.1408004946344419E-2</v>
      </c>
      <c r="F538" s="9">
        <f t="shared" ca="1" si="56"/>
        <v>0.32629381763195403</v>
      </c>
      <c r="G538" s="13">
        <f ca="1">IF((Prices!C538-Prices!C537)*C538&gt;0,1,0)</f>
        <v>0</v>
      </c>
      <c r="H538" s="9">
        <f>ABS(Prices!C538-Prices!C537)/Prices!C537</f>
        <v>2.7985074626865405E-3</v>
      </c>
      <c r="I538" s="13"/>
      <c r="J538" s="1">
        <f t="shared" ca="1" si="57"/>
        <v>-1.0640569986960459E-3</v>
      </c>
      <c r="K538" s="9"/>
      <c r="L538" s="9">
        <f ca="1">L537-O538*Prices!C538</f>
        <v>1.2648805515548529</v>
      </c>
      <c r="M538" s="1">
        <f t="shared" ca="1" si="58"/>
        <v>7.8458593150384469E-3</v>
      </c>
      <c r="N538" s="9">
        <f ca="1">IF(Prices!D537&gt;OFFSET(Prices!D537,-$N$3,0),1,IF(Prices!D537&lt;OFFSET(Prices!D537,-$N$3,0),-1,0))</f>
        <v>-1</v>
      </c>
      <c r="O538" s="1">
        <f ca="1">IF(N538=1,O$3*L537/Prices!C537,O$3*M537*N538)</f>
        <v>-8.7176214611538313E-4</v>
      </c>
      <c r="P538" s="14"/>
      <c r="Q538" s="9">
        <f ca="1">Q537-T538*Prices!C538</f>
        <v>1.084080886144493</v>
      </c>
      <c r="R538" s="1">
        <f t="shared" ca="1" si="59"/>
        <v>9.4224477764524705E-3</v>
      </c>
      <c r="S538" s="9">
        <f ca="1">IF(Prices!C537&lt;OFFSET(Prices!C537,-S$3,0),1,IF(Prices!C537&gt;OFFSET(Prices!C537,-S$3,0),-1,0))</f>
        <v>-1</v>
      </c>
      <c r="T538" s="1">
        <f ca="1">IF(S538=1,T$3*Q537/Prices!C537,T$3*R537*S538)</f>
        <v>-1.9229485258066267E-4</v>
      </c>
    </row>
    <row r="539" spans="1:20" x14ac:dyDescent="0.2">
      <c r="A539" s="4">
        <v>34261</v>
      </c>
      <c r="B539" s="9">
        <f ca="1">Prices!C538*(1+J539/(50*(ABS(O539)+ABS(T539)+0.0001)))</f>
        <v>108.95015487866273</v>
      </c>
      <c r="C539" s="13">
        <f t="shared" ca="1" si="54"/>
        <v>1</v>
      </c>
      <c r="D539" s="9">
        <f ca="1">D538+C539*(Prices!C539-Prices!C538)/Prices!C538</f>
        <v>0.31116488245305141</v>
      </c>
      <c r="E539" s="9">
        <f t="shared" ca="1" si="55"/>
        <v>1.5128935178902625E-2</v>
      </c>
      <c r="F539" s="9">
        <f t="shared" ca="1" si="56"/>
        <v>0.32629381763195403</v>
      </c>
      <c r="G539" s="13">
        <f ca="1">IF((Prices!C539-Prices!C538)*C539&gt;0,1,0)</f>
        <v>0</v>
      </c>
      <c r="H539" s="9">
        <f>ABS(Prices!C539-Prices!C538)/Prices!C538</f>
        <v>3.7209302325581922E-3</v>
      </c>
      <c r="I539" s="13"/>
      <c r="J539" s="1">
        <f t="shared" ca="1" si="57"/>
        <v>9.8818411568476735E-4</v>
      </c>
      <c r="K539" s="9"/>
      <c r="L539" s="9">
        <f ca="1">L538-O539*Prices!C539</f>
        <v>1.1388631496278532</v>
      </c>
      <c r="M539" s="1">
        <f t="shared" ca="1" si="58"/>
        <v>9.0224923862522628E-3</v>
      </c>
      <c r="N539" s="9">
        <f ca="1">IF(Prices!D538&gt;OFFSET(Prices!D538,-$N$3,0),1,IF(Prices!D538&lt;OFFSET(Prices!D538,-$N$3,0),-1,0))</f>
        <v>1</v>
      </c>
      <c r="O539" s="1">
        <f ca="1">IF(N539=1,O$3*L538/Prices!C538,O$3*M538*N539)</f>
        <v>1.1766330712138168E-3</v>
      </c>
      <c r="P539" s="14"/>
      <c r="Q539" s="9">
        <f ca="1">Q538-T539*Prices!C539</f>
        <v>1.1042637692816542</v>
      </c>
      <c r="R539" s="1">
        <f t="shared" ca="1" si="59"/>
        <v>9.2339988209234215E-3</v>
      </c>
      <c r="S539" s="9">
        <f ca="1">IF(Prices!C538&lt;OFFSET(Prices!C538,-S$3,0),1,IF(Prices!C538&gt;OFFSET(Prices!C538,-S$3,0),-1,0))</f>
        <v>-1</v>
      </c>
      <c r="T539" s="1">
        <f ca="1">IF(S539=1,T$3*Q538/Prices!C538,T$3*R538*S539)</f>
        <v>-1.8844895552904941E-4</v>
      </c>
    </row>
    <row r="540" spans="1:20" x14ac:dyDescent="0.2">
      <c r="A540" s="4">
        <v>34262</v>
      </c>
      <c r="B540" s="9">
        <f ca="1">Prices!C539*(1+J540/(50*(ABS(O540)+ABS(T540)+0.0001)))</f>
        <v>108.49620177402389</v>
      </c>
      <c r="C540" s="13">
        <f t="shared" ca="1" si="54"/>
        <v>1</v>
      </c>
      <c r="D540" s="9">
        <f ca="1">D539+C540*(Prices!C540-Prices!C539)/Prices!C539</f>
        <v>0.31387263221962475</v>
      </c>
      <c r="E540" s="9">
        <f t="shared" ca="1" si="55"/>
        <v>1.2421185412329283E-2</v>
      </c>
      <c r="F540" s="9">
        <f t="shared" ca="1" si="56"/>
        <v>0.32629381763195403</v>
      </c>
      <c r="G540" s="13">
        <f ca="1">IF((Prices!C540-Prices!C539)*C540&gt;0,1,0)</f>
        <v>1</v>
      </c>
      <c r="H540" s="9">
        <f>ABS(Prices!C540-Prices!C539)/Prices!C539</f>
        <v>2.7077497665733545E-3</v>
      </c>
      <c r="I540" s="13"/>
      <c r="J540" s="1">
        <f t="shared" ca="1" si="57"/>
        <v>8.7868430894834143E-4</v>
      </c>
      <c r="K540" s="9"/>
      <c r="L540" s="9">
        <f ca="1">L539-O540*Prices!C540</f>
        <v>1.0246684590223114</v>
      </c>
      <c r="M540" s="1">
        <f t="shared" ca="1" si="58"/>
        <v>1.0085856671619074E-2</v>
      </c>
      <c r="N540" s="9">
        <f ca="1">IF(Prices!D539&gt;OFFSET(Prices!D539,-$N$3,0),1,IF(Prices!D539&lt;OFFSET(Prices!D539,-$N$3,0),-1,0))</f>
        <v>1</v>
      </c>
      <c r="O540" s="1">
        <f ca="1">IF(N540=1,O$3*L539/Prices!C539,O$3*M539*N540)</f>
        <v>1.0633642853668098E-3</v>
      </c>
      <c r="P540" s="14"/>
      <c r="Q540" s="9">
        <f ca="1">Q539-T540*Prices!C540</f>
        <v>1.1240965519492334</v>
      </c>
      <c r="R540" s="1">
        <f t="shared" ca="1" si="59"/>
        <v>9.0493188445049527E-3</v>
      </c>
      <c r="S540" s="9">
        <f ca="1">IF(Prices!C539&lt;OFFSET(Prices!C539,-S$3,0),1,IF(Prices!C539&gt;OFFSET(Prices!C539,-S$3,0),-1,0))</f>
        <v>-1</v>
      </c>
      <c r="T540" s="1">
        <f ca="1">IF(S540=1,T$3*Q539/Prices!C539,T$3*R539*S540)</f>
        <v>-1.8467997641846844E-4</v>
      </c>
    </row>
    <row r="541" spans="1:20" x14ac:dyDescent="0.2">
      <c r="A541" s="4">
        <v>34263</v>
      </c>
      <c r="B541" s="9">
        <f ca="1">Prices!C540*(1+J541/(50*(ABS(O541)+ABS(T541)+0.0001)))</f>
        <v>105.40875137725004</v>
      </c>
      <c r="C541" s="13">
        <f t="shared" ca="1" si="54"/>
        <v>-1</v>
      </c>
      <c r="D541" s="9">
        <f ca="1">D540+C541*(Prices!C541-Prices!C540)/Prices!C540</f>
        <v>0.30539884508860698</v>
      </c>
      <c r="E541" s="9">
        <f t="shared" ca="1" si="55"/>
        <v>2.0894972543347046E-2</v>
      </c>
      <c r="F541" s="9">
        <f t="shared" ca="1" si="56"/>
        <v>0.32629381763195403</v>
      </c>
      <c r="G541" s="13">
        <f ca="1">IF((Prices!C541-Prices!C540)*C541&gt;0,1,0)</f>
        <v>0</v>
      </c>
      <c r="H541" s="9">
        <f>ABS(Prices!C541-Prices!C540)/Prices!C540</f>
        <v>8.4737871310177539E-3</v>
      </c>
      <c r="I541" s="13"/>
      <c r="J541" s="1">
        <f t="shared" ca="1" si="57"/>
        <v>-1.1895720440520063E-3</v>
      </c>
      <c r="K541" s="9"/>
      <c r="L541" s="9">
        <f ca="1">L540-O541*Prices!C541</f>
        <v>1.133898286775946</v>
      </c>
      <c r="M541" s="1">
        <f t="shared" ca="1" si="58"/>
        <v>9.0772710044571669E-3</v>
      </c>
      <c r="N541" s="9">
        <f ca="1">IF(Prices!D540&gt;OFFSET(Prices!D540,-$N$3,0),1,IF(Prices!D540&lt;OFFSET(Prices!D540,-$N$3,0),-1,0))</f>
        <v>-1</v>
      </c>
      <c r="O541" s="1">
        <f ca="1">IF(N541=1,O$3*L540/Prices!C540,O$3*M540*N541)</f>
        <v>-1.0085856671619073E-3</v>
      </c>
      <c r="P541" s="14"/>
      <c r="Q541" s="9">
        <f ca="1">Q540-T541*Prices!C541</f>
        <v>1.1436973765664311</v>
      </c>
      <c r="R541" s="1">
        <f t="shared" ca="1" si="59"/>
        <v>8.8683324676148544E-3</v>
      </c>
      <c r="S541" s="9">
        <f ca="1">IF(Prices!C540&lt;OFFSET(Prices!C540,-S$3,0),1,IF(Prices!C540&gt;OFFSET(Prices!C540,-S$3,0),-1,0))</f>
        <v>-1</v>
      </c>
      <c r="T541" s="1">
        <f ca="1">IF(S541=1,T$3*Q540/Prices!C540,T$3*R540*S541)</f>
        <v>-1.8098637689009905E-4</v>
      </c>
    </row>
    <row r="542" spans="1:20" x14ac:dyDescent="0.2">
      <c r="A542" s="4">
        <v>34264</v>
      </c>
      <c r="B542" s="9">
        <f ca="1">Prices!C541*(1+J542/(50*(ABS(O542)+ABS(T542)+0.0001)))</f>
        <v>109.72228285135424</v>
      </c>
      <c r="C542" s="13">
        <f t="shared" ca="1" si="54"/>
        <v>1</v>
      </c>
      <c r="D542" s="9">
        <f ca="1">D541+C542*(Prices!C542-Prices!C541)/Prices!C541</f>
        <v>0.30355212302027823</v>
      </c>
      <c r="E542" s="9">
        <f t="shared" ca="1" si="55"/>
        <v>2.27416946116758E-2</v>
      </c>
      <c r="F542" s="9">
        <f t="shared" ca="1" si="56"/>
        <v>0.32629381763195403</v>
      </c>
      <c r="G542" s="13">
        <f ca="1">IF((Prices!C542-Prices!C541)*C542&gt;0,1,0)</f>
        <v>0</v>
      </c>
      <c r="H542" s="9">
        <f>ABS(Prices!C542-Prices!C541)/Prices!C541</f>
        <v>1.8467220683287429E-3</v>
      </c>
      <c r="I542" s="13"/>
      <c r="J542" s="1">
        <f t="shared" ca="1" si="57"/>
        <v>8.6963084536233464E-4</v>
      </c>
      <c r="K542" s="9"/>
      <c r="L542" s="9">
        <f ca="1">L541-O542*Prices!C542</f>
        <v>1.0207178575972944</v>
      </c>
      <c r="M542" s="1">
        <f t="shared" ca="1" si="58"/>
        <v>1.0124268499171798E-2</v>
      </c>
      <c r="N542" s="9">
        <f ca="1">IF(Prices!D541&gt;OFFSET(Prices!D541,-$N$3,0),1,IF(Prices!D541&lt;OFFSET(Prices!D541,-$N$3,0),-1,0))</f>
        <v>1</v>
      </c>
      <c r="O542" s="1">
        <f ca="1">IF(N542=1,O$3*L541/Prices!C541,O$3*M541*N542)</f>
        <v>1.0469974947146317E-3</v>
      </c>
      <c r="P542" s="14"/>
      <c r="Q542" s="9">
        <f ca="1">Q541-T542*Prices!C542</f>
        <v>1.1628707113614145</v>
      </c>
      <c r="R542" s="1">
        <f t="shared" ca="1" si="59"/>
        <v>8.6909658182625568E-3</v>
      </c>
      <c r="S542" s="9">
        <f ca="1">IF(Prices!C541&lt;OFFSET(Prices!C541,-S$3,0),1,IF(Prices!C541&gt;OFFSET(Prices!C541,-S$3,0),-1,0))</f>
        <v>-1</v>
      </c>
      <c r="T542" s="1">
        <f ca="1">IF(S542=1,T$3*Q541/Prices!C541,T$3*R541*S542)</f>
        <v>-1.7736664935229709E-4</v>
      </c>
    </row>
    <row r="543" spans="1:20" x14ac:dyDescent="0.2">
      <c r="A543" s="4">
        <v>34267</v>
      </c>
      <c r="B543" s="9">
        <f ca="1">Prices!C542*(1+J543/(50*(ABS(O543)+ABS(T543)+0.0001)))</f>
        <v>109.46745837623777</v>
      </c>
      <c r="C543" s="13">
        <f t="shared" ca="1" si="54"/>
        <v>1</v>
      </c>
      <c r="D543" s="9">
        <f ca="1">D542+C543*(Prices!C543-Prices!C542)/Prices!C542</f>
        <v>0.30799245604525516</v>
      </c>
      <c r="E543" s="9">
        <f t="shared" ca="1" si="55"/>
        <v>1.8301361586698872E-2</v>
      </c>
      <c r="F543" s="9">
        <f t="shared" ca="1" si="56"/>
        <v>0.32629381763195403</v>
      </c>
      <c r="G543" s="13">
        <f ca="1">IF((Prices!C543-Prices!C542)*C543&gt;0,1,0)</f>
        <v>1</v>
      </c>
      <c r="H543" s="9">
        <f>ABS(Prices!C543-Prices!C542)/Prices!C542</f>
        <v>4.4403330249769106E-3</v>
      </c>
      <c r="I543" s="13"/>
      <c r="J543" s="1">
        <f t="shared" ca="1" si="57"/>
        <v>7.7041551952493803E-4</v>
      </c>
      <c r="K543" s="9"/>
      <c r="L543" s="9">
        <f ca="1">L542-O543*Prices!C543</f>
        <v>0.91819283911633764</v>
      </c>
      <c r="M543" s="1">
        <f t="shared" ca="1" si="58"/>
        <v>1.1068503335061987E-2</v>
      </c>
      <c r="N543" s="9">
        <f ca="1">IF(Prices!D542&gt;OFFSET(Prices!D542,-$N$3,0),1,IF(Prices!D542&lt;OFFSET(Prices!D542,-$N$3,0),-1,0))</f>
        <v>1</v>
      </c>
      <c r="O543" s="1">
        <f ca="1">IF(N543=1,O$3*L542/Prices!C542,O$3*M542*N543)</f>
        <v>9.4423483589018916E-4</v>
      </c>
      <c r="P543" s="14"/>
      <c r="Q543" s="9">
        <f ca="1">Q542-T543*Prices!C543</f>
        <v>1.1817440127323535</v>
      </c>
      <c r="R543" s="1">
        <f t="shared" ca="1" si="59"/>
        <v>8.5171465018973064E-3</v>
      </c>
      <c r="S543" s="9">
        <f ca="1">IF(Prices!C542&lt;OFFSET(Prices!C542,-S$3,0),1,IF(Prices!C542&gt;OFFSET(Prices!C542,-S$3,0),-1,0))</f>
        <v>-1</v>
      </c>
      <c r="T543" s="1">
        <f ca="1">IF(S543=1,T$3*Q542/Prices!C542,T$3*R542*S543)</f>
        <v>-1.7381931636525113E-4</v>
      </c>
    </row>
    <row r="544" spans="1:20" x14ac:dyDescent="0.2">
      <c r="A544" s="4">
        <v>34268</v>
      </c>
      <c r="B544" s="9">
        <f ca="1">Prices!C543*(1+J544/(50*(ABS(O544)+ABS(T544)+0.0001)))</f>
        <v>109.89406372873201</v>
      </c>
      <c r="C544" s="13">
        <f t="shared" ca="1" si="54"/>
        <v>1</v>
      </c>
      <c r="D544" s="9">
        <f ca="1">D543+C544*(Prices!C544-Prices!C543)/Prices!C543</f>
        <v>0.30587420222318845</v>
      </c>
      <c r="E544" s="9">
        <f t="shared" ca="1" si="55"/>
        <v>2.0419615408765579E-2</v>
      </c>
      <c r="F544" s="9">
        <f t="shared" ca="1" si="56"/>
        <v>0.32629381763195403</v>
      </c>
      <c r="G544" s="13">
        <f ca="1">IF((Prices!C544-Prices!C543)*C544&gt;0,1,0)</f>
        <v>0</v>
      </c>
      <c r="H544" s="9">
        <f>ABS(Prices!C544-Prices!C543)/Prices!C543</f>
        <v>2.1182538220667155E-3</v>
      </c>
      <c r="I544" s="13"/>
      <c r="J544" s="1">
        <f t="shared" ca="1" si="57"/>
        <v>6.7529423989789626E-4</v>
      </c>
      <c r="K544" s="9"/>
      <c r="L544" s="9">
        <f ca="1">L543-O544*Prices!C544</f>
        <v>0.82656805175378911</v>
      </c>
      <c r="M544" s="1">
        <f t="shared" ca="1" si="58"/>
        <v>1.191414050499783E-2</v>
      </c>
      <c r="N544" s="9">
        <f ca="1">IF(Prices!D543&gt;OFFSET(Prices!D543,-$N$3,0),1,IF(Prices!D543&lt;OFFSET(Prices!D543,-$N$3,0),-1,0))</f>
        <v>1</v>
      </c>
      <c r="O544" s="1">
        <f ca="1">IF(N544=1,O$3*L543/Prices!C543,O$3*M543*N544)</f>
        <v>8.4563716993584241E-4</v>
      </c>
      <c r="P544" s="14"/>
      <c r="Q544" s="9">
        <f ca="1">Q543-T544*Prices!C544</f>
        <v>1.2002006692019649</v>
      </c>
      <c r="R544" s="1">
        <f t="shared" ca="1" si="59"/>
        <v>8.3468035718593601E-3</v>
      </c>
      <c r="S544" s="9">
        <f ca="1">IF(Prices!C543&lt;OFFSET(Prices!C543,-S$3,0),1,IF(Prices!C543&gt;OFFSET(Prices!C543,-S$3,0),-1,0))</f>
        <v>-1</v>
      </c>
      <c r="T544" s="1">
        <f ca="1">IF(S544=1,T$3*Q543/Prices!C543,T$3*R543*S544)</f>
        <v>-1.7034293003794613E-4</v>
      </c>
    </row>
    <row r="545" spans="1:20" x14ac:dyDescent="0.2">
      <c r="A545" s="4">
        <v>34269</v>
      </c>
      <c r="B545" s="9">
        <f ca="1">Prices!C544*(1+J545/(50*(ABS(O545)+ABS(T545)+0.0001)))</f>
        <v>109.60401035835443</v>
      </c>
      <c r="C545" s="13">
        <f t="shared" ca="1" si="54"/>
        <v>1</v>
      </c>
      <c r="D545" s="9">
        <f ca="1">D544+C545*(Prices!C545-Prices!C544)/Prices!C544</f>
        <v>0.30910447448899381</v>
      </c>
      <c r="E545" s="9">
        <f t="shared" ca="1" si="55"/>
        <v>1.7189343142960223E-2</v>
      </c>
      <c r="F545" s="9">
        <f t="shared" ca="1" si="56"/>
        <v>0.32629381763195403</v>
      </c>
      <c r="G545" s="13">
        <f ca="1">IF((Prices!C545-Prices!C544)*C545&gt;0,1,0)</f>
        <v>1</v>
      </c>
      <c r="H545" s="9">
        <f>ABS(Prices!C545-Prices!C544)/Prices!C544</f>
        <v>3.2302722658053397E-3</v>
      </c>
      <c r="I545" s="13"/>
      <c r="J545" s="1">
        <f t="shared" ca="1" si="57"/>
        <v>5.9593245810022786E-4</v>
      </c>
      <c r="K545" s="9"/>
      <c r="L545" s="9">
        <f ca="1">L544-O545*Prices!C545</f>
        <v>0.74364424259307205</v>
      </c>
      <c r="M545" s="1">
        <f t="shared" ca="1" si="58"/>
        <v>1.2677009034535246E-2</v>
      </c>
      <c r="N545" s="9">
        <f ca="1">IF(Prices!D544&gt;OFFSET(Prices!D544,-$N$3,0),1,IF(Prices!D544&lt;OFFSET(Prices!D544,-$N$3,0),-1,0))</f>
        <v>1</v>
      </c>
      <c r="O545" s="1">
        <f ca="1">IF(N545=1,O$3*L544/Prices!C544,O$3*M544*N545)</f>
        <v>7.628685295374151E-4</v>
      </c>
      <c r="P545" s="14"/>
      <c r="Q545" s="9">
        <f ca="1">Q544-T545*Prices!C545</f>
        <v>1.2183466201671871</v>
      </c>
      <c r="R545" s="1">
        <f t="shared" ca="1" si="59"/>
        <v>8.1798675004221728E-3</v>
      </c>
      <c r="S545" s="9">
        <f ca="1">IF(Prices!C544&lt;OFFSET(Prices!C544,-S$3,0),1,IF(Prices!C544&gt;OFFSET(Prices!C544,-S$3,0),-1,0))</f>
        <v>-1</v>
      </c>
      <c r="T545" s="1">
        <f ca="1">IF(S545=1,T$3*Q544/Prices!C544,T$3*R544*S545)</f>
        <v>-1.6693607143718721E-4</v>
      </c>
    </row>
    <row r="546" spans="1:20" x14ac:dyDescent="0.2">
      <c r="A546" s="4">
        <v>34270</v>
      </c>
      <c r="B546" s="9">
        <f ca="1">Prices!C545*(1+J546/(50*(ABS(O546)+ABS(T546)+0.0001)))</f>
        <v>106.66797103634678</v>
      </c>
      <c r="C546" s="13">
        <f t="shared" ca="1" si="54"/>
        <v>-1</v>
      </c>
      <c r="D546" s="9">
        <f ca="1">D545+C546*(Prices!C546-Prices!C545)/Prices!C545</f>
        <v>0.31398027945679513</v>
      </c>
      <c r="E546" s="9">
        <f t="shared" ca="1" si="55"/>
        <v>1.23135381751589E-2</v>
      </c>
      <c r="F546" s="9">
        <f t="shared" ca="1" si="56"/>
        <v>0.32629381763195403</v>
      </c>
      <c r="G546" s="13">
        <f ca="1">IF((Prices!C546-Prices!C545)*C546&gt;0,1,0)</f>
        <v>1</v>
      </c>
      <c r="H546" s="9">
        <f>ABS(Prices!C546-Prices!C545)/Prices!C545</f>
        <v>4.8758049678012984E-3</v>
      </c>
      <c r="I546" s="13"/>
      <c r="J546" s="1">
        <f t="shared" ca="1" si="57"/>
        <v>-1.4312982534619681E-3</v>
      </c>
      <c r="K546" s="9"/>
      <c r="L546" s="9">
        <f ca="1">L545-O546*Prices!C546</f>
        <v>0.8807714493196398</v>
      </c>
      <c r="M546" s="1">
        <f t="shared" ca="1" si="58"/>
        <v>1.1409308131081722E-2</v>
      </c>
      <c r="N546" s="9">
        <f ca="1">IF(Prices!D545&gt;OFFSET(Prices!D545,-$N$3,0),1,IF(Prices!D545&lt;OFFSET(Prices!D545,-$N$3,0),-1,0))</f>
        <v>-1</v>
      </c>
      <c r="O546" s="1">
        <f ca="1">IF(N546=1,O$3*L545/Prices!C545,O$3*M545*N546)</f>
        <v>-1.2677009034535247E-3</v>
      </c>
      <c r="P546" s="14"/>
      <c r="Q546" s="9">
        <f ca="1">Q545-T546*Prices!C546</f>
        <v>1.2360429455176005</v>
      </c>
      <c r="R546" s="1">
        <f t="shared" ca="1" si="59"/>
        <v>8.016270150413729E-3</v>
      </c>
      <c r="S546" s="9">
        <f ca="1">IF(Prices!C545&lt;OFFSET(Prices!C545,-S$3,0),1,IF(Prices!C545&gt;OFFSET(Prices!C545,-S$3,0),-1,0))</f>
        <v>-1</v>
      </c>
      <c r="T546" s="1">
        <f ca="1">IF(S546=1,T$3*Q545/Prices!C545,T$3*R545*S546)</f>
        <v>-1.6359735000844345E-4</v>
      </c>
    </row>
    <row r="547" spans="1:20" x14ac:dyDescent="0.2">
      <c r="A547" s="4">
        <v>34271</v>
      </c>
      <c r="B547" s="9">
        <f ca="1">Prices!C546*(1+J547/(50*(ABS(O547)+ABS(T547)+0.0001)))</f>
        <v>106.16099003767604</v>
      </c>
      <c r="C547" s="13">
        <f t="shared" ca="1" si="54"/>
        <v>-1</v>
      </c>
      <c r="D547" s="9">
        <f ca="1">D546+C547*(Prices!C547-Prices!C546)/Prices!C546</f>
        <v>0.31000505527264061</v>
      </c>
      <c r="E547" s="9">
        <f t="shared" ca="1" si="55"/>
        <v>1.6288762359313425E-2</v>
      </c>
      <c r="F547" s="9">
        <f t="shared" ca="1" si="56"/>
        <v>0.32629381763195403</v>
      </c>
      <c r="G547" s="13">
        <f ca="1">IF((Prices!C547-Prices!C546)*C547&gt;0,1,0)</f>
        <v>0</v>
      </c>
      <c r="H547" s="9">
        <f>ABS(Prices!C547-Prices!C546)/Prices!C546</f>
        <v>3.9752241841545027E-3</v>
      </c>
      <c r="I547" s="13"/>
      <c r="J547" s="1">
        <f t="shared" ca="1" si="57"/>
        <v>-1.3012562161164468E-3</v>
      </c>
      <c r="K547" s="9"/>
      <c r="L547" s="9">
        <f ca="1">L546-O547*Prices!C547</f>
        <v>1.0046765356231873</v>
      </c>
      <c r="M547" s="1">
        <f t="shared" ca="1" si="58"/>
        <v>1.0268377317973549E-2</v>
      </c>
      <c r="N547" s="9">
        <f ca="1">IF(Prices!D546&gt;OFFSET(Prices!D546,-$N$3,0),1,IF(Prices!D546&lt;OFFSET(Prices!D546,-$N$3,0),-1,0))</f>
        <v>-1</v>
      </c>
      <c r="O547" s="1">
        <f ca="1">IF(N547=1,O$3*L546/Prices!C546,O$3*M546*N547)</f>
        <v>-1.1409308131081722E-3</v>
      </c>
      <c r="P547" s="14"/>
      <c r="Q547" s="9">
        <f ca="1">Q546-T547*Prices!C547</f>
        <v>1.2534542842842991</v>
      </c>
      <c r="R547" s="1">
        <f t="shared" ca="1" si="59"/>
        <v>7.8559447474054536E-3</v>
      </c>
      <c r="S547" s="9">
        <f ca="1">IF(Prices!C546&lt;OFFSET(Prices!C546,-S$3,0),1,IF(Prices!C546&gt;OFFSET(Prices!C546,-S$3,0),-1,0))</f>
        <v>-1</v>
      </c>
      <c r="T547" s="1">
        <f ca="1">IF(S547=1,T$3*Q546/Prices!C546,T$3*R546*S547)</f>
        <v>-1.6032540300827457E-4</v>
      </c>
    </row>
    <row r="548" spans="1:20" x14ac:dyDescent="0.2">
      <c r="A548" s="4">
        <v>34274</v>
      </c>
      <c r="B548" s="9">
        <f ca="1">Prices!C547*(1+J548/(50*(ABS(O548)+ABS(T548)+0.0001)))</f>
        <v>106.59716459284965</v>
      </c>
      <c r="C548" s="13">
        <f t="shared" ca="1" si="54"/>
        <v>-1</v>
      </c>
      <c r="D548" s="9">
        <f ca="1">D547+C548*(Prices!C548-Prices!C547)/Prices!C547</f>
        <v>0.31322789136840484</v>
      </c>
      <c r="E548" s="9">
        <f t="shared" ca="1" si="55"/>
        <v>1.3065926263549188E-2</v>
      </c>
      <c r="F548" s="9">
        <f t="shared" ca="1" si="56"/>
        <v>0.32629381763195403</v>
      </c>
      <c r="G548" s="13">
        <f ca="1">IF((Prices!C548-Prices!C547)*C548&gt;0,1,0)</f>
        <v>1</v>
      </c>
      <c r="H548" s="9">
        <f>ABS(Prices!C548-Prices!C547)/Prices!C547</f>
        <v>3.2228360957642205E-3</v>
      </c>
      <c r="I548" s="13"/>
      <c r="J548" s="1">
        <f t="shared" ca="1" si="57"/>
        <v>-1.183956626745464E-3</v>
      </c>
      <c r="K548" s="9"/>
      <c r="L548" s="9">
        <f ca="1">L547-O548*Prices!C548</f>
        <v>1.115831720090251</v>
      </c>
      <c r="M548" s="1">
        <f t="shared" ca="1" si="58"/>
        <v>9.2415395861761944E-3</v>
      </c>
      <c r="N548" s="9">
        <f ca="1">IF(Prices!D547&gt;OFFSET(Prices!D547,-$N$3,0),1,IF(Prices!D547&lt;OFFSET(Prices!D547,-$N$3,0),-1,0))</f>
        <v>-1</v>
      </c>
      <c r="O548" s="1">
        <f ca="1">IF(N548=1,O$3*L547/Prices!C547,O$3*M547*N548)</f>
        <v>-1.026837731797355E-3</v>
      </c>
      <c r="P548" s="14"/>
      <c r="Q548" s="9">
        <f ca="1">Q547-T548*Prices!C548</f>
        <v>1.2704624046624318</v>
      </c>
      <c r="R548" s="1">
        <f t="shared" ca="1" si="59"/>
        <v>7.6988258524573446E-3</v>
      </c>
      <c r="S548" s="9">
        <f ca="1">IF(Prices!C547&lt;OFFSET(Prices!C547,-S$3,0),1,IF(Prices!C547&gt;OFFSET(Prices!C547,-S$3,0),-1,0))</f>
        <v>-1</v>
      </c>
      <c r="T548" s="1">
        <f ca="1">IF(S548=1,T$3*Q547/Prices!C547,T$3*R547*S548)</f>
        <v>-1.5711889494810906E-4</v>
      </c>
    </row>
    <row r="549" spans="1:20" x14ac:dyDescent="0.2">
      <c r="A549" s="4">
        <v>34275</v>
      </c>
      <c r="B549" s="9">
        <f ca="1">Prices!C548*(1+J549/(50*(ABS(O549)+ABS(T549)+0.0001)))</f>
        <v>110.25645221189907</v>
      </c>
      <c r="C549" s="13">
        <f t="shared" ca="1" si="54"/>
        <v>1</v>
      </c>
      <c r="D549" s="9">
        <f ca="1">D548+C549*(Prices!C549-Prices!C548)/Prices!C548</f>
        <v>0.30953274125293134</v>
      </c>
      <c r="E549" s="9">
        <f t="shared" ca="1" si="55"/>
        <v>1.6761076379022688E-2</v>
      </c>
      <c r="F549" s="9">
        <f t="shared" ca="1" si="56"/>
        <v>0.32629381763195403</v>
      </c>
      <c r="G549" s="13">
        <f ca="1">IF((Prices!C549-Prices!C548)*C549&gt;0,1,0)</f>
        <v>0</v>
      </c>
      <c r="H549" s="9">
        <f>ABS(Prices!C549-Prices!C548)/Prices!C548</f>
        <v>3.6951501154734935E-3</v>
      </c>
      <c r="I549" s="13"/>
      <c r="J549" s="1">
        <f t="shared" ca="1" si="57"/>
        <v>1.2655188923997574E-3</v>
      </c>
      <c r="K549" s="9"/>
      <c r="L549" s="9">
        <f ca="1">L548-O549*Prices!C549</f>
        <v>1.00466086465216</v>
      </c>
      <c r="M549" s="1">
        <f t="shared" ca="1" si="58"/>
        <v>1.0272331013511299E-2</v>
      </c>
      <c r="N549" s="9">
        <f ca="1">IF(Prices!D548&gt;OFFSET(Prices!D548,-$N$3,0),1,IF(Prices!D548&lt;OFFSET(Prices!D548,-$N$3,0),-1,0))</f>
        <v>1</v>
      </c>
      <c r="O549" s="1">
        <f ca="1">IF(N549=1,O$3*L548/Prices!C548,O$3*M548*N549)</f>
        <v>1.0307914273351049E-3</v>
      </c>
      <c r="P549" s="14"/>
      <c r="Q549" s="9">
        <f ca="1">Q548-T549*Prices!C549</f>
        <v>1.2451470475552089</v>
      </c>
      <c r="R549" s="1">
        <f t="shared" ca="1" si="59"/>
        <v>7.9335533175219977E-3</v>
      </c>
      <c r="S549" s="9">
        <f ca="1">IF(Prices!C548&lt;OFFSET(Prices!C548,-S$3,0),1,IF(Prices!C548&gt;OFFSET(Prices!C548,-S$3,0),-1,0))</f>
        <v>1</v>
      </c>
      <c r="T549" s="1">
        <f ca="1">IF(S549=1,T$3*Q548/Prices!C548,T$3*R548*S549)</f>
        <v>2.3472746506465254E-4</v>
      </c>
    </row>
    <row r="550" spans="1:20" x14ac:dyDescent="0.2">
      <c r="A550" s="4">
        <v>34276</v>
      </c>
      <c r="B550" s="9">
        <f ca="1">Prices!C549*(1+J550/(50*(ABS(O550)+ABS(T550)+0.0001)))</f>
        <v>109.83614023594124</v>
      </c>
      <c r="C550" s="13">
        <f t="shared" ca="1" si="54"/>
        <v>1</v>
      </c>
      <c r="D550" s="9">
        <f ca="1">D549+C550*(Prices!C550-Prices!C549)/Prices!C549</f>
        <v>0.30814192066878676</v>
      </c>
      <c r="E550" s="9">
        <f t="shared" ca="1" si="55"/>
        <v>1.8151896963167269E-2</v>
      </c>
      <c r="F550" s="9">
        <f t="shared" ca="1" si="56"/>
        <v>0.32629381763195403</v>
      </c>
      <c r="G550" s="13">
        <f ca="1">IF((Prices!C550-Prices!C549)*C550&gt;0,1,0)</f>
        <v>0</v>
      </c>
      <c r="H550" s="9">
        <f>ABS(Prices!C550-Prices!C549)/Prices!C549</f>
        <v>1.3908205841445663E-3</v>
      </c>
      <c r="I550" s="13"/>
      <c r="J550" s="1">
        <f t="shared" ca="1" si="57"/>
        <v>1.1624388262987499E-3</v>
      </c>
      <c r="K550" s="9"/>
      <c r="L550" s="9">
        <f ca="1">L549-O550*Prices!C550</f>
        <v>0.90433450848800823</v>
      </c>
      <c r="M550" s="1">
        <f t="shared" ca="1" si="58"/>
        <v>1.120386635393982E-2</v>
      </c>
      <c r="N550" s="9">
        <f ca="1">IF(Prices!D549&gt;OFFSET(Prices!D549,-$N$3,0),1,IF(Prices!D549&lt;OFFSET(Prices!D549,-$N$3,0),-1,0))</f>
        <v>1</v>
      </c>
      <c r="O550" s="1">
        <f ca="1">IF(N550=1,O$3*L549/Prices!C549,O$3*M549*N550)</f>
        <v>9.3153534042852114E-4</v>
      </c>
      <c r="P550" s="14"/>
      <c r="Q550" s="9">
        <f ca="1">Q549-T550*Prices!C550</f>
        <v>1.2202787421269852</v>
      </c>
      <c r="R550" s="1">
        <f t="shared" ca="1" si="59"/>
        <v>8.1644568033922265E-3</v>
      </c>
      <c r="S550" s="9">
        <f ca="1">IF(Prices!C549&lt;OFFSET(Prices!C549,-S$3,0),1,IF(Prices!C549&gt;OFFSET(Prices!C549,-S$3,0),-1,0))</f>
        <v>1</v>
      </c>
      <c r="T550" s="1">
        <f ca="1">IF(S550=1,T$3*Q549/Prices!C549,T$3*R549*S550)</f>
        <v>2.3090348587022884E-4</v>
      </c>
    </row>
    <row r="551" spans="1:20" x14ac:dyDescent="0.2">
      <c r="A551" s="4">
        <v>34277</v>
      </c>
      <c r="B551" s="9">
        <f ca="1">Prices!C550*(1+J551/(50*(ABS(O551)+ABS(T551)+0.0001)))</f>
        <v>109.66931120178413</v>
      </c>
      <c r="C551" s="13">
        <f t="shared" ca="1" si="54"/>
        <v>1</v>
      </c>
      <c r="D551" s="9">
        <f ca="1">D550+C551*(Prices!C551-Prices!C550)/Prices!C550</f>
        <v>0.31306299773471064</v>
      </c>
      <c r="E551" s="9">
        <f t="shared" ca="1" si="55"/>
        <v>1.3230819897243395E-2</v>
      </c>
      <c r="F551" s="9">
        <f t="shared" ca="1" si="56"/>
        <v>0.32629381763195403</v>
      </c>
      <c r="G551" s="13">
        <f ca="1">IF((Prices!C551-Prices!C550)*C551&gt;0,1,0)</f>
        <v>1</v>
      </c>
      <c r="H551" s="9">
        <f>ABS(Prices!C551-Prices!C550)/Prices!C550</f>
        <v>4.9210770659238734E-3</v>
      </c>
      <c r="I551" s="13"/>
      <c r="J551" s="1">
        <f t="shared" ca="1" si="57"/>
        <v>1.0662862181182965E-3</v>
      </c>
      <c r="K551" s="9"/>
      <c r="L551" s="9">
        <f ca="1">L550-O551*Prices!C551</f>
        <v>0.81345602765824299</v>
      </c>
      <c r="M551" s="1">
        <f t="shared" ca="1" si="58"/>
        <v>1.2043545563306588E-2</v>
      </c>
      <c r="N551" s="9">
        <f ca="1">IF(Prices!D550&gt;OFFSET(Prices!D550,-$N$3,0),1,IF(Prices!D550&lt;OFFSET(Prices!D550,-$N$3,0),-1,0))</f>
        <v>1</v>
      </c>
      <c r="O551" s="1">
        <f ca="1">IF(N551=1,O$3*L550/Prices!C550,O$3*M550*N551)</f>
        <v>8.3967920936676727E-4</v>
      </c>
      <c r="P551" s="14"/>
      <c r="Q551" s="9">
        <f ca="1">Q550-T551*Prices!C551</f>
        <v>1.1957530655698072</v>
      </c>
      <c r="R551" s="1">
        <f t="shared" ca="1" si="59"/>
        <v>8.3910638121437557E-3</v>
      </c>
      <c r="S551" s="9">
        <f ca="1">IF(Prices!C550&lt;OFFSET(Prices!C550,-S$3,0),1,IF(Prices!C550&gt;OFFSET(Prices!C550,-S$3,0),-1,0))</f>
        <v>1</v>
      </c>
      <c r="T551" s="1">
        <f ca="1">IF(S551=1,T$3*Q550/Prices!C550,T$3*R550*S551)</f>
        <v>2.2660700875152927E-4</v>
      </c>
    </row>
    <row r="552" spans="1:20" x14ac:dyDescent="0.2">
      <c r="A552" s="4">
        <v>34278</v>
      </c>
      <c r="B552" s="9">
        <f ca="1">Prices!C551*(1+J552/(50*(ABS(O552)+ABS(T552)+0.0001)))</f>
        <v>110.19278464564992</v>
      </c>
      <c r="C552" s="13">
        <f t="shared" ca="1" si="54"/>
        <v>1</v>
      </c>
      <c r="D552" s="9">
        <f ca="1">D551+C552*(Prices!C552-Prices!C551)/Prices!C551</f>
        <v>0.31463372673775969</v>
      </c>
      <c r="E552" s="9">
        <f t="shared" ca="1" si="55"/>
        <v>1.1660090894194342E-2</v>
      </c>
      <c r="F552" s="9">
        <f t="shared" ca="1" si="56"/>
        <v>0.32629381763195403</v>
      </c>
      <c r="G552" s="13">
        <f ca="1">IF((Prices!C552-Prices!C551)*C552&gt;0,1,0)</f>
        <v>1</v>
      </c>
      <c r="H552" s="9">
        <f>ABS(Prices!C552-Prices!C551)/Prices!C551</f>
        <v>1.5707290030490778E-3</v>
      </c>
      <c r="I552" s="13"/>
      <c r="J552" s="1">
        <f t="shared" ca="1" si="57"/>
        <v>9.7256457615467484E-4</v>
      </c>
      <c r="K552" s="9"/>
      <c r="L552" s="9">
        <f ca="1">L551-O552*Prices!C552</f>
        <v>0.73198265299488385</v>
      </c>
      <c r="M552" s="1">
        <f t="shared" ca="1" si="58"/>
        <v>1.2795144960570048E-2</v>
      </c>
      <c r="N552" s="9">
        <f ca="1">IF(Prices!D551&gt;OFFSET(Prices!D551,-$N$3,0),1,IF(Prices!D551&lt;OFFSET(Prices!D551,-$N$3,0),-1,0))</f>
        <v>1</v>
      </c>
      <c r="O552" s="1">
        <f ca="1">IF(N552=1,O$3*L551/Prices!C551,O$3*M551*N552)</f>
        <v>7.5159939726346034E-4</v>
      </c>
      <c r="P552" s="14"/>
      <c r="Q552" s="9">
        <f ca="1">Q551-T552*Prices!C552</f>
        <v>1.1718004401779996</v>
      </c>
      <c r="R552" s="1">
        <f t="shared" ca="1" si="59"/>
        <v>8.6120289910349701E-3</v>
      </c>
      <c r="S552" s="9">
        <f ca="1">IF(Prices!C551&lt;OFFSET(Prices!C551,-S$3,0),1,IF(Prices!C551&gt;OFFSET(Prices!C551,-S$3,0),-1,0))</f>
        <v>1</v>
      </c>
      <c r="T552" s="1">
        <f ca="1">IF(S552=1,T$3*Q551/Prices!C551,T$3*R551*S552)</f>
        <v>2.209651788912145E-4</v>
      </c>
    </row>
    <row r="553" spans="1:20" x14ac:dyDescent="0.2">
      <c r="A553" s="4">
        <v>34281</v>
      </c>
      <c r="B553" s="9">
        <f ca="1">Prices!C552*(1+J553/(50*(ABS(O553)+ABS(T553)+0.0001)))</f>
        <v>109.55097224101024</v>
      </c>
      <c r="C553" s="13">
        <f t="shared" ca="1" si="54"/>
        <v>1</v>
      </c>
      <c r="D553" s="9">
        <f ca="1">D552+C553*(Prices!C553-Prices!C552)/Prices!C552</f>
        <v>0.30937542415473379</v>
      </c>
      <c r="E553" s="9">
        <f t="shared" ca="1" si="55"/>
        <v>1.6918393477220239E-2</v>
      </c>
      <c r="F553" s="9">
        <f t="shared" ca="1" si="56"/>
        <v>0.32629381763195403</v>
      </c>
      <c r="G553" s="13">
        <f ca="1">IF((Prices!C553-Prices!C552)*C553&gt;0,1,0)</f>
        <v>0</v>
      </c>
      <c r="H553" s="9">
        <f>ABS(Prices!C553-Prices!C552)/Prices!C552</f>
        <v>5.2583025830258978E-3</v>
      </c>
      <c r="I553" s="13"/>
      <c r="J553" s="1">
        <f t="shared" ca="1" si="57"/>
        <v>5.0302017017458088E-4</v>
      </c>
      <c r="K553" s="9"/>
      <c r="L553" s="9">
        <f ca="1">L552-O553*Prices!C553</f>
        <v>0.65916928632289273</v>
      </c>
      <c r="M553" s="1">
        <f t="shared" ca="1" si="58"/>
        <v>1.3470405710565328E-2</v>
      </c>
      <c r="N553" s="9">
        <f ca="1">IF(Prices!D552&gt;OFFSET(Prices!D552,-$N$3,0),1,IF(Prices!D552&lt;OFFSET(Prices!D552,-$N$3,0),-1,0))</f>
        <v>1</v>
      </c>
      <c r="O553" s="1">
        <f ca="1">IF(N553=1,O$3*L552/Prices!C552,O$3*M552*N553)</f>
        <v>6.752607499952803E-4</v>
      </c>
      <c r="P553" s="14"/>
      <c r="Q553" s="9">
        <f ca="1">Q552-T553*Prices!C553</f>
        <v>1.1903731419000656</v>
      </c>
      <c r="R553" s="1">
        <f t="shared" ca="1" si="59"/>
        <v>8.4397884112142711E-3</v>
      </c>
      <c r="S553" s="9">
        <f ca="1">IF(Prices!C552&lt;OFFSET(Prices!C552,-S$3,0),1,IF(Prices!C552&gt;OFFSET(Prices!C552,-S$3,0),-1,0))</f>
        <v>-1</v>
      </c>
      <c r="T553" s="1">
        <f ca="1">IF(S553=1,T$3*Q552/Prices!C552,T$3*R552*S553)</f>
        <v>-1.7224057982069939E-4</v>
      </c>
    </row>
    <row r="554" spans="1:20" x14ac:dyDescent="0.2">
      <c r="A554" s="4">
        <v>34282</v>
      </c>
      <c r="B554" s="9">
        <f ca="1">Prices!C553*(1+J554/(50*(ABS(O554)+ABS(T554)+0.0001)))</f>
        <v>109.75522778488413</v>
      </c>
      <c r="C554" s="13">
        <f t="shared" ca="1" si="54"/>
        <v>1</v>
      </c>
      <c r="D554" s="9">
        <f ca="1">D553+C554*(Prices!C554-Prices!C553)/Prices!C553</f>
        <v>0.31048828699438885</v>
      </c>
      <c r="E554" s="9">
        <f t="shared" ca="1" si="55"/>
        <v>1.5805530637565179E-2</v>
      </c>
      <c r="F554" s="9">
        <f t="shared" ca="1" si="56"/>
        <v>0.32629381763195403</v>
      </c>
      <c r="G554" s="13">
        <f ca="1">IF((Prices!C554-Prices!C553)*C554&gt;0,1,0)</f>
        <v>1</v>
      </c>
      <c r="H554" s="9">
        <f>ABS(Prices!C554-Prices!C553)/Prices!C553</f>
        <v>1.1128628396550547E-3</v>
      </c>
      <c r="I554" s="13"/>
      <c r="J554" s="1">
        <f t="shared" ca="1" si="57"/>
        <v>8.3209117564954642E-4</v>
      </c>
      <c r="K554" s="9"/>
      <c r="L554" s="9">
        <f ca="1">L553-O554*Prices!C554</f>
        <v>0.59317900119022438</v>
      </c>
      <c r="M554" s="1">
        <f t="shared" ca="1" si="58"/>
        <v>1.408170988039088E-2</v>
      </c>
      <c r="N554" s="9">
        <f ca="1">IF(Prices!D553&gt;OFFSET(Prices!D553,-$N$3,0),1,IF(Prices!D553&lt;OFFSET(Prices!D553,-$N$3,0),-1,0))</f>
        <v>1</v>
      </c>
      <c r="O554" s="1">
        <f ca="1">IF(N554=1,O$3*L553/Prices!C553,O$3*M553*N554)</f>
        <v>6.1130416982555207E-4</v>
      </c>
      <c r="P554" s="14"/>
      <c r="Q554" s="9">
        <f ca="1">Q553-T554*Prices!C554</f>
        <v>1.1665391846213653</v>
      </c>
      <c r="R554" s="1">
        <f t="shared" ca="1" si="59"/>
        <v>8.6605754170382653E-3</v>
      </c>
      <c r="S554" s="9">
        <f ca="1">IF(Prices!C553&lt;OFFSET(Prices!C553,-S$3,0),1,IF(Prices!C553&gt;OFFSET(Prices!C553,-S$3,0),-1,0))</f>
        <v>1</v>
      </c>
      <c r="T554" s="1">
        <f ca="1">IF(S554=1,T$3*Q553/Prices!C553,T$3*R553*S554)</f>
        <v>2.2078700582399438E-4</v>
      </c>
    </row>
    <row r="555" spans="1:20" x14ac:dyDescent="0.2">
      <c r="A555" s="4">
        <v>34283</v>
      </c>
      <c r="B555" s="9">
        <f ca="1">Prices!C554*(1+J555/(50*(ABS(O555)+ABS(T555)+0.0001)))</f>
        <v>105.91940623740574</v>
      </c>
      <c r="C555" s="13">
        <f t="shared" ca="1" si="54"/>
        <v>-1</v>
      </c>
      <c r="D555" s="9">
        <f ca="1">D554+C555*(Prices!C555-Prices!C554)/Prices!C554</f>
        <v>0.3174359479485343</v>
      </c>
      <c r="E555" s="9">
        <f t="shared" ca="1" si="55"/>
        <v>8.8578696834197279E-3</v>
      </c>
      <c r="F555" s="9">
        <f t="shared" ca="1" si="56"/>
        <v>0.32629381763195403</v>
      </c>
      <c r="G555" s="13">
        <f ca="1">IF((Prices!C555-Prices!C554)*C555&gt;0,1,0)</f>
        <v>1</v>
      </c>
      <c r="H555" s="9">
        <f>ABS(Prices!C555-Prices!C554)/Prices!C554</f>
        <v>6.9476609541454376E-3</v>
      </c>
      <c r="I555" s="13"/>
      <c r="J555" s="1">
        <f t="shared" ca="1" si="57"/>
        <v>-1.5813824963798533E-3</v>
      </c>
      <c r="K555" s="9"/>
      <c r="L555" s="9">
        <f ca="1">L554-O555*Prices!C555</f>
        <v>0.74413493110801465</v>
      </c>
      <c r="M555" s="1">
        <f t="shared" ca="1" si="58"/>
        <v>1.2673538892351791E-2</v>
      </c>
      <c r="N555" s="9">
        <f ca="1">IF(Prices!D554&gt;OFFSET(Prices!D554,-$N$3,0),1,IF(Prices!D554&lt;OFFSET(Prices!D554,-$N$3,0),-1,0))</f>
        <v>-1</v>
      </c>
      <c r="O555" s="1">
        <f ca="1">IF(N555=1,O$3*L554/Prices!C554,O$3*M554*N555)</f>
        <v>-1.4081709880390881E-3</v>
      </c>
      <c r="P555" s="14"/>
      <c r="Q555" s="9">
        <f ca="1">Q554-T555*Prices!C555</f>
        <v>1.1851074583154952</v>
      </c>
      <c r="R555" s="1">
        <f t="shared" ca="1" si="59"/>
        <v>8.4873639086975004E-3</v>
      </c>
      <c r="S555" s="9">
        <f ca="1">IF(Prices!C554&lt;OFFSET(Prices!C554,-S$3,0),1,IF(Prices!C554&gt;OFFSET(Prices!C554,-S$3,0),-1,0))</f>
        <v>-1</v>
      </c>
      <c r="T555" s="1">
        <f ca="1">IF(S555=1,T$3*Q554/Prices!C554,T$3*R554*S555)</f>
        <v>-1.7321150834076531E-4</v>
      </c>
    </row>
    <row r="556" spans="1:20" x14ac:dyDescent="0.2">
      <c r="A556" s="4">
        <v>34284</v>
      </c>
      <c r="B556" s="9">
        <f ca="1">Prices!C555*(1+J556/(50*(ABS(O556)+ABS(T556)+0.0001)))</f>
        <v>109.13282212187916</v>
      </c>
      <c r="C556" s="13">
        <f t="shared" ca="1" si="54"/>
        <v>1</v>
      </c>
      <c r="D556" s="9">
        <f ca="1">D555+C556*(Prices!C556-Prices!C555)/Prices!C555</f>
        <v>0.30997326138137016</v>
      </c>
      <c r="E556" s="9">
        <f t="shared" ca="1" si="55"/>
        <v>1.6320556250583873E-2</v>
      </c>
      <c r="F556" s="9">
        <f t="shared" ca="1" si="56"/>
        <v>0.32629381763195403</v>
      </c>
      <c r="G556" s="13">
        <f ca="1">IF((Prices!C556-Prices!C555)*C556&gt;0,1,0)</f>
        <v>0</v>
      </c>
      <c r="H556" s="9">
        <f>ABS(Prices!C556-Prices!C555)/Prices!C555</f>
        <v>7.4626865671641521E-3</v>
      </c>
      <c r="I556" s="13"/>
      <c r="J556" s="1">
        <f t="shared" ca="1" si="57"/>
        <v>9.1525785706260605E-4</v>
      </c>
      <c r="K556" s="9"/>
      <c r="L556" s="9">
        <f ca="1">L555-O556*Prices!C556</f>
        <v>0.67027676257266688</v>
      </c>
      <c r="M556" s="1">
        <f t="shared" ca="1" si="58"/>
        <v>1.3367694611668968E-2</v>
      </c>
      <c r="N556" s="9">
        <f ca="1">IF(Prices!D555&gt;OFFSET(Prices!D555,-$N$3,0),1,IF(Prices!D555&lt;OFFSET(Prices!D555,-$N$3,0),-1,0))</f>
        <v>1</v>
      </c>
      <c r="O556" s="1">
        <f ca="1">IF(N556=1,O$3*L555/Prices!C555,O$3*M555*N556)</f>
        <v>6.9415571931717777E-4</v>
      </c>
      <c r="P556" s="14"/>
      <c r="Q556" s="9">
        <f ca="1">Q555-T556*Prices!C556</f>
        <v>1.1615821908593817</v>
      </c>
      <c r="R556" s="1">
        <f t="shared" ca="1" si="59"/>
        <v>8.7084660464429291E-3</v>
      </c>
      <c r="S556" s="9">
        <f ca="1">IF(Prices!C555&lt;OFFSET(Prices!C555,-S$3,0),1,IF(Prices!C555&gt;OFFSET(Prices!C555,-S$3,0),-1,0))</f>
        <v>1</v>
      </c>
      <c r="T556" s="1">
        <f ca="1">IF(S556=1,T$3*Q555/Prices!C555,T$3*R555*S556)</f>
        <v>2.2110213774542822E-4</v>
      </c>
    </row>
    <row r="557" spans="1:20" x14ac:dyDescent="0.2">
      <c r="A557" s="4">
        <v>34285</v>
      </c>
      <c r="B557" s="9">
        <f ca="1">Prices!C556*(1+J557/(50*(ABS(O557)+ABS(T557)+0.0001)))</f>
        <v>108.30359888428096</v>
      </c>
      <c r="C557" s="13">
        <f t="shared" ca="1" si="54"/>
        <v>1</v>
      </c>
      <c r="D557" s="9">
        <f ca="1">D556+C557*(Prices!C557-Prices!C556)/Prices!C556</f>
        <v>0.30386423882497915</v>
      </c>
      <c r="E557" s="9">
        <f t="shared" ca="1" si="55"/>
        <v>2.2429578806974881E-2</v>
      </c>
      <c r="F557" s="9">
        <f t="shared" ca="1" si="56"/>
        <v>0.32629381763195403</v>
      </c>
      <c r="G557" s="13">
        <f ca="1">IF((Prices!C557-Prices!C556)*C557&gt;0,1,0)</f>
        <v>0</v>
      </c>
      <c r="H557" s="9">
        <f>ABS(Prices!C557-Prices!C556)/Prices!C556</f>
        <v>6.1090225563910309E-3</v>
      </c>
      <c r="I557" s="13"/>
      <c r="J557" s="1">
        <f t="shared" ca="1" si="57"/>
        <v>8.4830188039900683E-4</v>
      </c>
      <c r="K557" s="9"/>
      <c r="L557" s="9">
        <f ca="1">L556-O557*Prices!C557</f>
        <v>0.60365855990155826</v>
      </c>
      <c r="M557" s="1">
        <f t="shared" ca="1" si="58"/>
        <v>1.3997653974989144E-2</v>
      </c>
      <c r="N557" s="9">
        <f ca="1">IF(Prices!D556&gt;OFFSET(Prices!D556,-$N$3,0),1,IF(Prices!D556&lt;OFFSET(Prices!D556,-$N$3,0),-1,0))</f>
        <v>1</v>
      </c>
      <c r="O557" s="1">
        <f ca="1">IF(N557=1,O$3*L556/Prices!C556,O$3*M556*N557)</f>
        <v>6.2995936332017563E-4</v>
      </c>
      <c r="P557" s="14"/>
      <c r="Q557" s="9">
        <f ca="1">Q556-T557*Prices!C557</f>
        <v>1.1384924696782954</v>
      </c>
      <c r="R557" s="1">
        <f t="shared" ca="1" si="59"/>
        <v>8.9268085635217601E-3</v>
      </c>
      <c r="S557" s="9">
        <f ca="1">IF(Prices!C556&lt;OFFSET(Prices!C556,-S$3,0),1,IF(Prices!C556&gt;OFFSET(Prices!C556,-S$3,0),-1,0))</f>
        <v>1</v>
      </c>
      <c r="T557" s="1">
        <f ca="1">IF(S557=1,T$3*Q556/Prices!C556,T$3*R556*S557)</f>
        <v>2.1834251707883117E-4</v>
      </c>
    </row>
    <row r="558" spans="1:20" x14ac:dyDescent="0.2">
      <c r="A558" s="4">
        <v>34288</v>
      </c>
      <c r="B558" s="9">
        <f ca="1">Prices!C557*(1+J558/(50*(ABS(O558)+ABS(T558)+0.0001)))</f>
        <v>104.28936710394727</v>
      </c>
      <c r="C558" s="13">
        <f t="shared" ca="1" si="54"/>
        <v>-1</v>
      </c>
      <c r="D558" s="9">
        <f ca="1">D557+C558*(Prices!C558-Prices!C557)/Prices!C557</f>
        <v>0.29459709934507367</v>
      </c>
      <c r="E558" s="9">
        <f t="shared" ca="1" si="55"/>
        <v>3.1696718286880365E-2</v>
      </c>
      <c r="F558" s="9">
        <f t="shared" ca="1" si="56"/>
        <v>0.32629381763195403</v>
      </c>
      <c r="G558" s="13">
        <f ca="1">IF((Prices!C558-Prices!C557)*C558&gt;0,1,0)</f>
        <v>0</v>
      </c>
      <c r="H558" s="9">
        <f>ABS(Prices!C558-Prices!C557)/Prices!C557</f>
        <v>9.2671394799054754E-3</v>
      </c>
      <c r="I558" s="13"/>
      <c r="J558" s="1">
        <f t="shared" ca="1" si="57"/>
        <v>-1.184447672737062E-3</v>
      </c>
      <c r="K558" s="9"/>
      <c r="L558" s="9">
        <f ca="1">L557-O558*Prices!C558</f>
        <v>0.75305552077661742</v>
      </c>
      <c r="M558" s="1">
        <f t="shared" ca="1" si="58"/>
        <v>1.2597888577490229E-2</v>
      </c>
      <c r="N558" s="9">
        <f ca="1">IF(Prices!D557&gt;OFFSET(Prices!D557,-$N$3,0),1,IF(Prices!D557&lt;OFFSET(Prices!D557,-$N$3,0),-1,0))</f>
        <v>-1</v>
      </c>
      <c r="O558" s="1">
        <f ca="1">IF(N558=1,O$3*L557/Prices!C557,O$3*M557*N558)</f>
        <v>-1.3997653974989145E-3</v>
      </c>
      <c r="P558" s="14"/>
      <c r="Q558" s="9">
        <f ca="1">Q557-T558*Prices!C558</f>
        <v>1.115511608914463</v>
      </c>
      <c r="R558" s="1">
        <f t="shared" ca="1" si="59"/>
        <v>9.1421262882836127E-3</v>
      </c>
      <c r="S558" s="9">
        <f ca="1">IF(Prices!C557&lt;OFFSET(Prices!C557,-S$3,0),1,IF(Prices!C557&gt;OFFSET(Prices!C557,-S$3,0),-1,0))</f>
        <v>1</v>
      </c>
      <c r="T558" s="1">
        <f ca="1">IF(S558=1,T$3*Q557/Prices!C557,T$3*R557*S558)</f>
        <v>2.1531772476185256E-4</v>
      </c>
    </row>
    <row r="559" spans="1:20" x14ac:dyDescent="0.2">
      <c r="A559" s="4">
        <v>34289</v>
      </c>
      <c r="B559" s="9">
        <f ca="1">Prices!C558*(1+J559/(50*(ABS(O559)+ABS(T559)+0.0001)))</f>
        <v>105.30030371895893</v>
      </c>
      <c r="C559" s="13">
        <f t="shared" ca="1" si="54"/>
        <v>-1</v>
      </c>
      <c r="D559" s="9">
        <f ca="1">D558+C559*(Prices!C559-Prices!C558)/Prices!C558</f>
        <v>0.29384754439332628</v>
      </c>
      <c r="E559" s="9">
        <f t="shared" ca="1" si="55"/>
        <v>3.2446273238627754E-2</v>
      </c>
      <c r="F559" s="9">
        <f t="shared" ca="1" si="56"/>
        <v>0.32629381763195403</v>
      </c>
      <c r="G559" s="13">
        <f ca="1">IF((Prices!C559-Prices!C558)*C559&gt;0,1,0)</f>
        <v>0</v>
      </c>
      <c r="H559" s="9">
        <f>ABS(Prices!C559-Prices!C558)/Prices!C558</f>
        <v>7.4955495174738396E-4</v>
      </c>
      <c r="I559" s="13"/>
      <c r="J559" s="1">
        <f t="shared" ca="1" si="57"/>
        <v>-1.0507545452006369E-3</v>
      </c>
      <c r="K559" s="9"/>
      <c r="L559" s="9">
        <f ca="1">L558-O559*Prices!C559</f>
        <v>0.88761356867279062</v>
      </c>
      <c r="M559" s="1">
        <f t="shared" ca="1" si="58"/>
        <v>1.1338099719741207E-2</v>
      </c>
      <c r="N559" s="9">
        <f ca="1">IF(Prices!D558&gt;OFFSET(Prices!D558,-$N$3,0),1,IF(Prices!D558&lt;OFFSET(Prices!D558,-$N$3,0),-1,0))</f>
        <v>-1</v>
      </c>
      <c r="O559" s="1">
        <f ca="1">IF(N559=1,O$3*L558/Prices!C558,O$3*M558*N559)</f>
        <v>-1.259788857749023E-3</v>
      </c>
      <c r="P559" s="14"/>
      <c r="Q559" s="9">
        <f ca="1">Q558-T559*Prices!C559</f>
        <v>1.0931846539911698</v>
      </c>
      <c r="R559" s="1">
        <f t="shared" ca="1" si="59"/>
        <v>9.3511606008319995E-3</v>
      </c>
      <c r="S559" s="9">
        <f ca="1">IF(Prices!C558&lt;OFFSET(Prices!C558,-S$3,0),1,IF(Prices!C558&gt;OFFSET(Prices!C558,-S$3,0),-1,0))</f>
        <v>1</v>
      </c>
      <c r="T559" s="1">
        <f ca="1">IF(S559=1,T$3*Q558/Prices!C558,T$3*R558*S559)</f>
        <v>2.0903431254838621E-4</v>
      </c>
    </row>
    <row r="560" spans="1:20" x14ac:dyDescent="0.2">
      <c r="A560" s="4">
        <v>34290</v>
      </c>
      <c r="B560" s="9">
        <f ca="1">Prices!C559*(1+J560/(50*(ABS(O560)+ABS(T560)+0.0001)))</f>
        <v>105.43025631080629</v>
      </c>
      <c r="C560" s="13">
        <f t="shared" ca="1" si="54"/>
        <v>-1</v>
      </c>
      <c r="D560" s="9">
        <f ca="1">D559+C560*(Prices!C560-Prices!C559)/Prices!C559</f>
        <v>0.29300492666090416</v>
      </c>
      <c r="E560" s="9">
        <f t="shared" ca="1" si="55"/>
        <v>3.3288890971049867E-2</v>
      </c>
      <c r="F560" s="9">
        <f t="shared" ca="1" si="56"/>
        <v>0.32629381763195403</v>
      </c>
      <c r="G560" s="13">
        <f ca="1">IF((Prices!C560-Prices!C559)*C560&gt;0,1,0)</f>
        <v>0</v>
      </c>
      <c r="H560" s="9">
        <f>ABS(Prices!C560-Prices!C559)/Prices!C559</f>
        <v>8.4261773242208981E-4</v>
      </c>
      <c r="I560" s="13"/>
      <c r="J560" s="1">
        <f t="shared" ca="1" si="57"/>
        <v>-9.2911291102642482E-4</v>
      </c>
      <c r="K560" s="9"/>
      <c r="L560" s="9">
        <f ca="1">L559-O560*Prices!C560</f>
        <v>1.0088178546768241</v>
      </c>
      <c r="M560" s="1">
        <f t="shared" ca="1" si="58"/>
        <v>1.0204289747767086E-2</v>
      </c>
      <c r="N560" s="9">
        <f ca="1">IF(Prices!D559&gt;OFFSET(Prices!D559,-$N$3,0),1,IF(Prices!D559&lt;OFFSET(Prices!D559,-$N$3,0),-1,0))</f>
        <v>-1</v>
      </c>
      <c r="O560" s="1">
        <f ca="1">IF(N560=1,O$3*L559/Prices!C559,O$3*M559*N560)</f>
        <v>-1.1338099719741207E-3</v>
      </c>
      <c r="P560" s="14"/>
      <c r="Q560" s="9">
        <f ca="1">Q559-T560*Prices!C560</f>
        <v>1.0713025381758612</v>
      </c>
      <c r="R560" s="1">
        <f t="shared" ca="1" si="59"/>
        <v>9.5558576617796945E-3</v>
      </c>
      <c r="S560" s="9">
        <f ca="1">IF(Prices!C559&lt;OFFSET(Prices!C559,-S$3,0),1,IF(Prices!C559&gt;OFFSET(Prices!C559,-S$3,0),-1,0))</f>
        <v>1</v>
      </c>
      <c r="T560" s="1">
        <f ca="1">IF(S560=1,T$3*Q559/Prices!C559,T$3*R559*S560)</f>
        <v>2.0469706094769589E-4</v>
      </c>
    </row>
    <row r="561" spans="1:20" x14ac:dyDescent="0.2">
      <c r="A561" s="4">
        <v>34291</v>
      </c>
      <c r="B561" s="9">
        <f ca="1">Prices!C560*(1+J561/(50*(ABS(O561)+ABS(T561)+0.0001)))</f>
        <v>104.9250137098754</v>
      </c>
      <c r="C561" s="13">
        <f t="shared" ca="1" si="54"/>
        <v>-1</v>
      </c>
      <c r="D561" s="9">
        <f ca="1">D560+C561*(Prices!C561-Prices!C560)/Prices!C560</f>
        <v>0.28879538503321484</v>
      </c>
      <c r="E561" s="9">
        <f t="shared" ca="1" si="55"/>
        <v>3.7498432598739195E-2</v>
      </c>
      <c r="F561" s="9">
        <f t="shared" ca="1" si="56"/>
        <v>0.32629381763195403</v>
      </c>
      <c r="G561" s="13">
        <f ca="1">IF((Prices!C561-Prices!C560)*C561&gt;0,1,0)</f>
        <v>0</v>
      </c>
      <c r="H561" s="9">
        <f>ABS(Prices!C561-Prices!C560)/Prices!C560</f>
        <v>4.2095416276893231E-3</v>
      </c>
      <c r="I561" s="13"/>
      <c r="J561" s="1">
        <f t="shared" ca="1" si="57"/>
        <v>-1.2115461280123026E-3</v>
      </c>
      <c r="K561" s="9"/>
      <c r="L561" s="9">
        <f ca="1">L560-O561*Prices!C561</f>
        <v>1.1183609051191037</v>
      </c>
      <c r="M561" s="1">
        <f t="shared" ca="1" si="58"/>
        <v>9.1838607729903769E-3</v>
      </c>
      <c r="N561" s="9">
        <f ca="1">IF(Prices!D560&gt;OFFSET(Prices!D560,-$N$3,0),1,IF(Prices!D560&lt;OFFSET(Prices!D560,-$N$3,0),-1,0))</f>
        <v>-1</v>
      </c>
      <c r="O561" s="1">
        <f ca="1">IF(N561=1,O$3*L560/Prices!C560,O$3*M560*N561)</f>
        <v>-1.0204289747767087E-3</v>
      </c>
      <c r="P561" s="14"/>
      <c r="Q561" s="9">
        <f ca="1">Q560-T561*Prices!C561</f>
        <v>1.0918189645757022</v>
      </c>
      <c r="R561" s="1">
        <f t="shared" ca="1" si="59"/>
        <v>9.3647405085441008E-3</v>
      </c>
      <c r="S561" s="9">
        <f ca="1">IF(Prices!C560&lt;OFFSET(Prices!C560,-S$3,0),1,IF(Prices!C560&gt;OFFSET(Prices!C560,-S$3,0),-1,0))</f>
        <v>-1</v>
      </c>
      <c r="T561" s="1">
        <f ca="1">IF(S561=1,T$3*Q560/Prices!C560,T$3*R560*S561)</f>
        <v>-1.911171532355939E-4</v>
      </c>
    </row>
    <row r="562" spans="1:20" x14ac:dyDescent="0.2">
      <c r="A562" s="4">
        <v>34292</v>
      </c>
      <c r="B562" s="9">
        <f ca="1">Prices!C561*(1+J562/(50*(ABS(O562)+ABS(T562)+0.0001)))</f>
        <v>108.7303488590517</v>
      </c>
      <c r="C562" s="13">
        <f t="shared" ca="1" si="54"/>
        <v>1</v>
      </c>
      <c r="D562" s="9">
        <f ca="1">D561+C562*(Prices!C562-Prices!C561)/Prices!C561</f>
        <v>0.29997377348221349</v>
      </c>
      <c r="E562" s="9">
        <f t="shared" ca="1" si="55"/>
        <v>2.632004414974054E-2</v>
      </c>
      <c r="F562" s="9">
        <f t="shared" ca="1" si="56"/>
        <v>0.32629381763195403</v>
      </c>
      <c r="G562" s="13">
        <f ca="1">IF((Prices!C562-Prices!C561)*C562&gt;0,1,0)</f>
        <v>1</v>
      </c>
      <c r="H562" s="9">
        <f>ABS(Prices!C562-Prices!C561)/Prices!C561</f>
        <v>1.1178388448998629E-2</v>
      </c>
      <c r="I562" s="13"/>
      <c r="J562" s="1">
        <f t="shared" ca="1" si="57"/>
        <v>8.5449457512870228E-4</v>
      </c>
      <c r="K562" s="9"/>
      <c r="L562" s="9">
        <f ca="1">L561-O562*Prices!C562</f>
        <v>1.0052746673448338</v>
      </c>
      <c r="M562" s="1">
        <f t="shared" ca="1" si="58"/>
        <v>1.022565015828996E-2</v>
      </c>
      <c r="N562" s="9">
        <f ca="1">IF(Prices!D561&gt;OFFSET(Prices!D561,-$N$3,0),1,IF(Prices!D561&lt;OFFSET(Prices!D561,-$N$3,0),-1,0))</f>
        <v>1</v>
      </c>
      <c r="O562" s="1">
        <f ca="1">IF(N562=1,O$3*L561/Prices!C561,O$3*M561*N562)</f>
        <v>1.0417893852995843E-3</v>
      </c>
      <c r="P562" s="14"/>
      <c r="Q562" s="9">
        <f ca="1">Q561-T562*Prices!C562</f>
        <v>1.1121498162197514</v>
      </c>
      <c r="R562" s="1">
        <f t="shared" ca="1" si="59"/>
        <v>9.177445698373218E-3</v>
      </c>
      <c r="S562" s="9">
        <f ca="1">IF(Prices!C561&lt;OFFSET(Prices!C561,-S$3,0),1,IF(Prices!C561&gt;OFFSET(Prices!C561,-S$3,0),-1,0))</f>
        <v>-1</v>
      </c>
      <c r="T562" s="1">
        <f ca="1">IF(S562=1,T$3*Q561/Prices!C561,T$3*R561*S562)</f>
        <v>-1.8729481017088203E-4</v>
      </c>
    </row>
    <row r="563" spans="1:20" x14ac:dyDescent="0.2">
      <c r="A563" s="4">
        <v>34295</v>
      </c>
      <c r="B563" s="9">
        <f ca="1">Prices!C562*(1+J563/(50*(ABS(O563)+ABS(T563)+0.0001)))</f>
        <v>109.88267849353001</v>
      </c>
      <c r="C563" s="13">
        <f t="shared" ca="1" si="54"/>
        <v>1</v>
      </c>
      <c r="D563" s="9">
        <f ca="1">D562+C563*(Prices!C563-Prices!C562)/Prices!C562</f>
        <v>0.2995131562551292</v>
      </c>
      <c r="E563" s="9">
        <f t="shared" ca="1" si="55"/>
        <v>2.6780661376824832E-2</v>
      </c>
      <c r="F563" s="9">
        <f t="shared" ca="1" si="56"/>
        <v>0.32629381763195403</v>
      </c>
      <c r="G563" s="13">
        <f ca="1">IF((Prices!C563-Prices!C562)*C563&gt;0,1,0)</f>
        <v>0</v>
      </c>
      <c r="H563" s="9">
        <f>ABS(Prices!C563-Prices!C562)/Prices!C562</f>
        <v>4.6061722708426678E-4</v>
      </c>
      <c r="I563" s="13"/>
      <c r="J563" s="1">
        <f t="shared" ca="1" si="57"/>
        <v>7.425447454934604E-4</v>
      </c>
      <c r="K563" s="9"/>
      <c r="L563" s="9">
        <f ca="1">L562-O563*Prices!C563</f>
        <v>0.90479350529332347</v>
      </c>
      <c r="M563" s="1">
        <f t="shared" ca="1" si="58"/>
        <v>1.1151743817750885E-2</v>
      </c>
      <c r="N563" s="9">
        <f ca="1">IF(Prices!D562&gt;OFFSET(Prices!D562,-$N$3,0),1,IF(Prices!D562&lt;OFFSET(Prices!D562,-$N$3,0),-1,0))</f>
        <v>1</v>
      </c>
      <c r="O563" s="1">
        <f ca="1">IF(N563=1,O$3*L562/Prices!C562,O$3*M562*N563)</f>
        <v>9.2609365946092479E-4</v>
      </c>
      <c r="P563" s="14"/>
      <c r="Q563" s="9">
        <f ca="1">Q562-T563*Prices!C563</f>
        <v>1.1320648733852212</v>
      </c>
      <c r="R563" s="1">
        <f t="shared" ca="1" si="59"/>
        <v>8.9938967844057534E-3</v>
      </c>
      <c r="S563" s="9">
        <f ca="1">IF(Prices!C562&lt;OFFSET(Prices!C562,-S$3,0),1,IF(Prices!C562&gt;OFFSET(Prices!C562,-S$3,0),-1,0))</f>
        <v>-1</v>
      </c>
      <c r="T563" s="1">
        <f ca="1">IF(S563=1,T$3*Q562/Prices!C562,T$3*R562*S563)</f>
        <v>-1.8354891396746436E-4</v>
      </c>
    </row>
    <row r="564" spans="1:20" x14ac:dyDescent="0.2">
      <c r="A564" s="4">
        <v>34296</v>
      </c>
      <c r="B564" s="9">
        <f ca="1">Prices!C563*(1+J564/(50*(ABS(O564)+ABS(T564)+0.0001)))</f>
        <v>109.77425561712199</v>
      </c>
      <c r="C564" s="13">
        <f t="shared" ca="1" si="54"/>
        <v>1</v>
      </c>
      <c r="D564" s="9">
        <f ca="1">D563+C564*(Prices!C564-Prices!C563)/Prices!C563</f>
        <v>0.29831499957310159</v>
      </c>
      <c r="E564" s="9">
        <f t="shared" ca="1" si="55"/>
        <v>2.7978818058852439E-2</v>
      </c>
      <c r="F564" s="9">
        <f t="shared" ca="1" si="56"/>
        <v>0.32629381763195403</v>
      </c>
      <c r="G564" s="13">
        <f ca="1">IF((Prices!C564-Prices!C563)*C564&gt;0,1,0)</f>
        <v>0</v>
      </c>
      <c r="H564" s="9">
        <f>ABS(Prices!C564-Prices!C563)/Prices!C563</f>
        <v>1.1981566820276079E-3</v>
      </c>
      <c r="I564" s="13"/>
      <c r="J564" s="1">
        <f t="shared" ca="1" si="57"/>
        <v>6.5403312909835824E-4</v>
      </c>
      <c r="K564" s="9"/>
      <c r="L564" s="9">
        <f ca="1">L563-O564*Prices!C564</f>
        <v>0.81442256320241335</v>
      </c>
      <c r="M564" s="1">
        <f t="shared" ca="1" si="58"/>
        <v>1.1985654882537358E-2</v>
      </c>
      <c r="N564" s="9">
        <f ca="1">IF(Prices!D563&gt;OFFSET(Prices!D563,-$N$3,0),1,IF(Prices!D563&lt;OFFSET(Prices!D563,-$N$3,0),-1,0))</f>
        <v>1</v>
      </c>
      <c r="O564" s="1">
        <f ca="1">IF(N564=1,O$3*L563/Prices!C563,O$3*M563*N564)</f>
        <v>8.3391106478647328E-4</v>
      </c>
      <c r="P564" s="14"/>
      <c r="Q564" s="9">
        <f ca="1">Q563-T564*Prices!C564</f>
        <v>1.1515582452757422</v>
      </c>
      <c r="R564" s="1">
        <f t="shared" ca="1" si="59"/>
        <v>8.8140188487176377E-3</v>
      </c>
      <c r="S564" s="9">
        <f ca="1">IF(Prices!C563&lt;OFFSET(Prices!C563,-S$3,0),1,IF(Prices!C563&gt;OFFSET(Prices!C563,-S$3,0),-1,0))</f>
        <v>-1</v>
      </c>
      <c r="T564" s="1">
        <f ca="1">IF(S564=1,T$3*Q563/Prices!C563,T$3*R563*S564)</f>
        <v>-1.7987793568811507E-4</v>
      </c>
    </row>
    <row r="565" spans="1:20" x14ac:dyDescent="0.2">
      <c r="A565" s="4">
        <v>34297</v>
      </c>
      <c r="B565" s="9">
        <f ca="1">Prices!C564*(1+J565/(50*(ABS(O565)+ABS(T565)+0.0001)))</f>
        <v>106.34955772969231</v>
      </c>
      <c r="C565" s="13">
        <f t="shared" ca="1" si="54"/>
        <v>-1</v>
      </c>
      <c r="D565" s="9">
        <f ca="1">D564+C565*(Prices!C565-Prices!C564)/Prices!C564</f>
        <v>0.30025280523887632</v>
      </c>
      <c r="E565" s="9">
        <f t="shared" ca="1" si="55"/>
        <v>2.6041012393077712E-2</v>
      </c>
      <c r="F565" s="9">
        <f t="shared" ca="1" si="56"/>
        <v>0.32629381763195403</v>
      </c>
      <c r="G565" s="13">
        <f ca="1">IF((Prices!C565-Prices!C564)*C565&gt;0,1,0)</f>
        <v>1</v>
      </c>
      <c r="H565" s="9">
        <f>ABS(Prices!C565-Prices!C564)/Prices!C564</f>
        <v>1.9378056657747343E-3</v>
      </c>
      <c r="I565" s="13"/>
      <c r="J565" s="1">
        <f t="shared" ca="1" si="57"/>
        <v>-1.3748458652280886E-3</v>
      </c>
      <c r="K565" s="9"/>
      <c r="L565" s="9">
        <f ca="1">L564-O565*Prices!C565</f>
        <v>0.94405940641193742</v>
      </c>
      <c r="M565" s="1">
        <f t="shared" ca="1" si="58"/>
        <v>1.0787089394283621E-2</v>
      </c>
      <c r="N565" s="9">
        <f ca="1">IF(Prices!D564&gt;OFFSET(Prices!D564,-$N$3,0),1,IF(Prices!D564&lt;OFFSET(Prices!D564,-$N$3,0),-1,0))</f>
        <v>-1</v>
      </c>
      <c r="O565" s="1">
        <f ca="1">IF(N565=1,O$3*L564/Prices!C564,O$3*M564*N565)</f>
        <v>-1.1985654882537358E-3</v>
      </c>
      <c r="P565" s="14"/>
      <c r="Q565" s="9">
        <f ca="1">Q564-T565*Prices!C565</f>
        <v>1.1706247308492883</v>
      </c>
      <c r="R565" s="1">
        <f t="shared" ca="1" si="59"/>
        <v>8.6377384717432858E-3</v>
      </c>
      <c r="S565" s="9">
        <f ca="1">IF(Prices!C564&lt;OFFSET(Prices!C564,-S$3,0),1,IF(Prices!C564&gt;OFFSET(Prices!C564,-S$3,0),-1,0))</f>
        <v>-1</v>
      </c>
      <c r="T565" s="1">
        <f ca="1">IF(S565=1,T$3*Q564/Prices!C564,T$3*R564*S565)</f>
        <v>-1.7628037697435276E-4</v>
      </c>
    </row>
    <row r="566" spans="1:20" x14ac:dyDescent="0.2">
      <c r="A566" s="4">
        <v>34298</v>
      </c>
      <c r="B566" s="9">
        <f ca="1">Prices!C565*(1+J566/(50*(ABS(O566)+ABS(T566)+0.0001)))</f>
        <v>106.15686349159161</v>
      </c>
      <c r="C566" s="13">
        <f t="shared" ca="1" si="54"/>
        <v>-1</v>
      </c>
      <c r="D566" s="9">
        <f ca="1">D565+C566*(Prices!C566-Prices!C565)/Prices!C565</f>
        <v>0.29821878157023729</v>
      </c>
      <c r="E566" s="9">
        <f t="shared" ca="1" si="55"/>
        <v>2.807503606171674E-2</v>
      </c>
      <c r="F566" s="9">
        <f t="shared" ca="1" si="56"/>
        <v>0.32629381763195403</v>
      </c>
      <c r="G566" s="13">
        <f ca="1">IF((Prices!C566-Prices!C565)*C566&gt;0,1,0)</f>
        <v>0</v>
      </c>
      <c r="H566" s="9">
        <f>ABS(Prices!C566-Prices!C565)/Prices!C565</f>
        <v>2.0340236686390428E-3</v>
      </c>
      <c r="I566" s="13"/>
      <c r="J566" s="1">
        <f t="shared" ca="1" si="57"/>
        <v>-1.2514637088632278E-3</v>
      </c>
      <c r="K566" s="9"/>
      <c r="L566" s="9">
        <f ca="1">L565-O566*Prices!C566</f>
        <v>1.0609698812671833</v>
      </c>
      <c r="M566" s="1">
        <f t="shared" ca="1" si="58"/>
        <v>9.7083804548552585E-3</v>
      </c>
      <c r="N566" s="9">
        <f ca="1">IF(Prices!D565&gt;OFFSET(Prices!D565,-$N$3,0),1,IF(Prices!D565&lt;OFFSET(Prices!D565,-$N$3,0),-1,0))</f>
        <v>-1</v>
      </c>
      <c r="O566" s="1">
        <f ca="1">IF(N566=1,O$3*L565/Prices!C565,O$3*M565*N566)</f>
        <v>-1.0787089394283622E-3</v>
      </c>
      <c r="P566" s="14"/>
      <c r="Q566" s="9">
        <f ca="1">Q565-T566*Prices!C566</f>
        <v>1.1893478927606391</v>
      </c>
      <c r="R566" s="1">
        <f t="shared" ca="1" si="59"/>
        <v>8.4649837023084203E-3</v>
      </c>
      <c r="S566" s="9">
        <f ca="1">IF(Prices!C565&lt;OFFSET(Prices!C565,-S$3,0),1,IF(Prices!C565&gt;OFFSET(Prices!C565,-S$3,0),-1,0))</f>
        <v>-1</v>
      </c>
      <c r="T566" s="1">
        <f ca="1">IF(S566=1,T$3*Q565/Prices!C565,T$3*R565*S566)</f>
        <v>-1.7275476943486571E-4</v>
      </c>
    </row>
    <row r="567" spans="1:20" x14ac:dyDescent="0.2">
      <c r="A567" s="4">
        <v>34299</v>
      </c>
      <c r="B567" s="9">
        <f ca="1">Prices!C566*(1+J567/(50*(ABS(O567)+ABS(T567)+0.0001)))</f>
        <v>110.38065767528957</v>
      </c>
      <c r="C567" s="13">
        <f t="shared" ca="1" si="54"/>
        <v>1</v>
      </c>
      <c r="D567" s="9">
        <f ca="1">D566+C567*(Prices!C567-Prices!C566)/Prices!C566</f>
        <v>0.30375485833716853</v>
      </c>
      <c r="E567" s="9">
        <f t="shared" ca="1" si="55"/>
        <v>2.2538959294785499E-2</v>
      </c>
      <c r="F567" s="9">
        <f t="shared" ca="1" si="56"/>
        <v>0.32629381763195403</v>
      </c>
      <c r="G567" s="13">
        <f ca="1">IF((Prices!C567-Prices!C566)*C567&gt;0,1,0)</f>
        <v>1</v>
      </c>
      <c r="H567" s="9">
        <f>ABS(Prices!C567-Prices!C566)/Prices!C566</f>
        <v>5.5360767669312468E-3</v>
      </c>
      <c r="I567" s="13"/>
      <c r="J567" s="1">
        <f t="shared" ca="1" si="57"/>
        <v>1.1984124929131862E-3</v>
      </c>
      <c r="K567" s="9"/>
      <c r="L567" s="9">
        <f ca="1">L566-O567*Prices!C567</f>
        <v>0.95428553206945521</v>
      </c>
      <c r="M567" s="1">
        <f t="shared" ca="1" si="58"/>
        <v>1.0687315573204754E-2</v>
      </c>
      <c r="N567" s="9">
        <f ca="1">IF(Prices!D566&gt;OFFSET(Prices!D566,-$N$3,0),1,IF(Prices!D566&lt;OFFSET(Prices!D566,-$N$3,0),-1,0))</f>
        <v>1</v>
      </c>
      <c r="O567" s="1">
        <f ca="1">IF(N567=1,O$3*L566/Prices!C566,O$3*M566*N567)</f>
        <v>9.7893511834949557E-4</v>
      </c>
      <c r="P567" s="14"/>
      <c r="Q567" s="9">
        <f ca="1">Q566-T567*Prices!C567</f>
        <v>1.1654292484806881</v>
      </c>
      <c r="R567" s="1">
        <f t="shared" ca="1" si="59"/>
        <v>8.6844610768721103E-3</v>
      </c>
      <c r="S567" s="9">
        <f ca="1">IF(Prices!C566&lt;OFFSET(Prices!C566,-S$3,0),1,IF(Prices!C566&gt;OFFSET(Prices!C566,-S$3,0),-1,0))</f>
        <v>1</v>
      </c>
      <c r="T567" s="1">
        <f ca="1">IF(S567=1,T$3*Q566/Prices!C566,T$3*R566*S567)</f>
        <v>2.1947737456369057E-4</v>
      </c>
    </row>
    <row r="568" spans="1:20" x14ac:dyDescent="0.2">
      <c r="A568" s="4">
        <v>34302</v>
      </c>
      <c r="B568" s="9">
        <f ca="1">Prices!C567*(1+J568/(50*(ABS(O568)+ABS(T568)+0.0001)))</f>
        <v>106.96276339859506</v>
      </c>
      <c r="C568" s="13">
        <f t="shared" ca="1" si="54"/>
        <v>-1</v>
      </c>
      <c r="D568" s="9">
        <f ca="1">D567+C568*(Prices!C568-Prices!C567)/Prices!C567</f>
        <v>0.30127733952637759</v>
      </c>
      <c r="E568" s="9">
        <f t="shared" ca="1" si="55"/>
        <v>2.5016478105576445E-2</v>
      </c>
      <c r="F568" s="9">
        <f t="shared" ca="1" si="56"/>
        <v>0.32629381763195403</v>
      </c>
      <c r="G568" s="13">
        <f ca="1">IF((Prices!C568-Prices!C567)*C568&gt;0,1,0)</f>
        <v>0</v>
      </c>
      <c r="H568" s="9">
        <f>ABS(Prices!C568-Prices!C567)/Prices!C567</f>
        <v>2.4775188107909341E-3</v>
      </c>
      <c r="I568" s="13"/>
      <c r="J568" s="1">
        <f t="shared" ca="1" si="57"/>
        <v>-1.2424207788579176E-3</v>
      </c>
      <c r="K568" s="9"/>
      <c r="L568" s="9">
        <f ca="1">L567-O568*Prices!C568</f>
        <v>1.0710444547067171</v>
      </c>
      <c r="M568" s="1">
        <f t="shared" ca="1" si="58"/>
        <v>9.6185840158842777E-3</v>
      </c>
      <c r="N568" s="9">
        <f ca="1">IF(Prices!D567&gt;OFFSET(Prices!D567,-$N$3,0),1,IF(Prices!D567&lt;OFFSET(Prices!D567,-$N$3,0),-1,0))</f>
        <v>-1</v>
      </c>
      <c r="O568" s="1">
        <f ca="1">IF(N568=1,O$3*L567/Prices!C567,O$3*M567*N568)</f>
        <v>-1.0687315573204754E-3</v>
      </c>
      <c r="P568" s="14"/>
      <c r="Q568" s="9">
        <f ca="1">Q567-T568*Prices!C568</f>
        <v>1.1844047959336537</v>
      </c>
      <c r="R568" s="1">
        <f t="shared" ca="1" si="59"/>
        <v>8.510771855334668E-3</v>
      </c>
      <c r="S568" s="9">
        <f ca="1">IF(Prices!C567&lt;OFFSET(Prices!C567,-S$3,0),1,IF(Prices!C567&gt;OFFSET(Prices!C567,-S$3,0),-1,0))</f>
        <v>-1</v>
      </c>
      <c r="T568" s="1">
        <f ca="1">IF(S568=1,T$3*Q567/Prices!C567,T$3*R567*S568)</f>
        <v>-1.7368922153744221E-4</v>
      </c>
    </row>
    <row r="569" spans="1:20" x14ac:dyDescent="0.2">
      <c r="A569" s="4">
        <v>34303</v>
      </c>
      <c r="B569" s="9">
        <f ca="1">Prices!C568*(1+J569/(50*(ABS(O569)+ABS(T569)+0.0001)))</f>
        <v>107.2423432672115</v>
      </c>
      <c r="C569" s="13">
        <f t="shared" ca="1" si="54"/>
        <v>-1</v>
      </c>
      <c r="D569" s="9">
        <f ca="1">D568+C569*(Prices!C569-Prices!C568)/Prices!C568</f>
        <v>0.30283340359960415</v>
      </c>
      <c r="E569" s="9">
        <f t="shared" ca="1" si="55"/>
        <v>2.3460414032349886E-2</v>
      </c>
      <c r="F569" s="9">
        <f t="shared" ca="1" si="56"/>
        <v>0.32629381763195403</v>
      </c>
      <c r="G569" s="13">
        <f ca="1">IF((Prices!C569-Prices!C568)*C569&gt;0,1,0)</f>
        <v>1</v>
      </c>
      <c r="H569" s="9">
        <f>ABS(Prices!C569-Prices!C568)/Prices!C568</f>
        <v>1.5560640732265602E-3</v>
      </c>
      <c r="I569" s="13"/>
      <c r="J569" s="1">
        <f t="shared" ca="1" si="57"/>
        <v>-1.1320738386951211E-3</v>
      </c>
      <c r="K569" s="9"/>
      <c r="L569" s="9">
        <f ca="1">L568-O569*Prices!C569</f>
        <v>1.1759639691519828</v>
      </c>
      <c r="M569" s="1">
        <f t="shared" ca="1" si="58"/>
        <v>8.6567256142958508E-3</v>
      </c>
      <c r="N569" s="9">
        <f ca="1">IF(Prices!D568&gt;OFFSET(Prices!D568,-$N$3,0),1,IF(Prices!D568&lt;OFFSET(Prices!D568,-$N$3,0),-1,0))</f>
        <v>-1</v>
      </c>
      <c r="O569" s="1">
        <f ca="1">IF(N569=1,O$3*L568/Prices!C568,O$3*M568*N569)</f>
        <v>-9.6185840158842777E-4</v>
      </c>
      <c r="P569" s="14"/>
      <c r="Q569" s="9">
        <f ca="1">Q568-T569*Prices!C569</f>
        <v>1.2029718958132518</v>
      </c>
      <c r="R569" s="1">
        <f t="shared" ca="1" si="59"/>
        <v>8.3405564182279738E-3</v>
      </c>
      <c r="S569" s="9">
        <f ca="1">IF(Prices!C568&lt;OFFSET(Prices!C568,-S$3,0),1,IF(Prices!C568&gt;OFFSET(Prices!C568,-S$3,0),-1,0))</f>
        <v>-1</v>
      </c>
      <c r="T569" s="1">
        <f ca="1">IF(S569=1,T$3*Q568/Prices!C568,T$3*R568*S569)</f>
        <v>-1.7021543710669335E-4</v>
      </c>
    </row>
    <row r="570" spans="1:20" x14ac:dyDescent="0.2">
      <c r="A570" s="4">
        <v>34304</v>
      </c>
      <c r="B570" s="9">
        <f ca="1">Prices!C569*(1+J570/(50*(ABS(O570)+ABS(T570)+0.0001)))</f>
        <v>110.55820180840698</v>
      </c>
      <c r="C570" s="13">
        <f t="shared" ca="1" si="54"/>
        <v>1</v>
      </c>
      <c r="D570" s="9">
        <f ca="1">D569+C570*(Prices!C570-Prices!C569)/Prices!C569</f>
        <v>0.30017480440635158</v>
      </c>
      <c r="E570" s="9">
        <f t="shared" ca="1" si="55"/>
        <v>2.611901322560245E-2</v>
      </c>
      <c r="F570" s="9">
        <f t="shared" ca="1" si="56"/>
        <v>0.32629381763195403</v>
      </c>
      <c r="G570" s="13">
        <f ca="1">IF((Prices!C570-Prices!C569)*C570&gt;0,1,0)</f>
        <v>0</v>
      </c>
      <c r="H570" s="9">
        <f>ABS(Prices!C570-Prices!C569)/Prices!C569</f>
        <v>2.6585991932525856E-3</v>
      </c>
      <c r="I570" s="13"/>
      <c r="J570" s="1">
        <f t="shared" ca="1" si="57"/>
        <v>9.1126365083601165E-4</v>
      </c>
      <c r="K570" s="9"/>
      <c r="L570" s="9">
        <f ca="1">L569-O570*Prices!C570</f>
        <v>1.0586802139227527</v>
      </c>
      <c r="M570" s="1">
        <f t="shared" ca="1" si="58"/>
        <v>9.7348003934964213E-3</v>
      </c>
      <c r="N570" s="9">
        <f ca="1">IF(Prices!D569&gt;OFFSET(Prices!D569,-$N$3,0),1,IF(Prices!D569&lt;OFFSET(Prices!D569,-$N$3,0),-1,0))</f>
        <v>1</v>
      </c>
      <c r="O570" s="1">
        <f ca="1">IF(N570=1,O$3*L569/Prices!C569,O$3*M569*N570)</f>
        <v>1.0780747792005711E-3</v>
      </c>
      <c r="P570" s="14"/>
      <c r="Q570" s="9">
        <f ca="1">Q569-T570*Prices!C570</f>
        <v>1.2211192784680323</v>
      </c>
      <c r="R570" s="1">
        <f t="shared" ca="1" si="59"/>
        <v>8.1737452898634141E-3</v>
      </c>
      <c r="S570" s="9">
        <f ca="1">IF(Prices!C569&lt;OFFSET(Prices!C569,-S$3,0),1,IF(Prices!C569&gt;OFFSET(Prices!C569,-S$3,0),-1,0))</f>
        <v>-1</v>
      </c>
      <c r="T570" s="1">
        <f ca="1">IF(S570=1,T$3*Q569/Prices!C569,T$3*R569*S570)</f>
        <v>-1.6681112836455949E-4</v>
      </c>
    </row>
    <row r="571" spans="1:20" x14ac:dyDescent="0.2">
      <c r="A571" s="4">
        <v>34305</v>
      </c>
      <c r="B571" s="9">
        <f ca="1">Prices!C570*(1+J571/(50*(ABS(O571)+ABS(T571)+0.0001)))</f>
        <v>110.21459074186646</v>
      </c>
      <c r="C571" s="13">
        <f t="shared" ca="1" si="54"/>
        <v>1</v>
      </c>
      <c r="D571" s="9">
        <f ca="1">D570+C571*(Prices!C571-Prices!C570)/Prices!C570</f>
        <v>0.30045056504611617</v>
      </c>
      <c r="E571" s="9">
        <f t="shared" ca="1" si="55"/>
        <v>2.5843252585837861E-2</v>
      </c>
      <c r="F571" s="9">
        <f t="shared" ca="1" si="56"/>
        <v>0.32629381763195403</v>
      </c>
      <c r="G571" s="13">
        <f ca="1">IF((Prices!C571-Prices!C570)*C571&gt;0,1,0)</f>
        <v>1</v>
      </c>
      <c r="H571" s="9">
        <f>ABS(Prices!C571-Prices!C570)/Prices!C570</f>
        <v>2.7576063976456408E-4</v>
      </c>
      <c r="I571" s="13"/>
      <c r="J571" s="1">
        <f t="shared" ca="1" si="57"/>
        <v>8.0966620452790189E-4</v>
      </c>
      <c r="K571" s="9"/>
      <c r="L571" s="9">
        <f ca="1">L570-O571*Prices!C571</f>
        <v>0.95278299829716762</v>
      </c>
      <c r="M571" s="1">
        <f t="shared" ca="1" si="58"/>
        <v>1.0707941503821591E-2</v>
      </c>
      <c r="N571" s="9">
        <f ca="1">IF(Prices!D570&gt;OFFSET(Prices!D570,-$N$3,0),1,IF(Prices!D570&lt;OFFSET(Prices!D570,-$N$3,0),-1,0))</f>
        <v>1</v>
      </c>
      <c r="O571" s="1">
        <f ca="1">IF(N571=1,O$3*L570/Prices!C570,O$3*M570*N571)</f>
        <v>9.7314111032517018E-4</v>
      </c>
      <c r="P571" s="14"/>
      <c r="Q571" s="9">
        <f ca="1">Q570-T571*Prices!C571</f>
        <v>1.2389086177168911</v>
      </c>
      <c r="R571" s="1">
        <f t="shared" ca="1" si="59"/>
        <v>8.0102703840661451E-3</v>
      </c>
      <c r="S571" s="9">
        <f ca="1">IF(Prices!C570&lt;OFFSET(Prices!C570,-S$3,0),1,IF(Prices!C570&gt;OFFSET(Prices!C570,-S$3,0),-1,0))</f>
        <v>-1</v>
      </c>
      <c r="T571" s="1">
        <f ca="1">IF(S571=1,T$3*Q570/Prices!C570,T$3*R570*S571)</f>
        <v>-1.6347490579726829E-4</v>
      </c>
    </row>
    <row r="572" spans="1:20" x14ac:dyDescent="0.2">
      <c r="A572" s="4">
        <v>34306</v>
      </c>
      <c r="B572" s="9">
        <f ca="1">Prices!C571*(1+J572/(50*(ABS(O572)+ABS(T572)+0.0001)))</f>
        <v>107.50793541313436</v>
      </c>
      <c r="C572" s="13">
        <f t="shared" ca="1" si="54"/>
        <v>-1</v>
      </c>
      <c r="D572" s="9">
        <f ca="1">D571+C572*(Prices!C572-Prices!C571)/Prices!C571</f>
        <v>0.30247225223597096</v>
      </c>
      <c r="E572" s="9">
        <f t="shared" ca="1" si="55"/>
        <v>2.3821565395983069E-2</v>
      </c>
      <c r="F572" s="9">
        <f t="shared" ca="1" si="56"/>
        <v>0.32629381763195403</v>
      </c>
      <c r="G572" s="13">
        <f ca="1">IF((Prices!C572-Prices!C571)*C572&gt;0,1,0)</f>
        <v>1</v>
      </c>
      <c r="H572" s="9">
        <f>ABS(Prices!C572-Prices!C571)/Prices!C571</f>
        <v>2.0216871898547958E-3</v>
      </c>
      <c r="I572" s="13"/>
      <c r="J572" s="1">
        <f t="shared" ca="1" si="57"/>
        <v>-8.430954520331624E-4</v>
      </c>
      <c r="K572" s="9"/>
      <c r="L572" s="9">
        <f ca="1">L571-O572*Prices!C572</f>
        <v>1.0690712430286702</v>
      </c>
      <c r="M572" s="1">
        <f t="shared" ca="1" si="58"/>
        <v>9.6371473534394309E-3</v>
      </c>
      <c r="N572" s="9">
        <f ca="1">IF(Prices!D571&gt;OFFSET(Prices!D571,-$N$3,0),1,IF(Prices!D571&lt;OFFSET(Prices!D571,-$N$3,0),-1,0))</f>
        <v>-1</v>
      </c>
      <c r="O572" s="1">
        <f ca="1">IF(N572=1,O$3*L571/Prices!C571,O$3*M571*N572)</f>
        <v>-1.0707941503821591E-3</v>
      </c>
      <c r="P572" s="14"/>
      <c r="Q572" s="9">
        <f ca="1">Q571-T572*Prices!C572</f>
        <v>1.2141805390761899</v>
      </c>
      <c r="R572" s="1">
        <f t="shared" ca="1" si="59"/>
        <v>8.2379690824151419E-3</v>
      </c>
      <c r="S572" s="9">
        <f ca="1">IF(Prices!C571&lt;OFFSET(Prices!C571,-S$3,0),1,IF(Prices!C571&gt;OFFSET(Prices!C571,-S$3,0),-1,0))</f>
        <v>1</v>
      </c>
      <c r="T572" s="1">
        <f ca="1">IF(S572=1,T$3*Q571/Prices!C571,T$3*R571*S572)</f>
        <v>2.2769869834899674E-4</v>
      </c>
    </row>
    <row r="573" spans="1:20" x14ac:dyDescent="0.2">
      <c r="A573" s="4">
        <v>34309</v>
      </c>
      <c r="B573" s="9">
        <f ca="1">Prices!C572*(1+J573/(50*(ABS(O573)+ABS(T573)+0.0001)))</f>
        <v>110.10081341798831</v>
      </c>
      <c r="C573" s="13">
        <f t="shared" ca="1" si="54"/>
        <v>1</v>
      </c>
      <c r="D573" s="9">
        <f ca="1">D572+C573*(Prices!C573-Prices!C572)/Prices!C572</f>
        <v>0.2959344990131349</v>
      </c>
      <c r="E573" s="9">
        <f t="shared" ca="1" si="55"/>
        <v>3.0359318618819131E-2</v>
      </c>
      <c r="F573" s="9">
        <f t="shared" ca="1" si="56"/>
        <v>0.32629381763195403</v>
      </c>
      <c r="G573" s="13">
        <f ca="1">IF((Prices!C573-Prices!C572)*C573&gt;0,1,0)</f>
        <v>0</v>
      </c>
      <c r="H573" s="9">
        <f>ABS(Prices!C573-Prices!C572)/Prices!C572</f>
        <v>6.5377532228360381E-3</v>
      </c>
      <c r="I573" s="13"/>
      <c r="J573" s="1">
        <f t="shared" ca="1" si="57"/>
        <v>2.2360599246338677E-4</v>
      </c>
      <c r="K573" s="9"/>
      <c r="L573" s="9">
        <f ca="1">L572-O573*Prices!C573</f>
        <v>1.0690712430286702</v>
      </c>
      <c r="M573" s="1">
        <f t="shared" ca="1" si="58"/>
        <v>9.6371473534394309E-3</v>
      </c>
      <c r="N573" s="9">
        <f ca="1">IF(Prices!D572&gt;OFFSET(Prices!D572,-$N$3,0),1,IF(Prices!D572&lt;OFFSET(Prices!D572,-$N$3,0),-1,0))</f>
        <v>0</v>
      </c>
      <c r="O573" s="1">
        <f ca="1">IF(N573=1,O$3*L572/Prices!C572,O$3*M572*N573)</f>
        <v>0</v>
      </c>
      <c r="P573" s="14"/>
      <c r="Q573" s="9">
        <f ca="1">Q572-T573*Prices!C573</f>
        <v>1.1900556885493152</v>
      </c>
      <c r="R573" s="1">
        <f t="shared" ca="1" si="59"/>
        <v>8.4615750748785294E-3</v>
      </c>
      <c r="S573" s="9">
        <f ca="1">IF(Prices!C572&lt;OFFSET(Prices!C572,-S$3,0),1,IF(Prices!C572&gt;OFFSET(Prices!C572,-S$3,0),-1,0))</f>
        <v>1</v>
      </c>
      <c r="T573" s="1">
        <f ca="1">IF(S573=1,T$3*Q572/Prices!C572,T$3*R572*S573)</f>
        <v>2.2360599246338677E-4</v>
      </c>
    </row>
    <row r="574" spans="1:20" x14ac:dyDescent="0.2">
      <c r="A574" s="4">
        <v>34310</v>
      </c>
      <c r="B574" s="9">
        <f ca="1">Prices!C573*(1+J574/(50*(ABS(O574)+ABS(T574)+0.0001)))</f>
        <v>106.64149398566202</v>
      </c>
      <c r="C574" s="13">
        <f t="shared" ca="1" si="54"/>
        <v>-1</v>
      </c>
      <c r="D574" s="9">
        <f ca="1">D573+C574*(Prices!C574-Prices!C573)/Prices!C573</f>
        <v>0.2993639178656699</v>
      </c>
      <c r="E574" s="9">
        <f t="shared" ca="1" si="55"/>
        <v>2.6929899766284127E-2</v>
      </c>
      <c r="F574" s="9">
        <f t="shared" ca="1" si="56"/>
        <v>0.32629381763195403</v>
      </c>
      <c r="G574" s="13">
        <f ca="1">IF((Prices!C574-Prices!C573)*C574&gt;0,1,0)</f>
        <v>1</v>
      </c>
      <c r="H574" s="9">
        <f>ABS(Prices!C574-Prices!C573)/Prices!C573</f>
        <v>3.4294188525350313E-3</v>
      </c>
      <c r="I574" s="13"/>
      <c r="J574" s="1">
        <f t="shared" ca="1" si="57"/>
        <v>-7.4310936162083347E-4</v>
      </c>
      <c r="K574" s="9"/>
      <c r="L574" s="9">
        <f ca="1">L573-O574*Prices!C574</f>
        <v>1.172689851372851</v>
      </c>
      <c r="M574" s="1">
        <f t="shared" ca="1" si="58"/>
        <v>8.673432618095488E-3</v>
      </c>
      <c r="N574" s="9">
        <f ca="1">IF(Prices!D573&gt;OFFSET(Prices!D573,-$N$3,0),1,IF(Prices!D573&lt;OFFSET(Prices!D573,-$N$3,0),-1,0))</f>
        <v>-1</v>
      </c>
      <c r="O574" s="1">
        <f ca="1">IF(N574=1,O$3*L573/Prices!C573,O$3*M573*N574)</f>
        <v>-9.6371473534394314E-4</v>
      </c>
      <c r="P574" s="14"/>
      <c r="Q574" s="9">
        <f ca="1">Q573-T574*Prices!C574</f>
        <v>1.1663361987666065</v>
      </c>
      <c r="R574" s="1">
        <f t="shared" ca="1" si="59"/>
        <v>8.6821804486016396E-3</v>
      </c>
      <c r="S574" s="9">
        <f ca="1">IF(Prices!C573&lt;OFFSET(Prices!C573,-S$3,0),1,IF(Prices!C573&gt;OFFSET(Prices!C573,-S$3,0),-1,0))</f>
        <v>1</v>
      </c>
      <c r="T574" s="1">
        <f ca="1">IF(S574=1,T$3*Q573/Prices!C573,T$3*R573*S574)</f>
        <v>2.2060537372310969E-4</v>
      </c>
    </row>
    <row r="575" spans="1:20" x14ac:dyDescent="0.2">
      <c r="A575" s="4">
        <v>34311</v>
      </c>
      <c r="B575" s="9">
        <f ca="1">Prices!C574*(1+J575/(50*(ABS(O575)+ABS(T575)+0.0001)))</f>
        <v>106.33904452188688</v>
      </c>
      <c r="C575" s="13">
        <f t="shared" ca="1" si="54"/>
        <v>-1</v>
      </c>
      <c r="D575" s="9">
        <f ca="1">D574+C575*(Prices!C575-Prices!C574)/Prices!C574</f>
        <v>0.28559903691328892</v>
      </c>
      <c r="E575" s="9">
        <f t="shared" ca="1" si="55"/>
        <v>4.0694780718665113E-2</v>
      </c>
      <c r="F575" s="9">
        <f t="shared" ca="1" si="56"/>
        <v>0.32629381763195403</v>
      </c>
      <c r="G575" s="13">
        <f ca="1">IF((Prices!C575-Prices!C574)*C575&gt;0,1,0)</f>
        <v>0</v>
      </c>
      <c r="H575" s="9">
        <f>ABS(Prices!C575-Prices!C574)/Prices!C574</f>
        <v>1.376488095238099E-2</v>
      </c>
      <c r="I575" s="13"/>
      <c r="J575" s="1">
        <f t="shared" ca="1" si="57"/>
        <v>-6.5039084388421287E-4</v>
      </c>
      <c r="K575" s="9"/>
      <c r="L575" s="9">
        <f ca="1">L574-O575*Prices!C575</f>
        <v>1.2672302669100919</v>
      </c>
      <c r="M575" s="1">
        <f t="shared" ca="1" si="58"/>
        <v>7.8060893562859387E-3</v>
      </c>
      <c r="N575" s="9">
        <f ca="1">IF(Prices!D574&gt;OFFSET(Prices!D574,-$N$3,0),1,IF(Prices!D574&lt;OFFSET(Prices!D574,-$N$3,0),-1,0))</f>
        <v>-1</v>
      </c>
      <c r="O575" s="1">
        <f ca="1">IF(N575=1,O$3*L574/Prices!C574,O$3*M574*N575)</f>
        <v>-8.6734326180954889E-4</v>
      </c>
      <c r="P575" s="14"/>
      <c r="Q575" s="9">
        <f ca="1">Q574-T575*Prices!C575</f>
        <v>1.142688385212745</v>
      </c>
      <c r="R575" s="1">
        <f t="shared" ca="1" si="59"/>
        <v>8.8991328665269757E-3</v>
      </c>
      <c r="S575" s="9">
        <f ca="1">IF(Prices!C574&lt;OFFSET(Prices!C574,-S$3,0),1,IF(Prices!C574&gt;OFFSET(Prices!C574,-S$3,0),-1,0))</f>
        <v>1</v>
      </c>
      <c r="T575" s="1">
        <f ca="1">IF(S575=1,T$3*Q574/Prices!C574,T$3*R574*S575)</f>
        <v>2.1695241792533604E-4</v>
      </c>
    </row>
    <row r="576" spans="1:20" x14ac:dyDescent="0.2">
      <c r="A576" s="4">
        <v>34312</v>
      </c>
      <c r="B576" s="9">
        <f ca="1">Prices!C575*(1+J576/(50*(ABS(O576)+ABS(T576)+0.0001)))</f>
        <v>107.02593399895669</v>
      </c>
      <c r="C576" s="13">
        <f t="shared" ca="1" si="54"/>
        <v>-1</v>
      </c>
      <c r="D576" s="9">
        <f ca="1">D575+C576*(Prices!C576-Prices!C575)/Prices!C575</f>
        <v>0.28908527544539897</v>
      </c>
      <c r="E576" s="9">
        <f t="shared" ca="1" si="55"/>
        <v>3.720854218655506E-2</v>
      </c>
      <c r="F576" s="9">
        <f t="shared" ca="1" si="56"/>
        <v>0.32629381763195403</v>
      </c>
      <c r="G576" s="13">
        <f ca="1">IF((Prices!C576-Prices!C575)*C576&gt;0,1,0)</f>
        <v>1</v>
      </c>
      <c r="H576" s="9">
        <f>ABS(Prices!C576-Prices!C575)/Prices!C575</f>
        <v>3.48623853211005E-3</v>
      </c>
      <c r="I576" s="13"/>
      <c r="J576" s="1">
        <f t="shared" ca="1" si="57"/>
        <v>-9.5859159295913347E-4</v>
      </c>
      <c r="K576" s="9"/>
      <c r="L576" s="9">
        <f ca="1">L575-O576*Prices!C576</f>
        <v>1.3520200094980697</v>
      </c>
      <c r="M576" s="1">
        <f t="shared" ca="1" si="58"/>
        <v>7.0254804206573446E-3</v>
      </c>
      <c r="N576" s="9">
        <f ca="1">IF(Prices!D575&gt;OFFSET(Prices!D575,-$N$3,0),1,IF(Prices!D575&lt;OFFSET(Prices!D575,-$N$3,0),-1,0))</f>
        <v>-1</v>
      </c>
      <c r="O576" s="1">
        <f ca="1">IF(N576=1,O$3*L575/Prices!C575,O$3*M575*N576)</f>
        <v>-7.8060893562859393E-4</v>
      </c>
      <c r="P576" s="14"/>
      <c r="Q576" s="9">
        <f ca="1">Q575-T576*Prices!C576</f>
        <v>1.1620208614519882</v>
      </c>
      <c r="R576" s="1">
        <f t="shared" ca="1" si="59"/>
        <v>8.7211502091964366E-3</v>
      </c>
      <c r="S576" s="9">
        <f ca="1">IF(Prices!C575&lt;OFFSET(Prices!C575,-S$3,0),1,IF(Prices!C575&gt;OFFSET(Prices!C575,-S$3,0),-1,0))</f>
        <v>-1</v>
      </c>
      <c r="T576" s="1">
        <f ca="1">IF(S576=1,T$3*Q575/Prices!C575,T$3*R575*S576)</f>
        <v>-1.7798265733053951E-4</v>
      </c>
    </row>
    <row r="577" spans="1:20" x14ac:dyDescent="0.2">
      <c r="A577" s="4">
        <v>34313</v>
      </c>
      <c r="B577" s="9">
        <f ca="1">Prices!C576*(1+J577/(50*(ABS(O577)+ABS(T577)+0.0001)))</f>
        <v>106.66996073508415</v>
      </c>
      <c r="C577" s="13">
        <f t="shared" ca="1" si="54"/>
        <v>-1</v>
      </c>
      <c r="D577" s="9">
        <f ca="1">D576+C577*(Prices!C577-Prices!C576)/Prices!C576</f>
        <v>0.28374555900275489</v>
      </c>
      <c r="E577" s="9">
        <f t="shared" ca="1" si="55"/>
        <v>4.2548258629199143E-2</v>
      </c>
      <c r="F577" s="9">
        <f t="shared" ca="1" si="56"/>
        <v>0.32629381763195403</v>
      </c>
      <c r="G577" s="13">
        <f ca="1">IF((Prices!C577-Prices!C576)*C577&gt;0,1,0)</f>
        <v>0</v>
      </c>
      <c r="H577" s="9">
        <f>ABS(Prices!C577-Prices!C576)/Prices!C576</f>
        <v>5.3397164426440642E-3</v>
      </c>
      <c r="I577" s="13"/>
      <c r="J577" s="1">
        <f t="shared" ca="1" si="57"/>
        <v>-8.7697104624966321E-4</v>
      </c>
      <c r="K577" s="9"/>
      <c r="L577" s="9">
        <f ca="1">L576-O577*Prices!C577</f>
        <v>1.4287382556916479</v>
      </c>
      <c r="M577" s="1">
        <f t="shared" ca="1" si="58"/>
        <v>6.3229323785916102E-3</v>
      </c>
      <c r="N577" s="9">
        <f ca="1">IF(Prices!D576&gt;OFFSET(Prices!D576,-$N$3,0),1,IF(Prices!D576&lt;OFFSET(Prices!D576,-$N$3,0),-1,0))</f>
        <v>-1</v>
      </c>
      <c r="O577" s="1">
        <f ca="1">IF(N577=1,O$3*L576/Prices!C576,O$3*M576*N577)</f>
        <v>-7.0254804206573446E-4</v>
      </c>
      <c r="P577" s="14"/>
      <c r="Q577" s="9">
        <f ca="1">Q576-T577*Prices!C577</f>
        <v>1.1810678535088732</v>
      </c>
      <c r="R577" s="1">
        <f t="shared" ca="1" si="59"/>
        <v>8.5467272050125075E-3</v>
      </c>
      <c r="S577" s="9">
        <f ca="1">IF(Prices!C576&lt;OFFSET(Prices!C576,-S$3,0),1,IF(Prices!C576&gt;OFFSET(Prices!C576,-S$3,0),-1,0))</f>
        <v>-1</v>
      </c>
      <c r="T577" s="1">
        <f ca="1">IF(S577=1,T$3*Q576/Prices!C576,T$3*R576*S577)</f>
        <v>-1.7442300418392872E-4</v>
      </c>
    </row>
    <row r="578" spans="1:20" x14ac:dyDescent="0.2">
      <c r="A578" s="4">
        <v>34316</v>
      </c>
      <c r="B578" s="9">
        <f ca="1">Prices!C577*(1+J578/(50*(ABS(O578)+ABS(T578)+0.0001)))</f>
        <v>110.77294427253501</v>
      </c>
      <c r="C578" s="13">
        <f t="shared" ca="1" si="54"/>
        <v>1</v>
      </c>
      <c r="D578" s="9">
        <f ca="1">D577+C578*(Prices!C578-Prices!C577)/Prices!C577</f>
        <v>0.28191405717125301</v>
      </c>
      <c r="E578" s="9">
        <f t="shared" ca="1" si="55"/>
        <v>4.4379760460701023E-2</v>
      </c>
      <c r="F578" s="9">
        <f t="shared" ca="1" si="56"/>
        <v>0.32629381763195403</v>
      </c>
      <c r="G578" s="13">
        <f ca="1">IF((Prices!C578-Prices!C577)*C578&gt;0,1,0)</f>
        <v>0</v>
      </c>
      <c r="H578" s="9">
        <f>ABS(Prices!C578-Prices!C577)/Prices!C577</f>
        <v>1.8315018315018575E-3</v>
      </c>
      <c r="I578" s="13"/>
      <c r="J578" s="1">
        <f t="shared" ca="1" si="57"/>
        <v>1.1374338219177426E-3</v>
      </c>
      <c r="K578" s="9"/>
      <c r="L578" s="9">
        <f ca="1">L577-O578*Prices!C578</f>
        <v>1.2861261037956866</v>
      </c>
      <c r="M578" s="1">
        <f t="shared" ca="1" si="58"/>
        <v>7.6313007446096029E-3</v>
      </c>
      <c r="N578" s="9">
        <f ca="1">IF(Prices!D577&gt;OFFSET(Prices!D577,-$N$3,0),1,IF(Prices!D577&lt;OFFSET(Prices!D577,-$N$3,0),-1,0))</f>
        <v>1</v>
      </c>
      <c r="O578" s="1">
        <f ca="1">IF(N578=1,O$3*L577/Prices!C577,O$3*M577*N578)</f>
        <v>1.3083683660179927E-3</v>
      </c>
      <c r="P578" s="14"/>
      <c r="Q578" s="9">
        <f ca="1">Q577-T578*Prices!C578</f>
        <v>1.1996997188158005</v>
      </c>
      <c r="R578" s="1">
        <f t="shared" ca="1" si="59"/>
        <v>8.3757926609122572E-3</v>
      </c>
      <c r="S578" s="9">
        <f ca="1">IF(Prices!C577&lt;OFFSET(Prices!C577,-S$3,0),1,IF(Prices!C577&gt;OFFSET(Prices!C577,-S$3,0),-1,0))</f>
        <v>-1</v>
      </c>
      <c r="T578" s="1">
        <f ca="1">IF(S578=1,T$3*Q577/Prices!C577,T$3*R577*S578)</f>
        <v>-1.7093454410025015E-4</v>
      </c>
    </row>
    <row r="579" spans="1:20" x14ac:dyDescent="0.2">
      <c r="A579" s="4">
        <v>34317</v>
      </c>
      <c r="B579" s="9">
        <f ca="1">Prices!C578*(1+J579/(50*(ABS(O579)+ABS(T579)+0.0001)))</f>
        <v>110.52479920406182</v>
      </c>
      <c r="C579" s="13">
        <f t="shared" ca="1" si="54"/>
        <v>1</v>
      </c>
      <c r="D579" s="9">
        <f ca="1">D578+C579*(Prices!C579-Prices!C578)/Prices!C578</f>
        <v>0.28558378194189526</v>
      </c>
      <c r="E579" s="9">
        <f t="shared" ca="1" si="55"/>
        <v>4.0710035690058766E-2</v>
      </c>
      <c r="F579" s="9">
        <f t="shared" ca="1" si="56"/>
        <v>0.32629381763195403</v>
      </c>
      <c r="G579" s="13">
        <f ca="1">IF((Prices!C579-Prices!C578)*C579&gt;0,1,0)</f>
        <v>1</v>
      </c>
      <c r="H579" s="9">
        <f>ABS(Prices!C579-Prices!C578)/Prices!C578</f>
        <v>3.6697247706422541E-3</v>
      </c>
      <c r="I579" s="13"/>
      <c r="J579" s="1">
        <f t="shared" ca="1" si="57"/>
        <v>1.0124163520988986E-3</v>
      </c>
      <c r="K579" s="9"/>
      <c r="L579" s="9">
        <f ca="1">L578-O579*Prices!C579</f>
        <v>1.157041520533991</v>
      </c>
      <c r="M579" s="1">
        <f t="shared" ca="1" si="58"/>
        <v>8.8112329499267471E-3</v>
      </c>
      <c r="N579" s="9">
        <f ca="1">IF(Prices!D578&gt;OFFSET(Prices!D578,-$N$3,0),1,IF(Prices!D578&lt;OFFSET(Prices!D578,-$N$3,0),-1,0))</f>
        <v>1</v>
      </c>
      <c r="O579" s="1">
        <f ca="1">IF(N579=1,O$3*L578/Prices!C578,O$3*M578*N579)</f>
        <v>1.1799322053171438E-3</v>
      </c>
      <c r="P579" s="14"/>
      <c r="Q579" s="9">
        <f ca="1">Q578-T579*Prices!C579</f>
        <v>1.2180259531578765</v>
      </c>
      <c r="R579" s="1">
        <f t="shared" ca="1" si="59"/>
        <v>8.2082768076940128E-3</v>
      </c>
      <c r="S579" s="9">
        <f ca="1">IF(Prices!C578&lt;OFFSET(Prices!C578,-S$3,0),1,IF(Prices!C578&gt;OFFSET(Prices!C578,-S$3,0),-1,0))</f>
        <v>-1</v>
      </c>
      <c r="T579" s="1">
        <f ca="1">IF(S579=1,T$3*Q578/Prices!C578,T$3*R578*S579)</f>
        <v>-1.6751585321824516E-4</v>
      </c>
    </row>
    <row r="580" spans="1:20" x14ac:dyDescent="0.2">
      <c r="A580" s="4">
        <v>34318</v>
      </c>
      <c r="B580" s="9">
        <f ca="1">Prices!C579*(1+J580/(50*(ABS(O580)+ABS(T580)+0.0001)))</f>
        <v>110.87897046067903</v>
      </c>
      <c r="C580" s="13">
        <f t="shared" ca="1" si="54"/>
        <v>1</v>
      </c>
      <c r="D580" s="9">
        <f ca="1">D579+C580*(Prices!C580-Prices!C579)/Prices!C579</f>
        <v>0.28905727371520418</v>
      </c>
      <c r="E580" s="9">
        <f t="shared" ca="1" si="55"/>
        <v>3.7236543916749854E-2</v>
      </c>
      <c r="F580" s="9">
        <f t="shared" ca="1" si="56"/>
        <v>0.32629381763195403</v>
      </c>
      <c r="G580" s="13">
        <f ca="1">IF((Prices!C580-Prices!C579)*C580&gt;0,1,0)</f>
        <v>1</v>
      </c>
      <c r="H580" s="9">
        <f>ABS(Prices!C580-Prices!C579)/Prices!C579</f>
        <v>3.473491773308916E-3</v>
      </c>
      <c r="I580" s="13"/>
      <c r="J580" s="1">
        <f t="shared" ca="1" si="57"/>
        <v>8.9345925409656864E-4</v>
      </c>
      <c r="K580" s="9"/>
      <c r="L580" s="9">
        <f ca="1">L579-O580*Prices!C580</f>
        <v>1.0409354710602967</v>
      </c>
      <c r="M580" s="1">
        <f t="shared" ca="1" si="58"/>
        <v>9.8688577401771956E-3</v>
      </c>
      <c r="N580" s="9">
        <f ca="1">IF(Prices!D579&gt;OFFSET(Prices!D579,-$N$3,0),1,IF(Prices!D579&lt;OFFSET(Prices!D579,-$N$3,0),-1,0))</f>
        <v>1</v>
      </c>
      <c r="O580" s="1">
        <f ca="1">IF(N580=1,O$3*L579/Prices!C579,O$3*M579*N580)</f>
        <v>1.0576247902504489E-3</v>
      </c>
      <c r="P580" s="14"/>
      <c r="Q580" s="9">
        <f ca="1">Q579-T580*Prices!C580</f>
        <v>1.2360480457168495</v>
      </c>
      <c r="R580" s="1">
        <f t="shared" ca="1" si="59"/>
        <v>8.044111271540132E-3</v>
      </c>
      <c r="S580" s="9">
        <f ca="1">IF(Prices!C579&lt;OFFSET(Prices!C579,-S$3,0),1,IF(Prices!C579&gt;OFFSET(Prices!C579,-S$3,0),-1,0))</f>
        <v>-1</v>
      </c>
      <c r="T580" s="1">
        <f ca="1">IF(S580=1,T$3*Q579/Prices!C579,T$3*R579*S580)</f>
        <v>-1.6416553615388027E-4</v>
      </c>
    </row>
    <row r="581" spans="1:20" x14ac:dyDescent="0.2">
      <c r="A581" s="4">
        <v>34319</v>
      </c>
      <c r="B581" s="9">
        <f ca="1">Prices!C580*(1+J581/(50*(ABS(O581)+ABS(T581)+0.0001)))</f>
        <v>111.20970918246199</v>
      </c>
      <c r="C581" s="13">
        <f t="shared" ca="1" si="54"/>
        <v>1</v>
      </c>
      <c r="D581" s="9">
        <f ca="1">D580+C581*(Prices!C581-Prices!C580)/Prices!C580</f>
        <v>0.28705326569917211</v>
      </c>
      <c r="E581" s="9">
        <f t="shared" ca="1" si="55"/>
        <v>3.924055193278192E-2</v>
      </c>
      <c r="F581" s="9">
        <f t="shared" ca="1" si="56"/>
        <v>0.32629381763195403</v>
      </c>
      <c r="G581" s="13">
        <f ca="1">IF((Prices!C581-Prices!C580)*C581&gt;0,1,0)</f>
        <v>0</v>
      </c>
      <c r="H581" s="9">
        <f>ABS(Prices!C581-Prices!C580)/Prices!C580</f>
        <v>2.0040080160320536E-3</v>
      </c>
      <c r="I581" s="13"/>
      <c r="J581" s="1">
        <f t="shared" ca="1" si="57"/>
        <v>7.8731915101326448E-4</v>
      </c>
      <c r="K581" s="9"/>
      <c r="L581" s="9">
        <f ca="1">L580-O581*Prices!C581</f>
        <v>0.93705052825708468</v>
      </c>
      <c r="M581" s="1">
        <f t="shared" ca="1" si="58"/>
        <v>1.0817059116621263E-2</v>
      </c>
      <c r="N581" s="9">
        <f ca="1">IF(Prices!D580&gt;OFFSET(Prices!D580,-$N$3,0),1,IF(Prices!D580&lt;OFFSET(Prices!D580,-$N$3,0),-1,0))</f>
        <v>1</v>
      </c>
      <c r="O581" s="1">
        <f ca="1">IF(N581=1,O$3*L580/Prices!C580,O$3*M580*N581)</f>
        <v>9.4820137644406708E-4</v>
      </c>
      <c r="P581" s="14"/>
      <c r="Q581" s="9">
        <f ca="1">Q580-T581*Prices!C581</f>
        <v>1.2536743023350483</v>
      </c>
      <c r="R581" s="1">
        <f t="shared" ca="1" si="59"/>
        <v>7.8832290461093302E-3</v>
      </c>
      <c r="S581" s="9">
        <f ca="1">IF(Prices!C580&lt;OFFSET(Prices!C580,-S$3,0),1,IF(Prices!C580&gt;OFFSET(Prices!C580,-S$3,0),-1,0))</f>
        <v>-1</v>
      </c>
      <c r="T581" s="1">
        <f ca="1">IF(S581=1,T$3*Q580/Prices!C580,T$3*R580*S581)</f>
        <v>-1.6088222543080266E-4</v>
      </c>
    </row>
    <row r="582" spans="1:20" x14ac:dyDescent="0.2">
      <c r="A582" s="4">
        <v>34320</v>
      </c>
      <c r="B582" s="9">
        <f ca="1">Prices!C581*(1+J582/(50*(ABS(O582)+ABS(T582)+0.0001)))</f>
        <v>110.93349085632555</v>
      </c>
      <c r="C582" s="13">
        <f t="shared" ca="1" si="54"/>
        <v>1</v>
      </c>
      <c r="D582" s="9">
        <f ca="1">D581+C582*(Prices!C582-Prices!C581)/Prices!C581</f>
        <v>0.29280353952173505</v>
      </c>
      <c r="E582" s="9">
        <f t="shared" ca="1" si="55"/>
        <v>3.3490278110218985E-2</v>
      </c>
      <c r="F582" s="9">
        <f t="shared" ca="1" si="56"/>
        <v>0.32629381763195403</v>
      </c>
      <c r="G582" s="13">
        <f ca="1">IF((Prices!C582-Prices!C581)*C582&gt;0,1,0)</f>
        <v>1</v>
      </c>
      <c r="H582" s="9">
        <f>ABS(Prices!C582-Prices!C581)/Prices!C581</f>
        <v>5.7502738225629372E-3</v>
      </c>
      <c r="I582" s="13"/>
      <c r="J582" s="1">
        <f t="shared" ca="1" si="57"/>
        <v>6.9762067670567449E-4</v>
      </c>
      <c r="K582" s="9"/>
      <c r="L582" s="9">
        <f ca="1">L581-O582*Prices!C582</f>
        <v>0.84280664571907071</v>
      </c>
      <c r="M582" s="1">
        <f t="shared" ca="1" si="58"/>
        <v>1.1672344374249124E-2</v>
      </c>
      <c r="N582" s="9">
        <f ca="1">IF(Prices!D581&gt;OFFSET(Prices!D581,-$N$3,0),1,IF(Prices!D581&lt;OFFSET(Prices!D581,-$N$3,0),-1,0))</f>
        <v>1</v>
      </c>
      <c r="O582" s="1">
        <f ca="1">IF(N582=1,O$3*L581/Prices!C581,O$3*M581*N582)</f>
        <v>8.5528525762786111E-4</v>
      </c>
      <c r="P582" s="14"/>
      <c r="Q582" s="9">
        <f ca="1">Q581-T582*Prices!C582</f>
        <v>1.2710473625068641</v>
      </c>
      <c r="R582" s="1">
        <f t="shared" ca="1" si="59"/>
        <v>7.7255644651871439E-3</v>
      </c>
      <c r="S582" s="9">
        <f ca="1">IF(Prices!C581&lt;OFFSET(Prices!C581,-S$3,0),1,IF(Prices!C581&gt;OFFSET(Prices!C581,-S$3,0),-1,0))</f>
        <v>-1</v>
      </c>
      <c r="T582" s="1">
        <f ca="1">IF(S582=1,T$3*Q581/Prices!C581,T$3*R581*S582)</f>
        <v>-1.5766458092218662E-4</v>
      </c>
    </row>
    <row r="583" spans="1:20" x14ac:dyDescent="0.2">
      <c r="A583" s="4">
        <v>34323</v>
      </c>
      <c r="B583" s="9">
        <f ca="1">Prices!C582*(1+J583/(50*(ABS(O583)+ABS(T583)+0.0001)))</f>
        <v>108.14120662028158</v>
      </c>
      <c r="C583" s="13">
        <f t="shared" ca="1" si="54"/>
        <v>-1</v>
      </c>
      <c r="D583" s="9">
        <f ca="1">D582+C583*(Prices!C583-Prices!C582)/Prices!C582</f>
        <v>0.28890118903620998</v>
      </c>
      <c r="E583" s="9">
        <f t="shared" ca="1" si="55"/>
        <v>3.7392628595744049E-2</v>
      </c>
      <c r="F583" s="9">
        <f t="shared" ca="1" si="56"/>
        <v>0.32629381763195403</v>
      </c>
      <c r="G583" s="13">
        <f ca="1">IF((Prices!C583-Prices!C582)*C583&gt;0,1,0)</f>
        <v>0</v>
      </c>
      <c r="H583" s="9">
        <f>ABS(Prices!C583-Prices!C582)/Prices!C582</f>
        <v>3.9023504855250643E-3</v>
      </c>
      <c r="I583" s="13"/>
      <c r="J583" s="1">
        <f t="shared" ca="1" si="57"/>
        <v>-1.3217457267286554E-3</v>
      </c>
      <c r="K583" s="9"/>
      <c r="L583" s="9">
        <f ca="1">L582-O583*Prices!C583</f>
        <v>0.97192611918701455</v>
      </c>
      <c r="M583" s="1">
        <f t="shared" ca="1" si="58"/>
        <v>1.0505109936824212E-2</v>
      </c>
      <c r="N583" s="9">
        <f ca="1">IF(Prices!D582&gt;OFFSET(Prices!D582,-$N$3,0),1,IF(Prices!D582&lt;OFFSET(Prices!D582,-$N$3,0),-1,0))</f>
        <v>-1</v>
      </c>
      <c r="O583" s="1">
        <f ca="1">IF(N583=1,O$3*L582/Prices!C582,O$3*M582*N583)</f>
        <v>-1.1672344374249125E-3</v>
      </c>
      <c r="P583" s="14"/>
      <c r="Q583" s="9">
        <f ca="1">Q582-T583*Prices!C583</f>
        <v>1.2881394013296441</v>
      </c>
      <c r="R583" s="1">
        <f t="shared" ca="1" si="59"/>
        <v>7.5710531758834011E-3</v>
      </c>
      <c r="S583" s="9">
        <f ca="1">IF(Prices!C582&lt;OFFSET(Prices!C582,-S$3,0),1,IF(Prices!C582&gt;OFFSET(Prices!C582,-S$3,0),-1,0))</f>
        <v>-1</v>
      </c>
      <c r="T583" s="1">
        <f ca="1">IF(S583=1,T$3*Q582/Prices!C582,T$3*R582*S583)</f>
        <v>-1.5451128930374288E-4</v>
      </c>
    </row>
    <row r="584" spans="1:20" x14ac:dyDescent="0.2">
      <c r="A584" s="4">
        <v>34324</v>
      </c>
      <c r="B584" s="9">
        <f ca="1">Prices!C583*(1+J584/(50*(ABS(O584)+ABS(T584)+0.0001)))</f>
        <v>108.577532062719</v>
      </c>
      <c r="C584" s="13">
        <f t="shared" ca="1" si="54"/>
        <v>-1</v>
      </c>
      <c r="D584" s="9">
        <f ca="1">D583+C584*(Prices!C584-Prices!C583)/Prices!C583</f>
        <v>0.28401961246777757</v>
      </c>
      <c r="E584" s="9">
        <f t="shared" ca="1" si="55"/>
        <v>4.2274205164176459E-2</v>
      </c>
      <c r="F584" s="9">
        <f t="shared" ca="1" si="56"/>
        <v>0.32629381763195403</v>
      </c>
      <c r="G584" s="13">
        <f ca="1">IF((Prices!C584-Prices!C583)*C584&gt;0,1,0)</f>
        <v>0</v>
      </c>
      <c r="H584" s="9">
        <f>ABS(Prices!C584-Prices!C583)/Prices!C583</f>
        <v>4.8815765684323996E-3</v>
      </c>
      <c r="I584" s="13"/>
      <c r="J584" s="1">
        <f t="shared" ca="1" si="57"/>
        <v>-1.2019320572000892E-3</v>
      </c>
      <c r="K584" s="9"/>
      <c r="L584" s="9">
        <f ca="1">L583-O584*Prices!C584</f>
        <v>1.0887009212447525</v>
      </c>
      <c r="M584" s="1">
        <f t="shared" ca="1" si="58"/>
        <v>9.4545989431417919E-3</v>
      </c>
      <c r="N584" s="9">
        <f ca="1">IF(Prices!D583&gt;OFFSET(Prices!D583,-$N$3,0),1,IF(Prices!D583&lt;OFFSET(Prices!D583,-$N$3,0),-1,0))</f>
        <v>-1</v>
      </c>
      <c r="O584" s="1">
        <f ca="1">IF(N584=1,O$3*L583/Prices!C583,O$3*M583*N584)</f>
        <v>-1.0505109936824212E-3</v>
      </c>
      <c r="P584" s="14"/>
      <c r="Q584" s="9">
        <f ca="1">Q583-T584*Prices!C584</f>
        <v>1.304971366750268</v>
      </c>
      <c r="R584" s="1">
        <f t="shared" ca="1" si="59"/>
        <v>7.4196321123657328E-3</v>
      </c>
      <c r="S584" s="9">
        <f ca="1">IF(Prices!C583&lt;OFFSET(Prices!C583,-S$3,0),1,IF(Prices!C583&gt;OFFSET(Prices!C583,-S$3,0),-1,0))</f>
        <v>-1</v>
      </c>
      <c r="T584" s="1">
        <f ca="1">IF(S584=1,T$3*Q583/Prices!C583,T$3*R583*S584)</f>
        <v>-1.5142106351766801E-4</v>
      </c>
    </row>
    <row r="585" spans="1:20" x14ac:dyDescent="0.2">
      <c r="A585" s="4">
        <v>34325</v>
      </c>
      <c r="B585" s="9">
        <f ca="1">Prices!C584*(1+J585/(50*(ABS(O585)+ABS(T585)+0.0001)))</f>
        <v>112.66472923312034</v>
      </c>
      <c r="C585" s="13">
        <f t="shared" ca="1" si="54"/>
        <v>1</v>
      </c>
      <c r="D585" s="9">
        <f ca="1">D584+C585*(Prices!C585-Prices!C584)/Prices!C584</f>
        <v>0.2770926603267197</v>
      </c>
      <c r="E585" s="9">
        <f t="shared" ca="1" si="55"/>
        <v>4.9201157305234333E-2</v>
      </c>
      <c r="F585" s="9">
        <f t="shared" ca="1" si="56"/>
        <v>0.32629381763195403</v>
      </c>
      <c r="G585" s="13">
        <f ca="1">IF((Prices!C585-Prices!C584)*C585&gt;0,1,0)</f>
        <v>0</v>
      </c>
      <c r="H585" s="9">
        <f>ABS(Prices!C585-Prices!C584)/Prices!C584</f>
        <v>6.926952141057899E-3</v>
      </c>
      <c r="I585" s="13"/>
      <c r="J585" s="1">
        <f t="shared" ca="1" si="57"/>
        <v>8.3100725091996908E-4</v>
      </c>
      <c r="K585" s="9"/>
      <c r="L585" s="9">
        <f ca="1">L584-O585*Prices!C585</f>
        <v>0.98058496703801601</v>
      </c>
      <c r="M585" s="1">
        <f t="shared" ca="1" si="58"/>
        <v>1.0433998836309076E-2</v>
      </c>
      <c r="N585" s="9">
        <f ca="1">IF(Prices!D584&gt;OFFSET(Prices!D584,-$N$3,0),1,IF(Prices!D584&lt;OFFSET(Prices!D584,-$N$3,0),-1,0))</f>
        <v>1</v>
      </c>
      <c r="O585" s="1">
        <f ca="1">IF(N585=1,O$3*L584/Prices!C584,O$3*M584*N585)</f>
        <v>9.7939989316728378E-4</v>
      </c>
      <c r="P585" s="14"/>
      <c r="Q585" s="9">
        <f ca="1">Q584-T585*Prices!C585</f>
        <v>1.3213524305279492</v>
      </c>
      <c r="R585" s="1">
        <f t="shared" ca="1" si="59"/>
        <v>7.2712394701184178E-3</v>
      </c>
      <c r="S585" s="9">
        <f ca="1">IF(Prices!C584&lt;OFFSET(Prices!C584,-S$3,0),1,IF(Prices!C584&gt;OFFSET(Prices!C584,-S$3,0),-1,0))</f>
        <v>-1</v>
      </c>
      <c r="T585" s="1">
        <f ca="1">IF(S585=1,T$3*Q584/Prices!C584,T$3*R584*S585)</f>
        <v>-1.4839264224731467E-4</v>
      </c>
    </row>
    <row r="586" spans="1:20" x14ac:dyDescent="0.2">
      <c r="A586" s="4">
        <v>34326</v>
      </c>
      <c r="B586" s="9">
        <f ca="1">Prices!C585*(1+J586/(50*(ABS(O586)+ABS(T586)+0.0001)))</f>
        <v>108.35350336237309</v>
      </c>
      <c r="C586" s="13">
        <f t="shared" ca="1" si="54"/>
        <v>-1</v>
      </c>
      <c r="D586" s="9">
        <f ca="1">D585+C586*(Prices!C586-Prices!C585)/Prices!C585</f>
        <v>0.27446561077512982</v>
      </c>
      <c r="E586" s="9">
        <f t="shared" ca="1" si="55"/>
        <v>5.182820685682421E-2</v>
      </c>
      <c r="F586" s="9">
        <f t="shared" ca="1" si="56"/>
        <v>0.32629381763195403</v>
      </c>
      <c r="G586" s="13">
        <f ca="1">IF((Prices!C586-Prices!C585)*C586&gt;0,1,0)</f>
        <v>0</v>
      </c>
      <c r="H586" s="9">
        <f>ABS(Prices!C586-Prices!C585)/Prices!C585</f>
        <v>2.6270495515898747E-3</v>
      </c>
      <c r="I586" s="13"/>
      <c r="J586" s="1">
        <f t="shared" ca="1" si="57"/>
        <v>-1.188824673033276E-3</v>
      </c>
      <c r="K586" s="9"/>
      <c r="L586" s="9">
        <f ca="1">L585-O586*Prices!C586</f>
        <v>1.0960684661582849</v>
      </c>
      <c r="M586" s="1">
        <f t="shared" ca="1" si="58"/>
        <v>9.390598952678169E-3</v>
      </c>
      <c r="N586" s="9">
        <f ca="1">IF(Prices!D585&gt;OFFSET(Prices!D585,-$N$3,0),1,IF(Prices!D585&lt;OFFSET(Prices!D585,-$N$3,0),-1,0))</f>
        <v>-1</v>
      </c>
      <c r="O586" s="1">
        <f ca="1">IF(N586=1,O$3*L585/Prices!C585,O$3*M585*N586)</f>
        <v>-1.0433998836309076E-3</v>
      </c>
      <c r="P586" s="14"/>
      <c r="Q586" s="9">
        <f ca="1">Q585-T586*Prices!C586</f>
        <v>1.3374480462190033</v>
      </c>
      <c r="R586" s="1">
        <f t="shared" ca="1" si="59"/>
        <v>7.1258146807160498E-3</v>
      </c>
      <c r="S586" s="9">
        <f ca="1">IF(Prices!C585&lt;OFFSET(Prices!C585,-S$3,0),1,IF(Prices!C585&gt;OFFSET(Prices!C585,-S$3,0),-1,0))</f>
        <v>-1</v>
      </c>
      <c r="T586" s="1">
        <f ca="1">IF(S586=1,T$3*Q585/Prices!C585,T$3*R585*S586)</f>
        <v>-1.4542478940236835E-4</v>
      </c>
    </row>
    <row r="587" spans="1:20" x14ac:dyDescent="0.2">
      <c r="A587" s="4">
        <v>34327</v>
      </c>
      <c r="B587" s="9">
        <f ca="1">Prices!C586*(1+J587/(50*(ABS(O587)+ABS(T587)+0.0001)))</f>
        <v>108.65374297634199</v>
      </c>
      <c r="C587" s="13">
        <f t="shared" ca="1" si="54"/>
        <v>-1</v>
      </c>
      <c r="D587" s="9">
        <f ca="1">D586+C587*(Prices!C587-Prices!C586)/Prices!C586</f>
        <v>0.27265859957166044</v>
      </c>
      <c r="E587" s="9">
        <f t="shared" ca="1" si="55"/>
        <v>5.3635218060293588E-2</v>
      </c>
      <c r="F587" s="9">
        <f t="shared" ca="1" si="56"/>
        <v>0.32629381763195403</v>
      </c>
      <c r="G587" s="13">
        <f ca="1">IF((Prices!C587-Prices!C586)*C587&gt;0,1,0)</f>
        <v>0</v>
      </c>
      <c r="H587" s="9">
        <f>ABS(Prices!C587-Prices!C586)/Prices!C586</f>
        <v>1.8070112034693586E-3</v>
      </c>
      <c r="I587" s="13"/>
      <c r="J587" s="1">
        <f t="shared" ca="1" si="57"/>
        <v>-1.0815761888821379E-3</v>
      </c>
      <c r="K587" s="9"/>
      <c r="L587" s="9">
        <f ca="1">L586-O587*Prices!C587</f>
        <v>1.2001914273455805</v>
      </c>
      <c r="M587" s="1">
        <f t="shared" ca="1" si="58"/>
        <v>8.4515390574103517E-3</v>
      </c>
      <c r="N587" s="9">
        <f ca="1">IF(Prices!D586&gt;OFFSET(Prices!D586,-$N$3,0),1,IF(Prices!D586&lt;OFFSET(Prices!D586,-$N$3,0),-1,0))</f>
        <v>-1</v>
      </c>
      <c r="O587" s="1">
        <f ca="1">IF(N587=1,O$3*L586/Prices!C586,O$3*M586*N587)</f>
        <v>-9.3905989526781692E-4</v>
      </c>
      <c r="P587" s="14"/>
      <c r="Q587" s="9">
        <f ca="1">Q586-T587*Prices!C587</f>
        <v>1.3532502528549593</v>
      </c>
      <c r="R587" s="1">
        <f t="shared" ca="1" si="59"/>
        <v>6.9832983871017289E-3</v>
      </c>
      <c r="S587" s="9">
        <f ca="1">IF(Prices!C586&lt;OFFSET(Prices!C586,-S$3,0),1,IF(Prices!C586&gt;OFFSET(Prices!C586,-S$3,0),-1,0))</f>
        <v>-1</v>
      </c>
      <c r="T587" s="1">
        <f ca="1">IF(S587=1,T$3*Q586/Prices!C586,T$3*R586*S587)</f>
        <v>-1.4251629361432101E-4</v>
      </c>
    </row>
    <row r="588" spans="1:20" x14ac:dyDescent="0.2">
      <c r="A588" s="4">
        <v>34330</v>
      </c>
      <c r="B588" s="9">
        <f ca="1">Prices!C587*(1+J588/(50*(ABS(O588)+ABS(T588)+0.0001)))</f>
        <v>108.8668210337777</v>
      </c>
      <c r="C588" s="13">
        <f t="shared" ca="1" si="54"/>
        <v>-1</v>
      </c>
      <c r="D588" s="9">
        <f ca="1">D587+C588*(Prices!C588-Prices!C587)/Prices!C587</f>
        <v>0.26742771934078025</v>
      </c>
      <c r="E588" s="9">
        <f t="shared" ca="1" si="55"/>
        <v>5.8866098291173785E-2</v>
      </c>
      <c r="F588" s="9">
        <f t="shared" ca="1" si="56"/>
        <v>0.32629381763195403</v>
      </c>
      <c r="G588" s="13">
        <f ca="1">IF((Prices!C588-Prices!C587)*C588&gt;0,1,0)</f>
        <v>0</v>
      </c>
      <c r="H588" s="9">
        <f>ABS(Prices!C588-Prices!C587)/Prices!C587</f>
        <v>5.2308802308802154E-3</v>
      </c>
      <c r="I588" s="13"/>
      <c r="J588" s="1">
        <f t="shared" ca="1" si="57"/>
        <v>-9.8481987348306979E-4</v>
      </c>
      <c r="K588" s="9"/>
      <c r="L588" s="9">
        <f ca="1">L587-O588*Prices!C588</f>
        <v>1.2943922816794762</v>
      </c>
      <c r="M588" s="1">
        <f t="shared" ca="1" si="58"/>
        <v>7.6063851516693162E-3</v>
      </c>
      <c r="N588" s="9">
        <f ca="1">IF(Prices!D587&gt;OFFSET(Prices!D587,-$N$3,0),1,IF(Prices!D587&lt;OFFSET(Prices!D587,-$N$3,0),-1,0))</f>
        <v>-1</v>
      </c>
      <c r="O588" s="1">
        <f ca="1">IF(N588=1,O$3*L587/Prices!C587,O$3*M587*N588)</f>
        <v>-8.451539057410352E-4</v>
      </c>
      <c r="P588" s="14"/>
      <c r="Q588" s="9">
        <f ca="1">Q587-T588*Prices!C588</f>
        <v>1.3688174216194864</v>
      </c>
      <c r="R588" s="1">
        <f t="shared" ca="1" si="59"/>
        <v>6.8436324193596942E-3</v>
      </c>
      <c r="S588" s="9">
        <f ca="1">IF(Prices!C587&lt;OFFSET(Prices!C587,-S$3,0),1,IF(Prices!C587&gt;OFFSET(Prices!C587,-S$3,0),-1,0))</f>
        <v>-1</v>
      </c>
      <c r="T588" s="1">
        <f ca="1">IF(S588=1,T$3*Q587/Prices!C587,T$3*R587*S588)</f>
        <v>-1.3966596774203459E-4</v>
      </c>
    </row>
    <row r="589" spans="1:20" x14ac:dyDescent="0.2">
      <c r="A589" s="4">
        <v>34331</v>
      </c>
      <c r="B589" s="9">
        <f ca="1">Prices!C588*(1+J589/(50*(ABS(O589)+ABS(T589)+0.0001)))</f>
        <v>109.45427619570064</v>
      </c>
      <c r="C589" s="13">
        <f t="shared" ca="1" si="54"/>
        <v>-1</v>
      </c>
      <c r="D589" s="9">
        <f ca="1">D588+C589*(Prices!C589-Prices!C588)/Prices!C588</f>
        <v>0.2676968741945393</v>
      </c>
      <c r="E589" s="9">
        <f t="shared" ca="1" si="55"/>
        <v>5.8596943437414728E-2</v>
      </c>
      <c r="F589" s="9">
        <f t="shared" ca="1" si="56"/>
        <v>0.32629381763195403</v>
      </c>
      <c r="G589" s="13">
        <f ca="1">IF((Prices!C589-Prices!C588)*C589&gt;0,1,0)</f>
        <v>1</v>
      </c>
      <c r="H589" s="9">
        <f>ABS(Prices!C589-Prices!C588)/Prices!C588</f>
        <v>2.6915485375907886E-4</v>
      </c>
      <c r="I589" s="13"/>
      <c r="J589" s="1">
        <f t="shared" ca="1" si="57"/>
        <v>-8.9751116355412557E-4</v>
      </c>
      <c r="K589" s="9"/>
      <c r="L589" s="9">
        <f ca="1">L588-O589*Prices!C589</f>
        <v>1.3791502314245274</v>
      </c>
      <c r="M589" s="1">
        <f t="shared" ca="1" si="58"/>
        <v>6.8457466365023844E-3</v>
      </c>
      <c r="N589" s="9">
        <f ca="1">IF(Prices!D588&gt;OFFSET(Prices!D588,-$N$3,0),1,IF(Prices!D588&lt;OFFSET(Prices!D588,-$N$3,0),-1,0))</f>
        <v>-1</v>
      </c>
      <c r="O589" s="1">
        <f ca="1">IF(N589=1,O$3*L588/Prices!C588,O$3*M588*N589)</f>
        <v>-7.6063851516693169E-4</v>
      </c>
      <c r="P589" s="14"/>
      <c r="Q589" s="9">
        <f ca="1">Q588-T589*Prices!C589</f>
        <v>1.3840691408292713</v>
      </c>
      <c r="R589" s="1">
        <f t="shared" ca="1" si="59"/>
        <v>6.7067597709725008E-3</v>
      </c>
      <c r="S589" s="9">
        <f ca="1">IF(Prices!C588&lt;OFFSET(Prices!C588,-S$3,0),1,IF(Prices!C588&gt;OFFSET(Prices!C588,-S$3,0),-1,0))</f>
        <v>-1</v>
      </c>
      <c r="T589" s="1">
        <f ca="1">IF(S589=1,T$3*Q588/Prices!C588,T$3*R588*S589)</f>
        <v>-1.3687264838719388E-4</v>
      </c>
    </row>
    <row r="590" spans="1:20" x14ac:dyDescent="0.2">
      <c r="A590" s="4">
        <v>34332</v>
      </c>
      <c r="B590" s="9">
        <f ca="1">Prices!C589*(1+J590/(50*(ABS(O590)+ABS(T590)+0.0001)))</f>
        <v>113.10097177982453</v>
      </c>
      <c r="C590" s="13">
        <f t="shared" ca="1" si="54"/>
        <v>1</v>
      </c>
      <c r="D590" s="9">
        <f ca="1">D589+C590*(Prices!C590-Prices!C589)/Prices!C589</f>
        <v>0.27110708688412016</v>
      </c>
      <c r="E590" s="9">
        <f t="shared" ca="1" si="55"/>
        <v>5.5186730747833868E-2</v>
      </c>
      <c r="F590" s="9">
        <f t="shared" ca="1" si="56"/>
        <v>0.32629381763195403</v>
      </c>
      <c r="G590" s="13">
        <f ca="1">IF((Prices!C590-Prices!C589)*C590&gt;0,1,0)</f>
        <v>1</v>
      </c>
      <c r="H590" s="9">
        <f>ABS(Prices!C590-Prices!C589)/Prices!C589</f>
        <v>3.4102126895808617E-3</v>
      </c>
      <c r="I590" s="13"/>
      <c r="J590" s="1">
        <f t="shared" ca="1" si="57"/>
        <v>1.1035478624864348E-3</v>
      </c>
      <c r="K590" s="9"/>
      <c r="L590" s="9">
        <f ca="1">L589-O590*Prices!C590</f>
        <v>1.2407648887200704</v>
      </c>
      <c r="M590" s="1">
        <f t="shared" ca="1" si="58"/>
        <v>8.0834296944082701E-3</v>
      </c>
      <c r="N590" s="9">
        <f ca="1">IF(Prices!D589&gt;OFFSET(Prices!D589,-$N$3,0),1,IF(Prices!D589&lt;OFFSET(Prices!D589,-$N$3,0),-1,0))</f>
        <v>1</v>
      </c>
      <c r="O590" s="1">
        <f ca="1">IF(N590=1,O$3*L589/Prices!C589,O$3*M589*N590)</f>
        <v>1.2376830579058848E-3</v>
      </c>
      <c r="P590" s="14"/>
      <c r="Q590" s="9">
        <f ca="1">Q589-T590*Prices!C590</f>
        <v>1.39906679702912</v>
      </c>
      <c r="R590" s="1">
        <f t="shared" ca="1" si="59"/>
        <v>6.5726245755530505E-3</v>
      </c>
      <c r="S590" s="9">
        <f ca="1">IF(Prices!C589&lt;OFFSET(Prices!C589,-S$3,0),1,IF(Prices!C589&gt;OFFSET(Prices!C589,-S$3,0),-1,0))</f>
        <v>-1</v>
      </c>
      <c r="T590" s="1">
        <f ca="1">IF(S590=1,T$3*Q589/Prices!C589,T$3*R589*S590)</f>
        <v>-1.3413519541945001E-4</v>
      </c>
    </row>
    <row r="591" spans="1:20" x14ac:dyDescent="0.2">
      <c r="A591" s="4">
        <v>34333</v>
      </c>
      <c r="B591" s="9">
        <f ca="1">Prices!C590*(1+J591/(50*(ABS(O591)+ABS(T591)+0.0001)))</f>
        <v>113.44110618325514</v>
      </c>
      <c r="C591" s="13">
        <f t="shared" ca="1" si="54"/>
        <v>1</v>
      </c>
      <c r="D591" s="9">
        <f ca="1">D590+C591*(Prices!C591-Prices!C590)/Prices!C590</f>
        <v>0.27110708688412016</v>
      </c>
      <c r="E591" s="9">
        <f t="shared" ca="1" si="55"/>
        <v>5.5186730747833868E-2</v>
      </c>
      <c r="F591" s="9">
        <f t="shared" ca="1" si="56"/>
        <v>0.32629381763195403</v>
      </c>
      <c r="G591" s="13">
        <f ca="1">IF((Prices!C591-Prices!C590)*C591&gt;0,1,0)</f>
        <v>0</v>
      </c>
      <c r="H591" s="9">
        <f>ABS(Prices!C591-Prices!C590)/Prices!C590</f>
        <v>0</v>
      </c>
      <c r="I591" s="13"/>
      <c r="J591" s="1">
        <f t="shared" ca="1" si="57"/>
        <v>9.7825584291347202E-4</v>
      </c>
      <c r="K591" s="9"/>
      <c r="L591" s="9">
        <f ca="1">L590-O591*Prices!C591</f>
        <v>1.1166883998480635</v>
      </c>
      <c r="M591" s="1">
        <f t="shared" ca="1" si="58"/>
        <v>9.1931380288328025E-3</v>
      </c>
      <c r="N591" s="9">
        <f ca="1">IF(Prices!D590&gt;OFFSET(Prices!D590,-$N$3,0),1,IF(Prices!D590&lt;OFFSET(Prices!D590,-$N$3,0),-1,0))</f>
        <v>1</v>
      </c>
      <c r="O591" s="1">
        <f ca="1">IF(N591=1,O$3*L590/Prices!C590,O$3*M590*N591)</f>
        <v>1.109708334424533E-3</v>
      </c>
      <c r="P591" s="14"/>
      <c r="Q591" s="9">
        <f ca="1">Q590-T591*Prices!C591</f>
        <v>1.4137645001049717</v>
      </c>
      <c r="R591" s="1">
        <f t="shared" ca="1" si="59"/>
        <v>6.4411720840419897E-3</v>
      </c>
      <c r="S591" s="9">
        <f ca="1">IF(Prices!C590&lt;OFFSET(Prices!C590,-S$3,0),1,IF(Prices!C590&gt;OFFSET(Prices!C590,-S$3,0),-1,0))</f>
        <v>-1</v>
      </c>
      <c r="T591" s="1">
        <f ca="1">IF(S591=1,T$3*Q590/Prices!C590,T$3*R590*S591)</f>
        <v>-1.3145249151106102E-4</v>
      </c>
    </row>
    <row r="592" spans="1:20" x14ac:dyDescent="0.2">
      <c r="A592" s="4">
        <v>34334</v>
      </c>
      <c r="B592" s="9">
        <f ca="1">Prices!C591*(1+J592/(50*(ABS(O592)+ABS(T592)+0.0001)))</f>
        <v>113.39468859003411</v>
      </c>
      <c r="C592" s="13">
        <f t="shared" ca="1" si="54"/>
        <v>1</v>
      </c>
      <c r="D592" s="9">
        <f ca="1">D591+C592*(Prices!C592-Prices!C591)/Prices!C591</f>
        <v>0.27146483663816712</v>
      </c>
      <c r="E592" s="9">
        <f t="shared" ca="1" si="55"/>
        <v>5.4828980993786913E-2</v>
      </c>
      <c r="F592" s="9">
        <f t="shared" ca="1" si="56"/>
        <v>0.32629381763195403</v>
      </c>
      <c r="G592" s="13">
        <f ca="1">IF((Prices!C592-Prices!C591)*C592&gt;0,1,0)</f>
        <v>1</v>
      </c>
      <c r="H592" s="9">
        <f>ABS(Prices!C592-Prices!C591)/Prices!C591</f>
        <v>3.577497540469729E-4</v>
      </c>
      <c r="I592" s="13"/>
      <c r="J592" s="1">
        <f t="shared" ca="1" si="57"/>
        <v>8.6991405930123998E-4</v>
      </c>
      <c r="K592" s="9"/>
      <c r="L592" s="9">
        <f ca="1">L591-O592*Prices!C592</f>
        <v>1.0049796103632178</v>
      </c>
      <c r="M592" s="1">
        <f t="shared" ca="1" si="58"/>
        <v>1.0191875529814882E-2</v>
      </c>
      <c r="N592" s="9">
        <f ca="1">IF(Prices!D591&gt;OFFSET(Prices!D591,-$N$3,0),1,IF(Prices!D591&lt;OFFSET(Prices!D591,-$N$3,0),-1,0))</f>
        <v>1</v>
      </c>
      <c r="O592" s="1">
        <f ca="1">IF(N592=1,O$3*L591/Prices!C591,O$3*M591*N592)</f>
        <v>9.987375009820798E-4</v>
      </c>
      <c r="P592" s="14"/>
      <c r="Q592" s="9">
        <f ca="1">Q591-T592*Prices!C592</f>
        <v>1.4281734020569736</v>
      </c>
      <c r="R592" s="1">
        <f t="shared" ca="1" si="59"/>
        <v>6.3123486423611501E-3</v>
      </c>
      <c r="S592" s="9">
        <f ca="1">IF(Prices!C591&lt;OFFSET(Prices!C591,-S$3,0),1,IF(Prices!C591&gt;OFFSET(Prices!C591,-S$3,0),-1,0))</f>
        <v>-1</v>
      </c>
      <c r="T592" s="1">
        <f ca="1">IF(S592=1,T$3*Q591/Prices!C591,T$3*R591*S592)</f>
        <v>-1.2882344168083979E-4</v>
      </c>
    </row>
    <row r="593" spans="1:20" x14ac:dyDescent="0.2">
      <c r="A593" s="4">
        <v>34337</v>
      </c>
      <c r="B593" s="9">
        <f ca="1">Prices!C592*(1+J593/(50*(ABS(O593)+ABS(T593)+0.0001)))</f>
        <v>113.38593179343556</v>
      </c>
      <c r="C593" s="13">
        <f t="shared" ca="1" si="54"/>
        <v>1</v>
      </c>
      <c r="D593" s="9">
        <f ca="1">D592+C593*(Prices!C593-Prices!C592)/Prices!C592</f>
        <v>0.27906430020544482</v>
      </c>
      <c r="E593" s="9">
        <f t="shared" ca="1" si="55"/>
        <v>4.7229517426509215E-2</v>
      </c>
      <c r="F593" s="9">
        <f t="shared" ca="1" si="56"/>
        <v>0.32629381763195403</v>
      </c>
      <c r="G593" s="13">
        <f ca="1">IF((Prices!C593-Prices!C592)*C593&gt;0,1,0)</f>
        <v>1</v>
      </c>
      <c r="H593" s="9">
        <f>ABS(Prices!C593-Prices!C592)/Prices!C592</f>
        <v>7.5994635672776804E-3</v>
      </c>
      <c r="I593" s="13"/>
      <c r="J593" s="1">
        <f t="shared" ca="1" si="57"/>
        <v>7.7225960771890837E-4</v>
      </c>
      <c r="K593" s="9"/>
      <c r="L593" s="9">
        <f ca="1">L592-O593*Prices!C593</f>
        <v>0.90371791873341478</v>
      </c>
      <c r="M593" s="1">
        <f t="shared" ca="1" si="58"/>
        <v>1.1090382110381014E-2</v>
      </c>
      <c r="N593" s="9">
        <f ca="1">IF(Prices!D592&gt;OFFSET(Prices!D592,-$N$3,0),1,IF(Prices!D592&lt;OFFSET(Prices!D592,-$N$3,0),-1,0))</f>
        <v>1</v>
      </c>
      <c r="O593" s="1">
        <f ca="1">IF(N593=1,O$3*L592/Prices!C592,O$3*M592*N593)</f>
        <v>8.9850658056613139E-4</v>
      </c>
      <c r="P593" s="14"/>
      <c r="Q593" s="9">
        <f ca="1">Q592-T593*Prices!C593</f>
        <v>1.4424014358968558</v>
      </c>
      <c r="R593" s="1">
        <f t="shared" ca="1" si="59"/>
        <v>6.1861016695139272E-3</v>
      </c>
      <c r="S593" s="9">
        <f ca="1">IF(Prices!C592&lt;OFFSET(Prices!C592,-S$3,0),1,IF(Prices!C592&gt;OFFSET(Prices!C592,-S$3,0),-1,0))</f>
        <v>-1</v>
      </c>
      <c r="T593" s="1">
        <f ca="1">IF(S593=1,T$3*Q592/Prices!C592,T$3*R592*S593)</f>
        <v>-1.26246972847223E-4</v>
      </c>
    </row>
    <row r="594" spans="1:20" x14ac:dyDescent="0.2">
      <c r="A594" s="4">
        <v>34338</v>
      </c>
      <c r="B594" s="9">
        <f ca="1">Prices!C593*(1+J594/(50*(ABS(O594)+ABS(T594)+0.0001)))</f>
        <v>114.19040996115405</v>
      </c>
      <c r="C594" s="13">
        <f t="shared" ref="C594:C657" ca="1" si="60">IF(J594&gt;0,1,IF(J594&lt;0,-1,0))</f>
        <v>1</v>
      </c>
      <c r="D594" s="9">
        <f ca="1">D593+C594*(Prices!C594-Prices!C593)/Prices!C593</f>
        <v>0.2785319133376542</v>
      </c>
      <c r="E594" s="9">
        <f t="shared" ref="E594:E657" ca="1" si="61">F594-D594</f>
        <v>4.7761904294299828E-2</v>
      </c>
      <c r="F594" s="9">
        <f t="shared" ref="F594:F657" ca="1" si="62">MAX(F593,D594)</f>
        <v>0.32629381763195403</v>
      </c>
      <c r="G594" s="13">
        <f ca="1">IF((Prices!C594-Prices!C593)*C594&gt;0,1,0)</f>
        <v>0</v>
      </c>
      <c r="H594" s="9">
        <f>ABS(Prices!C594-Prices!C593)/Prices!C593</f>
        <v>5.3238686779061468E-4</v>
      </c>
      <c r="I594" s="13"/>
      <c r="J594" s="1">
        <f t="shared" ref="J594:J657" ca="1" si="63">O594+T594</f>
        <v>6.7815722014425111E-4</v>
      </c>
      <c r="K594" s="9"/>
      <c r="L594" s="9">
        <f ca="1">L593-O594*Prices!C594</f>
        <v>0.81339423961528534</v>
      </c>
      <c r="M594" s="1">
        <f t="shared" ref="M594:M657" ca="1" si="64">M593+O594</f>
        <v>1.1892261363915545E-2</v>
      </c>
      <c r="N594" s="9">
        <f ca="1">IF(Prices!D593&gt;OFFSET(Prices!D593,-$N$3,0),1,IF(Prices!D593&lt;OFFSET(Prices!D593,-$N$3,0),-1,0))</f>
        <v>1</v>
      </c>
      <c r="O594" s="1">
        <f ca="1">IF(N594=1,O$3*L593/Prices!C593,O$3*M593*N594)</f>
        <v>8.0187925353452966E-4</v>
      </c>
      <c r="P594" s="14"/>
      <c r="Q594" s="9">
        <f ca="1">Q593-T594*Prices!C594</f>
        <v>1.4563374857379368</v>
      </c>
      <c r="R594" s="1">
        <f t="shared" ref="R594:R657" ca="1" si="65">R593+T594</f>
        <v>6.0623796361236482E-3</v>
      </c>
      <c r="S594" s="9">
        <f ca="1">IF(Prices!C593&lt;OFFSET(Prices!C593,-S$3,0),1,IF(Prices!C593&gt;OFFSET(Prices!C593,-S$3,0),-1,0))</f>
        <v>-1</v>
      </c>
      <c r="T594" s="1">
        <f ca="1">IF(S594=1,T$3*Q593/Prices!C593,T$3*R593*S594)</f>
        <v>-1.2372203339027854E-4</v>
      </c>
    </row>
    <row r="595" spans="1:20" x14ac:dyDescent="0.2">
      <c r="A595" s="4">
        <v>34339</v>
      </c>
      <c r="B595" s="9">
        <f ca="1">Prices!C594*(1+J595/(50*(ABS(O595)+ABS(T595)+0.0001)))</f>
        <v>114.07490630222487</v>
      </c>
      <c r="C595" s="13">
        <f t="shared" ca="1" si="60"/>
        <v>1</v>
      </c>
      <c r="D595" s="9">
        <f ca="1">D594+C595*(Prices!C595-Prices!C594)/Prices!C594</f>
        <v>0.28226060651947238</v>
      </c>
      <c r="E595" s="9">
        <f t="shared" ca="1" si="61"/>
        <v>4.4033211112481652E-2</v>
      </c>
      <c r="F595" s="9">
        <f t="shared" ca="1" si="62"/>
        <v>0.32629381763195403</v>
      </c>
      <c r="G595" s="13">
        <f ca="1">IF((Prices!C595-Prices!C594)*C595&gt;0,1,0)</f>
        <v>1</v>
      </c>
      <c r="H595" s="9">
        <f>ABS(Prices!C595-Prices!C594)/Prices!C594</f>
        <v>3.7286931818181972E-3</v>
      </c>
      <c r="I595" s="13"/>
      <c r="J595" s="1">
        <f t="shared" ca="1" si="63"/>
        <v>6.0087087284507441E-4</v>
      </c>
      <c r="K595" s="9"/>
      <c r="L595" s="9">
        <f ca="1">L594-O595*Prices!C595</f>
        <v>0.73175152589821846</v>
      </c>
      <c r="M595" s="1">
        <f t="shared" ca="1" si="64"/>
        <v>1.2614379829483092E-2</v>
      </c>
      <c r="N595" s="9">
        <f ca="1">IF(Prices!D594&gt;OFFSET(Prices!D594,-$N$3,0),1,IF(Prices!D594&lt;OFFSET(Prices!D594,-$N$3,0),-1,0))</f>
        <v>1</v>
      </c>
      <c r="O595" s="1">
        <f ca="1">IF(N595=1,O$3*L594/Prices!C594,O$3*M594*N595)</f>
        <v>7.2211846556754741E-4</v>
      </c>
      <c r="P595" s="14"/>
      <c r="Q595" s="9">
        <f ca="1">Q594-T595*Prices!C595</f>
        <v>1.4700457385711396</v>
      </c>
      <c r="R595" s="1">
        <f t="shared" ca="1" si="65"/>
        <v>5.941132043401175E-3</v>
      </c>
      <c r="S595" s="9">
        <f ca="1">IF(Prices!C594&lt;OFFSET(Prices!C594,-S$3,0),1,IF(Prices!C594&gt;OFFSET(Prices!C594,-S$3,0),-1,0))</f>
        <v>-1</v>
      </c>
      <c r="T595" s="1">
        <f ca="1">IF(S595=1,T$3*Q594/Prices!C594,T$3*R594*S595)</f>
        <v>-1.2124759272247296E-4</v>
      </c>
    </row>
    <row r="596" spans="1:20" x14ac:dyDescent="0.2">
      <c r="A596" s="4">
        <v>34340</v>
      </c>
      <c r="B596" s="9">
        <f ca="1">Prices!C595*(1+J596/(50*(ABS(O596)+ABS(T596)+0.0001)))</f>
        <v>110.95155688372837</v>
      </c>
      <c r="C596" s="13">
        <f t="shared" ca="1" si="60"/>
        <v>-1</v>
      </c>
      <c r="D596" s="9">
        <f ca="1">D595+C596*(Prices!C596-Prices!C595)/Prices!C595</f>
        <v>0.28615234541917162</v>
      </c>
      <c r="E596" s="9">
        <f t="shared" ca="1" si="61"/>
        <v>4.0141472212782414E-2</v>
      </c>
      <c r="F596" s="9">
        <f t="shared" ca="1" si="62"/>
        <v>0.32629381763195403</v>
      </c>
      <c r="G596" s="13">
        <f ca="1">IF((Prices!C596-Prices!C595)*C596&gt;0,1,0)</f>
        <v>1</v>
      </c>
      <c r="H596" s="9">
        <f>ABS(Prices!C596-Prices!C595)/Prices!C595</f>
        <v>3.8917388996992544E-3</v>
      </c>
      <c r="I596" s="13"/>
      <c r="J596" s="1">
        <f t="shared" ca="1" si="63"/>
        <v>-1.3802606238163329E-3</v>
      </c>
      <c r="K596" s="9"/>
      <c r="L596" s="9">
        <f ca="1">L595-O596*Prices!C596</f>
        <v>0.87381467153785708</v>
      </c>
      <c r="M596" s="1">
        <f t="shared" ca="1" si="64"/>
        <v>1.1352941846534782E-2</v>
      </c>
      <c r="N596" s="9">
        <f ca="1">IF(Prices!D595&gt;OFFSET(Prices!D595,-$N$3,0),1,IF(Prices!D595&lt;OFFSET(Prices!D595,-$N$3,0),-1,0))</f>
        <v>-1</v>
      </c>
      <c r="O596" s="1">
        <f ca="1">IF(N596=1,O$3*L595/Prices!C595,O$3*M595*N596)</f>
        <v>-1.2614379829483094E-3</v>
      </c>
      <c r="P596" s="14"/>
      <c r="Q596" s="9">
        <f ca="1">Q595-T596*Prices!C596</f>
        <v>1.4834275443856964</v>
      </c>
      <c r="R596" s="1">
        <f t="shared" ca="1" si="65"/>
        <v>5.8223094025331512E-3</v>
      </c>
      <c r="S596" s="9">
        <f ca="1">IF(Prices!C595&lt;OFFSET(Prices!C595,-S$3,0),1,IF(Prices!C595&gt;OFFSET(Prices!C595,-S$3,0),-1,0))</f>
        <v>-1</v>
      </c>
      <c r="T596" s="1">
        <f ca="1">IF(S596=1,T$3*Q595/Prices!C595,T$3*R595*S596)</f>
        <v>-1.1882264086802351E-4</v>
      </c>
    </row>
    <row r="597" spans="1:20" x14ac:dyDescent="0.2">
      <c r="A597" s="4">
        <v>34341</v>
      </c>
      <c r="B597" s="9">
        <f ca="1">Prices!C596*(1+J597/(50*(ABS(O597)+ABS(T597)+0.0001)))</f>
        <v>110.5342296313614</v>
      </c>
      <c r="C597" s="13">
        <f t="shared" ca="1" si="60"/>
        <v>-1</v>
      </c>
      <c r="D597" s="9">
        <f ca="1">D596+C597*(Prices!C597-Prices!C596)/Prices!C596</f>
        <v>0.29245673185142174</v>
      </c>
      <c r="E597" s="9">
        <f t="shared" ca="1" si="61"/>
        <v>3.3837085780532294E-2</v>
      </c>
      <c r="F597" s="9">
        <f t="shared" ca="1" si="62"/>
        <v>0.32629381763195403</v>
      </c>
      <c r="G597" s="13">
        <f ca="1">IF((Prices!C597-Prices!C596)*C597&gt;0,1,0)</f>
        <v>1</v>
      </c>
      <c r="H597" s="9">
        <f>ABS(Prices!C597-Prices!C596)/Prices!C596</f>
        <v>6.3043864322501145E-3</v>
      </c>
      <c r="I597" s="13"/>
      <c r="J597" s="1">
        <f t="shared" ca="1" si="63"/>
        <v>-1.2517403727041413E-3</v>
      </c>
      <c r="K597" s="9"/>
      <c r="L597" s="9">
        <f ca="1">L596-O597*Prices!C597</f>
        <v>1.0008654437424278</v>
      </c>
      <c r="M597" s="1">
        <f t="shared" ca="1" si="64"/>
        <v>1.0217647661881303E-2</v>
      </c>
      <c r="N597" s="9">
        <f ca="1">IF(Prices!D596&gt;OFFSET(Prices!D596,-$N$3,0),1,IF(Prices!D596&lt;OFFSET(Prices!D596,-$N$3,0),-1,0))</f>
        <v>-1</v>
      </c>
      <c r="O597" s="1">
        <f ca="1">IF(N597=1,O$3*L596/Prices!C596,O$3*M596*N597)</f>
        <v>-1.1352941846534783E-3</v>
      </c>
      <c r="P597" s="14"/>
      <c r="Q597" s="9">
        <f ca="1">Q596-T597*Prices!C597</f>
        <v>1.496459037290446</v>
      </c>
      <c r="R597" s="1">
        <f t="shared" ca="1" si="65"/>
        <v>5.7058632144824884E-3</v>
      </c>
      <c r="S597" s="9">
        <f ca="1">IF(Prices!C596&lt;OFFSET(Prices!C596,-S$3,0),1,IF(Prices!C596&gt;OFFSET(Prices!C596,-S$3,0),-1,0))</f>
        <v>-1</v>
      </c>
      <c r="T597" s="1">
        <f ca="1">IF(S597=1,T$3*Q596/Prices!C596,T$3*R596*S597)</f>
        <v>-1.1644618805066303E-4</v>
      </c>
    </row>
    <row r="598" spans="1:20" x14ac:dyDescent="0.2">
      <c r="A598" s="4">
        <v>34344</v>
      </c>
      <c r="B598" s="9">
        <f ca="1">Prices!C597*(1+J598/(50*(ABS(O598)+ABS(T598)+0.0001)))</f>
        <v>110.69467836571155</v>
      </c>
      <c r="C598" s="13">
        <f t="shared" ca="1" si="60"/>
        <v>-1</v>
      </c>
      <c r="D598" s="9">
        <f ca="1">D597+C598*(Prices!C598-Prices!C597)/Prices!C597</f>
        <v>0.28941857619062283</v>
      </c>
      <c r="E598" s="9">
        <f t="shared" ca="1" si="61"/>
        <v>3.6875241441331197E-2</v>
      </c>
      <c r="F598" s="9">
        <f t="shared" ca="1" si="62"/>
        <v>0.32629381763195403</v>
      </c>
      <c r="G598" s="13">
        <f ca="1">IF((Prices!C598-Prices!C597)*C598&gt;0,1,0)</f>
        <v>0</v>
      </c>
      <c r="H598" s="9">
        <f>ABS(Prices!C598-Prices!C597)/Prices!C597</f>
        <v>3.0381556607988868E-3</v>
      </c>
      <c r="I598" s="13"/>
      <c r="J598" s="1">
        <f t="shared" ca="1" si="63"/>
        <v>-7.5432503117062589E-4</v>
      </c>
      <c r="K598" s="9"/>
      <c r="L598" s="9">
        <f ca="1">L597-O598*Prices!C598</f>
        <v>1.1155585387470455</v>
      </c>
      <c r="M598" s="1">
        <f t="shared" ca="1" si="64"/>
        <v>9.1958828956931731E-3</v>
      </c>
      <c r="N598" s="9">
        <f ca="1">IF(Prices!D597&gt;OFFSET(Prices!D597,-$N$3,0),1,IF(Prices!D597&lt;OFFSET(Prices!D597,-$N$3,0),-1,0))</f>
        <v>-1</v>
      </c>
      <c r="O598" s="1">
        <f ca="1">IF(N598=1,O$3*L597/Prices!C597,O$3*M597*N598)</f>
        <v>-1.0217647661881304E-3</v>
      </c>
      <c r="P598" s="14"/>
      <c r="Q598" s="9">
        <f ca="1">Q597-T598*Prices!C598</f>
        <v>1.4664389270347311</v>
      </c>
      <c r="R598" s="1">
        <f t="shared" ca="1" si="65"/>
        <v>5.9733029494999932E-3</v>
      </c>
      <c r="S598" s="9">
        <f ca="1">IF(Prices!C597&lt;OFFSET(Prices!C597,-S$3,0),1,IF(Prices!C597&gt;OFFSET(Prices!C597,-S$3,0),-1,0))</f>
        <v>1</v>
      </c>
      <c r="T598" s="1">
        <f ca="1">IF(S598=1,T$3*Q597/Prices!C597,T$3*R597*S598)</f>
        <v>2.6743973501750445E-4</v>
      </c>
    </row>
    <row r="599" spans="1:20" x14ac:dyDescent="0.2">
      <c r="A599" s="4">
        <v>34345</v>
      </c>
      <c r="B599" s="9">
        <f ca="1">Prices!C598*(1+J599/(50*(ABS(O599)+ABS(T599)+0.0001)))</f>
        <v>111.09617400680665</v>
      </c>
      <c r="C599" s="13">
        <f t="shared" ca="1" si="60"/>
        <v>-1</v>
      </c>
      <c r="D599" s="9">
        <f ca="1">D598+C599*(Prices!C599-Prices!C598)/Prices!C598</f>
        <v>0.28826044701467635</v>
      </c>
      <c r="E599" s="9">
        <f t="shared" ca="1" si="61"/>
        <v>3.8033370617277684E-2</v>
      </c>
      <c r="F599" s="9">
        <f t="shared" ca="1" si="62"/>
        <v>0.32629381763195403</v>
      </c>
      <c r="G599" s="13">
        <f ca="1">IF((Prices!C599-Prices!C598)*C599&gt;0,1,0)</f>
        <v>0</v>
      </c>
      <c r="H599" s="9">
        <f>ABS(Prices!C599-Prices!C598)/Prices!C598</f>
        <v>1.1581291759465073E-3</v>
      </c>
      <c r="I599" s="13"/>
      <c r="J599" s="1">
        <f t="shared" ca="1" si="63"/>
        <v>-6.5830741170121382E-4</v>
      </c>
      <c r="K599" s="9"/>
      <c r="L599" s="9">
        <f ca="1">L598-O599*Prices!C599</f>
        <v>1.2189018707288453</v>
      </c>
      <c r="M599" s="1">
        <f t="shared" ca="1" si="64"/>
        <v>8.276294606123856E-3</v>
      </c>
      <c r="N599" s="9">
        <f ca="1">IF(Prices!D598&gt;OFFSET(Prices!D598,-$N$3,0),1,IF(Prices!D598&lt;OFFSET(Prices!D598,-$N$3,0),-1,0))</f>
        <v>-1</v>
      </c>
      <c r="O599" s="1">
        <f ca="1">IF(N599=1,O$3*L598/Prices!C598,O$3*M598*N599)</f>
        <v>-9.1958828956931736E-4</v>
      </c>
      <c r="P599" s="14"/>
      <c r="Q599" s="9">
        <f ca="1">Q598-T599*Prices!C599</f>
        <v>1.4370761819799136</v>
      </c>
      <c r="R599" s="1">
        <f t="shared" ca="1" si="65"/>
        <v>6.2345838273680969E-3</v>
      </c>
      <c r="S599" s="9">
        <f ca="1">IF(Prices!C598&lt;OFFSET(Prices!C598,-S$3,0),1,IF(Prices!C598&gt;OFFSET(Prices!C598,-S$3,0),-1,0))</f>
        <v>1</v>
      </c>
      <c r="T599" s="1">
        <f ca="1">IF(S599=1,T$3*Q598/Prices!C598,T$3*R598*S599)</f>
        <v>2.6128087786810353E-4</v>
      </c>
    </row>
    <row r="600" spans="1:20" x14ac:dyDescent="0.2">
      <c r="A600" s="4">
        <v>34346</v>
      </c>
      <c r="B600" s="9">
        <f ca="1">Prices!C599*(1+J600/(50*(ABS(O600)+ABS(T600)+0.0001)))</f>
        <v>111.29383425801198</v>
      </c>
      <c r="C600" s="13">
        <f t="shared" ca="1" si="60"/>
        <v>-1</v>
      </c>
      <c r="D600" s="9">
        <f ca="1">D599+C600*(Prices!C600-Prices!C599)/Prices!C599</f>
        <v>0.28986215550373129</v>
      </c>
      <c r="E600" s="9">
        <f t="shared" ca="1" si="61"/>
        <v>3.6431662128222742E-2</v>
      </c>
      <c r="F600" s="9">
        <f t="shared" ca="1" si="62"/>
        <v>0.32629381763195403</v>
      </c>
      <c r="G600" s="13">
        <f ca="1">IF((Prices!C600-Prices!C599)*C600&gt;0,1,0)</f>
        <v>1</v>
      </c>
      <c r="H600" s="9">
        <f>ABS(Prices!C600-Prices!C599)/Prices!C599</f>
        <v>1.6017084890549262E-3</v>
      </c>
      <c r="I600" s="13"/>
      <c r="J600" s="1">
        <f t="shared" ca="1" si="63"/>
        <v>-5.7187644726838967E-4</v>
      </c>
      <c r="K600" s="9"/>
      <c r="L600" s="9">
        <f ca="1">L599-O600*Prices!C600</f>
        <v>1.311761896209555</v>
      </c>
      <c r="M600" s="1">
        <f t="shared" ca="1" si="64"/>
        <v>7.4486651455114702E-3</v>
      </c>
      <c r="N600" s="9">
        <f ca="1">IF(Prices!D599&gt;OFFSET(Prices!D599,-$N$3,0),1,IF(Prices!D599&lt;OFFSET(Prices!D599,-$N$3,0),-1,0))</f>
        <v>-1</v>
      </c>
      <c r="O600" s="1">
        <f ca="1">IF(N600=1,O$3*L599/Prices!C599,O$3*M599*N600)</f>
        <v>-8.2762946061238566E-4</v>
      </c>
      <c r="P600" s="14"/>
      <c r="Q600" s="9">
        <f ca="1">Q599-T600*Prices!C600</f>
        <v>1.4083806938827172</v>
      </c>
      <c r="R600" s="1">
        <f t="shared" ca="1" si="65"/>
        <v>6.490336840712093E-3</v>
      </c>
      <c r="S600" s="9">
        <f ca="1">IF(Prices!C599&lt;OFFSET(Prices!C599,-S$3,0),1,IF(Prices!C599&gt;OFFSET(Prices!C599,-S$3,0),-1,0))</f>
        <v>1</v>
      </c>
      <c r="T600" s="1">
        <f ca="1">IF(S600=1,T$3*Q599/Prices!C599,T$3*R599*S600)</f>
        <v>2.55753013343996E-4</v>
      </c>
    </row>
    <row r="601" spans="1:20" x14ac:dyDescent="0.2">
      <c r="A601" s="4">
        <v>34347</v>
      </c>
      <c r="B601" s="9">
        <f ca="1">Prices!C600*(1+J601/(50*(ABS(O601)+ABS(T601)+0.0001)))</f>
        <v>111.18885550693176</v>
      </c>
      <c r="C601" s="13">
        <f t="shared" ca="1" si="60"/>
        <v>-1</v>
      </c>
      <c r="D601" s="9">
        <f ca="1">D600+C601*(Prices!C601-Prices!C600)/Prices!C600</f>
        <v>0.29369459757146754</v>
      </c>
      <c r="E601" s="9">
        <f t="shared" ca="1" si="61"/>
        <v>3.2599220060486489E-2</v>
      </c>
      <c r="F601" s="9">
        <f t="shared" ca="1" si="62"/>
        <v>0.32629381763195403</v>
      </c>
      <c r="G601" s="13">
        <f ca="1">IF((Prices!C601-Prices!C600)*C601&gt;0,1,0)</f>
        <v>1</v>
      </c>
      <c r="H601" s="9">
        <f>ABS(Prices!C601-Prices!C600)/Prices!C600</f>
        <v>3.832442067736246E-3</v>
      </c>
      <c r="I601" s="13"/>
      <c r="J601" s="1">
        <f t="shared" ca="1" si="63"/>
        <v>-4.938182625221423E-4</v>
      </c>
      <c r="K601" s="9"/>
      <c r="L601" s="9">
        <f ca="1">L600-O601*Prices!C601</f>
        <v>1.3950156265409366</v>
      </c>
      <c r="M601" s="1">
        <f t="shared" ca="1" si="64"/>
        <v>6.7037986309603234E-3</v>
      </c>
      <c r="N601" s="9">
        <f ca="1">IF(Prices!D600&gt;OFFSET(Prices!D600,-$N$3,0),1,IF(Prices!D600&lt;OFFSET(Prices!D600,-$N$3,0),-1,0))</f>
        <v>-1</v>
      </c>
      <c r="O601" s="1">
        <f ca="1">IF(N601=1,O$3*L600/Prices!C600,O$3*M600*N601)</f>
        <v>-7.4486651455114709E-4</v>
      </c>
      <c r="P601" s="14"/>
      <c r="Q601" s="9">
        <f ca="1">Q600-T601*Prices!C601</f>
        <v>1.3803210307534355</v>
      </c>
      <c r="R601" s="1">
        <f t="shared" ca="1" si="65"/>
        <v>6.7413850927410977E-3</v>
      </c>
      <c r="S601" s="9">
        <f ca="1">IF(Prices!C600&lt;OFFSET(Prices!C600,-S$3,0),1,IF(Prices!C600&gt;OFFSET(Prices!C600,-S$3,0),-1,0))</f>
        <v>1</v>
      </c>
      <c r="T601" s="1">
        <f ca="1">IF(S601=1,T$3*Q600/Prices!C600,T$3*R600*S601)</f>
        <v>2.5104825202900484E-4</v>
      </c>
    </row>
    <row r="602" spans="1:20" x14ac:dyDescent="0.2">
      <c r="A602" s="4">
        <v>34348</v>
      </c>
      <c r="B602" s="9">
        <f ca="1">Prices!C601*(1+J602/(50*(ABS(O602)+ABS(T602)+0.0001)))</f>
        <v>113.86525883195625</v>
      </c>
      <c r="C602" s="13">
        <f t="shared" ca="1" si="60"/>
        <v>1</v>
      </c>
      <c r="D602" s="9">
        <f ca="1">D601+C602*(Prices!C602-Prices!C601)/Prices!C601</f>
        <v>0.28680545021528969</v>
      </c>
      <c r="E602" s="9">
        <f t="shared" ca="1" si="61"/>
        <v>3.9488367416664338E-2</v>
      </c>
      <c r="F602" s="9">
        <f t="shared" ca="1" si="62"/>
        <v>0.32629381763195403</v>
      </c>
      <c r="G602" s="13">
        <f ca="1">IF((Prices!C602-Prices!C601)*C602&gt;0,1,0)</f>
        <v>0</v>
      </c>
      <c r="H602" s="9">
        <f>ABS(Prices!C602-Prices!C601)/Prices!C601</f>
        <v>6.8891473561778303E-3</v>
      </c>
      <c r="I602" s="13"/>
      <c r="J602" s="1">
        <f t="shared" ca="1" si="63"/>
        <v>1.4951058716038508E-3</v>
      </c>
      <c r="K602" s="9"/>
      <c r="L602" s="9">
        <f ca="1">L601-O602*Prices!C602</f>
        <v>1.256475110708384</v>
      </c>
      <c r="M602" s="1">
        <f t="shared" ca="1" si="64"/>
        <v>7.9519113862085451E-3</v>
      </c>
      <c r="N602" s="9">
        <f ca="1">IF(Prices!D601&gt;OFFSET(Prices!D601,-$N$3,0),1,IF(Prices!D601&lt;OFFSET(Prices!D601,-$N$3,0),-1,0))</f>
        <v>1</v>
      </c>
      <c r="O602" s="1">
        <f ca="1">IF(N602=1,O$3*L601/Prices!C601,O$3*M601*N602)</f>
        <v>1.2481127552482212E-3</v>
      </c>
      <c r="P602" s="14"/>
      <c r="Q602" s="9">
        <f ca="1">Q601-T602*Prices!C602</f>
        <v>1.3529047948379607</v>
      </c>
      <c r="R602" s="1">
        <f t="shared" ca="1" si="65"/>
        <v>6.9883782090967269E-3</v>
      </c>
      <c r="S602" s="9">
        <f ca="1">IF(Prices!C601&lt;OFFSET(Prices!C601,-S$3,0),1,IF(Prices!C601&gt;OFFSET(Prices!C601,-S$3,0),-1,0))</f>
        <v>1</v>
      </c>
      <c r="T602" s="1">
        <f ca="1">IF(S602=1,T$3*Q601/Prices!C601,T$3*R601*S602)</f>
        <v>2.4699311635562954E-4</v>
      </c>
    </row>
    <row r="603" spans="1:20" x14ac:dyDescent="0.2">
      <c r="A603" s="4">
        <v>34351</v>
      </c>
      <c r="B603" s="9">
        <f ca="1">Prices!C602*(1+J603/(50*(ABS(O603)+ABS(T603)+0.0001)))</f>
        <v>113.06956558901628</v>
      </c>
      <c r="C603" s="13">
        <f t="shared" ca="1" si="60"/>
        <v>1</v>
      </c>
      <c r="D603" s="9">
        <f ca="1">D602+C603*(Prices!C603-Prices!C602)/Prices!C602</f>
        <v>0.28698563039546982</v>
      </c>
      <c r="E603" s="9">
        <f t="shared" ca="1" si="61"/>
        <v>3.9308187236484216E-2</v>
      </c>
      <c r="F603" s="9">
        <f t="shared" ca="1" si="62"/>
        <v>0.32629381763195403</v>
      </c>
      <c r="G603" s="13">
        <f ca="1">IF((Prices!C603-Prices!C602)*C603&gt;0,1,0)</f>
        <v>1</v>
      </c>
      <c r="H603" s="9">
        <f>ABS(Prices!C603-Prices!C602)/Prices!C602</f>
        <v>1.8018018018014432E-4</v>
      </c>
      <c r="I603" s="13"/>
      <c r="J603" s="1">
        <f t="shared" ca="1" si="63"/>
        <v>1.3757261888972757E-3</v>
      </c>
      <c r="K603" s="9"/>
      <c r="L603" s="9">
        <f ca="1">L602-O603*Prices!C603</f>
        <v>1.1308049604463617</v>
      </c>
      <c r="M603" s="1">
        <f t="shared" ca="1" si="64"/>
        <v>9.0838709454052879E-3</v>
      </c>
      <c r="N603" s="9">
        <f ca="1">IF(Prices!D602&gt;OFFSET(Prices!D602,-$N$3,0),1,IF(Prices!D602&lt;OFFSET(Prices!D602,-$N$3,0),-1,0))</f>
        <v>1</v>
      </c>
      <c r="O603" s="1">
        <f ca="1">IF(N603=1,O$3*L602/Prices!C602,O$3*M602*N603)</f>
        <v>1.1319595591967424E-3</v>
      </c>
      <c r="P603" s="14"/>
      <c r="Q603" s="9">
        <f ca="1">Q602-T603*Prices!C603</f>
        <v>1.3258418236086074</v>
      </c>
      <c r="R603" s="1">
        <f t="shared" ca="1" si="65"/>
        <v>7.2321448387972602E-3</v>
      </c>
      <c r="S603" s="9">
        <f ca="1">IF(Prices!C602&lt;OFFSET(Prices!C602,-S$3,0),1,IF(Prices!C602&gt;OFFSET(Prices!C602,-S$3,0),-1,0))</f>
        <v>1</v>
      </c>
      <c r="T603" s="1">
        <f ca="1">IF(S603=1,T$3*Q602/Prices!C602,T$3*R602*S603)</f>
        <v>2.4376662970053344E-4</v>
      </c>
    </row>
    <row r="604" spans="1:20" x14ac:dyDescent="0.2">
      <c r="A604" s="4">
        <v>34352</v>
      </c>
      <c r="B604" s="9">
        <f ca="1">Prices!C603*(1+J604/(50*(ABS(O604)+ABS(T604)+0.0001)))</f>
        <v>113.07682342412332</v>
      </c>
      <c r="C604" s="13">
        <f t="shared" ca="1" si="60"/>
        <v>1</v>
      </c>
      <c r="D604" s="9">
        <f ca="1">D603+C604*(Prices!C604-Prices!C603)/Prices!C603</f>
        <v>0.28500400546302523</v>
      </c>
      <c r="E604" s="9">
        <f t="shared" ca="1" si="61"/>
        <v>4.1289812168928797E-2</v>
      </c>
      <c r="F604" s="9">
        <f t="shared" ca="1" si="62"/>
        <v>0.32629381763195403</v>
      </c>
      <c r="G604" s="13">
        <f ca="1">IF((Prices!C604-Prices!C603)*C604&gt;0,1,0)</f>
        <v>0</v>
      </c>
      <c r="H604" s="9">
        <f>ABS(Prices!C604-Prices!C603)/Prices!C603</f>
        <v>1.9816249324445946E-3</v>
      </c>
      <c r="I604" s="13"/>
      <c r="J604" s="1">
        <f t="shared" ca="1" si="63"/>
        <v>1.2574070664457605E-3</v>
      </c>
      <c r="K604" s="9"/>
      <c r="L604" s="9">
        <f ca="1">L603-O604*Prices!C604</f>
        <v>1.0179485475320607</v>
      </c>
      <c r="M604" s="1">
        <f t="shared" ca="1" si="64"/>
        <v>1.0102430628747354E-2</v>
      </c>
      <c r="N604" s="9">
        <f ca="1">IF(Prices!D603&gt;OFFSET(Prices!D603,-$N$3,0),1,IF(Prices!D603&lt;OFFSET(Prices!D603,-$N$3,0),-1,0))</f>
        <v>1</v>
      </c>
      <c r="O604" s="1">
        <f ca="1">IF(N604=1,O$3*L603/Prices!C603,O$3*M603*N604)</f>
        <v>1.0185596833420661E-3</v>
      </c>
      <c r="P604" s="14"/>
      <c r="Q604" s="9">
        <f ca="1">Q603-T604*Prices!C604</f>
        <v>1.2993775335607181</v>
      </c>
      <c r="R604" s="1">
        <f t="shared" ca="1" si="65"/>
        <v>7.4709922219009543E-3</v>
      </c>
      <c r="S604" s="9">
        <f ca="1">IF(Prices!C603&lt;OFFSET(Prices!C603,-S$3,0),1,IF(Prices!C603&gt;OFFSET(Prices!C603,-S$3,0),-1,0))</f>
        <v>1</v>
      </c>
      <c r="T604" s="1">
        <f ca="1">IF(S604=1,T$3*Q603/Prices!C603,T$3*R603*S604)</f>
        <v>2.3884738310369437E-4</v>
      </c>
    </row>
    <row r="605" spans="1:20" x14ac:dyDescent="0.2">
      <c r="A605" s="4">
        <v>34353</v>
      </c>
      <c r="B605" s="9">
        <f ca="1">Prices!C604*(1+J605/(50*(ABS(O605)+ABS(T605)+0.0001)))</f>
        <v>109.5217703153927</v>
      </c>
      <c r="C605" s="13">
        <f t="shared" ca="1" si="60"/>
        <v>-1</v>
      </c>
      <c r="D605" s="9">
        <f ca="1">D604+C605*(Prices!C605-Prices!C604)/Prices!C604</f>
        <v>0.27958884300815151</v>
      </c>
      <c r="E605" s="9">
        <f t="shared" ca="1" si="61"/>
        <v>4.670497462380252E-2</v>
      </c>
      <c r="F605" s="9">
        <f t="shared" ca="1" si="62"/>
        <v>0.32629381763195403</v>
      </c>
      <c r="G605" s="13">
        <f ca="1">IF((Prices!C605-Prices!C604)*C605&gt;0,1,0)</f>
        <v>0</v>
      </c>
      <c r="H605" s="9">
        <f>ABS(Prices!C605-Prices!C604)/Prices!C604</f>
        <v>5.4151624548737232E-3</v>
      </c>
      <c r="I605" s="13"/>
      <c r="J605" s="1">
        <f t="shared" ca="1" si="63"/>
        <v>-7.7569838172659143E-4</v>
      </c>
      <c r="K605" s="9"/>
      <c r="L605" s="9">
        <f ca="1">L604-O605*Prices!C605</f>
        <v>1.1304896247363061</v>
      </c>
      <c r="M605" s="1">
        <f t="shared" ca="1" si="64"/>
        <v>9.0921875658726177E-3</v>
      </c>
      <c r="N605" s="9">
        <f ca="1">IF(Prices!D604&gt;OFFSET(Prices!D604,-$N$3,0),1,IF(Prices!D604&lt;OFFSET(Prices!D604,-$N$3,0),-1,0))</f>
        <v>-1</v>
      </c>
      <c r="O605" s="1">
        <f ca="1">IF(N605=1,O$3*L604/Prices!C604,O$3*M604*N605)</f>
        <v>-1.0102430628747354E-3</v>
      </c>
      <c r="P605" s="14"/>
      <c r="Q605" s="9">
        <f ca="1">Q604-T605*Prices!C605</f>
        <v>1.2732492560808149</v>
      </c>
      <c r="R605" s="1">
        <f t="shared" ca="1" si="65"/>
        <v>7.705536903049098E-3</v>
      </c>
      <c r="S605" s="9">
        <f ca="1">IF(Prices!C604&lt;OFFSET(Prices!C604,-S$3,0),1,IF(Prices!C604&gt;OFFSET(Prices!C604,-S$3,0),-1,0))</f>
        <v>1</v>
      </c>
      <c r="T605" s="1">
        <f ca="1">IF(S605=1,T$3*Q604/Prices!C604,T$3*R604*S605)</f>
        <v>2.3454468114814404E-4</v>
      </c>
    </row>
    <row r="606" spans="1:20" x14ac:dyDescent="0.2">
      <c r="A606" s="4">
        <v>34354</v>
      </c>
      <c r="B606" s="9">
        <f ca="1">Prices!C605*(1+J606/(50*(ABS(O606)+ABS(T606)+0.0001)))</f>
        <v>110.17490038021167</v>
      </c>
      <c r="C606" s="13">
        <f t="shared" ca="1" si="60"/>
        <v>-1</v>
      </c>
      <c r="D606" s="9">
        <f ca="1">D605+C606*(Prices!C606-Prices!C605)/Prices!C605</f>
        <v>0.28039674246955187</v>
      </c>
      <c r="E606" s="9">
        <f t="shared" ca="1" si="61"/>
        <v>4.5897075162402157E-2</v>
      </c>
      <c r="F606" s="9">
        <f t="shared" ca="1" si="62"/>
        <v>0.32629381763195403</v>
      </c>
      <c r="G606" s="13">
        <f ca="1">IF((Prices!C606-Prices!C605)*C606&gt;0,1,0)</f>
        <v>1</v>
      </c>
      <c r="H606" s="9">
        <f>ABS(Prices!C606-Prices!C605)/Prices!C605</f>
        <v>8.0789946140038963E-4</v>
      </c>
      <c r="I606" s="13"/>
      <c r="J606" s="1">
        <f t="shared" ca="1" si="63"/>
        <v>-6.8062822587257343E-4</v>
      </c>
      <c r="K606" s="9"/>
      <c r="L606" s="9">
        <f ca="1">L605-O606*Prices!C606</f>
        <v>1.2316947645320342</v>
      </c>
      <c r="M606" s="1">
        <f t="shared" ca="1" si="64"/>
        <v>8.1829688092853563E-3</v>
      </c>
      <c r="N606" s="9">
        <f ca="1">IF(Prices!D605&gt;OFFSET(Prices!D605,-$N$3,0),1,IF(Prices!D605&lt;OFFSET(Prices!D605,-$N$3,0),-1,0))</f>
        <v>-1</v>
      </c>
      <c r="O606" s="1">
        <f ca="1">IF(N606=1,O$3*L605/Prices!C605,O$3*M605*N606)</f>
        <v>-9.0921875658726186E-4</v>
      </c>
      <c r="P606" s="14"/>
      <c r="Q606" s="9">
        <f ca="1">Q605-T606*Prices!C606</f>
        <v>1.2478048441069629</v>
      </c>
      <c r="R606" s="1">
        <f t="shared" ca="1" si="65"/>
        <v>7.9341274337637862E-3</v>
      </c>
      <c r="S606" s="9">
        <f ca="1">IF(Prices!C605&lt;OFFSET(Prices!C605,-S$3,0),1,IF(Prices!C605&gt;OFFSET(Prices!C605,-S$3,0),-1,0))</f>
        <v>1</v>
      </c>
      <c r="T606" s="1">
        <f ca="1">IF(S606=1,T$3*Q605/Prices!C605,T$3*R605*S606)</f>
        <v>2.2859053071468846E-4</v>
      </c>
    </row>
    <row r="607" spans="1:20" x14ac:dyDescent="0.2">
      <c r="A607" s="4">
        <v>34355</v>
      </c>
      <c r="B607" s="9">
        <f ca="1">Prices!C606*(1+J607/(50*(ABS(O607)+ABS(T607)+0.0001)))</f>
        <v>109.29050775493076</v>
      </c>
      <c r="C607" s="13">
        <f t="shared" ca="1" si="60"/>
        <v>-1</v>
      </c>
      <c r="D607" s="9">
        <f ca="1">D606+C607*(Prices!C607-Prices!C606)/Prices!C606</f>
        <v>0.2782406019610621</v>
      </c>
      <c r="E607" s="9">
        <f t="shared" ca="1" si="61"/>
        <v>4.8053215670891936E-2</v>
      </c>
      <c r="F607" s="9">
        <f t="shared" ca="1" si="62"/>
        <v>0.32629381763195403</v>
      </c>
      <c r="G607" s="13">
        <f ca="1">IF((Prices!C607-Prices!C606)*C607&gt;0,1,0)</f>
        <v>0</v>
      </c>
      <c r="H607" s="9">
        <f>ABS(Prices!C607-Prices!C606)/Prices!C606</f>
        <v>2.1561405084897572E-3</v>
      </c>
      <c r="I607" s="13"/>
      <c r="J607" s="1">
        <f t="shared" ca="1" si="63"/>
        <v>-9.7697942960381151E-4</v>
      </c>
      <c r="K607" s="9"/>
      <c r="L607" s="9">
        <f ca="1">L606-O607*Prices!C607</f>
        <v>1.3229757815996124</v>
      </c>
      <c r="M607" s="1">
        <f t="shared" ca="1" si="64"/>
        <v>7.3646719283568208E-3</v>
      </c>
      <c r="N607" s="9">
        <f ca="1">IF(Prices!D606&gt;OFFSET(Prices!D606,-$N$3,0),1,IF(Prices!D606&lt;OFFSET(Prices!D606,-$N$3,0),-1,0))</f>
        <v>-1</v>
      </c>
      <c r="O607" s="1">
        <f ca="1">IF(N607=1,O$3*L606/Prices!C606,O$3*M606*N607)</f>
        <v>-8.1829688092853567E-4</v>
      </c>
      <c r="P607" s="14"/>
      <c r="Q607" s="9">
        <f ca="1">Q606-T607*Prices!C607</f>
        <v>1.2655058824116898</v>
      </c>
      <c r="R607" s="1">
        <f t="shared" ca="1" si="65"/>
        <v>7.7754448850885106E-3</v>
      </c>
      <c r="S607" s="9">
        <f ca="1">IF(Prices!C606&lt;OFFSET(Prices!C606,-S$3,0),1,IF(Prices!C606&gt;OFFSET(Prices!C606,-S$3,0),-1,0))</f>
        <v>-1</v>
      </c>
      <c r="T607" s="1">
        <f ca="1">IF(S607=1,T$3*Q606/Prices!C606,T$3*R606*S607)</f>
        <v>-1.5868254867527573E-4</v>
      </c>
    </row>
    <row r="608" spans="1:20" x14ac:dyDescent="0.2">
      <c r="A608" s="4">
        <v>34358</v>
      </c>
      <c r="B608" s="9">
        <f ca="1">Prices!C607*(1+J608/(50*(ABS(O608)+ABS(T608)+0.0001)))</f>
        <v>109.54390461426254</v>
      </c>
      <c r="C608" s="13">
        <f t="shared" ca="1" si="60"/>
        <v>-1</v>
      </c>
      <c r="D608" s="9">
        <f ca="1">D607+C608*(Prices!C608-Prices!C607)/Prices!C607</f>
        <v>0.27626839218965915</v>
      </c>
      <c r="E608" s="9">
        <f t="shared" ca="1" si="61"/>
        <v>5.002542544229488E-2</v>
      </c>
      <c r="F608" s="9">
        <f t="shared" ca="1" si="62"/>
        <v>0.32629381763195403</v>
      </c>
      <c r="G608" s="13">
        <f ca="1">IF((Prices!C608-Prices!C607)*C608&gt;0,1,0)</f>
        <v>0</v>
      </c>
      <c r="H608" s="9">
        <f>ABS(Prices!C608-Prices!C607)/Prices!C607</f>
        <v>1.972209771402948E-3</v>
      </c>
      <c r="I608" s="13"/>
      <c r="J608" s="1">
        <f t="shared" ca="1" si="63"/>
        <v>-8.9197609053745226E-4</v>
      </c>
      <c r="K608" s="9"/>
      <c r="L608" s="9">
        <f ca="1">L607-O608*Prices!C608</f>
        <v>1.4052907197428566</v>
      </c>
      <c r="M608" s="1">
        <f t="shared" ca="1" si="64"/>
        <v>6.6282047355211392E-3</v>
      </c>
      <c r="N608" s="9">
        <f ca="1">IF(Prices!D607&gt;OFFSET(Prices!D607,-$N$3,0),1,IF(Prices!D607&lt;OFFSET(Prices!D607,-$N$3,0),-1,0))</f>
        <v>-1</v>
      </c>
      <c r="O608" s="1">
        <f ca="1">IF(N608=1,O$3*L607/Prices!C607,O$3*M607*N608)</f>
        <v>-7.3646719283568208E-4</v>
      </c>
      <c r="P608" s="14"/>
      <c r="Q608" s="9">
        <f ca="1">Q607-T608*Prices!C608</f>
        <v>1.2828871119078167</v>
      </c>
      <c r="R608" s="1">
        <f t="shared" ca="1" si="65"/>
        <v>7.6199359873867405E-3</v>
      </c>
      <c r="S608" s="9">
        <f ca="1">IF(Prices!C607&lt;OFFSET(Prices!C607,-S$3,0),1,IF(Prices!C607&gt;OFFSET(Prices!C607,-S$3,0),-1,0))</f>
        <v>-1</v>
      </c>
      <c r="T608" s="1">
        <f ca="1">IF(S608=1,T$3*Q607/Prices!C607,T$3*R607*S608)</f>
        <v>-1.5550889770177021E-4</v>
      </c>
    </row>
    <row r="609" spans="1:20" x14ac:dyDescent="0.2">
      <c r="A609" s="4">
        <v>34359</v>
      </c>
      <c r="B609" s="9">
        <f ca="1">Prices!C608*(1+J609/(50*(ABS(O609)+ABS(T609)+0.0001)))</f>
        <v>113.40602166477721</v>
      </c>
      <c r="C609" s="13">
        <f t="shared" ca="1" si="60"/>
        <v>1</v>
      </c>
      <c r="D609" s="9">
        <f ca="1">D608+C609*(Prices!C609-Prices!C608)/Prices!C608</f>
        <v>0.26964765317203371</v>
      </c>
      <c r="E609" s="9">
        <f t="shared" ca="1" si="61"/>
        <v>5.6646164459920323E-2</v>
      </c>
      <c r="F609" s="9">
        <f t="shared" ca="1" si="62"/>
        <v>0.32629381763195403</v>
      </c>
      <c r="G609" s="13">
        <f ca="1">IF((Prices!C609-Prices!C608)*C609&gt;0,1,0)</f>
        <v>0</v>
      </c>
      <c r="H609" s="9">
        <f>ABS(Prices!C609-Prices!C608)/Prices!C608</f>
        <v>6.6207390176254355E-3</v>
      </c>
      <c r="I609" s="13"/>
      <c r="J609" s="1">
        <f t="shared" ca="1" si="63"/>
        <v>1.104907104483147E-3</v>
      </c>
      <c r="K609" s="9"/>
      <c r="L609" s="9">
        <f ca="1">L608-O609*Prices!C609</f>
        <v>1.2656920540785017</v>
      </c>
      <c r="M609" s="1">
        <f t="shared" ca="1" si="64"/>
        <v>7.8855105597520209E-3</v>
      </c>
      <c r="N609" s="9">
        <f ca="1">IF(Prices!D608&gt;OFFSET(Prices!D608,-$N$3,0),1,IF(Prices!D608&lt;OFFSET(Prices!D608,-$N$3,0),-1,0))</f>
        <v>1</v>
      </c>
      <c r="O609" s="1">
        <f ca="1">IF(N609=1,O$3*L608/Prices!C608,O$3*M608*N609)</f>
        <v>1.2573058242308819E-3</v>
      </c>
      <c r="P609" s="14"/>
      <c r="Q609" s="9">
        <f ca="1">Q608-T609*Prices!C609</f>
        <v>1.2998079417614077</v>
      </c>
      <c r="R609" s="1">
        <f t="shared" ca="1" si="65"/>
        <v>7.4675372676390054E-3</v>
      </c>
      <c r="S609" s="9">
        <f ca="1">IF(Prices!C608&lt;OFFSET(Prices!C608,-S$3,0),1,IF(Prices!C608&gt;OFFSET(Prices!C608,-S$3,0),-1,0))</f>
        <v>-1</v>
      </c>
      <c r="T609" s="1">
        <f ca="1">IF(S609=1,T$3*Q608/Prices!C608,T$3*R608*S609)</f>
        <v>-1.5239871974773481E-4</v>
      </c>
    </row>
    <row r="610" spans="1:20" x14ac:dyDescent="0.2">
      <c r="A610" s="4">
        <v>34360</v>
      </c>
      <c r="B610" s="9">
        <f ca="1">Prices!C609*(1+J610/(50*(ABS(O610)+ABS(T610)+0.0001)))</f>
        <v>113.09995804842907</v>
      </c>
      <c r="C610" s="13">
        <f t="shared" ca="1" si="60"/>
        <v>1</v>
      </c>
      <c r="D610" s="9">
        <f ca="1">D609+C610*(Prices!C610-Prices!C609)/Prices!C609</f>
        <v>0.25974042089246968</v>
      </c>
      <c r="E610" s="9">
        <f t="shared" ca="1" si="61"/>
        <v>6.655339673948435E-2</v>
      </c>
      <c r="F610" s="9">
        <f t="shared" ca="1" si="62"/>
        <v>0.32629381763195403</v>
      </c>
      <c r="G610" s="13">
        <f ca="1">IF((Prices!C610-Prices!C609)*C610&gt;0,1,0)</f>
        <v>0</v>
      </c>
      <c r="H610" s="9">
        <f>ABS(Prices!C610-Prices!C609)/Prices!C609</f>
        <v>9.9072322795640301E-3</v>
      </c>
      <c r="I610" s="13"/>
      <c r="J610" s="1">
        <f t="shared" ca="1" si="63"/>
        <v>1.3740913648840705E-3</v>
      </c>
      <c r="K610" s="9"/>
      <c r="L610" s="9">
        <f ca="1">L609-O610*Prices!C610</f>
        <v>1.1403767991880669</v>
      </c>
      <c r="M610" s="1">
        <f t="shared" ca="1" si="64"/>
        <v>9.0254655755842295E-3</v>
      </c>
      <c r="N610" s="9">
        <f ca="1">IF(Prices!D609&gt;OFFSET(Prices!D609,-$N$3,0),1,IF(Prices!D609&lt;OFFSET(Prices!D609,-$N$3,0),-1,0))</f>
        <v>1</v>
      </c>
      <c r="O610" s="1">
        <f ca="1">IF(N610=1,O$3*L609/Prices!C609,O$3*M609*N610)</f>
        <v>1.1399550158322092E-3</v>
      </c>
      <c r="P610" s="14"/>
      <c r="Q610" s="9">
        <f ca="1">Q609-T610*Prices!C610</f>
        <v>1.2740693329101365</v>
      </c>
      <c r="R610" s="1">
        <f t="shared" ca="1" si="65"/>
        <v>7.7016736166908668E-3</v>
      </c>
      <c r="S610" s="9">
        <f ca="1">IF(Prices!C609&lt;OFFSET(Prices!C609,-S$3,0),1,IF(Prices!C609&gt;OFFSET(Prices!C609,-S$3,0),-1,0))</f>
        <v>1</v>
      </c>
      <c r="T610" s="1">
        <f ca="1">IF(S610=1,T$3*Q609/Prices!C609,T$3*R609*S610)</f>
        <v>2.3413634905186125E-4</v>
      </c>
    </row>
    <row r="611" spans="1:20" x14ac:dyDescent="0.2">
      <c r="A611" s="4">
        <v>34361</v>
      </c>
      <c r="B611" s="9">
        <f ca="1">Prices!C610*(1+J611/(50*(ABS(O611)+ABS(T611)+0.0001)))</f>
        <v>111.96802011860137</v>
      </c>
      <c r="C611" s="13">
        <f t="shared" ca="1" si="60"/>
        <v>1</v>
      </c>
      <c r="D611" s="9">
        <f ca="1">D610+C611*(Prices!C611-Prices!C610)/Prices!C610</f>
        <v>0.24791471362420797</v>
      </c>
      <c r="E611" s="9">
        <f t="shared" ca="1" si="61"/>
        <v>7.8379104007746059E-2</v>
      </c>
      <c r="F611" s="9">
        <f t="shared" ca="1" si="62"/>
        <v>0.32629381763195403</v>
      </c>
      <c r="G611" s="13">
        <f ca="1">IF((Prices!C611-Prices!C610)*C611&gt;0,1,0)</f>
        <v>0</v>
      </c>
      <c r="H611" s="9">
        <f>ABS(Prices!C611-Prices!C610)/Prices!C610</f>
        <v>1.1825707268261723E-2</v>
      </c>
      <c r="I611" s="13"/>
      <c r="J611" s="1">
        <f t="shared" ca="1" si="63"/>
        <v>1.2691627997544748E-3</v>
      </c>
      <c r="K611" s="9"/>
      <c r="L611" s="9">
        <f ca="1">L610-O611*Prices!C611</f>
        <v>1.0276876954895318</v>
      </c>
      <c r="M611" s="1">
        <f t="shared" ca="1" si="64"/>
        <v>1.0062831898870018E-2</v>
      </c>
      <c r="N611" s="9">
        <f ca="1">IF(Prices!D610&gt;OFFSET(Prices!D610,-$N$3,0),1,IF(Prices!D610&lt;OFFSET(Prices!D610,-$N$3,0),-1,0))</f>
        <v>1</v>
      </c>
      <c r="O611" s="1">
        <f ca="1">IF(N611=1,O$3*L610/Prices!C610,O$3*M610*N611)</f>
        <v>1.0373663232857882E-3</v>
      </c>
      <c r="P611" s="14"/>
      <c r="Q611" s="9">
        <f ca="1">Q610-T611*Prices!C611</f>
        <v>1.2488892816713431</v>
      </c>
      <c r="R611" s="1">
        <f t="shared" ca="1" si="65"/>
        <v>7.9334700931595527E-3</v>
      </c>
      <c r="S611" s="9">
        <f ca="1">IF(Prices!C610&lt;OFFSET(Prices!C610,-S$3,0),1,IF(Prices!C610&gt;OFFSET(Prices!C610,-S$3,0),-1,0))</f>
        <v>1</v>
      </c>
      <c r="T611" s="1">
        <f ca="1">IF(S611=1,T$3*Q610/Prices!C610,T$3*R610*S611)</f>
        <v>2.317964764686867E-4</v>
      </c>
    </row>
    <row r="612" spans="1:20" x14ac:dyDescent="0.2">
      <c r="A612" s="4">
        <v>34362</v>
      </c>
      <c r="B612" s="9">
        <f ca="1">Prices!C611*(1+J612/(50*(ABS(O612)+ABS(T612)+0.0001)))</f>
        <v>107.36770932086462</v>
      </c>
      <c r="C612" s="13">
        <f t="shared" ca="1" si="60"/>
        <v>-1</v>
      </c>
      <c r="D612" s="9">
        <f ca="1">D611+C612*(Prices!C612-Prices!C611)/Prices!C611</f>
        <v>0.23557926301203819</v>
      </c>
      <c r="E612" s="9">
        <f t="shared" ca="1" si="61"/>
        <v>9.0714554619915844E-2</v>
      </c>
      <c r="F612" s="9">
        <f t="shared" ca="1" si="62"/>
        <v>0.32629381763195403</v>
      </c>
      <c r="G612" s="13">
        <f ca="1">IF((Prices!C612-Prices!C611)*C612&gt;0,1,0)</f>
        <v>0</v>
      </c>
      <c r="H612" s="9">
        <f>ABS(Prices!C612-Prices!C611)/Prices!C611</f>
        <v>1.2335450612169783E-2</v>
      </c>
      <c r="I612" s="13"/>
      <c r="J612" s="1">
        <f t="shared" ca="1" si="63"/>
        <v>-7.7634868161647935E-4</v>
      </c>
      <c r="K612" s="9"/>
      <c r="L612" s="9">
        <f ca="1">L611-O612*Prices!C612</f>
        <v>1.1383486578814053</v>
      </c>
      <c r="M612" s="1">
        <f t="shared" ca="1" si="64"/>
        <v>9.0565487089830157E-3</v>
      </c>
      <c r="N612" s="9">
        <f ca="1">IF(Prices!D611&gt;OFFSET(Prices!D611,-$N$3,0),1,IF(Prices!D611&lt;OFFSET(Prices!D611,-$N$3,0),-1,0))</f>
        <v>-1</v>
      </c>
      <c r="O612" s="1">
        <f ca="1">IF(N612=1,O$3*L611/Prices!C611,O$3*M611*N612)</f>
        <v>-1.0062831898870019E-3</v>
      </c>
      <c r="P612" s="14"/>
      <c r="Q612" s="9">
        <f ca="1">Q611-T612*Prices!C612</f>
        <v>1.2236033837968336</v>
      </c>
      <c r="R612" s="1">
        <f t="shared" ca="1" si="65"/>
        <v>8.163404601430075E-3</v>
      </c>
      <c r="S612" s="9">
        <f ca="1">IF(Prices!C611&lt;OFFSET(Prices!C611,-S$3,0),1,IF(Prices!C611&gt;OFFSET(Prices!C611,-S$3,0),-1,0))</f>
        <v>1</v>
      </c>
      <c r="T612" s="1">
        <f ca="1">IF(S612=1,T$3*Q611/Prices!C611,T$3*R611*S612)</f>
        <v>2.2993450827052254E-4</v>
      </c>
    </row>
    <row r="613" spans="1:20" x14ac:dyDescent="0.2">
      <c r="A613" s="4">
        <v>34365</v>
      </c>
      <c r="B613" s="9">
        <f ca="1">Prices!C612*(1+J613/(50*(ABS(O613)+ABS(T613)+0.0001)))</f>
        <v>108.74668983653764</v>
      </c>
      <c r="C613" s="13">
        <f t="shared" ca="1" si="60"/>
        <v>-1</v>
      </c>
      <c r="D613" s="9">
        <f ca="1">D612+C613*(Prices!C613-Prices!C612)/Prices!C612</f>
        <v>0.24903747888909561</v>
      </c>
      <c r="E613" s="9">
        <f t="shared" ca="1" si="61"/>
        <v>7.7256338742858421E-2</v>
      </c>
      <c r="F613" s="9">
        <f t="shared" ca="1" si="62"/>
        <v>0.32629381763195403</v>
      </c>
      <c r="G613" s="13">
        <f ca="1">IF((Prices!C613-Prices!C612)*C613&gt;0,1,0)</f>
        <v>1</v>
      </c>
      <c r="H613" s="9">
        <f>ABS(Prices!C613-Prices!C612)/Prices!C612</f>
        <v>1.3458215877057415E-2</v>
      </c>
      <c r="I613" s="13"/>
      <c r="J613" s="1">
        <f t="shared" ca="1" si="63"/>
        <v>-6.8312083728971126E-4</v>
      </c>
      <c r="K613" s="9"/>
      <c r="L613" s="9">
        <f ca="1">L612-O613*Prices!C613</f>
        <v>1.2366031548251619</v>
      </c>
      <c r="M613" s="1">
        <f t="shared" ca="1" si="64"/>
        <v>8.1508938380847138E-3</v>
      </c>
      <c r="N613" s="9">
        <f ca="1">IF(Prices!D612&gt;OFFSET(Prices!D612,-$N$3,0),1,IF(Prices!D612&lt;OFFSET(Prices!D612,-$N$3,0),-1,0))</f>
        <v>-1</v>
      </c>
      <c r="O613" s="1">
        <f ca="1">IF(N613=1,O$3*L612/Prices!C612,O$3*M612*N613)</f>
        <v>-9.0565487089830159E-4</v>
      </c>
      <c r="P613" s="14"/>
      <c r="Q613" s="9">
        <f ca="1">Q612-T613*Prices!C613</f>
        <v>1.1994606664906378</v>
      </c>
      <c r="R613" s="1">
        <f t="shared" ca="1" si="65"/>
        <v>8.3859386350386648E-3</v>
      </c>
      <c r="S613" s="9">
        <f ca="1">IF(Prices!C612&lt;OFFSET(Prices!C612,-S$3,0),1,IF(Prices!C612&gt;OFFSET(Prices!C612,-S$3,0),-1,0))</f>
        <v>1</v>
      </c>
      <c r="T613" s="1">
        <f ca="1">IF(S613=1,T$3*Q612/Prices!C612,T$3*R612*S613)</f>
        <v>2.2253403360859031E-4</v>
      </c>
    </row>
    <row r="614" spans="1:20" x14ac:dyDescent="0.2">
      <c r="A614" s="4">
        <v>34366</v>
      </c>
      <c r="B614" s="9">
        <f ca="1">Prices!C613*(1+J614/(50*(ABS(O614)+ABS(T614)+0.0001)))</f>
        <v>107.35570407274646</v>
      </c>
      <c r="C614" s="13">
        <f t="shared" ca="1" si="60"/>
        <v>-1</v>
      </c>
      <c r="D614" s="9">
        <f ca="1">D613+C614*(Prices!C614-Prices!C613)/Prices!C613</f>
        <v>0.25668795358722446</v>
      </c>
      <c r="E614" s="9">
        <f t="shared" ca="1" si="61"/>
        <v>6.9605864044729571E-2</v>
      </c>
      <c r="F614" s="9">
        <f t="shared" ca="1" si="62"/>
        <v>0.32629381763195403</v>
      </c>
      <c r="G614" s="13">
        <f ca="1">IF((Prices!C614-Prices!C613)*C614&gt;0,1,0)</f>
        <v>1</v>
      </c>
      <c r="H614" s="9">
        <f>ABS(Prices!C614-Prices!C613)/Prices!C613</f>
        <v>7.6504746981288447E-3</v>
      </c>
      <c r="I614" s="13"/>
      <c r="J614" s="1">
        <f t="shared" ca="1" si="63"/>
        <v>-5.9397026379913638E-4</v>
      </c>
      <c r="K614" s="9"/>
      <c r="L614" s="9">
        <f ca="1">L613-O614*Prices!C614</f>
        <v>1.324355677885982</v>
      </c>
      <c r="M614" s="1">
        <f t="shared" ca="1" si="64"/>
        <v>7.3358044542762421E-3</v>
      </c>
      <c r="N614" s="9">
        <f ca="1">IF(Prices!D613&gt;OFFSET(Prices!D613,-$N$3,0),1,IF(Prices!D613&lt;OFFSET(Prices!D613,-$N$3,0),-1,0))</f>
        <v>-1</v>
      </c>
      <c r="O614" s="1">
        <f ca="1">IF(N614=1,O$3*L613/Prices!C613,O$3*M613*N614)</f>
        <v>-8.150893838084714E-4</v>
      </c>
      <c r="P614" s="14"/>
      <c r="Q614" s="9">
        <f ca="1">Q613-T614*Prices!C614</f>
        <v>1.1756549820304327</v>
      </c>
      <c r="R614" s="1">
        <f t="shared" ca="1" si="65"/>
        <v>8.6070577550479994E-3</v>
      </c>
      <c r="S614" s="9">
        <f ca="1">IF(Prices!C613&lt;OFFSET(Prices!C613,-S$3,0),1,IF(Prices!C613&gt;OFFSET(Prices!C613,-S$3,0),-1,0))</f>
        <v>1</v>
      </c>
      <c r="T614" s="1">
        <f ca="1">IF(S614=1,T$3*Q613/Prices!C613,T$3*R613*S614)</f>
        <v>2.2111912000933502E-4</v>
      </c>
    </row>
    <row r="615" spans="1:20" x14ac:dyDescent="0.2">
      <c r="A615" s="4">
        <v>34367</v>
      </c>
      <c r="B615" s="9">
        <f ca="1">Prices!C614*(1+J615/(50*(ABS(O615)+ABS(T615)+0.0001)))</f>
        <v>109.67415193927766</v>
      </c>
      <c r="C615" s="13">
        <f t="shared" ca="1" si="60"/>
        <v>1</v>
      </c>
      <c r="D615" s="9">
        <f ca="1">D614+C615*(Prices!C615-Prices!C614)/Prices!C614</f>
        <v>0.26216816908044388</v>
      </c>
      <c r="E615" s="9">
        <f t="shared" ca="1" si="61"/>
        <v>6.412564855151015E-2</v>
      </c>
      <c r="F615" s="9">
        <f t="shared" ca="1" si="62"/>
        <v>0.32629381763195403</v>
      </c>
      <c r="G615" s="13">
        <f ca="1">IF((Prices!C615-Prices!C614)*C615&gt;0,1,0)</f>
        <v>1</v>
      </c>
      <c r="H615" s="9">
        <f>ABS(Prices!C615-Prices!C614)/Prices!C614</f>
        <v>5.4802154932194263E-3</v>
      </c>
      <c r="I615" s="13"/>
      <c r="J615" s="1">
        <f t="shared" ca="1" si="63"/>
        <v>1.4485293277838273E-3</v>
      </c>
      <c r="K615" s="9"/>
      <c r="L615" s="9">
        <f ca="1">L614-O615*Prices!C615</f>
        <v>1.1911943346469354</v>
      </c>
      <c r="M615" s="1">
        <f t="shared" ca="1" si="64"/>
        <v>8.5659323363921451E-3</v>
      </c>
      <c r="N615" s="9">
        <f ca="1">IF(Prices!D614&gt;OFFSET(Prices!D614,-$N$3,0),1,IF(Prices!D614&lt;OFFSET(Prices!D614,-$N$3,0),-1,0))</f>
        <v>1</v>
      </c>
      <c r="O615" s="1">
        <f ca="1">IF(N615=1,O$3*L614/Prices!C614,O$3*M614*N615)</f>
        <v>1.2301278821159037E-3</v>
      </c>
      <c r="P615" s="14"/>
      <c r="Q615" s="9">
        <f ca="1">Q614-T615*Prices!C615</f>
        <v>1.1520130255368799</v>
      </c>
      <c r="R615" s="1">
        <f t="shared" ca="1" si="65"/>
        <v>8.8254592007159238E-3</v>
      </c>
      <c r="S615" s="9">
        <f ca="1">IF(Prices!C614&lt;OFFSET(Prices!C614,-S$3,0),1,IF(Prices!C614&gt;OFFSET(Prices!C614,-S$3,0),-1,0))</f>
        <v>1</v>
      </c>
      <c r="T615" s="1">
        <f ca="1">IF(S615=1,T$3*Q614/Prices!C614,T$3*R614*S615)</f>
        <v>2.1840144566792361E-4</v>
      </c>
    </row>
    <row r="616" spans="1:20" x14ac:dyDescent="0.2">
      <c r="A616" s="4">
        <v>34368</v>
      </c>
      <c r="B616" s="9">
        <f ca="1">Prices!C615*(1+J616/(50*(ABS(O616)+ABS(T616)+0.0001)))</f>
        <v>110.26180738712488</v>
      </c>
      <c r="C616" s="13">
        <f t="shared" ca="1" si="60"/>
        <v>1</v>
      </c>
      <c r="D616" s="9">
        <f ca="1">D615+C616*(Prices!C616-Prices!C615)/Prices!C615</f>
        <v>0.26281482035065168</v>
      </c>
      <c r="E616" s="9">
        <f t="shared" ca="1" si="61"/>
        <v>6.3478997281302352E-2</v>
      </c>
      <c r="F616" s="9">
        <f t="shared" ca="1" si="62"/>
        <v>0.32629381763195403</v>
      </c>
      <c r="G616" s="13">
        <f ca="1">IF((Prices!C616-Prices!C615)*C616&gt;0,1,0)</f>
        <v>1</v>
      </c>
      <c r="H616" s="9">
        <f>ABS(Prices!C616-Prices!C615)/Prices!C615</f>
        <v>6.4665127020778913E-4</v>
      </c>
      <c r="I616" s="13"/>
      <c r="J616" s="1">
        <f t="shared" ca="1" si="63"/>
        <v>1.3132535240224586E-3</v>
      </c>
      <c r="K616" s="9"/>
      <c r="L616" s="9">
        <f ca="1">L615-O616*Prices!C616</f>
        <v>1.0719978724492853</v>
      </c>
      <c r="M616" s="1">
        <f t="shared" ca="1" si="64"/>
        <v>9.6663428071976278E-3</v>
      </c>
      <c r="N616" s="9">
        <f ca="1">IF(Prices!D615&gt;OFFSET(Prices!D615,-$N$3,0),1,IF(Prices!D615&lt;OFFSET(Prices!D615,-$N$3,0),-1,0))</f>
        <v>1</v>
      </c>
      <c r="O616" s="1">
        <f ca="1">IF(N616=1,O$3*L615/Prices!C615,O$3*M615*N616)</f>
        <v>1.1004104708054832E-3</v>
      </c>
      <c r="P616" s="14"/>
      <c r="Q616" s="9">
        <f ca="1">Q615-T616*Prices!C616</f>
        <v>1.1289578660124171</v>
      </c>
      <c r="R616" s="1">
        <f t="shared" ca="1" si="65"/>
        <v>9.0383022539328988E-3</v>
      </c>
      <c r="S616" s="9">
        <f ca="1">IF(Prices!C615&lt;OFFSET(Prices!C615,-S$3,0),1,IF(Prices!C615&gt;OFFSET(Prices!C615,-S$3,0),-1,0))</f>
        <v>1</v>
      </c>
      <c r="T616" s="1">
        <f ca="1">IF(S616=1,T$3*Q615/Prices!C615,T$3*R615*S616)</f>
        <v>2.128430532169755E-4</v>
      </c>
    </row>
    <row r="617" spans="1:20" x14ac:dyDescent="0.2">
      <c r="A617" s="4">
        <v>34369</v>
      </c>
      <c r="B617" s="9">
        <f ca="1">Prices!C616*(1+J617/(50*(ABS(O617)+ABS(T617)+0.0001)))</f>
        <v>110.31951082311146</v>
      </c>
      <c r="C617" s="13">
        <f t="shared" ca="1" si="60"/>
        <v>1</v>
      </c>
      <c r="D617" s="9">
        <f ca="1">D616+C617*(Prices!C617-Prices!C616)/Prices!C616</f>
        <v>0.27306223541712155</v>
      </c>
      <c r="E617" s="9">
        <f t="shared" ca="1" si="61"/>
        <v>5.3231582214832485E-2</v>
      </c>
      <c r="F617" s="9">
        <f t="shared" ca="1" si="62"/>
        <v>0.32629381763195403</v>
      </c>
      <c r="G617" s="13">
        <f ca="1">IF((Prices!C617-Prices!C616)*C617&gt;0,1,0)</f>
        <v>1</v>
      </c>
      <c r="H617" s="9">
        <f>ABS(Prices!C617-Prices!C616)/Prices!C616</f>
        <v>1.0247415066469846E-2</v>
      </c>
      <c r="I617" s="13"/>
      <c r="J617" s="1">
        <f t="shared" ca="1" si="63"/>
        <v>1.1981069476105694E-3</v>
      </c>
      <c r="K617" s="9"/>
      <c r="L617" s="9">
        <f ca="1">L616-O617*Prices!C617</f>
        <v>0.96369956448942073</v>
      </c>
      <c r="M617" s="1">
        <f t="shared" ca="1" si="64"/>
        <v>1.0656001108941798E-2</v>
      </c>
      <c r="N617" s="9">
        <f ca="1">IF(Prices!D616&gt;OFFSET(Prices!D616,-$N$3,0),1,IF(Prices!D616&lt;OFFSET(Prices!D616,-$N$3,0),-1,0))</f>
        <v>1</v>
      </c>
      <c r="O617" s="1">
        <f ca="1">IF(N617=1,O$3*L616/Prices!C616,O$3*M616*N617)</f>
        <v>9.8965830174417048E-4</v>
      </c>
      <c r="P617" s="14"/>
      <c r="Q617" s="9">
        <f ca="1">Q616-T617*Prices!C617</f>
        <v>1.1061473306952569</v>
      </c>
      <c r="R617" s="1">
        <f t="shared" ca="1" si="65"/>
        <v>9.2467508997992973E-3</v>
      </c>
      <c r="S617" s="9">
        <f ca="1">IF(Prices!C616&lt;OFFSET(Prices!C616,-S$3,0),1,IF(Prices!C616&gt;OFFSET(Prices!C616,-S$3,0),-1,0))</f>
        <v>1</v>
      </c>
      <c r="T617" s="1">
        <f ca="1">IF(S617=1,T$3*Q616/Prices!C616,T$3*R616*S617)</f>
        <v>2.0844864586639901E-4</v>
      </c>
    </row>
    <row r="618" spans="1:20" x14ac:dyDescent="0.2">
      <c r="A618" s="4">
        <v>34372</v>
      </c>
      <c r="B618" s="9">
        <f ca="1">Prices!C617*(1+J618/(50*(ABS(O618)+ABS(T618)+0.0001)))</f>
        <v>110.73633564117799</v>
      </c>
      <c r="C618" s="13">
        <f t="shared" ca="1" si="60"/>
        <v>1</v>
      </c>
      <c r="D618" s="9">
        <f ca="1">D617+C618*(Prices!C618-Prices!C617)/Prices!C617</f>
        <v>0.26502056494284565</v>
      </c>
      <c r="E618" s="9">
        <f t="shared" ca="1" si="61"/>
        <v>6.1273252689108382E-2</v>
      </c>
      <c r="F618" s="9">
        <f t="shared" ca="1" si="62"/>
        <v>0.32629381763195403</v>
      </c>
      <c r="G618" s="13">
        <f ca="1">IF((Prices!C618-Prices!C617)*C618&gt;0,1,0)</f>
        <v>0</v>
      </c>
      <c r="H618" s="9">
        <f>ABS(Prices!C618-Prices!C617)/Prices!C617</f>
        <v>8.0416704742758797E-3</v>
      </c>
      <c r="I618" s="13"/>
      <c r="J618" s="1">
        <f t="shared" ca="1" si="63"/>
        <v>6.9571888357526581E-4</v>
      </c>
      <c r="K618" s="9"/>
      <c r="L618" s="9">
        <f ca="1">L617-O618*Prices!C618</f>
        <v>0.86810458347386132</v>
      </c>
      <c r="M618" s="1">
        <f t="shared" ca="1" si="64"/>
        <v>1.153665501051305E-2</v>
      </c>
      <c r="N618" s="9">
        <f ca="1">IF(Prices!D617&gt;OFFSET(Prices!D617,-$N$3,0),1,IF(Prices!D617&lt;OFFSET(Prices!D617,-$N$3,0),-1,0))</f>
        <v>1</v>
      </c>
      <c r="O618" s="1">
        <f ca="1">IF(N618=1,O$3*L617/Prices!C617,O$3*M617*N618)</f>
        <v>8.806539015712517E-4</v>
      </c>
      <c r="P618" s="14"/>
      <c r="Q618" s="9">
        <f ca="1">Q617-T618*Prices!C618</f>
        <v>1.1262220268987213</v>
      </c>
      <c r="R618" s="1">
        <f t="shared" ca="1" si="65"/>
        <v>9.0618158818033118E-3</v>
      </c>
      <c r="S618" s="9">
        <f ca="1">IF(Prices!C617&lt;OFFSET(Prices!C617,-S$3,0),1,IF(Prices!C617&gt;OFFSET(Prices!C617,-S$3,0),-1,0))</f>
        <v>-1</v>
      </c>
      <c r="T618" s="1">
        <f ca="1">IF(S618=1,T$3*Q617/Prices!C617,T$3*R617*S618)</f>
        <v>-1.8493501799598594E-4</v>
      </c>
    </row>
    <row r="619" spans="1:20" x14ac:dyDescent="0.2">
      <c r="A619" s="4">
        <v>34373</v>
      </c>
      <c r="B619" s="9">
        <f ca="1">Prices!C618*(1+J619/(50*(ABS(O619)+ABS(T619)+0.0001)))</f>
        <v>109.79217356960645</v>
      </c>
      <c r="C619" s="13">
        <f t="shared" ca="1" si="60"/>
        <v>1</v>
      </c>
      <c r="D619" s="9">
        <f ca="1">D618+C619*(Prices!C619-Prices!C618)/Prices!C618</f>
        <v>0.26824488553243575</v>
      </c>
      <c r="E619" s="9">
        <f t="shared" ca="1" si="61"/>
        <v>5.804893209951828E-2</v>
      </c>
      <c r="F619" s="9">
        <f t="shared" ca="1" si="62"/>
        <v>0.32629381763195403</v>
      </c>
      <c r="G619" s="13">
        <f ca="1">IF((Prices!C619-Prices!C618)*C619&gt;0,1,0)</f>
        <v>1</v>
      </c>
      <c r="H619" s="9">
        <f>ABS(Prices!C619-Prices!C618)/Prices!C618</f>
        <v>3.2243205895901295E-3</v>
      </c>
      <c r="I619" s="13"/>
      <c r="J619" s="1">
        <f t="shared" ca="1" si="63"/>
        <v>6.1849153448172416E-4</v>
      </c>
      <c r="K619" s="9"/>
      <c r="L619" s="9">
        <f ca="1">L618-O619*Prices!C619</f>
        <v>0.78101422037823398</v>
      </c>
      <c r="M619" s="1">
        <f t="shared" ca="1" si="64"/>
        <v>1.233638286263084E-2</v>
      </c>
      <c r="N619" s="9">
        <f ca="1">IF(Prices!D618&gt;OFFSET(Prices!D618,-$N$3,0),1,IF(Prices!D618&lt;OFFSET(Prices!D618,-$N$3,0),-1,0))</f>
        <v>1</v>
      </c>
      <c r="O619" s="1">
        <f ca="1">IF(N619=1,O$3*L618/Prices!C618,O$3*M618*N619)</f>
        <v>7.9972785211779036E-4</v>
      </c>
      <c r="P619" s="14"/>
      <c r="Q619" s="9">
        <f ca="1">Q618-T619*Prices!C619</f>
        <v>1.145958661889289</v>
      </c>
      <c r="R619" s="1">
        <f t="shared" ca="1" si="65"/>
        <v>8.8805795641672455E-3</v>
      </c>
      <c r="S619" s="9">
        <f ca="1">IF(Prices!C618&lt;OFFSET(Prices!C618,-S$3,0),1,IF(Prices!C618&gt;OFFSET(Prices!C618,-S$3,0),-1,0))</f>
        <v>-1</v>
      </c>
      <c r="T619" s="1">
        <f ca="1">IF(S619=1,T$3*Q618/Prices!C618,T$3*R618*S619)</f>
        <v>-1.8123631763606625E-4</v>
      </c>
    </row>
    <row r="620" spans="1:20" x14ac:dyDescent="0.2">
      <c r="A620" s="4">
        <v>34374</v>
      </c>
      <c r="B620" s="9">
        <f ca="1">Prices!C619*(1+J620/(50*(ABS(O620)+ABS(T620)+0.0001)))</f>
        <v>110.08133764289323</v>
      </c>
      <c r="C620" s="13">
        <f t="shared" ca="1" si="60"/>
        <v>1</v>
      </c>
      <c r="D620" s="9">
        <f ca="1">D619+C620*(Prices!C620-Prices!C619)/Prices!C619</f>
        <v>0.26282707102371211</v>
      </c>
      <c r="E620" s="9">
        <f t="shared" ca="1" si="61"/>
        <v>6.346674660824192E-2</v>
      </c>
      <c r="F620" s="9">
        <f t="shared" ca="1" si="62"/>
        <v>0.32629381763195403</v>
      </c>
      <c r="G620" s="13">
        <f ca="1">IF((Prices!C620-Prices!C619)*C620&gt;0,1,0)</f>
        <v>0</v>
      </c>
      <c r="H620" s="9">
        <f>ABS(Prices!C620-Prices!C619)/Prices!C619</f>
        <v>5.4178145087236309E-3</v>
      </c>
      <c r="I620" s="13"/>
      <c r="J620" s="1">
        <f t="shared" ca="1" si="63"/>
        <v>5.3957318408693418E-4</v>
      </c>
      <c r="K620" s="9"/>
      <c r="L620" s="9">
        <f ca="1">L619-O620*Prices!C620</f>
        <v>0.70333593735787903</v>
      </c>
      <c r="M620" s="1">
        <f t="shared" ca="1" si="64"/>
        <v>1.3053567638001119E-2</v>
      </c>
      <c r="N620" s="9">
        <f ca="1">IF(Prices!D619&gt;OFFSET(Prices!D619,-$N$3,0),1,IF(Prices!D619&lt;OFFSET(Prices!D619,-$N$3,0),-1,0))</f>
        <v>1</v>
      </c>
      <c r="O620" s="1">
        <f ca="1">IF(N620=1,O$3*L619/Prices!C619,O$3*M619*N620)</f>
        <v>7.171847753702791E-4</v>
      </c>
      <c r="P620" s="14"/>
      <c r="Q620" s="9">
        <f ca="1">Q619-T620*Prices!C620</f>
        <v>1.165195773341188</v>
      </c>
      <c r="R620" s="1">
        <f t="shared" ca="1" si="65"/>
        <v>8.7029679728839009E-3</v>
      </c>
      <c r="S620" s="9">
        <f ca="1">IF(Prices!C619&lt;OFFSET(Prices!C619,-S$3,0),1,IF(Prices!C619&gt;OFFSET(Prices!C619,-S$3,0),-1,0))</f>
        <v>-1</v>
      </c>
      <c r="T620" s="1">
        <f ca="1">IF(S620=1,T$3*Q619/Prices!C619,T$3*R619*S620)</f>
        <v>-1.7761159128334492E-4</v>
      </c>
    </row>
    <row r="621" spans="1:20" x14ac:dyDescent="0.2">
      <c r="A621" s="4">
        <v>34375</v>
      </c>
      <c r="B621" s="9">
        <f ca="1">Prices!C620*(1+J621/(50*(ABS(O621)+ABS(T621)+0.0001)))</f>
        <v>110.25161450166101</v>
      </c>
      <c r="C621" s="13">
        <f t="shared" ca="1" si="60"/>
        <v>1</v>
      </c>
      <c r="D621" s="9">
        <f ca="1">D620+C621*(Prices!C621-Prices!C620)/Prices!C620</f>
        <v>0.2613498297717502</v>
      </c>
      <c r="E621" s="9">
        <f t="shared" ca="1" si="61"/>
        <v>6.4943987860203833E-2</v>
      </c>
      <c r="F621" s="9">
        <f t="shared" ca="1" si="62"/>
        <v>0.32629381763195403</v>
      </c>
      <c r="G621" s="13">
        <f ca="1">IF((Prices!C621-Prices!C620)*C621&gt;0,1,0)</f>
        <v>0</v>
      </c>
      <c r="H621" s="9">
        <f>ABS(Prices!C621-Prices!C620)/Prices!C620</f>
        <v>1.4772412519619294E-3</v>
      </c>
      <c r="I621" s="13"/>
      <c r="J621" s="1">
        <f t="shared" ca="1" si="63"/>
        <v>8.645324457816606E-4</v>
      </c>
      <c r="K621" s="9"/>
      <c r="L621" s="9">
        <f ca="1">L620-O621*Prices!C621</f>
        <v>0.63310624330815635</v>
      </c>
      <c r="M621" s="1">
        <f t="shared" ca="1" si="64"/>
        <v>1.3702940675908864E-2</v>
      </c>
      <c r="N621" s="9">
        <f ca="1">IF(Prices!D620&gt;OFFSET(Prices!D620,-$N$3,0),1,IF(Prices!D620&lt;OFFSET(Prices!D620,-$N$3,0),-1,0))</f>
        <v>1</v>
      </c>
      <c r="O621" s="1">
        <f ca="1">IF(N621=1,O$3*L620/Prices!C620,O$3*M620*N621)</f>
        <v>6.4937303790774537E-4</v>
      </c>
      <c r="P621" s="14"/>
      <c r="Q621" s="9">
        <f ca="1">Q620-T621*Prices!C621</f>
        <v>1.141926283379624</v>
      </c>
      <c r="R621" s="1">
        <f t="shared" ca="1" si="65"/>
        <v>8.9181273807578156E-3</v>
      </c>
      <c r="S621" s="9">
        <f ca="1">IF(Prices!C620&lt;OFFSET(Prices!C620,-S$3,0),1,IF(Prices!C620&gt;OFFSET(Prices!C620,-S$3,0),-1,0))</f>
        <v>1</v>
      </c>
      <c r="T621" s="1">
        <f ca="1">IF(S621=1,T$3*Q620/Prices!C620,T$3*R620*S621)</f>
        <v>2.1515940787391523E-4</v>
      </c>
    </row>
    <row r="622" spans="1:20" x14ac:dyDescent="0.2">
      <c r="A622" s="4">
        <v>34376</v>
      </c>
      <c r="B622" s="9">
        <f ca="1">Prices!C621*(1+J622/(50*(ABS(O622)+ABS(T622)+0.0001)))</f>
        <v>106.65893703574427</v>
      </c>
      <c r="C622" s="13">
        <f t="shared" ca="1" si="60"/>
        <v>-1</v>
      </c>
      <c r="D622" s="9">
        <f ca="1">D621+C622*(Prices!C622-Prices!C621)/Prices!C621</f>
        <v>0.27013392593448715</v>
      </c>
      <c r="E622" s="9">
        <f t="shared" ca="1" si="61"/>
        <v>5.6159891697466879E-2</v>
      </c>
      <c r="F622" s="9">
        <f t="shared" ca="1" si="62"/>
        <v>0.32629381763195403</v>
      </c>
      <c r="G622" s="13">
        <f ca="1">IF((Prices!C622-Prices!C621)*C622&gt;0,1,0)</f>
        <v>1</v>
      </c>
      <c r="H622" s="9">
        <f>ABS(Prices!C622-Prices!C621)/Prices!C621</f>
        <v>8.7840961627369644E-3</v>
      </c>
      <c r="I622" s="13"/>
      <c r="J622" s="1">
        <f t="shared" ca="1" si="63"/>
        <v>-1.15911953529692E-3</v>
      </c>
      <c r="K622" s="9"/>
      <c r="L622" s="9">
        <f ca="1">L621-O622*Prices!C622</f>
        <v>0.78000176735389937</v>
      </c>
      <c r="M622" s="1">
        <f t="shared" ca="1" si="64"/>
        <v>1.2332646608317977E-2</v>
      </c>
      <c r="N622" s="9">
        <f ca="1">IF(Prices!D621&gt;OFFSET(Prices!D621,-$N$3,0),1,IF(Prices!D621&lt;OFFSET(Prices!D621,-$N$3,0),-1,0))</f>
        <v>-1</v>
      </c>
      <c r="O622" s="1">
        <f ca="1">IF(N622=1,O$3*L621/Prices!C621,O$3*M621*N622)</f>
        <v>-1.3702940675908864E-3</v>
      </c>
      <c r="P622" s="14"/>
      <c r="Q622" s="9">
        <f ca="1">Q621-T622*Prices!C622</f>
        <v>1.1192883735177108</v>
      </c>
      <c r="R622" s="1">
        <f t="shared" ca="1" si="65"/>
        <v>9.1293019130517829E-3</v>
      </c>
      <c r="S622" s="9">
        <f ca="1">IF(Prices!C621&lt;OFFSET(Prices!C621,-S$3,0),1,IF(Prices!C621&gt;OFFSET(Prices!C621,-S$3,0),-1,0))</f>
        <v>1</v>
      </c>
      <c r="T622" s="1">
        <f ca="1">IF(S622=1,T$3*Q621/Prices!C621,T$3*R621*S622)</f>
        <v>2.1117453229396651E-4</v>
      </c>
    </row>
    <row r="623" spans="1:20" x14ac:dyDescent="0.2">
      <c r="A623" s="4">
        <v>34379</v>
      </c>
      <c r="B623" s="9">
        <f ca="1">Prices!C622*(1+J623/(50*(ABS(O623)+ABS(T623)+0.0001)))</f>
        <v>105.7756939040888</v>
      </c>
      <c r="C623" s="13">
        <f t="shared" ca="1" si="60"/>
        <v>-1</v>
      </c>
      <c r="D623" s="9">
        <f ca="1">D622+C623*(Prices!C623-Prices!C622)/Prices!C622</f>
        <v>0.31770855280015886</v>
      </c>
      <c r="E623" s="9">
        <f t="shared" ca="1" si="61"/>
        <v>8.5852648317951696E-3</v>
      </c>
      <c r="F623" s="9">
        <f t="shared" ca="1" si="62"/>
        <v>0.32629381763195403</v>
      </c>
      <c r="G623" s="13">
        <f ca="1">IF((Prices!C623-Prices!C622)*C623&gt;0,1,0)</f>
        <v>1</v>
      </c>
      <c r="H623" s="9">
        <f>ABS(Prices!C623-Prices!C622)/Prices!C622</f>
        <v>4.7574626865671717E-2</v>
      </c>
      <c r="I623" s="13"/>
      <c r="J623" s="1">
        <f t="shared" ca="1" si="63"/>
        <v>-1.024442203085956E-3</v>
      </c>
      <c r="K623" s="9"/>
      <c r="L623" s="9">
        <f ca="1">L622-O623*Prices!C623</f>
        <v>0.90591808922482586</v>
      </c>
      <c r="M623" s="1">
        <f t="shared" ca="1" si="64"/>
        <v>1.1099381947486178E-2</v>
      </c>
      <c r="N623" s="9">
        <f ca="1">IF(Prices!D622&gt;OFFSET(Prices!D622,-$N$3,0),1,IF(Prices!D622&lt;OFFSET(Prices!D622,-$N$3,0),-1,0))</f>
        <v>-1</v>
      </c>
      <c r="O623" s="1">
        <f ca="1">IF(N623=1,O$3*L622/Prices!C622,O$3*M622*N623)</f>
        <v>-1.2332646608317977E-3</v>
      </c>
      <c r="P623" s="14"/>
      <c r="Q623" s="9">
        <f ca="1">Q622-T623*Prices!C623</f>
        <v>1.0979676005818604</v>
      </c>
      <c r="R623" s="1">
        <f t="shared" ca="1" si="65"/>
        <v>9.338124370797625E-3</v>
      </c>
      <c r="S623" s="9">
        <f ca="1">IF(Prices!C622&lt;OFFSET(Prices!C622,-S$3,0),1,IF(Prices!C622&gt;OFFSET(Prices!C622,-S$3,0),-1,0))</f>
        <v>1</v>
      </c>
      <c r="T623" s="1">
        <f ca="1">IF(S623=1,T$3*Q622/Prices!C622,T$3*R622*S623)</f>
        <v>2.0882245774584158E-4</v>
      </c>
    </row>
    <row r="624" spans="1:20" x14ac:dyDescent="0.2">
      <c r="A624" s="4">
        <v>34380</v>
      </c>
      <c r="B624" s="9">
        <f ca="1">Prices!C623*(1+J624/(50*(ABS(O624)+ABS(T624)+0.0001)))</f>
        <v>100.81769305909361</v>
      </c>
      <c r="C624" s="13">
        <f t="shared" ca="1" si="60"/>
        <v>-1</v>
      </c>
      <c r="D624" s="9">
        <f ca="1">D623+C624*(Prices!C624-Prices!C623)/Prices!C623</f>
        <v>0.30056849403424307</v>
      </c>
      <c r="E624" s="9">
        <f t="shared" ca="1" si="61"/>
        <v>2.5725323597710958E-2</v>
      </c>
      <c r="F624" s="9">
        <f t="shared" ca="1" si="62"/>
        <v>0.32629381763195403</v>
      </c>
      <c r="G624" s="13">
        <f ca="1">IF((Prices!C624-Prices!C623)*C624&gt;0,1,0)</f>
        <v>0</v>
      </c>
      <c r="H624" s="9">
        <f>ABS(Prices!C624-Prices!C623)/Prices!C623</f>
        <v>1.7140058765915771E-2</v>
      </c>
      <c r="I624" s="13"/>
      <c r="J624" s="1">
        <f t="shared" ca="1" si="63"/>
        <v>-8.9486128963953647E-4</v>
      </c>
      <c r="K624" s="9"/>
      <c r="L624" s="9">
        <f ca="1">L623-O624*Prices!C624</f>
        <v>1.0211851707494699</v>
      </c>
      <c r="M624" s="1">
        <f t="shared" ca="1" si="64"/>
        <v>9.9894437527375604E-3</v>
      </c>
      <c r="N624" s="9">
        <f ca="1">IF(Prices!D623&gt;OFFSET(Prices!D623,-$N$3,0),1,IF(Prices!D623&lt;OFFSET(Prices!D623,-$N$3,0),-1,0))</f>
        <v>-1</v>
      </c>
      <c r="O624" s="1">
        <f ca="1">IF(N624=1,O$3*L623/Prices!C623,O$3*M623*N624)</f>
        <v>-1.1099381947486178E-3</v>
      </c>
      <c r="P624" s="14"/>
      <c r="Q624" s="9">
        <f ca="1">Q623-T624*Prices!C624</f>
        <v>1.0756318639862823</v>
      </c>
      <c r="R624" s="1">
        <f t="shared" ca="1" si="65"/>
        <v>9.5532012759067062E-3</v>
      </c>
      <c r="S624" s="9">
        <f ca="1">IF(Prices!C623&lt;OFFSET(Prices!C623,-S$3,0),1,IF(Prices!C623&gt;OFFSET(Prices!C623,-S$3,0),-1,0))</f>
        <v>1</v>
      </c>
      <c r="T624" s="1">
        <f ca="1">IF(S624=1,T$3*Q623/Prices!C623,T$3*R623*S624)</f>
        <v>2.1507690510908138E-4</v>
      </c>
    </row>
    <row r="625" spans="1:20" x14ac:dyDescent="0.2">
      <c r="A625" s="4">
        <v>34381</v>
      </c>
      <c r="B625" s="9">
        <f ca="1">Prices!C624*(1+J625/(50*(ABS(O625)+ABS(T625)+0.0001)))</f>
        <v>102.59086174632621</v>
      </c>
      <c r="C625" s="13">
        <f t="shared" ca="1" si="60"/>
        <v>-1</v>
      </c>
      <c r="D625" s="9">
        <f ca="1">D624+C625*(Prices!C625-Prices!C624)/Prices!C624</f>
        <v>0.30095366495383857</v>
      </c>
      <c r="E625" s="9">
        <f t="shared" ca="1" si="61"/>
        <v>2.5340152678115457E-2</v>
      </c>
      <c r="F625" s="9">
        <f t="shared" ca="1" si="62"/>
        <v>0.32629381763195403</v>
      </c>
      <c r="G625" s="13">
        <f ca="1">IF((Prices!C625-Prices!C624)*C625&gt;0,1,0)</f>
        <v>1</v>
      </c>
      <c r="H625" s="9">
        <f>ABS(Prices!C625-Prices!C624)/Prices!C624</f>
        <v>3.8517091959549394E-4</v>
      </c>
      <c r="I625" s="13"/>
      <c r="J625" s="1">
        <f t="shared" ca="1" si="63"/>
        <v>-7.9179331817480914E-4</v>
      </c>
      <c r="K625" s="9"/>
      <c r="L625" s="9">
        <f ca="1">L624-O625*Prices!C625</f>
        <v>1.1248855863466385</v>
      </c>
      <c r="M625" s="1">
        <f t="shared" ca="1" si="64"/>
        <v>8.990499377463804E-3</v>
      </c>
      <c r="N625" s="9">
        <f ca="1">IF(Prices!D624&gt;OFFSET(Prices!D624,-$N$3,0),1,IF(Prices!D624&lt;OFFSET(Prices!D624,-$N$3,0),-1,0))</f>
        <v>-1</v>
      </c>
      <c r="O625" s="1">
        <f ca="1">IF(N625=1,O$3*L624/Prices!C624,O$3*M624*N625)</f>
        <v>-9.9894437527375617E-4</v>
      </c>
      <c r="P625" s="14"/>
      <c r="Q625" s="9">
        <f ca="1">Q624-T625*Prices!C625</f>
        <v>1.0541275127488405</v>
      </c>
      <c r="R625" s="1">
        <f t="shared" ca="1" si="65"/>
        <v>9.7603523330056525E-3</v>
      </c>
      <c r="S625" s="9">
        <f ca="1">IF(Prices!C624&lt;OFFSET(Prices!C624,-S$3,0),1,IF(Prices!C624&gt;OFFSET(Prices!C624,-S$3,0),-1,0))</f>
        <v>1</v>
      </c>
      <c r="T625" s="1">
        <f ca="1">IF(S625=1,T$3*Q624/Prices!C624,T$3*R624*S625)</f>
        <v>2.0715105709894703E-4</v>
      </c>
    </row>
    <row r="626" spans="1:20" x14ac:dyDescent="0.2">
      <c r="A626" s="4">
        <v>34382</v>
      </c>
      <c r="B626" s="9">
        <f ca="1">Prices!C625*(1+J626/(50*(ABS(O626)+ABS(T626)+0.0001)))</f>
        <v>102.60801094013456</v>
      </c>
      <c r="C626" s="13">
        <f t="shared" ca="1" si="60"/>
        <v>-1</v>
      </c>
      <c r="D626" s="9">
        <f ca="1">D625+C626*(Prices!C626-Prices!C625)/Prices!C625</f>
        <v>0.2967151522864655</v>
      </c>
      <c r="E626" s="9">
        <f t="shared" ca="1" si="61"/>
        <v>2.9578665345488531E-2</v>
      </c>
      <c r="F626" s="9">
        <f t="shared" ca="1" si="62"/>
        <v>0.32629381763195403</v>
      </c>
      <c r="G626" s="13">
        <f ca="1">IF((Prices!C626-Prices!C625)*C626&gt;0,1,0)</f>
        <v>0</v>
      </c>
      <c r="H626" s="9">
        <f>ABS(Prices!C626-Prices!C625)/Prices!C625</f>
        <v>4.2385126673730638E-3</v>
      </c>
      <c r="I626" s="13"/>
      <c r="J626" s="1">
        <f t="shared" ca="1" si="63"/>
        <v>-6.9596208248217837E-4</v>
      </c>
      <c r="K626" s="9"/>
      <c r="L626" s="9">
        <f ca="1">L625-O626*Prices!C626</f>
        <v>1.2186115423566986</v>
      </c>
      <c r="M626" s="1">
        <f t="shared" ca="1" si="64"/>
        <v>8.0914494397174228E-3</v>
      </c>
      <c r="N626" s="9">
        <f ca="1">IF(Prices!D625&gt;OFFSET(Prices!D625,-$N$3,0),1,IF(Prices!D625&lt;OFFSET(Prices!D625,-$N$3,0),-1,0))</f>
        <v>-1</v>
      </c>
      <c r="O626" s="1">
        <f ca="1">IF(N626=1,O$3*L625/Prices!C625,O$3*M625*N626)</f>
        <v>-8.990499377463804E-4</v>
      </c>
      <c r="P626" s="14"/>
      <c r="Q626" s="9">
        <f ca="1">Q625-T626*Prices!C626</f>
        <v>1.0329556038375474</v>
      </c>
      <c r="R626" s="1">
        <f t="shared" ca="1" si="65"/>
        <v>9.9634401882698551E-3</v>
      </c>
      <c r="S626" s="9">
        <f ca="1">IF(Prices!C625&lt;OFFSET(Prices!C625,-S$3,0),1,IF(Prices!C625&gt;OFFSET(Prices!C625,-S$3,0),-1,0))</f>
        <v>1</v>
      </c>
      <c r="T626" s="1">
        <f ca="1">IF(S626=1,T$3*Q625/Prices!C625,T$3*R625*S626)</f>
        <v>2.0308785526420203E-4</v>
      </c>
    </row>
    <row r="627" spans="1:20" x14ac:dyDescent="0.2">
      <c r="A627" s="4">
        <v>34383</v>
      </c>
      <c r="B627" s="9">
        <f ca="1">Prices!C626*(1+J627/(50*(ABS(O627)+ABS(T627)+0.0001)))</f>
        <v>106.19288298308233</v>
      </c>
      <c r="C627" s="13">
        <f t="shared" ca="1" si="60"/>
        <v>1</v>
      </c>
      <c r="D627" s="9">
        <f ca="1">D626+C627*(Prices!C627-Prices!C626)/Prices!C626</f>
        <v>0.30016838969653742</v>
      </c>
      <c r="E627" s="9">
        <f t="shared" ca="1" si="61"/>
        <v>2.6125427935416612E-2</v>
      </c>
      <c r="F627" s="9">
        <f t="shared" ca="1" si="62"/>
        <v>0.32629381763195403</v>
      </c>
      <c r="G627" s="13">
        <f ca="1">IF((Prices!C627-Prices!C626)*C627&gt;0,1,0)</f>
        <v>1</v>
      </c>
      <c r="H627" s="9">
        <f>ABS(Prices!C627-Prices!C626)/Prices!C626</f>
        <v>3.453237410071937E-3</v>
      </c>
      <c r="I627" s="13"/>
      <c r="J627" s="1">
        <f t="shared" ca="1" si="63"/>
        <v>1.367100875898521E-3</v>
      </c>
      <c r="K627" s="9"/>
      <c r="L627" s="9">
        <f ca="1">L626-O627*Prices!C627</f>
        <v>1.0963295726243876</v>
      </c>
      <c r="M627" s="1">
        <f t="shared" ca="1" si="64"/>
        <v>9.2603813748317627E-3</v>
      </c>
      <c r="N627" s="9">
        <f ca="1">IF(Prices!D626&gt;OFFSET(Prices!D626,-$N$3,0),1,IF(Prices!D626&lt;OFFSET(Prices!D626,-$N$3,0),-1,0))</f>
        <v>1</v>
      </c>
      <c r="O627" s="1">
        <f ca="1">IF(N627=1,O$3*L626/Prices!C626,O$3*M626*N627)</f>
        <v>1.1689319351143393E-3</v>
      </c>
      <c r="P627" s="14"/>
      <c r="Q627" s="9">
        <f ca="1">Q626-T627*Prices!C627</f>
        <v>1.0122251509421141</v>
      </c>
      <c r="R627" s="1">
        <f t="shared" ca="1" si="65"/>
        <v>1.0161609129054037E-2</v>
      </c>
      <c r="S627" s="9">
        <f ca="1">IF(Prices!C626&lt;OFFSET(Prices!C626,-S$3,0),1,IF(Prices!C626&gt;OFFSET(Prices!C626,-S$3,0),-1,0))</f>
        <v>1</v>
      </c>
      <c r="T627" s="1">
        <f ca="1">IF(S627=1,T$3*Q626/Prices!C626,T$3*R626*S627)</f>
        <v>1.9816894078418174E-4</v>
      </c>
    </row>
    <row r="628" spans="1:20" x14ac:dyDescent="0.2">
      <c r="A628" s="4">
        <v>34386</v>
      </c>
      <c r="B628" s="9">
        <f ca="1">Prices!C627*(1+J628/(50*(ABS(O628)+ABS(T628)+0.0001)))</f>
        <v>105.91801783998177</v>
      </c>
      <c r="C628" s="13">
        <f t="shared" ca="1" si="60"/>
        <v>1</v>
      </c>
      <c r="D628" s="9">
        <f ca="1">D627+C628*(Prices!C628-Prices!C627)/Prices!C627</f>
        <v>0.31393380409286664</v>
      </c>
      <c r="E628" s="9">
        <f t="shared" ca="1" si="61"/>
        <v>1.2360013539087389E-2</v>
      </c>
      <c r="F628" s="9">
        <f t="shared" ca="1" si="62"/>
        <v>0.32629381763195403</v>
      </c>
      <c r="G628" s="13">
        <f ca="1">IF((Prices!C628-Prices!C627)*C628&gt;0,1,0)</f>
        <v>1</v>
      </c>
      <c r="H628" s="9">
        <f>ABS(Prices!C628-Prices!C627)/Prices!C627</f>
        <v>1.37654143963292E-2</v>
      </c>
      <c r="I628" s="13"/>
      <c r="J628" s="1">
        <f t="shared" ca="1" si="63"/>
        <v>8.4478385089983669E-4</v>
      </c>
      <c r="K628" s="9"/>
      <c r="L628" s="9">
        <f ca="1">L627-O628*Prices!C628</f>
        <v>0.98518747227373626</v>
      </c>
      <c r="M628" s="1">
        <f t="shared" ca="1" si="64"/>
        <v>1.0308397408312679E-2</v>
      </c>
      <c r="N628" s="9">
        <f ca="1">IF(Prices!D627&gt;OFFSET(Prices!D627,-$N$3,0),1,IF(Prices!D627&lt;OFFSET(Prices!D627,-$N$3,0),-1,0))</f>
        <v>1</v>
      </c>
      <c r="O628" s="1">
        <f ca="1">IF(N628=1,O$3*L627/Prices!C627,O$3*M627*N628)</f>
        <v>1.0480160334809174E-3</v>
      </c>
      <c r="P628" s="14"/>
      <c r="Q628" s="9">
        <f ca="1">Q627-T628*Prices!C628</f>
        <v>1.0337779239048377</v>
      </c>
      <c r="R628" s="1">
        <f t="shared" ca="1" si="65"/>
        <v>9.9583769464729553E-3</v>
      </c>
      <c r="S628" s="9">
        <f ca="1">IF(Prices!C627&lt;OFFSET(Prices!C627,-S$3,0),1,IF(Prices!C627&gt;OFFSET(Prices!C627,-S$3,0),-1,0))</f>
        <v>-1</v>
      </c>
      <c r="T628" s="1">
        <f ca="1">IF(S628=1,T$3*Q627/Prices!C627,T$3*R627*S628)</f>
        <v>-2.0323218258108073E-4</v>
      </c>
    </row>
    <row r="629" spans="1:20" x14ac:dyDescent="0.2">
      <c r="A629" s="4">
        <v>34387</v>
      </c>
      <c r="B629" s="9">
        <f ca="1">Prices!C628*(1+J629/(50*(ABS(O629)+ABS(T629)+0.0001)))</f>
        <v>107.31038246616603</v>
      </c>
      <c r="C629" s="13">
        <f t="shared" ca="1" si="60"/>
        <v>1</v>
      </c>
      <c r="D629" s="9">
        <f ca="1">D628+C629*(Prices!C629-Prices!C628)/Prices!C628</f>
        <v>0.31063347405986341</v>
      </c>
      <c r="E629" s="9">
        <f t="shared" ca="1" si="61"/>
        <v>1.5660343572090618E-2</v>
      </c>
      <c r="F629" s="9">
        <f t="shared" ca="1" si="62"/>
        <v>0.32629381763195403</v>
      </c>
      <c r="G629" s="13">
        <f ca="1">IF((Prices!C629-Prices!C628)*C629&gt;0,1,0)</f>
        <v>0</v>
      </c>
      <c r="H629" s="9">
        <f>ABS(Prices!C629-Prices!C628)/Prices!C628</f>
        <v>3.300330033003247E-3</v>
      </c>
      <c r="I629" s="13"/>
      <c r="J629" s="1">
        <f t="shared" ca="1" si="63"/>
        <v>7.2981640475157481E-4</v>
      </c>
      <c r="K629" s="9"/>
      <c r="L629" s="9">
        <f ca="1">L628-O629*Prices!C629</f>
        <v>0.88699386942665104</v>
      </c>
      <c r="M629" s="1">
        <f t="shared" ca="1" si="64"/>
        <v>1.1237381351993713E-2</v>
      </c>
      <c r="N629" s="9">
        <f ca="1">IF(Prices!D628&gt;OFFSET(Prices!D628,-$N$3,0),1,IF(Prices!D628&lt;OFFSET(Prices!D628,-$N$3,0),-1,0))</f>
        <v>1</v>
      </c>
      <c r="O629" s="1">
        <f ca="1">IF(N629=1,O$3*L628/Prices!C628,O$3*M628*N629)</f>
        <v>9.289839436810339E-4</v>
      </c>
      <c r="P629" s="14"/>
      <c r="Q629" s="9">
        <f ca="1">Q628-T629*Prices!C629</f>
        <v>1.0548299327696815</v>
      </c>
      <c r="R629" s="1">
        <f t="shared" ca="1" si="65"/>
        <v>9.7592094075434968E-3</v>
      </c>
      <c r="S629" s="9">
        <f ca="1">IF(Prices!C628&lt;OFFSET(Prices!C628,-S$3,0),1,IF(Prices!C628&gt;OFFSET(Prices!C628,-S$3,0),-1,0))</f>
        <v>-1</v>
      </c>
      <c r="T629" s="1">
        <f ca="1">IF(S629=1,T$3*Q628/Prices!C628,T$3*R628*S629)</f>
        <v>-1.991675389294591E-4</v>
      </c>
    </row>
    <row r="630" spans="1:20" x14ac:dyDescent="0.2">
      <c r="A630" s="4">
        <v>34388</v>
      </c>
      <c r="B630" s="9">
        <f ca="1">Prices!C629*(1+J630/(50*(ABS(O630)+ABS(T630)+0.0001)))</f>
        <v>103.7349863092018</v>
      </c>
      <c r="C630" s="13">
        <f t="shared" ca="1" si="60"/>
        <v>-1</v>
      </c>
      <c r="D630" s="9">
        <f ca="1">D629+C630*(Prices!C630-Prices!C629)/Prices!C629</f>
        <v>0.31063347405986341</v>
      </c>
      <c r="E630" s="9">
        <f t="shared" ca="1" si="61"/>
        <v>1.5660343572090618E-2</v>
      </c>
      <c r="F630" s="9">
        <f t="shared" ca="1" si="62"/>
        <v>0.32629381763195403</v>
      </c>
      <c r="G630" s="13">
        <f ca="1">IF((Prices!C630-Prices!C629)*C630&gt;0,1,0)</f>
        <v>0</v>
      </c>
      <c r="H630" s="9">
        <f>ABS(Prices!C630-Prices!C629)/Prices!C629</f>
        <v>0</v>
      </c>
      <c r="I630" s="13"/>
      <c r="J630" s="1">
        <f t="shared" ca="1" si="63"/>
        <v>-1.3189223233502413E-3</v>
      </c>
      <c r="K630" s="9"/>
      <c r="L630" s="9">
        <f ca="1">L629-O630*Prices!C630</f>
        <v>1.0057729903172246</v>
      </c>
      <c r="M630" s="1">
        <f t="shared" ca="1" si="64"/>
        <v>1.0113643216794341E-2</v>
      </c>
      <c r="N630" s="9">
        <f ca="1">IF(Prices!D629&gt;OFFSET(Prices!D629,-$N$3,0),1,IF(Prices!D629&lt;OFFSET(Prices!D629,-$N$3,0),-1,0))</f>
        <v>-1</v>
      </c>
      <c r="O630" s="1">
        <f ca="1">IF(N630=1,O$3*L629/Prices!C629,O$3*M629*N630)</f>
        <v>-1.1237381351993714E-3</v>
      </c>
      <c r="P630" s="14"/>
      <c r="Q630" s="9">
        <f ca="1">Q629-T630*Prices!C630</f>
        <v>1.0754609014572285</v>
      </c>
      <c r="R630" s="1">
        <f t="shared" ca="1" si="65"/>
        <v>9.5640252193926276E-3</v>
      </c>
      <c r="S630" s="9">
        <f ca="1">IF(Prices!C629&lt;OFFSET(Prices!C629,-S$3,0),1,IF(Prices!C629&gt;OFFSET(Prices!C629,-S$3,0),-1,0))</f>
        <v>-1</v>
      </c>
      <c r="T630" s="1">
        <f ca="1">IF(S630=1,T$3*Q629/Prices!C629,T$3*R629*S630)</f>
        <v>-1.9518418815086993E-4</v>
      </c>
    </row>
    <row r="631" spans="1:20" x14ac:dyDescent="0.2">
      <c r="A631" s="4">
        <v>34389</v>
      </c>
      <c r="B631" s="9">
        <f ca="1">Prices!C630*(1+J631/(50*(ABS(O631)+ABS(T631)+0.0001)))</f>
        <v>106.99317536085903</v>
      </c>
      <c r="C631" s="13">
        <f t="shared" ca="1" si="60"/>
        <v>1</v>
      </c>
      <c r="D631" s="9">
        <f ca="1">D630+C631*(Prices!C631-Prices!C630)/Prices!C630</f>
        <v>0.30401095750357199</v>
      </c>
      <c r="E631" s="9">
        <f t="shared" ca="1" si="61"/>
        <v>2.2282860128382043E-2</v>
      </c>
      <c r="F631" s="9">
        <f t="shared" ca="1" si="62"/>
        <v>0.32629381763195403</v>
      </c>
      <c r="G631" s="13">
        <f ca="1">IF((Prices!C631-Prices!C630)*C631&gt;0,1,0)</f>
        <v>0</v>
      </c>
      <c r="H631" s="9">
        <f>ABS(Prices!C631-Prices!C630)/Prices!C630</f>
        <v>6.6225165562914176E-3</v>
      </c>
      <c r="I631" s="13"/>
      <c r="J631" s="1">
        <f t="shared" ca="1" si="63"/>
        <v>7.6025496421879327E-4</v>
      </c>
      <c r="K631" s="9"/>
      <c r="L631" s="9">
        <f ca="1">L630-O631*Prices!C631</f>
        <v>0.90586176611352676</v>
      </c>
      <c r="M631" s="1">
        <f t="shared" ca="1" si="64"/>
        <v>1.1065178685400988E-2</v>
      </c>
      <c r="N631" s="9">
        <f ca="1">IF(Prices!D630&gt;OFFSET(Prices!D630,-$N$3,0),1,IF(Prices!D630&lt;OFFSET(Prices!D630,-$N$3,0),-1,0))</f>
        <v>1</v>
      </c>
      <c r="O631" s="1">
        <f ca="1">IF(N631=1,O$3*L630/Prices!C630,O$3*M630*N631)</f>
        <v>9.5153546860664588E-4</v>
      </c>
      <c r="P631" s="14"/>
      <c r="Q631" s="9">
        <f ca="1">Q630-T631*Prices!C631</f>
        <v>1.095545354417953</v>
      </c>
      <c r="R631" s="1">
        <f t="shared" ca="1" si="65"/>
        <v>9.3727447150047747E-3</v>
      </c>
      <c r="S631" s="9">
        <f ca="1">IF(Prices!C630&lt;OFFSET(Prices!C630,-S$3,0),1,IF(Prices!C630&gt;OFFSET(Prices!C630,-S$3,0),-1,0))</f>
        <v>-1</v>
      </c>
      <c r="T631" s="1">
        <f ca="1">IF(S631=1,T$3*Q630/Prices!C630,T$3*R630*S631)</f>
        <v>-1.9128050438785255E-4</v>
      </c>
    </row>
    <row r="632" spans="1:20" x14ac:dyDescent="0.2">
      <c r="A632" s="4">
        <v>34390</v>
      </c>
      <c r="B632" s="9">
        <f ca="1">Prices!C631*(1+J632/(50*(ABS(O632)+ABS(T632)+0.0001)))</f>
        <v>106.23290943895307</v>
      </c>
      <c r="C632" s="13">
        <f t="shared" ca="1" si="60"/>
        <v>1</v>
      </c>
      <c r="D632" s="9">
        <f ca="1">D631+C632*(Prices!C632-Prices!C631)/Prices!C631</f>
        <v>0.30220143369404823</v>
      </c>
      <c r="E632" s="9">
        <f t="shared" ca="1" si="61"/>
        <v>2.4092383937905804E-2</v>
      </c>
      <c r="F632" s="9">
        <f t="shared" ca="1" si="62"/>
        <v>0.32629381763195403</v>
      </c>
      <c r="G632" s="13">
        <f ca="1">IF((Prices!C632-Prices!C631)*C632&gt;0,1,0)</f>
        <v>0</v>
      </c>
      <c r="H632" s="9">
        <f>ABS(Prices!C632-Prices!C631)/Prices!C631</f>
        <v>1.8095238095237878E-3</v>
      </c>
      <c r="I632" s="13"/>
      <c r="J632" s="1">
        <f t="shared" ca="1" si="63"/>
        <v>6.7527059723659672E-4</v>
      </c>
      <c r="K632" s="9"/>
      <c r="L632" s="9">
        <f ca="1">L631-O632*Prices!C632</f>
        <v>0.81543950734556603</v>
      </c>
      <c r="M632" s="1">
        <f t="shared" ca="1" si="64"/>
        <v>1.1927904176937679E-2</v>
      </c>
      <c r="N632" s="9">
        <f ca="1">IF(Prices!D631&gt;OFFSET(Prices!D631,-$N$3,0),1,IF(Prices!D631&lt;OFFSET(Prices!D631,-$N$3,0),-1,0))</f>
        <v>1</v>
      </c>
      <c r="O632" s="1">
        <f ca="1">IF(N632=1,O$3*L631/Prices!C631,O$3*M631*N632)</f>
        <v>8.6272549153669216E-4</v>
      </c>
      <c r="P632" s="14"/>
      <c r="Q632" s="9">
        <f ca="1">Q631-T632*Prices!C632</f>
        <v>1.1151925018895459</v>
      </c>
      <c r="R632" s="1">
        <f t="shared" ca="1" si="65"/>
        <v>9.1852898207046788E-3</v>
      </c>
      <c r="S632" s="9">
        <f ca="1">IF(Prices!C631&lt;OFFSET(Prices!C631,-S$3,0),1,IF(Prices!C631&gt;OFFSET(Prices!C631,-S$3,0),-1,0))</f>
        <v>-1</v>
      </c>
      <c r="T632" s="1">
        <f ca="1">IF(S632=1,T$3*Q631/Prices!C631,T$3*R631*S632)</f>
        <v>-1.874548943000955E-4</v>
      </c>
    </row>
    <row r="633" spans="1:20" x14ac:dyDescent="0.2">
      <c r="A633" s="4">
        <v>34393</v>
      </c>
      <c r="B633" s="9">
        <f ca="1">Prices!C632*(1+J633/(50*(ABS(O633)+ABS(T633)+0.0001)))</f>
        <v>106.71403256667104</v>
      </c>
      <c r="C633" s="13">
        <f t="shared" ca="1" si="60"/>
        <v>1</v>
      </c>
      <c r="D633" s="9">
        <f ca="1">D632+C633*(Prices!C633-Prices!C632)/Prices!C632</f>
        <v>0.2992437006533078</v>
      </c>
      <c r="E633" s="9">
        <f t="shared" ca="1" si="61"/>
        <v>2.7050116978646233E-2</v>
      </c>
      <c r="F633" s="9">
        <f t="shared" ca="1" si="62"/>
        <v>0.32629381763195403</v>
      </c>
      <c r="G633" s="13">
        <f ca="1">IF((Prices!C633-Prices!C632)*C633&gt;0,1,0)</f>
        <v>0</v>
      </c>
      <c r="H633" s="9">
        <f>ABS(Prices!C633-Prices!C632)/Prices!C632</f>
        <v>2.957733040740409E-3</v>
      </c>
      <c r="I633" s="13"/>
      <c r="J633" s="1">
        <f t="shared" ca="1" si="63"/>
        <v>9.9081958565353997E-4</v>
      </c>
      <c r="K633" s="9"/>
      <c r="L633" s="9">
        <f ca="1">L632-O633*Prices!C633</f>
        <v>0.73413674184836952</v>
      </c>
      <c r="M633" s="1">
        <f t="shared" ca="1" si="64"/>
        <v>1.2705921071647693E-2</v>
      </c>
      <c r="N633" s="9">
        <f ca="1">IF(Prices!D632&gt;OFFSET(Prices!D632,-$N$3,0),1,IF(Prices!D632&lt;OFFSET(Prices!D632,-$N$3,0),-1,0))</f>
        <v>1</v>
      </c>
      <c r="O633" s="1">
        <f ca="1">IF(N633=1,O$3*L632/Prices!C632,O$3*M632*N633)</f>
        <v>7.7801689471001438E-4</v>
      </c>
      <c r="P633" s="14"/>
      <c r="Q633" s="9">
        <f ca="1">Q632-T633*Prices!C633</f>
        <v>1.0929546206859475</v>
      </c>
      <c r="R633" s="1">
        <f t="shared" ca="1" si="65"/>
        <v>9.398092511648205E-3</v>
      </c>
      <c r="S633" s="9">
        <f ca="1">IF(Prices!C632&lt;OFFSET(Prices!C632,-S$3,0),1,IF(Prices!C632&gt;OFFSET(Prices!C632,-S$3,0),-1,0))</f>
        <v>1</v>
      </c>
      <c r="T633" s="1">
        <f ca="1">IF(S633=1,T$3*Q632/Prices!C632,T$3*R632*S633)</f>
        <v>2.1280269094352562E-4</v>
      </c>
    </row>
    <row r="634" spans="1:20" x14ac:dyDescent="0.2">
      <c r="A634" s="4">
        <v>34394</v>
      </c>
      <c r="B634" s="9">
        <f ca="1">Prices!C633*(1+J634/(50*(ABS(O634)+ABS(T634)+0.0001)))</f>
        <v>103.09577304253457</v>
      </c>
      <c r="C634" s="13">
        <f t="shared" ca="1" si="60"/>
        <v>-1</v>
      </c>
      <c r="D634" s="9">
        <f ca="1">D633+C634*(Prices!C634-Prices!C633)/Prices!C633</f>
        <v>0.29828676285426481</v>
      </c>
      <c r="E634" s="9">
        <f t="shared" ca="1" si="61"/>
        <v>2.8007054777689222E-2</v>
      </c>
      <c r="F634" s="9">
        <f t="shared" ca="1" si="62"/>
        <v>0.32629381763195403</v>
      </c>
      <c r="G634" s="13">
        <f ca="1">IF((Prices!C634-Prices!C633)*C634&gt;0,1,0)</f>
        <v>0</v>
      </c>
      <c r="H634" s="9">
        <f>ABS(Prices!C634-Prices!C633)/Prices!C633</f>
        <v>9.569377990430078E-4</v>
      </c>
      <c r="I634" s="13"/>
      <c r="J634" s="1">
        <f t="shared" ca="1" si="63"/>
        <v>-1.0614141893301383E-3</v>
      </c>
      <c r="K634" s="9"/>
      <c r="L634" s="9">
        <f ca="1">L633-O634*Prices!C634</f>
        <v>0.86704067625780445</v>
      </c>
      <c r="M634" s="1">
        <f t="shared" ca="1" si="64"/>
        <v>1.1435328964482924E-2</v>
      </c>
      <c r="N634" s="9">
        <f ca="1">IF(Prices!D633&gt;OFFSET(Prices!D633,-$N$3,0),1,IF(Prices!D633&lt;OFFSET(Prices!D633,-$N$3,0),-1,0))</f>
        <v>-1</v>
      </c>
      <c r="O634" s="1">
        <f ca="1">IF(N634=1,O$3*L633/Prices!C633,O$3*M633*N634)</f>
        <v>-1.2705921071647693E-3</v>
      </c>
      <c r="P634" s="14"/>
      <c r="Q634" s="9">
        <f ca="1">Q633-T634*Prices!C634</f>
        <v>1.0710746104804452</v>
      </c>
      <c r="R634" s="1">
        <f t="shared" ca="1" si="65"/>
        <v>9.6072704294828358E-3</v>
      </c>
      <c r="S634" s="9">
        <f ca="1">IF(Prices!C633&lt;OFFSET(Prices!C633,-S$3,0),1,IF(Prices!C633&gt;OFFSET(Prices!C633,-S$3,0),-1,0))</f>
        <v>1</v>
      </c>
      <c r="T634" s="1">
        <f ca="1">IF(S634=1,T$3*Q633/Prices!C633,T$3*R633*S634)</f>
        <v>2.0917791783463111E-4</v>
      </c>
    </row>
    <row r="635" spans="1:20" x14ac:dyDescent="0.2">
      <c r="A635" s="4">
        <v>34395</v>
      </c>
      <c r="B635" s="9">
        <f ca="1">Prices!C634*(1+J635/(50*(ABS(O635)+ABS(T635)+0.0001)))</f>
        <v>106.50747230514088</v>
      </c>
      <c r="C635" s="13">
        <f t="shared" ca="1" si="60"/>
        <v>1</v>
      </c>
      <c r="D635" s="9">
        <f ca="1">D634+C635*(Prices!C635-Prices!C634)/Prices!C634</f>
        <v>0.29541869402061283</v>
      </c>
      <c r="E635" s="9">
        <f t="shared" ca="1" si="61"/>
        <v>3.0875123611341204E-2</v>
      </c>
      <c r="F635" s="9">
        <f t="shared" ca="1" si="62"/>
        <v>0.32629381763195403</v>
      </c>
      <c r="G635" s="13">
        <f ca="1">IF((Prices!C635-Prices!C634)*C635&gt;0,1,0)</f>
        <v>0</v>
      </c>
      <c r="H635" s="9">
        <f>ABS(Prices!C635-Prices!C634)/Prices!C634</f>
        <v>2.8680688336519804E-3</v>
      </c>
      <c r="I635" s="13"/>
      <c r="J635" s="1">
        <f t="shared" ca="1" si="63"/>
        <v>1.033705160950185E-3</v>
      </c>
      <c r="K635" s="9"/>
      <c r="L635" s="9">
        <f ca="1">L634-O635*Prices!C635</f>
        <v>0.78058528186613241</v>
      </c>
      <c r="M635" s="1">
        <f t="shared" ca="1" si="64"/>
        <v>1.2264239744844113E-2</v>
      </c>
      <c r="N635" s="9">
        <f ca="1">IF(Prices!D634&gt;OFFSET(Prices!D634,-$N$3,0),1,IF(Prices!D634&lt;OFFSET(Prices!D634,-$N$3,0),-1,0))</f>
        <v>1</v>
      </c>
      <c r="O635" s="1">
        <f ca="1">IF(N635=1,O$3*L634/Prices!C634,O$3*M634*N635)</f>
        <v>8.2891078036118981E-4</v>
      </c>
      <c r="P635" s="14"/>
      <c r="Q635" s="9">
        <f ca="1">Q634-T635*Prices!C635</f>
        <v>1.049714556585013</v>
      </c>
      <c r="R635" s="1">
        <f t="shared" ca="1" si="65"/>
        <v>9.8120648100718313E-3</v>
      </c>
      <c r="S635" s="9">
        <f ca="1">IF(Prices!C634&lt;OFFSET(Prices!C634,-S$3,0),1,IF(Prices!C634&gt;OFFSET(Prices!C634,-S$3,0),-1,0))</f>
        <v>1</v>
      </c>
      <c r="T635" s="1">
        <f ca="1">IF(S635=1,T$3*Q634/Prices!C634,T$3*R634*S635)</f>
        <v>2.0479438058899527E-4</v>
      </c>
    </row>
    <row r="636" spans="1:20" x14ac:dyDescent="0.2">
      <c r="A636" s="4">
        <v>34396</v>
      </c>
      <c r="B636" s="9">
        <f ca="1">Prices!C635*(1+J636/(50*(ABS(O636)+ABS(T636)+0.0001)))</f>
        <v>106.18727493852032</v>
      </c>
      <c r="C636" s="13">
        <f t="shared" ca="1" si="60"/>
        <v>1</v>
      </c>
      <c r="D636" s="9">
        <f ca="1">D635+C636*(Prices!C636-Prices!C635)/Prices!C635</f>
        <v>0.29148772566011427</v>
      </c>
      <c r="E636" s="9">
        <f t="shared" ca="1" si="61"/>
        <v>3.4806091971839759E-2</v>
      </c>
      <c r="F636" s="9">
        <f t="shared" ca="1" si="62"/>
        <v>0.32629381763195403</v>
      </c>
      <c r="G636" s="13">
        <f ca="1">IF((Prices!C636-Prices!C635)*C636&gt;0,1,0)</f>
        <v>0</v>
      </c>
      <c r="H636" s="9">
        <f>ABS(Prices!C636-Prices!C635)/Prices!C635</f>
        <v>3.9309683604985294E-3</v>
      </c>
      <c r="I636" s="13"/>
      <c r="J636" s="1">
        <f t="shared" ca="1" si="63"/>
        <v>9.4969146038651484E-4</v>
      </c>
      <c r="K636" s="9"/>
      <c r="L636" s="9">
        <f ca="1">L635-O636*Prices!C636</f>
        <v>0.70283359928408784</v>
      </c>
      <c r="M636" s="1">
        <f t="shared" ca="1" si="64"/>
        <v>1.3012643658426215E-2</v>
      </c>
      <c r="N636" s="9">
        <f ca="1">IF(Prices!D635&gt;OFFSET(Prices!D635,-$N$3,0),1,IF(Prices!D635&lt;OFFSET(Prices!D635,-$N$3,0),-1,0))</f>
        <v>1</v>
      </c>
      <c r="O636" s="1">
        <f ca="1">IF(N636=1,O$3*L635/Prices!C635,O$3*M635*N636)</f>
        <v>7.4840391358210203E-4</v>
      </c>
      <c r="P636" s="14"/>
      <c r="Q636" s="9">
        <f ca="1">Q635-T636*Prices!C636</f>
        <v>1.0288027933475026</v>
      </c>
      <c r="R636" s="1">
        <f t="shared" ca="1" si="65"/>
        <v>1.0013352356876244E-2</v>
      </c>
      <c r="S636" s="9">
        <f ca="1">IF(Prices!C635&lt;OFFSET(Prices!C635,-S$3,0),1,IF(Prices!C635&gt;OFFSET(Prices!C635,-S$3,0),-1,0))</f>
        <v>1</v>
      </c>
      <c r="T636" s="1">
        <f ca="1">IF(S636=1,T$3*Q635/Prices!C635,T$3*R635*S636)</f>
        <v>2.0128754680441286E-4</v>
      </c>
    </row>
    <row r="637" spans="1:20" x14ac:dyDescent="0.2">
      <c r="A637" s="4">
        <v>34397</v>
      </c>
      <c r="B637" s="9">
        <f ca="1">Prices!C636*(1+J637/(50*(ABS(O637)+ABS(T637)+0.0001)))</f>
        <v>105.75459899304667</v>
      </c>
      <c r="C637" s="13">
        <f t="shared" ca="1" si="60"/>
        <v>1</v>
      </c>
      <c r="D637" s="9">
        <f ca="1">D636+C637*(Prices!C637-Prices!C636)/Prices!C636</f>
        <v>0.30708114177331097</v>
      </c>
      <c r="E637" s="9">
        <f t="shared" ca="1" si="61"/>
        <v>1.9212675858643058E-2</v>
      </c>
      <c r="F637" s="9">
        <f t="shared" ca="1" si="62"/>
        <v>0.32629381763195403</v>
      </c>
      <c r="G637" s="13">
        <f ca="1">IF((Prices!C637-Prices!C636)*C637&gt;0,1,0)</f>
        <v>1</v>
      </c>
      <c r="H637" s="9">
        <f>ABS(Prices!C637-Prices!C636)/Prices!C636</f>
        <v>1.5593416113196694E-2</v>
      </c>
      <c r="I637" s="13"/>
      <c r="J637" s="1">
        <f t="shared" ca="1" si="63"/>
        <v>8.745732582092486E-4</v>
      </c>
      <c r="K637" s="9"/>
      <c r="L637" s="9">
        <f ca="1">L636-O637*Prices!C637</f>
        <v>0.63145428167848183</v>
      </c>
      <c r="M637" s="1">
        <f t="shared" ca="1" si="64"/>
        <v>1.3689160743115875E-2</v>
      </c>
      <c r="N637" s="9">
        <f ca="1">IF(Prices!D636&gt;OFFSET(Prices!D636,-$N$3,0),1,IF(Prices!D636&lt;OFFSET(Prices!D636,-$N$3,0),-1,0))</f>
        <v>1</v>
      </c>
      <c r="O637" s="1">
        <f ca="1">IF(N637=1,O$3*L636/Prices!C636,O$3*M636*N637)</f>
        <v>6.7651708468966008E-4</v>
      </c>
      <c r="P637" s="14"/>
      <c r="Q637" s="9">
        <f ca="1">Q636-T637*Prices!C637</f>
        <v>1.0079058864794508</v>
      </c>
      <c r="R637" s="1">
        <f t="shared" ca="1" si="65"/>
        <v>1.0211408530395831E-2</v>
      </c>
      <c r="S637" s="9">
        <f ca="1">IF(Prices!C636&lt;OFFSET(Prices!C636,-S$3,0),1,IF(Prices!C636&gt;OFFSET(Prices!C636,-S$3,0),-1,0))</f>
        <v>1</v>
      </c>
      <c r="T637" s="1">
        <f ca="1">IF(S637=1,T$3*Q636/Prices!C636,T$3*R636*S637)</f>
        <v>1.9805617351958854E-4</v>
      </c>
    </row>
    <row r="638" spans="1:20" x14ac:dyDescent="0.2">
      <c r="A638" s="4">
        <v>34400</v>
      </c>
      <c r="B638" s="9">
        <f ca="1">Prices!C637*(1+J638/(50*(ABS(O638)+ABS(T638)+0.0001)))</f>
        <v>106.43161345424753</v>
      </c>
      <c r="C638" s="13">
        <f t="shared" ca="1" si="60"/>
        <v>1</v>
      </c>
      <c r="D638" s="9">
        <f ca="1">D637+C638*(Prices!C638-Prices!C637)/Prices!C637</f>
        <v>0.30840803021990371</v>
      </c>
      <c r="E638" s="9">
        <f t="shared" ca="1" si="61"/>
        <v>1.7885787412050325E-2</v>
      </c>
      <c r="F638" s="9">
        <f t="shared" ca="1" si="62"/>
        <v>0.32629381763195403</v>
      </c>
      <c r="G638" s="13">
        <f ca="1">IF((Prices!C638-Prices!C637)*C638&gt;0,1,0)</f>
        <v>1</v>
      </c>
      <c r="H638" s="9">
        <f>ABS(Prices!C638-Prices!C637)/Prices!C637</f>
        <v>1.3268884465927454E-3</v>
      </c>
      <c r="I638" s="13"/>
      <c r="J638" s="1">
        <f t="shared" ca="1" si="63"/>
        <v>3.9424996575686559E-4</v>
      </c>
      <c r="K638" s="9"/>
      <c r="L638" s="9">
        <f ca="1">L637-O638*Prices!C638</f>
        <v>0.56822506657154259</v>
      </c>
      <c r="M638" s="1">
        <f t="shared" ca="1" si="64"/>
        <v>1.4287638879480657E-2</v>
      </c>
      <c r="N638" s="9">
        <f ca="1">IF(Prices!D637&gt;OFFSET(Prices!D637,-$N$3,0),1,IF(Prices!D637&lt;OFFSET(Prices!D637,-$N$3,0),-1,0))</f>
        <v>1</v>
      </c>
      <c r="O638" s="1">
        <f ca="1">IF(N638=1,O$3*L637/Prices!C637,O$3*M637*N638)</f>
        <v>5.9847813636478226E-4</v>
      </c>
      <c r="P638" s="14"/>
      <c r="Q638" s="9">
        <f ca="1">Q637-T638*Prices!C638</f>
        <v>1.0294825927041771</v>
      </c>
      <c r="R638" s="1">
        <f t="shared" ca="1" si="65"/>
        <v>1.0007180359787914E-2</v>
      </c>
      <c r="S638" s="9">
        <f ca="1">IF(Prices!C637&lt;OFFSET(Prices!C637,-S$3,0),1,IF(Prices!C637&gt;OFFSET(Prices!C637,-S$3,0),-1,0))</f>
        <v>-1</v>
      </c>
      <c r="T638" s="1">
        <f ca="1">IF(S638=1,T$3*Q637/Prices!C637,T$3*R637*S638)</f>
        <v>-2.0422817060791664E-4</v>
      </c>
    </row>
    <row r="639" spans="1:20" x14ac:dyDescent="0.2">
      <c r="A639" s="4">
        <v>34401</v>
      </c>
      <c r="B639" s="9">
        <f ca="1">Prices!C638*(1+J639/(50*(ABS(O639)+ABS(T639)+0.0001)))</f>
        <v>103.65921590836612</v>
      </c>
      <c r="C639" s="13">
        <f t="shared" ca="1" si="60"/>
        <v>-1</v>
      </c>
      <c r="D639" s="9">
        <f ca="1">D638+C639*(Prices!C639-Prices!C638)/Prices!C638</f>
        <v>0.31115294266666194</v>
      </c>
      <c r="E639" s="9">
        <f t="shared" ca="1" si="61"/>
        <v>1.5140874965292095E-2</v>
      </c>
      <c r="F639" s="9">
        <f t="shared" ca="1" si="62"/>
        <v>0.32629381763195403</v>
      </c>
      <c r="G639" s="13">
        <f ca="1">IF((Prices!C639-Prices!C638)*C639&gt;0,1,0)</f>
        <v>1</v>
      </c>
      <c r="H639" s="9">
        <f>ABS(Prices!C639-Prices!C638)/Prices!C638</f>
        <v>2.7449124467582228E-3</v>
      </c>
      <c r="I639" s="13"/>
      <c r="J639" s="1">
        <f t="shared" ca="1" si="63"/>
        <v>-1.6289074951438241E-3</v>
      </c>
      <c r="K639" s="9"/>
      <c r="L639" s="9">
        <f ca="1">L638-O639*Prices!C639</f>
        <v>0.71875962980575081</v>
      </c>
      <c r="M639" s="1">
        <f t="shared" ca="1" si="64"/>
        <v>1.2858874991532591E-2</v>
      </c>
      <c r="N639" s="9">
        <f ca="1">IF(Prices!D638&gt;OFFSET(Prices!D638,-$N$3,0),1,IF(Prices!D638&lt;OFFSET(Prices!D638,-$N$3,0),-1,0))</f>
        <v>-1</v>
      </c>
      <c r="O639" s="1">
        <f ca="1">IF(N639=1,O$3*L638/Prices!C638,O$3*M638*N639)</f>
        <v>-1.4287638879480658E-3</v>
      </c>
      <c r="P639" s="14"/>
      <c r="Q639" s="9">
        <f ca="1">Q638-T639*Prices!C639</f>
        <v>1.0505697231583222</v>
      </c>
      <c r="R639" s="1">
        <f t="shared" ca="1" si="65"/>
        <v>9.8070367525921551E-3</v>
      </c>
      <c r="S639" s="9">
        <f ca="1">IF(Prices!C638&lt;OFFSET(Prices!C638,-S$3,0),1,IF(Prices!C638&gt;OFFSET(Prices!C638,-S$3,0),-1,0))</f>
        <v>-1</v>
      </c>
      <c r="T639" s="1">
        <f ca="1">IF(S639=1,T$3*Q638/Prices!C638,T$3*R638*S639)</f>
        <v>-2.0014360719575828E-4</v>
      </c>
    </row>
    <row r="640" spans="1:20" x14ac:dyDescent="0.2">
      <c r="A640" s="4">
        <v>34402</v>
      </c>
      <c r="B640" s="9">
        <f ca="1">Prices!C639*(1+J640/(50*(ABS(O640)+ABS(T640)+0.0001)))</f>
        <v>103.38599610576095</v>
      </c>
      <c r="C640" s="13">
        <f t="shared" ca="1" si="60"/>
        <v>-1</v>
      </c>
      <c r="D640" s="9">
        <f ca="1">D639+C640*(Prices!C640-Prices!C639)/Prices!C639</f>
        <v>0.30697678473196188</v>
      </c>
      <c r="E640" s="9">
        <f t="shared" ca="1" si="61"/>
        <v>1.9317032899992148E-2</v>
      </c>
      <c r="F640" s="9">
        <f t="shared" ca="1" si="62"/>
        <v>0.32629381763195403</v>
      </c>
      <c r="G640" s="13">
        <f ca="1">IF((Prices!C640-Prices!C639)*C640&gt;0,1,0)</f>
        <v>0</v>
      </c>
      <c r="H640" s="9">
        <f>ABS(Prices!C640-Prices!C639)/Prices!C639</f>
        <v>4.1761579347000541E-3</v>
      </c>
      <c r="I640" s="13"/>
      <c r="J640" s="1">
        <f t="shared" ca="1" si="63"/>
        <v>-1.4820282342051022E-3</v>
      </c>
      <c r="K640" s="9"/>
      <c r="L640" s="9">
        <f ca="1">L639-O640*Prices!C640</f>
        <v>0.85480652721616557</v>
      </c>
      <c r="M640" s="1">
        <f t="shared" ca="1" si="64"/>
        <v>1.1572987492379332E-2</v>
      </c>
      <c r="N640" s="9">
        <f ca="1">IF(Prices!D639&gt;OFFSET(Prices!D639,-$N$3,0),1,IF(Prices!D639&lt;OFFSET(Prices!D639,-$N$3,0),-1,0))</f>
        <v>-1</v>
      </c>
      <c r="O640" s="1">
        <f ca="1">IF(N640=1,O$3*L639/Prices!C639,O$3*M639*N640)</f>
        <v>-1.2858874991532592E-3</v>
      </c>
      <c r="P640" s="14"/>
      <c r="Q640" s="9">
        <f ca="1">Q639-T640*Prices!C640</f>
        <v>1.0713214129268072</v>
      </c>
      <c r="R640" s="1">
        <f t="shared" ca="1" si="65"/>
        <v>9.6108960175403119E-3</v>
      </c>
      <c r="S640" s="9">
        <f ca="1">IF(Prices!C639&lt;OFFSET(Prices!C639,-S$3,0),1,IF(Prices!C639&gt;OFFSET(Prices!C639,-S$3,0),-1,0))</f>
        <v>-1</v>
      </c>
      <c r="T640" s="1">
        <f ca="1">IF(S640=1,T$3*Q639/Prices!C639,T$3*R639*S640)</f>
        <v>-1.961407350518431E-4</v>
      </c>
    </row>
    <row r="641" spans="1:20" x14ac:dyDescent="0.2">
      <c r="A641" s="4">
        <v>34403</v>
      </c>
      <c r="B641" s="9">
        <f ca="1">Prices!C640*(1+J641/(50*(ABS(O641)+ABS(T641)+0.0001)))</f>
        <v>106.98426017461748</v>
      </c>
      <c r="C641" s="13">
        <f t="shared" ca="1" si="60"/>
        <v>1</v>
      </c>
      <c r="D641" s="9">
        <f ca="1">D640+C641*(Prices!C641-Prices!C640)/Prices!C640</f>
        <v>0.30225088681135698</v>
      </c>
      <c r="E641" s="9">
        <f t="shared" ca="1" si="61"/>
        <v>2.4042930820597053E-2</v>
      </c>
      <c r="F641" s="9">
        <f t="shared" ca="1" si="62"/>
        <v>0.32629381763195403</v>
      </c>
      <c r="G641" s="13">
        <f ca="1">IF((Prices!C641-Prices!C640)*C641&gt;0,1,0)</f>
        <v>0</v>
      </c>
      <c r="H641" s="9">
        <f>ABS(Prices!C641-Prices!C640)/Prices!C640</f>
        <v>4.725897920604915E-3</v>
      </c>
      <c r="I641" s="13"/>
      <c r="J641" s="1">
        <f t="shared" ca="1" si="63"/>
        <v>6.1572775754727095E-4</v>
      </c>
      <c r="K641" s="9"/>
      <c r="L641" s="9">
        <f ca="1">L640-O641*Prices!C641</f>
        <v>0.76972984733349803</v>
      </c>
      <c r="M641" s="1">
        <f t="shared" ca="1" si="64"/>
        <v>1.2380933170277409E-2</v>
      </c>
      <c r="N641" s="9">
        <f ca="1">IF(Prices!D640&gt;OFFSET(Prices!D640,-$N$3,0),1,IF(Prices!D640&lt;OFFSET(Prices!D640,-$N$3,0),-1,0))</f>
        <v>1</v>
      </c>
      <c r="O641" s="1">
        <f ca="1">IF(N641=1,O$3*L640/Prices!C640,O$3*M640*N641)</f>
        <v>8.0794567789807721E-4</v>
      </c>
      <c r="P641" s="14"/>
      <c r="Q641" s="9">
        <f ca="1">Q640-T641*Prices!C641</f>
        <v>1.091561959939747</v>
      </c>
      <c r="R641" s="1">
        <f t="shared" ca="1" si="65"/>
        <v>9.4186780971895062E-3</v>
      </c>
      <c r="S641" s="9">
        <f ca="1">IF(Prices!C640&lt;OFFSET(Prices!C640,-S$3,0),1,IF(Prices!C640&gt;OFFSET(Prices!C640,-S$3,0),-1,0))</f>
        <v>-1</v>
      </c>
      <c r="T641" s="1">
        <f ca="1">IF(S641=1,T$3*Q640/Prices!C640,T$3*R640*S641)</f>
        <v>-1.9221792035080623E-4</v>
      </c>
    </row>
    <row r="642" spans="1:20" x14ac:dyDescent="0.2">
      <c r="A642" s="4">
        <v>34404</v>
      </c>
      <c r="B642" s="9">
        <f ca="1">Prices!C641*(1+J642/(50*(ABS(O642)+ABS(T642)+0.0001)))</f>
        <v>107.20317073755639</v>
      </c>
      <c r="C642" s="13">
        <f t="shared" ca="1" si="60"/>
        <v>1</v>
      </c>
      <c r="D642" s="9">
        <f ca="1">D641+C642*(Prices!C642-Prices!C641)/Prices!C641</f>
        <v>0.29997168453215473</v>
      </c>
      <c r="E642" s="9">
        <f t="shared" ca="1" si="61"/>
        <v>2.6322133099799305E-2</v>
      </c>
      <c r="F642" s="9">
        <f t="shared" ca="1" si="62"/>
        <v>0.32629381763195403</v>
      </c>
      <c r="G642" s="13">
        <f ca="1">IF((Prices!C642-Prices!C641)*C642&gt;0,1,0)</f>
        <v>0</v>
      </c>
      <c r="H642" s="9">
        <f>ABS(Prices!C642-Prices!C641)/Prices!C641</f>
        <v>2.2792022792022305E-3</v>
      </c>
      <c r="I642" s="13"/>
      <c r="J642" s="1">
        <f t="shared" ca="1" si="63"/>
        <v>9.3831171825398628E-4</v>
      </c>
      <c r="K642" s="9"/>
      <c r="L642" s="9">
        <f ca="1">L641-O642*Prices!C642</f>
        <v>0.69293229960238945</v>
      </c>
      <c r="M642" s="1">
        <f t="shared" ca="1" si="64"/>
        <v>1.3111920679615963E-2</v>
      </c>
      <c r="N642" s="9">
        <f ca="1">IF(Prices!D641&gt;OFFSET(Prices!D641,-$N$3,0),1,IF(Prices!D641&lt;OFFSET(Prices!D641,-$N$3,0),-1,0))</f>
        <v>1</v>
      </c>
      <c r="O642" s="1">
        <f ca="1">IF(N642=1,O$3*L641/Prices!C641,O$3*M641*N642)</f>
        <v>7.3098750933855473E-4</v>
      </c>
      <c r="P642" s="14"/>
      <c r="Q642" s="9">
        <f ca="1">Q641-T642*Prices!C642</f>
        <v>1.0697804785510918</v>
      </c>
      <c r="R642" s="1">
        <f t="shared" ca="1" si="65"/>
        <v>9.6260023061049381E-3</v>
      </c>
      <c r="S642" s="9">
        <f ca="1">IF(Prices!C641&lt;OFFSET(Prices!C641,-S$3,0),1,IF(Prices!C641&gt;OFFSET(Prices!C641,-S$3,0),-1,0))</f>
        <v>1</v>
      </c>
      <c r="T642" s="1">
        <f ca="1">IF(S642=1,T$3*Q641/Prices!C641,T$3*R641*S642)</f>
        <v>2.0732420891543155E-4</v>
      </c>
    </row>
    <row r="643" spans="1:20" x14ac:dyDescent="0.2">
      <c r="A643" s="4">
        <v>34407</v>
      </c>
      <c r="B643" s="9">
        <f ca="1">Prices!C642*(1+J643/(50*(ABS(O643)+ABS(T643)+0.0001)))</f>
        <v>106.94305441765357</v>
      </c>
      <c r="C643" s="13">
        <f t="shared" ca="1" si="60"/>
        <v>1</v>
      </c>
      <c r="D643" s="9">
        <f ca="1">D642+C643*(Prices!C643-Prices!C642)/Prices!C642</f>
        <v>0.31082262685082979</v>
      </c>
      <c r="E643" s="9">
        <f t="shared" ca="1" si="61"/>
        <v>1.5471190781124244E-2</v>
      </c>
      <c r="F643" s="9">
        <f t="shared" ca="1" si="62"/>
        <v>0.32629381763195403</v>
      </c>
      <c r="G643" s="13">
        <f ca="1">IF((Prices!C643-Prices!C642)*C643&gt;0,1,0)</f>
        <v>1</v>
      </c>
      <c r="H643" s="9">
        <f>ABS(Prices!C643-Prices!C642)/Prices!C642</f>
        <v>1.0850942318675049E-2</v>
      </c>
      <c r="I643" s="13"/>
      <c r="J643" s="1">
        <f t="shared" ca="1" si="63"/>
        <v>8.6320997079060316E-4</v>
      </c>
      <c r="K643" s="9"/>
      <c r="L643" s="9">
        <f ca="1">L642-O643*Prices!C643</f>
        <v>0.62288717280077721</v>
      </c>
      <c r="M643" s="1">
        <f t="shared" ca="1" si="64"/>
        <v>1.3771479312399505E-2</v>
      </c>
      <c r="N643" s="9">
        <f ca="1">IF(Prices!D642&gt;OFFSET(Prices!D642,-$N$3,0),1,IF(Prices!D642&lt;OFFSET(Prices!D642,-$N$3,0),-1,0))</f>
        <v>1</v>
      </c>
      <c r="O643" s="1">
        <f ca="1">IF(N643=1,O$3*L642/Prices!C642,O$3*M642*N643)</f>
        <v>6.5955863278354212E-4</v>
      </c>
      <c r="P643" s="14"/>
      <c r="Q643" s="9">
        <f ca="1">Q642-T643*Prices!C643</f>
        <v>1.048152706454742</v>
      </c>
      <c r="R643" s="1">
        <f t="shared" ca="1" si="65"/>
        <v>9.8296536441119988E-3</v>
      </c>
      <c r="S643" s="9">
        <f ca="1">IF(Prices!C642&lt;OFFSET(Prices!C642,-S$3,0),1,IF(Prices!C642&gt;OFFSET(Prices!C642,-S$3,0),-1,0))</f>
        <v>1</v>
      </c>
      <c r="T643" s="1">
        <f ca="1">IF(S643=1,T$3*Q642/Prices!C642,T$3*R642*S643)</f>
        <v>2.0365133800706107E-4</v>
      </c>
    </row>
    <row r="644" spans="1:20" x14ac:dyDescent="0.2">
      <c r="A644" s="4">
        <v>34408</v>
      </c>
      <c r="B644" s="9">
        <f ca="1">Prices!C643*(1+J644/(50*(ABS(O644)+ABS(T644)+0.0001)))</f>
        <v>107.13782788902378</v>
      </c>
      <c r="C644" s="13">
        <f t="shared" ca="1" si="60"/>
        <v>1</v>
      </c>
      <c r="D644" s="9">
        <f ca="1">D643+C644*(Prices!C644-Prices!C643)/Prices!C643</f>
        <v>0.31035181705798615</v>
      </c>
      <c r="E644" s="9">
        <f t="shared" ca="1" si="61"/>
        <v>1.5942000573967885E-2</v>
      </c>
      <c r="F644" s="9">
        <f t="shared" ca="1" si="62"/>
        <v>0.32629381763195403</v>
      </c>
      <c r="G644" s="13">
        <f ca="1">IF((Prices!C644-Prices!C643)*C644&gt;0,1,0)</f>
        <v>0</v>
      </c>
      <c r="H644" s="9">
        <f>ABS(Prices!C644-Prices!C643)/Prices!C643</f>
        <v>4.7080979284366435E-4</v>
      </c>
      <c r="I644" s="13"/>
      <c r="J644" s="1">
        <f t="shared" ca="1" si="63"/>
        <v>3.8992968870041279E-4</v>
      </c>
      <c r="K644" s="9"/>
      <c r="L644" s="9">
        <f ca="1">L643-O644*Prices!C644</f>
        <v>0.56062778165877858</v>
      </c>
      <c r="M644" s="1">
        <f t="shared" ca="1" si="64"/>
        <v>1.4358002073982159E-2</v>
      </c>
      <c r="N644" s="9">
        <f ca="1">IF(Prices!D643&gt;OFFSET(Prices!D643,-$N$3,0),1,IF(Prices!D643&lt;OFFSET(Prices!D643,-$N$3,0),-1,0))</f>
        <v>1</v>
      </c>
      <c r="O644" s="1">
        <f ca="1">IF(N644=1,O$3*L643/Prices!C643,O$3*M643*N644)</f>
        <v>5.8652276158265276E-4</v>
      </c>
      <c r="P644" s="14"/>
      <c r="Q644" s="9">
        <f ca="1">Q643-T644*Prices!C644</f>
        <v>1.0690210611411919</v>
      </c>
      <c r="R644" s="1">
        <f t="shared" ca="1" si="65"/>
        <v>9.6330605712297585E-3</v>
      </c>
      <c r="S644" s="9">
        <f ca="1">IF(Prices!C643&lt;OFFSET(Prices!C643,-S$3,0),1,IF(Prices!C643&gt;OFFSET(Prices!C643,-S$3,0),-1,0))</f>
        <v>-1</v>
      </c>
      <c r="T644" s="1">
        <f ca="1">IF(S644=1,T$3*Q643/Prices!C643,T$3*R643*S644)</f>
        <v>-1.9659307288223999E-4</v>
      </c>
    </row>
    <row r="645" spans="1:20" x14ac:dyDescent="0.2">
      <c r="A645" s="4">
        <v>34409</v>
      </c>
      <c r="B645" s="9">
        <f ca="1">Prices!C644*(1+J645/(50*(ABS(O645)+ABS(T645)+0.0001)))</f>
        <v>107.01772526534212</v>
      </c>
      <c r="C645" s="13">
        <f t="shared" ca="1" si="60"/>
        <v>1</v>
      </c>
      <c r="D645" s="9">
        <f ca="1">D644+C645*(Prices!C645-Prices!C644)/Prices!C644</f>
        <v>0.30903292869246562</v>
      </c>
      <c r="E645" s="9">
        <f t="shared" ca="1" si="61"/>
        <v>1.7260888939488406E-2</v>
      </c>
      <c r="F645" s="9">
        <f t="shared" ca="1" si="62"/>
        <v>0.32629381763195403</v>
      </c>
      <c r="G645" s="13">
        <f ca="1">IF((Prices!C645-Prices!C644)*C645&gt;0,1,0)</f>
        <v>0</v>
      </c>
      <c r="H645" s="9">
        <f>ABS(Prices!C645-Prices!C644)/Prices!C644</f>
        <v>1.3188883655204952E-3</v>
      </c>
      <c r="I645" s="13"/>
      <c r="J645" s="1">
        <f t="shared" ca="1" si="63"/>
        <v>3.3548554473063663E-4</v>
      </c>
      <c r="K645" s="9"/>
      <c r="L645" s="9">
        <f ca="1">L644-O645*Prices!C645</f>
        <v>0.50463894403876242</v>
      </c>
      <c r="M645" s="1">
        <f t="shared" ca="1" si="64"/>
        <v>1.4886148830137391E-2</v>
      </c>
      <c r="N645" s="9">
        <f ca="1">IF(Prices!D644&gt;OFFSET(Prices!D644,-$N$3,0),1,IF(Prices!D644&lt;OFFSET(Prices!D644,-$N$3,0),-1,0))</f>
        <v>1</v>
      </c>
      <c r="O645" s="1">
        <f ca="1">IF(N645=1,O$3*L644/Prices!C644,O$3*M644*N645)</f>
        <v>5.2814675615523181E-4</v>
      </c>
      <c r="P645" s="14"/>
      <c r="Q645" s="9">
        <f ca="1">Q644-T645*Prices!C645</f>
        <v>1.0894450761643133</v>
      </c>
      <c r="R645" s="1">
        <f t="shared" ca="1" si="65"/>
        <v>9.4403993598051635E-3</v>
      </c>
      <c r="S645" s="9">
        <f ca="1">IF(Prices!C644&lt;OFFSET(Prices!C644,-S$3,0),1,IF(Prices!C644&gt;OFFSET(Prices!C644,-S$3,0),-1,0))</f>
        <v>-1</v>
      </c>
      <c r="T645" s="1">
        <f ca="1">IF(S645=1,T$3*Q644/Prices!C644,T$3*R644*S645)</f>
        <v>-1.9266121142459517E-4</v>
      </c>
    </row>
    <row r="646" spans="1:20" x14ac:dyDescent="0.2">
      <c r="A646" s="4">
        <v>34410</v>
      </c>
      <c r="B646" s="9">
        <f ca="1">Prices!C645*(1+J646/(50*(ABS(O646)+ABS(T646)+0.0001)))</f>
        <v>104.00908506353414</v>
      </c>
      <c r="C646" s="13">
        <f t="shared" ca="1" si="60"/>
        <v>-1</v>
      </c>
      <c r="D646" s="9">
        <f ca="1">D645+C646*(Prices!C646-Prices!C645)/Prices!C645</f>
        <v>0.31091954316279863</v>
      </c>
      <c r="E646" s="9">
        <f t="shared" ca="1" si="61"/>
        <v>1.5374274469155402E-2</v>
      </c>
      <c r="F646" s="9">
        <f t="shared" ca="1" si="62"/>
        <v>0.32629381763195403</v>
      </c>
      <c r="G646" s="13">
        <f ca="1">IF((Prices!C646-Prices!C645)*C646&gt;0,1,0)</f>
        <v>1</v>
      </c>
      <c r="H646" s="9">
        <f>ABS(Prices!C646-Prices!C645)/Prices!C645</f>
        <v>1.8866144703330141E-3</v>
      </c>
      <c r="I646" s="13"/>
      <c r="J646" s="1">
        <f t="shared" ca="1" si="63"/>
        <v>-1.6774228702098426E-3</v>
      </c>
      <c r="K646" s="9"/>
      <c r="L646" s="9">
        <f ca="1">L645-O646*Prices!C646</f>
        <v>0.66214928481044621</v>
      </c>
      <c r="M646" s="1">
        <f t="shared" ca="1" si="64"/>
        <v>1.3397533947123652E-2</v>
      </c>
      <c r="N646" s="9">
        <f ca="1">IF(Prices!D645&gt;OFFSET(Prices!D645,-$N$3,0),1,IF(Prices!D645&lt;OFFSET(Prices!D645,-$N$3,0),-1,0))</f>
        <v>-1</v>
      </c>
      <c r="O646" s="1">
        <f ca="1">IF(N646=1,O$3*L645/Prices!C645,O$3*M645*N646)</f>
        <v>-1.4886148830137393E-3</v>
      </c>
      <c r="P646" s="14"/>
      <c r="Q646" s="9">
        <f ca="1">Q645-T646*Prices!C646</f>
        <v>1.1094228492895331</v>
      </c>
      <c r="R646" s="1">
        <f t="shared" ca="1" si="65"/>
        <v>9.2515913726090599E-3</v>
      </c>
      <c r="S646" s="9">
        <f ca="1">IF(Prices!C645&lt;OFFSET(Prices!C645,-S$3,0),1,IF(Prices!C645&gt;OFFSET(Prices!C645,-S$3,0),-1,0))</f>
        <v>-1</v>
      </c>
      <c r="T646" s="1">
        <f ca="1">IF(S646=1,T$3*Q645/Prices!C645,T$3*R645*S646)</f>
        <v>-1.8880798719610328E-4</v>
      </c>
    </row>
    <row r="647" spans="1:20" x14ac:dyDescent="0.2">
      <c r="A647" s="4">
        <v>34411</v>
      </c>
      <c r="B647" s="9">
        <f ca="1">Prices!C646*(1+J647/(50*(ABS(O647)+ABS(T647)+0.0001)))</f>
        <v>103.82404490690411</v>
      </c>
      <c r="C647" s="13">
        <f t="shared" ca="1" si="60"/>
        <v>-1</v>
      </c>
      <c r="D647" s="9">
        <f ca="1">D646+C647*(Prices!C647-Prices!C646)/Prices!C646</f>
        <v>0.30761172726638059</v>
      </c>
      <c r="E647" s="9">
        <f t="shared" ca="1" si="61"/>
        <v>1.8682090365573445E-2</v>
      </c>
      <c r="F647" s="9">
        <f t="shared" ca="1" si="62"/>
        <v>0.32629381763195403</v>
      </c>
      <c r="G647" s="13">
        <f ca="1">IF((Prices!C647-Prices!C646)*C647&gt;0,1,0)</f>
        <v>0</v>
      </c>
      <c r="H647" s="9">
        <f>ABS(Prices!C647-Prices!C646)/Prices!C646</f>
        <v>3.3078158964180543E-3</v>
      </c>
      <c r="I647" s="13"/>
      <c r="J647" s="1">
        <f t="shared" ca="1" si="63"/>
        <v>-1.5247852221645464E-3</v>
      </c>
      <c r="K647" s="9"/>
      <c r="L647" s="9">
        <f ca="1">L646-O647*Prices!C647</f>
        <v>0.80437750519311091</v>
      </c>
      <c r="M647" s="1">
        <f t="shared" ca="1" si="64"/>
        <v>1.2057780552411287E-2</v>
      </c>
      <c r="N647" s="9">
        <f ca="1">IF(Prices!D646&gt;OFFSET(Prices!D646,-$N$3,0),1,IF(Prices!D646&lt;OFFSET(Prices!D646,-$N$3,0),-1,0))</f>
        <v>-1</v>
      </c>
      <c r="O647" s="1">
        <f ca="1">IF(N647=1,O$3*L646/Prices!C646,O$3*M646*N647)</f>
        <v>-1.3397533947123652E-3</v>
      </c>
      <c r="P647" s="14"/>
      <c r="Q647" s="9">
        <f ca="1">Q646-T647*Prices!C647</f>
        <v>1.1290658280918566</v>
      </c>
      <c r="R647" s="1">
        <f t="shared" ca="1" si="65"/>
        <v>9.066559545156878E-3</v>
      </c>
      <c r="S647" s="9">
        <f ca="1">IF(Prices!C646&lt;OFFSET(Prices!C646,-S$3,0),1,IF(Prices!C646&gt;OFFSET(Prices!C646,-S$3,0),-1,0))</f>
        <v>-1</v>
      </c>
      <c r="T647" s="1">
        <f ca="1">IF(S647=1,T$3*Q646/Prices!C646,T$3*R646*S647)</f>
        <v>-1.8503182745218121E-4</v>
      </c>
    </row>
    <row r="648" spans="1:20" x14ac:dyDescent="0.2">
      <c r="A648" s="4">
        <v>34414</v>
      </c>
      <c r="B648" s="9">
        <f ca="1">Prices!C647*(1+J648/(50*(ABS(O648)+ABS(T648)+0.0001)))</f>
        <v>108.08484669429109</v>
      </c>
      <c r="C648" s="13">
        <f t="shared" ca="1" si="60"/>
        <v>1</v>
      </c>
      <c r="D648" s="9">
        <f ca="1">D647+C648*(Prices!C648-Prices!C647)/Prices!C647</f>
        <v>0.30714074007723213</v>
      </c>
      <c r="E648" s="9">
        <f t="shared" ca="1" si="61"/>
        <v>1.9153077554721898E-2</v>
      </c>
      <c r="F648" s="9">
        <f t="shared" ca="1" si="62"/>
        <v>0.32629381763195403</v>
      </c>
      <c r="G648" s="13">
        <f ca="1">IF((Prices!C648-Prices!C647)*C648&gt;0,1,0)</f>
        <v>0</v>
      </c>
      <c r="H648" s="9">
        <f>ABS(Prices!C648-Prices!C647)/Prices!C647</f>
        <v>4.7098718914842839E-4</v>
      </c>
      <c r="I648" s="13"/>
      <c r="J648" s="1">
        <f t="shared" ca="1" si="63"/>
        <v>9.7041321666492303E-4</v>
      </c>
      <c r="K648" s="9"/>
      <c r="L648" s="9">
        <f ca="1">L647-O648*Prices!C648</f>
        <v>0.72397763982381835</v>
      </c>
      <c r="M648" s="1">
        <f t="shared" ca="1" si="64"/>
        <v>1.2815483552781589E-2</v>
      </c>
      <c r="N648" s="9">
        <f ca="1">IF(Prices!D647&gt;OFFSET(Prices!D647,-$N$3,0),1,IF(Prices!D647&lt;OFFSET(Prices!D647,-$N$3,0),-1,0))</f>
        <v>1</v>
      </c>
      <c r="O648" s="1">
        <f ca="1">IF(N648=1,O$3*L647/Prices!C647,O$3*M647*N648)</f>
        <v>7.5770300037030045E-4</v>
      </c>
      <c r="P648" s="14"/>
      <c r="Q648" s="9">
        <f ca="1">Q647-T648*Prices!C648</f>
        <v>1.1064951470408342</v>
      </c>
      <c r="R648" s="1">
        <f t="shared" ca="1" si="65"/>
        <v>9.2792697614515005E-3</v>
      </c>
      <c r="S648" s="9">
        <f ca="1">IF(Prices!C647&lt;OFFSET(Prices!C647,-S$3,0),1,IF(Prices!C647&gt;OFFSET(Prices!C647,-S$3,0),-1,0))</f>
        <v>1</v>
      </c>
      <c r="T648" s="1">
        <f ca="1">IF(S648=1,T$3*Q647/Prices!C647,T$3*R647*S648)</f>
        <v>2.1271021629462258E-4</v>
      </c>
    </row>
    <row r="649" spans="1:20" x14ac:dyDescent="0.2">
      <c r="A649" s="4">
        <v>34415</v>
      </c>
      <c r="B649" s="9">
        <f ca="1">Prices!C648*(1+J649/(50*(ABS(O649)+ABS(T649)+0.0001)))</f>
        <v>108.01801938634955</v>
      </c>
      <c r="C649" s="13">
        <f t="shared" ca="1" si="60"/>
        <v>1</v>
      </c>
      <c r="D649" s="9">
        <f ca="1">D648+C649*(Prices!C649-Prices!C648)/Prices!C648</f>
        <v>0.30610408000749317</v>
      </c>
      <c r="E649" s="9">
        <f t="shared" ca="1" si="61"/>
        <v>2.0189737624460857E-2</v>
      </c>
      <c r="F649" s="9">
        <f t="shared" ca="1" si="62"/>
        <v>0.32629381763195403</v>
      </c>
      <c r="G649" s="13">
        <f ca="1">IF((Prices!C649-Prices!C648)*C649&gt;0,1,0)</f>
        <v>0</v>
      </c>
      <c r="H649" s="9">
        <f>ABS(Prices!C649-Prices!C648)/Prices!C648</f>
        <v>1.0366600697389449E-3</v>
      </c>
      <c r="I649" s="13"/>
      <c r="J649" s="1">
        <f t="shared" ca="1" si="63"/>
        <v>8.9084597986239297E-4</v>
      </c>
      <c r="K649" s="9"/>
      <c r="L649" s="9">
        <f ca="1">L648-O649*Prices!C649</f>
        <v>0.65165492771249545</v>
      </c>
      <c r="M649" s="1">
        <f t="shared" ca="1" si="64"/>
        <v>1.3497773289680862E-2</v>
      </c>
      <c r="N649" s="9">
        <f ca="1">IF(Prices!D648&gt;OFFSET(Prices!D648,-$N$3,0),1,IF(Prices!D648&lt;OFFSET(Prices!D648,-$N$3,0),-1,0))</f>
        <v>1</v>
      </c>
      <c r="O649" s="1">
        <f ca="1">IF(N649=1,O$3*L648/Prices!C648,O$3*M648*N649)</f>
        <v>6.8228973689927282E-4</v>
      </c>
      <c r="P649" s="14"/>
      <c r="Q649" s="9">
        <f ca="1">Q648-T649*Prices!C649</f>
        <v>1.0843881852867434</v>
      </c>
      <c r="R649" s="1">
        <f t="shared" ca="1" si="65"/>
        <v>9.487826004414621E-3</v>
      </c>
      <c r="S649" s="9">
        <f ca="1">IF(Prices!C648&lt;OFFSET(Prices!C648,-S$3,0),1,IF(Prices!C648&gt;OFFSET(Prices!C648,-S$3,0),-1,0))</f>
        <v>1</v>
      </c>
      <c r="T649" s="1">
        <f ca="1">IF(S649=1,T$3*Q648/Prices!C648,T$3*R648*S649)</f>
        <v>2.085562429631202E-4</v>
      </c>
    </row>
    <row r="650" spans="1:20" x14ac:dyDescent="0.2">
      <c r="A650" s="4">
        <v>34416</v>
      </c>
      <c r="B650" s="9">
        <f ca="1">Prices!C649*(1+J650/(50*(ABS(O650)+ABS(T650)+0.0001)))</f>
        <v>104.53251712628303</v>
      </c>
      <c r="C650" s="13">
        <f t="shared" ca="1" si="60"/>
        <v>-1</v>
      </c>
      <c r="D650" s="9">
        <f ca="1">D649+C650*(Prices!C650-Prices!C649)/Prices!C649</f>
        <v>0.30317955170560634</v>
      </c>
      <c r="E650" s="9">
        <f t="shared" ca="1" si="61"/>
        <v>2.3114265926347688E-2</v>
      </c>
      <c r="F650" s="9">
        <f t="shared" ca="1" si="62"/>
        <v>0.32629381763195403</v>
      </c>
      <c r="G650" s="13">
        <f ca="1">IF((Prices!C650-Prices!C649)*C650&gt;0,1,0)</f>
        <v>0</v>
      </c>
      <c r="H650" s="9">
        <f>ABS(Prices!C650-Prices!C649)/Prices!C649</f>
        <v>2.9245283018868137E-3</v>
      </c>
      <c r="I650" s="13"/>
      <c r="J650" s="1">
        <f t="shared" ca="1" si="63"/>
        <v>-1.145175784574361E-3</v>
      </c>
      <c r="K650" s="9"/>
      <c r="L650" s="9">
        <f ca="1">L649-O650*Prices!C650</f>
        <v>0.79514975555509271</v>
      </c>
      <c r="M650" s="1">
        <f t="shared" ca="1" si="64"/>
        <v>1.2147995960712775E-2</v>
      </c>
      <c r="N650" s="9">
        <f ca="1">IF(Prices!D649&gt;OFFSET(Prices!D649,-$N$3,0),1,IF(Prices!D649&lt;OFFSET(Prices!D649,-$N$3,0),-1,0))</f>
        <v>-1</v>
      </c>
      <c r="O650" s="1">
        <f ca="1">IF(N650=1,O$3*L649/Prices!C649,O$3*M649*N650)</f>
        <v>-1.3497773289680862E-3</v>
      </c>
      <c r="P650" s="14"/>
      <c r="Q650" s="9">
        <f ca="1">Q649-T650*Prices!C650</f>
        <v>1.0626369951022465</v>
      </c>
      <c r="R650" s="1">
        <f t="shared" ca="1" si="65"/>
        <v>9.692427548808346E-3</v>
      </c>
      <c r="S650" s="9">
        <f ca="1">IF(Prices!C649&lt;OFFSET(Prices!C649,-S$3,0),1,IF(Prices!C649&gt;OFFSET(Prices!C649,-S$3,0),-1,0))</f>
        <v>1</v>
      </c>
      <c r="T650" s="1">
        <f ca="1">IF(S650=1,T$3*Q649/Prices!C649,T$3*R649*S650)</f>
        <v>2.0460154439372517E-4</v>
      </c>
    </row>
    <row r="651" spans="1:20" x14ac:dyDescent="0.2">
      <c r="A651" s="4">
        <v>34417</v>
      </c>
      <c r="B651" s="9">
        <f ca="1">Prices!C650*(1+J651/(50*(ABS(O651)+ABS(T651)+0.0001)))</f>
        <v>104.32473412066697</v>
      </c>
      <c r="C651" s="13">
        <f t="shared" ca="1" si="60"/>
        <v>-1</v>
      </c>
      <c r="D651" s="9">
        <f ca="1">D650+C651*(Prices!C651-Prices!C650)/Prices!C650</f>
        <v>0.32011116679355667</v>
      </c>
      <c r="E651" s="9">
        <f t="shared" ca="1" si="61"/>
        <v>6.1826508383973633E-3</v>
      </c>
      <c r="F651" s="9">
        <f t="shared" ca="1" si="62"/>
        <v>0.32629381763195403</v>
      </c>
      <c r="G651" s="13">
        <f ca="1">IF((Prices!C651-Prices!C650)*C651&gt;0,1,0)</f>
        <v>1</v>
      </c>
      <c r="H651" s="9">
        <f>ABS(Prices!C651-Prices!C650)/Prices!C650</f>
        <v>1.6931615087950307E-2</v>
      </c>
      <c r="I651" s="13"/>
      <c r="J651" s="1">
        <f t="shared" ca="1" si="63"/>
        <v>-1.4086481470474445E-3</v>
      </c>
      <c r="K651" s="9"/>
      <c r="L651" s="9">
        <f ca="1">L650-O651*Prices!C651</f>
        <v>0.92210846134050195</v>
      </c>
      <c r="M651" s="1">
        <f t="shared" ca="1" si="64"/>
        <v>1.0933196364641497E-2</v>
      </c>
      <c r="N651" s="9">
        <f ca="1">IF(Prices!D650&gt;OFFSET(Prices!D650,-$N$3,0),1,IF(Prices!D650&lt;OFFSET(Prices!D650,-$N$3,0),-1,0))</f>
        <v>-1</v>
      </c>
      <c r="O651" s="1">
        <f ca="1">IF(N651=1,O$3*L650/Prices!C650,O$3*M650*N651)</f>
        <v>-1.2147995960712775E-3</v>
      </c>
      <c r="P651" s="14"/>
      <c r="Q651" s="9">
        <f ca="1">Q650-T651*Prices!C651</f>
        <v>1.0828961071647658</v>
      </c>
      <c r="R651" s="1">
        <f t="shared" ca="1" si="65"/>
        <v>9.4985789978321786E-3</v>
      </c>
      <c r="S651" s="9">
        <f ca="1">IF(Prices!C650&lt;OFFSET(Prices!C650,-S$3,0),1,IF(Prices!C650&gt;OFFSET(Prices!C650,-S$3,0),-1,0))</f>
        <v>-1</v>
      </c>
      <c r="T651" s="1">
        <f ca="1">IF(S651=1,T$3*Q650/Prices!C650,T$3*R650*S651)</f>
        <v>-1.9384855097616692E-4</v>
      </c>
    </row>
    <row r="652" spans="1:20" x14ac:dyDescent="0.2">
      <c r="A652" s="4">
        <v>34418</v>
      </c>
      <c r="B652" s="9">
        <f ca="1">Prices!C651*(1+J652/(50*(ABS(O652)+ABS(T652)+0.0001)))</f>
        <v>106.42448635041158</v>
      </c>
      <c r="C652" s="13">
        <f t="shared" ca="1" si="60"/>
        <v>1</v>
      </c>
      <c r="D652" s="9">
        <f ca="1">D651+C652*(Prices!C652-Prices!C651)/Prices!C651</f>
        <v>0.32298170549798683</v>
      </c>
      <c r="E652" s="9">
        <f t="shared" ca="1" si="61"/>
        <v>3.3121121339672044E-3</v>
      </c>
      <c r="F652" s="9">
        <f t="shared" ca="1" si="62"/>
        <v>0.32629381763195403</v>
      </c>
      <c r="G652" s="13">
        <f ca="1">IF((Prices!C652-Prices!C651)*C652&gt;0,1,0)</f>
        <v>1</v>
      </c>
      <c r="H652" s="9">
        <f>ABS(Prices!C652-Prices!C651)/Prices!C651</f>
        <v>2.8705387044301706E-3</v>
      </c>
      <c r="I652" s="13"/>
      <c r="J652" s="1">
        <f t="shared" ca="1" si="63"/>
        <v>1.0895490218863794E-3</v>
      </c>
      <c r="K652" s="9"/>
      <c r="L652" s="9">
        <f ca="1">L651-O652*Prices!C652</f>
        <v>0.82963292040365566</v>
      </c>
      <c r="M652" s="1">
        <f t="shared" ca="1" si="64"/>
        <v>1.1815512373961659E-2</v>
      </c>
      <c r="N652" s="9">
        <f ca="1">IF(Prices!D651&gt;OFFSET(Prices!D651,-$N$3,0),1,IF(Prices!D651&lt;OFFSET(Prices!D651,-$N$3,0),-1,0))</f>
        <v>1</v>
      </c>
      <c r="O652" s="1">
        <f ca="1">IF(N652=1,O$3*L651/Prices!C651,O$3*M651*N652)</f>
        <v>8.8231600932016266E-4</v>
      </c>
      <c r="P652" s="14"/>
      <c r="Q652" s="9">
        <f ca="1">Q651-T652*Prices!C652</f>
        <v>1.0611760151177005</v>
      </c>
      <c r="R652" s="1">
        <f t="shared" ca="1" si="65"/>
        <v>9.7058120103983951E-3</v>
      </c>
      <c r="S652" s="9">
        <f ca="1">IF(Prices!C651&lt;OFFSET(Prices!C651,-S$3,0),1,IF(Prices!C651&gt;OFFSET(Prices!C651,-S$3,0),-1,0))</f>
        <v>1</v>
      </c>
      <c r="T652" s="1">
        <f ca="1">IF(S652=1,T$3*Q651/Prices!C651,T$3*R651*S652)</f>
        <v>2.0723301256621678E-4</v>
      </c>
    </row>
    <row r="653" spans="1:20" x14ac:dyDescent="0.2">
      <c r="A653" s="4">
        <v>34421</v>
      </c>
      <c r="B653" s="9">
        <f ca="1">Prices!C652*(1+J653/(50*(ABS(O653)+ABS(T653)+0.0001)))</f>
        <v>106.71460070329121</v>
      </c>
      <c r="C653" s="13">
        <f t="shared" ca="1" si="60"/>
        <v>1</v>
      </c>
      <c r="D653" s="9">
        <f ca="1">D652+C653*(Prices!C653-Prices!C652)/Prices!C652</f>
        <v>0.31582589975426006</v>
      </c>
      <c r="E653" s="9">
        <f t="shared" ca="1" si="61"/>
        <v>1.0467917877693966E-2</v>
      </c>
      <c r="F653" s="9">
        <f t="shared" ca="1" si="62"/>
        <v>0.32629381763195403</v>
      </c>
      <c r="G653" s="13">
        <f ca="1">IF((Prices!C653-Prices!C652)*C653&gt;0,1,0)</f>
        <v>0</v>
      </c>
      <c r="H653" s="9">
        <f>ABS(Prices!C653-Prices!C652)/Prices!C652</f>
        <v>7.1558057437267437E-3</v>
      </c>
      <c r="I653" s="13"/>
      <c r="J653" s="1">
        <f t="shared" ca="1" si="63"/>
        <v>9.9405412024348408E-4</v>
      </c>
      <c r="K653" s="9"/>
      <c r="L653" s="9">
        <f ca="1">L652-O653*Prices!C653</f>
        <v>0.74726329756499099</v>
      </c>
      <c r="M653" s="1">
        <f t="shared" ca="1" si="64"/>
        <v>1.2607071309562895E-2</v>
      </c>
      <c r="N653" s="9">
        <f ca="1">IF(Prices!D652&gt;OFFSET(Prices!D652,-$N$3,0),1,IF(Prices!D652&lt;OFFSET(Prices!D652,-$N$3,0),-1,0))</f>
        <v>1</v>
      </c>
      <c r="O653" s="1">
        <f ca="1">IF(N653=1,O$3*L652/Prices!C652,O$3*M652*N653)</f>
        <v>7.9155893560123617E-4</v>
      </c>
      <c r="P653" s="14"/>
      <c r="Q653" s="9">
        <f ca="1">Q652-T653*Prices!C653</f>
        <v>1.0401043662038283</v>
      </c>
      <c r="R653" s="1">
        <f t="shared" ca="1" si="65"/>
        <v>9.9083071950406432E-3</v>
      </c>
      <c r="S653" s="9">
        <f ca="1">IF(Prices!C652&lt;OFFSET(Prices!C652,-S$3,0),1,IF(Prices!C652&gt;OFFSET(Prices!C652,-S$3,0),-1,0))</f>
        <v>1</v>
      </c>
      <c r="T653" s="1">
        <f ca="1">IF(S653=1,T$3*Q652/Prices!C652,T$3*R652*S653)</f>
        <v>2.0249518464224799E-4</v>
      </c>
    </row>
    <row r="654" spans="1:20" x14ac:dyDescent="0.2">
      <c r="A654" s="4">
        <v>34422</v>
      </c>
      <c r="B654" s="9">
        <f ca="1">Prices!C653*(1+J654/(50*(ABS(O654)+ABS(T654)+0.0001)))</f>
        <v>105.9367625018116</v>
      </c>
      <c r="C654" s="13">
        <f t="shared" ca="1" si="60"/>
        <v>1</v>
      </c>
      <c r="D654" s="9">
        <f ca="1">D653+C654*(Prices!C654-Prices!C653)/Prices!C653</f>
        <v>0.30650435449191143</v>
      </c>
      <c r="E654" s="9">
        <f t="shared" ca="1" si="61"/>
        <v>1.9789463140042596E-2</v>
      </c>
      <c r="F654" s="9">
        <f t="shared" ca="1" si="62"/>
        <v>0.32629381763195403</v>
      </c>
      <c r="G654" s="13">
        <f ca="1">IF((Prices!C654-Prices!C653)*C654&gt;0,1,0)</f>
        <v>0</v>
      </c>
      <c r="H654" s="9">
        <f>ABS(Prices!C654-Prices!C653)/Prices!C653</f>
        <v>9.3215452623486347E-3</v>
      </c>
      <c r="I654" s="13"/>
      <c r="J654" s="1">
        <f t="shared" ca="1" si="63"/>
        <v>9.1801284913103659E-4</v>
      </c>
      <c r="K654" s="9"/>
      <c r="L654" s="9">
        <f ca="1">L653-O654*Prices!C654</f>
        <v>0.67323353267360631</v>
      </c>
      <c r="M654" s="1">
        <f t="shared" ca="1" si="64"/>
        <v>1.3325179417928252E-2</v>
      </c>
      <c r="N654" s="9">
        <f ca="1">IF(Prices!D653&gt;OFFSET(Prices!D653,-$N$3,0),1,IF(Prices!D653&lt;OFFSET(Prices!D653,-$N$3,0),-1,0))</f>
        <v>1</v>
      </c>
      <c r="O654" s="1">
        <f ca="1">IF(N654=1,O$3*L653/Prices!C653,O$3*M653*N654)</f>
        <v>7.1810810836535756E-4</v>
      </c>
      <c r="P654" s="14"/>
      <c r="Q654" s="9">
        <f ca="1">Q653-T654*Prices!C654</f>
        <v>1.0194961864782945</v>
      </c>
      <c r="R654" s="1">
        <f t="shared" ca="1" si="65"/>
        <v>1.0108211935806322E-2</v>
      </c>
      <c r="S654" s="9">
        <f ca="1">IF(Prices!C653&lt;OFFSET(Prices!C653,-S$3,0),1,IF(Prices!C653&gt;OFFSET(Prices!C653,-S$3,0),-1,0))</f>
        <v>1</v>
      </c>
      <c r="T654" s="1">
        <f ca="1">IF(S654=1,T$3*Q653/Prices!C653,T$3*R653*S654)</f>
        <v>1.9990474076567906E-4</v>
      </c>
    </row>
    <row r="655" spans="1:20" x14ac:dyDescent="0.2">
      <c r="A655" s="4">
        <v>34423</v>
      </c>
      <c r="B655" s="9">
        <f ca="1">Prices!C654*(1+J655/(50*(ABS(O655)+ABS(T655)+0.0001)))</f>
        <v>104.93496055440473</v>
      </c>
      <c r="C655" s="13">
        <f t="shared" ca="1" si="60"/>
        <v>1</v>
      </c>
      <c r="D655" s="9">
        <f ca="1">D654+C655*(Prices!C655-Prices!C654)/Prices!C654</f>
        <v>0.30524332044399205</v>
      </c>
      <c r="E655" s="9">
        <f t="shared" ca="1" si="61"/>
        <v>2.1050497187961981E-2</v>
      </c>
      <c r="F655" s="9">
        <f t="shared" ca="1" si="62"/>
        <v>0.32629381763195403</v>
      </c>
      <c r="G655" s="13">
        <f ca="1">IF((Prices!C655-Prices!C654)*C655&gt;0,1,0)</f>
        <v>0</v>
      </c>
      <c r="H655" s="9">
        <f>ABS(Prices!C655-Prices!C654)/Prices!C654</f>
        <v>1.2610340479193875E-3</v>
      </c>
      <c r="I655" s="13"/>
      <c r="J655" s="1">
        <f t="shared" ca="1" si="63"/>
        <v>8.5084175959769645E-4</v>
      </c>
      <c r="K655" s="9"/>
      <c r="L655" s="9">
        <f ca="1">L654-O655*Prices!C655</f>
        <v>0.60599507644693595</v>
      </c>
      <c r="M655" s="1">
        <f t="shared" ca="1" si="64"/>
        <v>1.3978233577083948E-2</v>
      </c>
      <c r="N655" s="9">
        <f ca="1">IF(Prices!D654&gt;OFFSET(Prices!D654,-$N$3,0),1,IF(Prices!D654&lt;OFFSET(Prices!D654,-$N$3,0),-1,0))</f>
        <v>1</v>
      </c>
      <c r="O655" s="1">
        <f ca="1">IF(N655=1,O$3*L654/Prices!C654,O$3*M654*N655)</f>
        <v>6.5305415915569538E-4</v>
      </c>
      <c r="P655" s="14"/>
      <c r="Q655" s="9">
        <f ca="1">Q654-T655*Prices!C655</f>
        <v>0.99913197513678609</v>
      </c>
      <c r="R655" s="1">
        <f t="shared" ca="1" si="65"/>
        <v>1.0305999536248323E-2</v>
      </c>
      <c r="S655" s="9">
        <f ca="1">IF(Prices!C654&lt;OFFSET(Prices!C654,-S$3,0),1,IF(Prices!C654&gt;OFFSET(Prices!C654,-S$3,0),-1,0))</f>
        <v>1</v>
      </c>
      <c r="T655" s="1">
        <f ca="1">IF(S655=1,T$3*Q654/Prices!C654,T$3*R654*S655)</f>
        <v>1.9778760044200107E-4</v>
      </c>
    </row>
    <row r="656" spans="1:20" x14ac:dyDescent="0.2">
      <c r="A656" s="4">
        <v>34424</v>
      </c>
      <c r="B656" s="9">
        <f ca="1">Prices!C655*(1+J656/(50*(ABS(O656)+ABS(T656)+0.0001)))</f>
        <v>104.78590383512984</v>
      </c>
      <c r="C656" s="13">
        <f t="shared" ca="1" si="60"/>
        <v>1</v>
      </c>
      <c r="D656" s="9">
        <f ca="1">D655+C656*(Prices!C656-Prices!C655)/Prices!C655</f>
        <v>0.30320369340436509</v>
      </c>
      <c r="E656" s="9">
        <f t="shared" ca="1" si="61"/>
        <v>2.3090124227588937E-2</v>
      </c>
      <c r="F656" s="9">
        <f t="shared" ca="1" si="62"/>
        <v>0.32629381763195403</v>
      </c>
      <c r="G656" s="13">
        <f ca="1">IF((Prices!C656-Prices!C655)*C656&gt;0,1,0)</f>
        <v>0</v>
      </c>
      <c r="H656" s="9">
        <f>ABS(Prices!C656-Prices!C655)/Prices!C655</f>
        <v>2.0396270396269792E-3</v>
      </c>
      <c r="I656" s="13"/>
      <c r="J656" s="1">
        <f t="shared" ca="1" si="63"/>
        <v>7.8265488682429415E-4</v>
      </c>
      <c r="K656" s="9"/>
      <c r="L656" s="9">
        <f ca="1">L655-O656*Prices!C656</f>
        <v>0.54551916919662258</v>
      </c>
      <c r="M656" s="1">
        <f t="shared" ca="1" si="64"/>
        <v>1.4566806883656341E-2</v>
      </c>
      <c r="N656" s="9">
        <f ca="1">IF(Prices!D655&gt;OFFSET(Prices!D655,-$N$3,0),1,IF(Prices!D655&lt;OFFSET(Prices!D655,-$N$3,0),-1,0))</f>
        <v>1</v>
      </c>
      <c r="O656" s="1">
        <f ca="1">IF(N656=1,O$3*L655/Prices!C655,O$3*M655*N656)</f>
        <v>5.8857330657239324E-4</v>
      </c>
      <c r="P656" s="14"/>
      <c r="Q656" s="9">
        <f ca="1">Q655-T656*Prices!C656</f>
        <v>0.9791900927659033</v>
      </c>
      <c r="R656" s="1">
        <f t="shared" ca="1" si="65"/>
        <v>1.0500081116500224E-2</v>
      </c>
      <c r="S656" s="9">
        <f ca="1">IF(Prices!C655&lt;OFFSET(Prices!C655,-S$3,0),1,IF(Prices!C655&gt;OFFSET(Prices!C655,-S$3,0),-1,0))</f>
        <v>1</v>
      </c>
      <c r="T656" s="1">
        <f ca="1">IF(S656=1,T$3*Q655/Prices!C655,T$3*R655*S656)</f>
        <v>1.9408158025190094E-4</v>
      </c>
    </row>
    <row r="657" spans="1:20" x14ac:dyDescent="0.2">
      <c r="A657" s="4">
        <v>34425</v>
      </c>
      <c r="B657" s="9">
        <f ca="1">Prices!C656*(1+J657/(50*(ABS(O657)+ABS(T657)+0.0001)))</f>
        <v>104.55485256248927</v>
      </c>
      <c r="C657" s="13">
        <f t="shared" ca="1" si="60"/>
        <v>1</v>
      </c>
      <c r="D657" s="9">
        <f ca="1">D656+C657*(Prices!C657-Prices!C656)/Prices!C656</f>
        <v>0.3114761994870901</v>
      </c>
      <c r="E657" s="9">
        <f t="shared" ca="1" si="61"/>
        <v>1.4817618144863931E-2</v>
      </c>
      <c r="F657" s="9">
        <f t="shared" ca="1" si="62"/>
        <v>0.32629381763195403</v>
      </c>
      <c r="G657" s="13">
        <f ca="1">IF((Prices!C657-Prices!C656)*C657&gt;0,1,0)</f>
        <v>1</v>
      </c>
      <c r="H657" s="9">
        <f>ABS(Prices!C657-Prices!C656)/Prices!C656</f>
        <v>8.2725060827250063E-3</v>
      </c>
      <c r="I657" s="13"/>
      <c r="J657" s="1">
        <f t="shared" ca="1" si="63"/>
        <v>7.2151551119202268E-4</v>
      </c>
      <c r="K657" s="9"/>
      <c r="L657" s="9">
        <f ca="1">L656-O657*Prices!C657</f>
        <v>0.49051597121241808</v>
      </c>
      <c r="M657" s="1">
        <f t="shared" ca="1" si="64"/>
        <v>1.5097725783117773E-2</v>
      </c>
      <c r="N657" s="9">
        <f ca="1">IF(Prices!D656&gt;OFFSET(Prices!D656,-$N$3,0),1,IF(Prices!D656&lt;OFFSET(Prices!D656,-$N$3,0),-1,0))</f>
        <v>1</v>
      </c>
      <c r="O657" s="1">
        <f ca="1">IF(N657=1,O$3*L656/Prices!C656,O$3*M656*N657)</f>
        <v>5.3091889946143319E-4</v>
      </c>
      <c r="P657" s="14"/>
      <c r="Q657" s="9">
        <f ca="1">Q656-T657*Prices!C657</f>
        <v>0.95944428379061419</v>
      </c>
      <c r="R657" s="1">
        <f t="shared" ca="1" si="65"/>
        <v>1.0690677728230813E-2</v>
      </c>
      <c r="S657" s="9">
        <f ca="1">IF(Prices!C656&lt;OFFSET(Prices!C656,-S$3,0),1,IF(Prices!C656&gt;OFFSET(Prices!C656,-S$3,0),-1,0))</f>
        <v>1</v>
      </c>
      <c r="T657" s="1">
        <f ca="1">IF(S657=1,T$3*Q656/Prices!C656,T$3*R656*S657)</f>
        <v>1.9059661173058946E-4</v>
      </c>
    </row>
    <row r="658" spans="1:20" x14ac:dyDescent="0.2">
      <c r="A658" s="4">
        <v>34428</v>
      </c>
      <c r="B658" s="9">
        <f ca="1">Prices!C657*(1+J658/(50*(ABS(O658)+ABS(T658)+0.0001)))</f>
        <v>105.39889836962675</v>
      </c>
      <c r="C658" s="13">
        <f t="shared" ref="C658:C721" ca="1" si="66">IF(J658&gt;0,1,IF(J658&lt;0,-1,0))</f>
        <v>1</v>
      </c>
      <c r="D658" s="9">
        <f ca="1">D657+C658*(Prices!C658-Prices!C657)/Prices!C657</f>
        <v>0.30800129601218662</v>
      </c>
      <c r="E658" s="9">
        <f t="shared" ref="E658:E721" ca="1" si="67">F658-D658</f>
        <v>1.829252161976741E-2</v>
      </c>
      <c r="F658" s="9">
        <f t="shared" ref="F658:F721" ca="1" si="68">MAX(F657,D658)</f>
        <v>0.32629381763195403</v>
      </c>
      <c r="G658" s="13">
        <f ca="1">IF((Prices!C658-Prices!C657)*C658&gt;0,1,0)</f>
        <v>0</v>
      </c>
      <c r="H658" s="9">
        <f>ABS(Prices!C658-Prices!C657)/Prices!C657</f>
        <v>3.4749034749034695E-3</v>
      </c>
      <c r="I658" s="13"/>
      <c r="J658" s="1">
        <f t="shared" ref="J658:J721" ca="1" si="69">O658+T658</f>
        <v>6.5869191889048355E-4</v>
      </c>
      <c r="K658" s="9"/>
      <c r="L658" s="9">
        <f ca="1">L657-O658*Prices!C658</f>
        <v>0.44163482365646245</v>
      </c>
      <c r="M658" s="1">
        <f t="shared" ref="M658:M721" ca="1" si="70">M657+O658</f>
        <v>1.5571196797801574E-2</v>
      </c>
      <c r="N658" s="9">
        <f ca="1">IF(Prices!D657&gt;OFFSET(Prices!D657,-$N$3,0),1,IF(Prices!D657&lt;OFFSET(Prices!D657,-$N$3,0),-1,0))</f>
        <v>1</v>
      </c>
      <c r="O658" s="1">
        <f ca="1">IF(N658=1,O$3*L657/Prices!C657,O$3*M657*N658)</f>
        <v>4.7347101468380126E-4</v>
      </c>
      <c r="P658" s="14"/>
      <c r="Q658" s="9">
        <f ca="1">Q657-T658*Prices!C658</f>
        <v>0.94032207764031628</v>
      </c>
      <c r="R658" s="1">
        <f t="shared" ref="R658:R721" ca="1" si="71">R657+T658</f>
        <v>1.0875898632437495E-2</v>
      </c>
      <c r="S658" s="9">
        <f ca="1">IF(Prices!C657&lt;OFFSET(Prices!C657,-S$3,0),1,IF(Prices!C657&gt;OFFSET(Prices!C657,-S$3,0),-1,0))</f>
        <v>1</v>
      </c>
      <c r="T658" s="1">
        <f ca="1">IF(S658=1,T$3*Q657/Prices!C657,T$3*R657*S658)</f>
        <v>1.8522090420668229E-4</v>
      </c>
    </row>
    <row r="659" spans="1:20" x14ac:dyDescent="0.2">
      <c r="A659" s="4">
        <v>34429</v>
      </c>
      <c r="B659" s="9">
        <f ca="1">Prices!C658*(1+J659/(50*(ABS(O659)+ABS(T659)+0.0001)))</f>
        <v>103.82250728510449</v>
      </c>
      <c r="C659" s="13">
        <f t="shared" ca="1" si="66"/>
        <v>1</v>
      </c>
      <c r="D659" s="9">
        <f ca="1">D658+C659*(Prices!C659-Prices!C658)/Prices!C658</f>
        <v>0.31884980434229127</v>
      </c>
      <c r="E659" s="9">
        <f t="shared" ca="1" si="67"/>
        <v>7.4440132896627653E-3</v>
      </c>
      <c r="F659" s="9">
        <f t="shared" ca="1" si="68"/>
        <v>0.32629381763195403</v>
      </c>
      <c r="G659" s="13">
        <f ca="1">IF((Prices!C659-Prices!C658)*C659&gt;0,1,0)</f>
        <v>1</v>
      </c>
      <c r="H659" s="9">
        <f>ABS(Prices!C659-Prices!C658)/Prices!C658</f>
        <v>1.0848508330104655E-2</v>
      </c>
      <c r="I659" s="13"/>
      <c r="J659" s="1">
        <f t="shared" ca="1" si="69"/>
        <v>2.1025694371744778E-4</v>
      </c>
      <c r="K659" s="9"/>
      <c r="L659" s="9">
        <f ca="1">L658-O659*Prices!C659</f>
        <v>0.39699223338448608</v>
      </c>
      <c r="M659" s="1">
        <f t="shared" ca="1" si="70"/>
        <v>1.5998971714167771E-2</v>
      </c>
      <c r="N659" s="9">
        <f ca="1">IF(Prices!D658&gt;OFFSET(Prices!D658,-$N$3,0),1,IF(Prices!D658&lt;OFFSET(Prices!D658,-$N$3,0),-1,0))</f>
        <v>1</v>
      </c>
      <c r="O659" s="1">
        <f ca="1">IF(N659=1,O$3*L658/Prices!C658,O$3*M658*N659)</f>
        <v>4.2777491636619767E-4</v>
      </c>
      <c r="P659" s="14"/>
      <c r="Q659" s="9">
        <f ca="1">Q658-T659*Prices!C659</f>
        <v>0.96302225326593982</v>
      </c>
      <c r="R659" s="1">
        <f t="shared" ca="1" si="71"/>
        <v>1.0658380659788745E-2</v>
      </c>
      <c r="S659" s="9">
        <f ca="1">IF(Prices!C658&lt;OFFSET(Prices!C658,-S$3,0),1,IF(Prices!C658&gt;OFFSET(Prices!C658,-S$3,0),-1,0))</f>
        <v>-1</v>
      </c>
      <c r="T659" s="1">
        <f ca="1">IF(S659=1,T$3*Q658/Prices!C658,T$3*R658*S659)</f>
        <v>-2.175179726487499E-4</v>
      </c>
    </row>
    <row r="660" spans="1:20" x14ac:dyDescent="0.2">
      <c r="A660" s="4">
        <v>34430</v>
      </c>
      <c r="B660" s="9">
        <f ca="1">Prices!C659*(1+J660/(50*(ABS(O660)+ABS(T660)+0.0001)))</f>
        <v>104.86327861586896</v>
      </c>
      <c r="C660" s="13">
        <f t="shared" ca="1" si="66"/>
        <v>1</v>
      </c>
      <c r="D660" s="9">
        <f ca="1">D659+C660*(Prices!C660-Prices!C659)/Prices!C659</f>
        <v>0.32028713665352165</v>
      </c>
      <c r="E660" s="9">
        <f t="shared" ca="1" si="67"/>
        <v>6.0066809784323771E-3</v>
      </c>
      <c r="F660" s="9">
        <f t="shared" ca="1" si="68"/>
        <v>0.32629381763195403</v>
      </c>
      <c r="G660" s="13">
        <f ca="1">IF((Prices!C660-Prices!C659)*C660&gt;0,1,0)</f>
        <v>1</v>
      </c>
      <c r="H660" s="9">
        <f>ABS(Prices!C660-Prices!C659)/Prices!C659</f>
        <v>1.437332311230411E-3</v>
      </c>
      <c r="I660" s="13"/>
      <c r="J660" s="1">
        <f t="shared" ca="1" si="69"/>
        <v>1.6723889637157476E-4</v>
      </c>
      <c r="K660" s="9"/>
      <c r="L660" s="9">
        <f ca="1">L659-O660*Prices!C660</f>
        <v>0.35723594906960238</v>
      </c>
      <c r="M660" s="1">
        <f t="shared" ca="1" si="70"/>
        <v>1.6379378223735121E-2</v>
      </c>
      <c r="N660" s="9">
        <f ca="1">IF(Prices!D659&gt;OFFSET(Prices!D659,-$N$3,0),1,IF(Prices!D659&lt;OFFSET(Prices!D659,-$N$3,0),-1,0))</f>
        <v>1</v>
      </c>
      <c r="O660" s="1">
        <f ca="1">IF(N660=1,O$3*L659/Prices!C659,O$3*M659*N660)</f>
        <v>3.8040650956734965E-4</v>
      </c>
      <c r="P660" s="14"/>
      <c r="Q660" s="9">
        <f ca="1">Q659-T660*Prices!C660</f>
        <v>0.9853004005210303</v>
      </c>
      <c r="R660" s="1">
        <f t="shared" ca="1" si="71"/>
        <v>1.0445213046592969E-2</v>
      </c>
      <c r="S660" s="9">
        <f ca="1">IF(Prices!C659&lt;OFFSET(Prices!C659,-S$3,0),1,IF(Prices!C659&gt;OFFSET(Prices!C659,-S$3,0),-1,0))</f>
        <v>-1</v>
      </c>
      <c r="T660" s="1">
        <f ca="1">IF(S660=1,T$3*Q659/Prices!C659,T$3*R659*S660)</f>
        <v>-2.1316761319577489E-4</v>
      </c>
    </row>
    <row r="661" spans="1:20" x14ac:dyDescent="0.2">
      <c r="A661" s="4">
        <v>34431</v>
      </c>
      <c r="B661" s="9">
        <f ca="1">Prices!C660*(1+J661/(50*(ABS(O661)+ABS(T661)+0.0001)))</f>
        <v>102.5271636129979</v>
      </c>
      <c r="C661" s="13">
        <f t="shared" ca="1" si="66"/>
        <v>-1</v>
      </c>
      <c r="D661" s="9">
        <f ca="1">D660+C661*(Prices!C661-Prices!C660)/Prices!C660</f>
        <v>0.31607701322035736</v>
      </c>
      <c r="E661" s="9">
        <f t="shared" ca="1" si="67"/>
        <v>1.0216804411596669E-2</v>
      </c>
      <c r="F661" s="9">
        <f t="shared" ca="1" si="68"/>
        <v>0.32629381763195403</v>
      </c>
      <c r="G661" s="13">
        <f ca="1">IF((Prices!C661-Prices!C660)*C661&gt;0,1,0)</f>
        <v>0</v>
      </c>
      <c r="H661" s="9">
        <f>ABS(Prices!C661-Prices!C660)/Prices!C660</f>
        <v>4.2101234331642689E-3</v>
      </c>
      <c r="I661" s="13"/>
      <c r="J661" s="1">
        <f t="shared" ca="1" si="69"/>
        <v>-1.8468420833053715E-3</v>
      </c>
      <c r="K661" s="9"/>
      <c r="L661" s="9">
        <f ca="1">L660-O661*Prices!C661</f>
        <v>0.52913752352770249</v>
      </c>
      <c r="M661" s="1">
        <f t="shared" ca="1" si="70"/>
        <v>1.4741440401361609E-2</v>
      </c>
      <c r="N661" s="9">
        <f ca="1">IF(Prices!D660&gt;OFFSET(Prices!D660,-$N$3,0),1,IF(Prices!D660&lt;OFFSET(Prices!D660,-$N$3,0),-1,0))</f>
        <v>-1</v>
      </c>
      <c r="O661" s="1">
        <f ca="1">IF(N661=1,O$3*L660/Prices!C660,O$3*M660*N661)</f>
        <v>-1.6379378223735121E-3</v>
      </c>
      <c r="P661" s="14"/>
      <c r="Q661" s="9">
        <f ca="1">Q660-T661*Prices!C661</f>
        <v>1.0072249027058289</v>
      </c>
      <c r="R661" s="1">
        <f t="shared" ca="1" si="71"/>
        <v>1.023630878566111E-2</v>
      </c>
      <c r="S661" s="9">
        <f ca="1">IF(Prices!C660&lt;OFFSET(Prices!C660,-S$3,0),1,IF(Prices!C660&gt;OFFSET(Prices!C660,-S$3,0),-1,0))</f>
        <v>-1</v>
      </c>
      <c r="T661" s="1">
        <f ca="1">IF(S661=1,T$3*Q660/Prices!C660,T$3*R660*S661)</f>
        <v>-2.0890426093185939E-4</v>
      </c>
    </row>
    <row r="662" spans="1:20" x14ac:dyDescent="0.2">
      <c r="A662" s="4">
        <v>34432</v>
      </c>
      <c r="B662" s="9">
        <f ca="1">Prices!C661*(1+J662/(50*(ABS(O662)+ABS(T662)+0.0001)))</f>
        <v>102.96899624173244</v>
      </c>
      <c r="C662" s="13">
        <f t="shared" ca="1" si="66"/>
        <v>-1</v>
      </c>
      <c r="D662" s="9">
        <f ca="1">D661+C662*(Prices!C662-Prices!C661)/Prices!C661</f>
        <v>0.31312322570249168</v>
      </c>
      <c r="E662" s="9">
        <f t="shared" ca="1" si="67"/>
        <v>1.317059192946235E-2</v>
      </c>
      <c r="F662" s="9">
        <f t="shared" ca="1" si="68"/>
        <v>0.32629381763195403</v>
      </c>
      <c r="G662" s="13">
        <f ca="1">IF((Prices!C662-Prices!C661)*C662&gt;0,1,0)</f>
        <v>0</v>
      </c>
      <c r="H662" s="9">
        <f>ABS(Prices!C662-Prices!C661)/Prices!C661</f>
        <v>2.953787517865672E-3</v>
      </c>
      <c r="I662" s="13"/>
      <c r="J662" s="1">
        <f t="shared" ca="1" si="69"/>
        <v>-1.6788702158493833E-3</v>
      </c>
      <c r="K662" s="9"/>
      <c r="L662" s="9">
        <f ca="1">L661-O662*Prices!C662</f>
        <v>0.68430592519243483</v>
      </c>
      <c r="M662" s="1">
        <f t="shared" ca="1" si="70"/>
        <v>1.3267296361225447E-2</v>
      </c>
      <c r="N662" s="9">
        <f ca="1">IF(Prices!D661&gt;OFFSET(Prices!D661,-$N$3,0),1,IF(Prices!D661&lt;OFFSET(Prices!D661,-$N$3,0),-1,0))</f>
        <v>-1</v>
      </c>
      <c r="O662" s="1">
        <f ca="1">IF(N662=1,O$3*L661/Prices!C661,O$3*M661*N662)</f>
        <v>-1.474144040136161E-3</v>
      </c>
      <c r="P662" s="14"/>
      <c r="Q662" s="9">
        <f ca="1">Q661-T662*Prices!C662</f>
        <v>1.0287743799614026</v>
      </c>
      <c r="R662" s="1">
        <f t="shared" ca="1" si="71"/>
        <v>1.0031582609947888E-2</v>
      </c>
      <c r="S662" s="9">
        <f ca="1">IF(Prices!C661&lt;OFFSET(Prices!C661,-S$3,0),1,IF(Prices!C661&gt;OFFSET(Prices!C661,-S$3,0),-1,0))</f>
        <v>-1</v>
      </c>
      <c r="T662" s="1">
        <f ca="1">IF(S662=1,T$3*Q661/Prices!C661,T$3*R661*S662)</f>
        <v>-2.047261757132222E-4</v>
      </c>
    </row>
    <row r="663" spans="1:20" x14ac:dyDescent="0.2">
      <c r="A663" s="4">
        <v>34435</v>
      </c>
      <c r="B663" s="9">
        <f ca="1">Prices!C662*(1+J663/(50*(ABS(O663)+ABS(T663)+0.0001)))</f>
        <v>106.25526718154838</v>
      </c>
      <c r="C663" s="13">
        <f t="shared" ca="1" si="66"/>
        <v>1</v>
      </c>
      <c r="D663" s="9">
        <f ca="1">D662+C663*(Prices!C663-Prices!C662)/Prices!C662</f>
        <v>0.29554769843667361</v>
      </c>
      <c r="E663" s="9">
        <f t="shared" ca="1" si="67"/>
        <v>3.0746119195280419E-2</v>
      </c>
      <c r="F663" s="9">
        <f t="shared" ca="1" si="68"/>
        <v>0.32629381763195403</v>
      </c>
      <c r="G663" s="13">
        <f ca="1">IF((Prices!C663-Prices!C662)*C663&gt;0,1,0)</f>
        <v>0</v>
      </c>
      <c r="H663" s="9">
        <f>ABS(Prices!C663-Prices!C662)/Prices!C662</f>
        <v>1.7575527265818056E-2</v>
      </c>
      <c r="I663" s="13"/>
      <c r="J663" s="1">
        <f t="shared" ca="1" si="69"/>
        <v>4.4947848003782233E-4</v>
      </c>
      <c r="K663" s="9"/>
      <c r="L663" s="9">
        <f ca="1">L662-O663*Prices!C663</f>
        <v>0.61707803641782943</v>
      </c>
      <c r="M663" s="1">
        <f t="shared" ca="1" si="70"/>
        <v>1.3917406493462226E-2</v>
      </c>
      <c r="N663" s="9">
        <f ca="1">IF(Prices!D662&gt;OFFSET(Prices!D662,-$N$3,0),1,IF(Prices!D662&lt;OFFSET(Prices!D662,-$N$3,0),-1,0))</f>
        <v>1</v>
      </c>
      <c r="O663" s="1">
        <f ca="1">IF(N663=1,O$3*L662/Prices!C662,O$3*M662*N663)</f>
        <v>6.5011013223678009E-4</v>
      </c>
      <c r="P663" s="14"/>
      <c r="Q663" s="9">
        <f ca="1">Q662-T663*Prices!C663</f>
        <v>1.0495216991152969</v>
      </c>
      <c r="R663" s="1">
        <f t="shared" ca="1" si="71"/>
        <v>9.8309509577489303E-3</v>
      </c>
      <c r="S663" s="9">
        <f ca="1">IF(Prices!C662&lt;OFFSET(Prices!C662,-S$3,0),1,IF(Prices!C662&gt;OFFSET(Prices!C662,-S$3,0),-1,0))</f>
        <v>-1</v>
      </c>
      <c r="T663" s="1">
        <f ca="1">IF(S663=1,T$3*Q662/Prices!C662,T$3*R662*S663)</f>
        <v>-2.0063165219895776E-4</v>
      </c>
    </row>
    <row r="664" spans="1:20" x14ac:dyDescent="0.2">
      <c r="A664" s="4">
        <v>34436</v>
      </c>
      <c r="B664" s="9">
        <f ca="1">Prices!C663*(1+J664/(50*(ABS(O664)+ABS(T664)+0.0001)))</f>
        <v>105.24832648914416</v>
      </c>
      <c r="C664" s="13">
        <f t="shared" ca="1" si="66"/>
        <v>1</v>
      </c>
      <c r="D664" s="9">
        <f ca="1">D663+C664*(Prices!C664-Prices!C663)/Prices!C663</f>
        <v>0.29699823513525214</v>
      </c>
      <c r="E664" s="9">
        <f t="shared" ca="1" si="67"/>
        <v>2.9295582496701889E-2</v>
      </c>
      <c r="F664" s="9">
        <f t="shared" ca="1" si="68"/>
        <v>0.32629381763195403</v>
      </c>
      <c r="G664" s="13">
        <f ca="1">IF((Prices!C664-Prices!C663)*C664&gt;0,1,0)</f>
        <v>1</v>
      </c>
      <c r="H664" s="9">
        <f>ABS(Prices!C664-Prices!C663)/Prices!C663</f>
        <v>1.4505366985785291E-3</v>
      </c>
      <c r="I664" s="13"/>
      <c r="J664" s="1">
        <f t="shared" ca="1" si="69"/>
        <v>7.9971219054336034E-4</v>
      </c>
      <c r="K664" s="9"/>
      <c r="L664" s="9">
        <f ca="1">L663-O664*Prices!C664</f>
        <v>0.55528072334227541</v>
      </c>
      <c r="M664" s="1">
        <f t="shared" ca="1" si="70"/>
        <v>1.4514136051936096E-2</v>
      </c>
      <c r="N664" s="9">
        <f ca="1">IF(Prices!D663&gt;OFFSET(Prices!D663,-$N$3,0),1,IF(Prices!D663&lt;OFFSET(Prices!D663,-$N$3,0),-1,0))</f>
        <v>1</v>
      </c>
      <c r="O664" s="1">
        <f ca="1">IF(N664=1,O$3*L663/Prices!C663,O$3*M663*N664)</f>
        <v>5.967295584738705E-4</v>
      </c>
      <c r="P664" s="14"/>
      <c r="Q664" s="9">
        <f ca="1">Q663-T664*Prices!C664</f>
        <v>1.0285008177381805</v>
      </c>
      <c r="R664" s="1">
        <f t="shared" ca="1" si="71"/>
        <v>1.003393358981842E-2</v>
      </c>
      <c r="S664" s="9">
        <f ca="1">IF(Prices!C663&lt;OFFSET(Prices!C663,-S$3,0),1,IF(Prices!C663&gt;OFFSET(Prices!C663,-S$3,0),-1,0))</f>
        <v>1</v>
      </c>
      <c r="T664" s="1">
        <f ca="1">IF(S664=1,T$3*Q663/Prices!C663,T$3*R663*S664)</f>
        <v>2.0298263206948978E-4</v>
      </c>
    </row>
    <row r="665" spans="1:20" x14ac:dyDescent="0.2">
      <c r="A665" s="4">
        <v>34437</v>
      </c>
      <c r="B665" s="9">
        <f ca="1">Prices!C664*(1+J665/(50*(ABS(O665)+ABS(T665)+0.0001)))</f>
        <v>102.07731176967366</v>
      </c>
      <c r="C665" s="13">
        <f t="shared" ca="1" si="66"/>
        <v>-1</v>
      </c>
      <c r="D665" s="9">
        <f ca="1">D664+C665*(Prices!C665-Prices!C664)/Prices!C664</f>
        <v>0.29892948272119269</v>
      </c>
      <c r="E665" s="9">
        <f t="shared" ca="1" si="67"/>
        <v>2.7364334910761345E-2</v>
      </c>
      <c r="F665" s="9">
        <f t="shared" ca="1" si="68"/>
        <v>0.32629381763195403</v>
      </c>
      <c r="G665" s="13">
        <f ca="1">IF((Prices!C665-Prices!C664)*C665&gt;0,1,0)</f>
        <v>1</v>
      </c>
      <c r="H665" s="9">
        <f>ABS(Prices!C665-Prices!C664)/Prices!C664</f>
        <v>1.9312475859405451E-3</v>
      </c>
      <c r="I665" s="13"/>
      <c r="J665" s="1">
        <f t="shared" ca="1" si="69"/>
        <v>-1.2527846330541389E-3</v>
      </c>
      <c r="K665" s="9"/>
      <c r="L665" s="9">
        <f ca="1">L664-O665*Prices!C665</f>
        <v>0.70529883357508694</v>
      </c>
      <c r="M665" s="1">
        <f t="shared" ca="1" si="70"/>
        <v>1.3062722446742487E-2</v>
      </c>
      <c r="N665" s="9">
        <f ca="1">IF(Prices!D664&gt;OFFSET(Prices!D664,-$N$3,0),1,IF(Prices!D664&lt;OFFSET(Prices!D664,-$N$3,0),-1,0))</f>
        <v>-1</v>
      </c>
      <c r="O665" s="1">
        <f ca="1">IF(N665=1,O$3*L664/Prices!C664,O$3*M664*N665)</f>
        <v>-1.4514136051936098E-3</v>
      </c>
      <c r="P665" s="14"/>
      <c r="Q665" s="9">
        <f ca="1">Q664-T665*Prices!C665</f>
        <v>1.0079705271778447</v>
      </c>
      <c r="R665" s="1">
        <f t="shared" ca="1" si="71"/>
        <v>1.0232562561957891E-2</v>
      </c>
      <c r="S665" s="9">
        <f ca="1">IF(Prices!C664&lt;OFFSET(Prices!C664,-S$3,0),1,IF(Prices!C664&gt;OFFSET(Prices!C664,-S$3,0),-1,0))</f>
        <v>1</v>
      </c>
      <c r="T665" s="1">
        <f ca="1">IF(S665=1,T$3*Q664/Prices!C664,T$3*R664*S665)</f>
        <v>1.9862897213947093E-4</v>
      </c>
    </row>
    <row r="666" spans="1:20" x14ac:dyDescent="0.2">
      <c r="A666" s="4">
        <v>34438</v>
      </c>
      <c r="B666" s="9">
        <f ca="1">Prices!C665*(1+J666/(50*(ABS(O666)+ABS(T666)+0.0001)))</f>
        <v>105.21570267715208</v>
      </c>
      <c r="C666" s="13">
        <f t="shared" ca="1" si="66"/>
        <v>1</v>
      </c>
      <c r="D666" s="9">
        <f ca="1">D665+C666*(Prices!C666-Prices!C665)/Prices!C665</f>
        <v>0.30783041151376234</v>
      </c>
      <c r="E666" s="9">
        <f t="shared" ca="1" si="67"/>
        <v>1.8463406118191694E-2</v>
      </c>
      <c r="F666" s="9">
        <f t="shared" ca="1" si="68"/>
        <v>0.32629381763195403</v>
      </c>
      <c r="G666" s="13">
        <f ca="1">IF((Prices!C666-Prices!C665)*C666&gt;0,1,0)</f>
        <v>1</v>
      </c>
      <c r="H666" s="9">
        <f>ABS(Prices!C666-Prices!C665)/Prices!C665</f>
        <v>8.9009287925696755E-3</v>
      </c>
      <c r="I666" s="13"/>
      <c r="J666" s="1">
        <f t="shared" ca="1" si="69"/>
        <v>8.7741189919761603E-4</v>
      </c>
      <c r="K666" s="9"/>
      <c r="L666" s="9">
        <f ca="1">L665-O666*Prices!C666</f>
        <v>0.63414116874806481</v>
      </c>
      <c r="M666" s="1">
        <f t="shared" ca="1" si="70"/>
        <v>1.3745093609257084E-2</v>
      </c>
      <c r="N666" s="9">
        <f ca="1">IF(Prices!D665&gt;OFFSET(Prices!D665,-$N$3,0),1,IF(Prices!D665&lt;OFFSET(Prices!D665,-$N$3,0),-1,0))</f>
        <v>1</v>
      </c>
      <c r="O666" s="1">
        <f ca="1">IF(N666=1,O$3*L665/Prices!C665,O$3*M665*N666)</f>
        <v>6.8237116251459648E-4</v>
      </c>
      <c r="P666" s="14"/>
      <c r="Q666" s="9">
        <f ca="1">Q665-T666*Prices!C666</f>
        <v>0.98763167915653949</v>
      </c>
      <c r="R666" s="1">
        <f t="shared" ca="1" si="71"/>
        <v>1.0427603298640909E-2</v>
      </c>
      <c r="S666" s="9">
        <f ca="1">IF(Prices!C665&lt;OFFSET(Prices!C665,-S$3,0),1,IF(Prices!C665&gt;OFFSET(Prices!C665,-S$3,0),-1,0))</f>
        <v>1</v>
      </c>
      <c r="T666" s="1">
        <f ca="1">IF(S666=1,T$3*Q665/Prices!C665,T$3*R665*S666)</f>
        <v>1.9504073668301952E-4</v>
      </c>
    </row>
    <row r="667" spans="1:20" x14ac:dyDescent="0.2">
      <c r="A667" s="4">
        <v>34439</v>
      </c>
      <c r="B667" s="9">
        <f ca="1">Prices!C666*(1+J667/(50*(ABS(O667)+ABS(T667)+0.0001)))</f>
        <v>106.13322973677917</v>
      </c>
      <c r="C667" s="13">
        <f t="shared" ca="1" si="66"/>
        <v>1</v>
      </c>
      <c r="D667" s="9">
        <f ca="1">D666+C667*(Prices!C667-Prices!C666)/Prices!C666</f>
        <v>0.29987107127594109</v>
      </c>
      <c r="E667" s="9">
        <f t="shared" ca="1" si="67"/>
        <v>2.6422746356012938E-2</v>
      </c>
      <c r="F667" s="9">
        <f t="shared" ca="1" si="68"/>
        <v>0.32629381763195403</v>
      </c>
      <c r="G667" s="13">
        <f ca="1">IF((Prices!C667-Prices!C666)*C667&gt;0,1,0)</f>
        <v>0</v>
      </c>
      <c r="H667" s="9">
        <f>ABS(Prices!C667-Prices!C666)/Prices!C666</f>
        <v>7.9593402378212337E-3</v>
      </c>
      <c r="I667" s="13"/>
      <c r="J667" s="1">
        <f t="shared" ca="1" si="69"/>
        <v>7.9753308839602293E-4</v>
      </c>
      <c r="K667" s="9"/>
      <c r="L667" s="9">
        <f ca="1">L666-O667*Prices!C667</f>
        <v>0.57123178640534589</v>
      </c>
      <c r="M667" s="1">
        <f t="shared" ca="1" si="70"/>
        <v>1.4353207503338466E-2</v>
      </c>
      <c r="N667" s="9">
        <f ca="1">IF(Prices!D666&gt;OFFSET(Prices!D666,-$N$3,0),1,IF(Prices!D666&lt;OFFSET(Prices!D666,-$N$3,0),-1,0))</f>
        <v>1</v>
      </c>
      <c r="O667" s="1">
        <f ca="1">IF(N667=1,O$3*L666/Prices!C666,O$3*M666*N667)</f>
        <v>6.0811389408138171E-4</v>
      </c>
      <c r="P667" s="14"/>
      <c r="Q667" s="9">
        <f ca="1">Q666-T667*Prices!C667</f>
        <v>0.96803626350468985</v>
      </c>
      <c r="R667" s="1">
        <f t="shared" ca="1" si="71"/>
        <v>1.061702249295555E-2</v>
      </c>
      <c r="S667" s="9">
        <f ca="1">IF(Prices!C666&lt;OFFSET(Prices!C666,-S$3,0),1,IF(Prices!C666&gt;OFFSET(Prices!C666,-S$3,0),-1,0))</f>
        <v>1</v>
      </c>
      <c r="T667" s="1">
        <f ca="1">IF(S667=1,T$3*Q666/Prices!C666,T$3*R666*S667)</f>
        <v>1.8941919431464125E-4</v>
      </c>
    </row>
    <row r="668" spans="1:20" x14ac:dyDescent="0.2">
      <c r="A668" s="4">
        <v>34442</v>
      </c>
      <c r="B668" s="9">
        <f ca="1">Prices!C667*(1+J668/(50*(ABS(O668)+ABS(T668)+0.0001)))</f>
        <v>104.26331788369617</v>
      </c>
      <c r="C668" s="13">
        <f t="shared" ca="1" si="66"/>
        <v>1</v>
      </c>
      <c r="D668" s="9">
        <f ca="1">D667+C668*(Prices!C668-Prices!C667)/Prices!C667</f>
        <v>0.2974544448863809</v>
      </c>
      <c r="E668" s="9">
        <f t="shared" ca="1" si="67"/>
        <v>2.8839372745573133E-2</v>
      </c>
      <c r="F668" s="9">
        <f t="shared" ca="1" si="68"/>
        <v>0.32629381763195403</v>
      </c>
      <c r="G668" s="13">
        <f ca="1">IF((Prices!C668-Prices!C667)*C668&gt;0,1,0)</f>
        <v>0</v>
      </c>
      <c r="H668" s="9">
        <f>ABS(Prices!C668-Prices!C667)/Prices!C667</f>
        <v>2.4166263895601739E-3</v>
      </c>
      <c r="I668" s="13"/>
      <c r="J668" s="1">
        <f t="shared" ca="1" si="69"/>
        <v>3.3984107397399285E-4</v>
      </c>
      <c r="K668" s="9"/>
      <c r="L668" s="9">
        <f ca="1">L667-O668*Prices!C668</f>
        <v>0.51424665314576956</v>
      </c>
      <c r="M668" s="1">
        <f t="shared" ca="1" si="70"/>
        <v>1.490538902717157E-2</v>
      </c>
      <c r="N668" s="9">
        <f ca="1">IF(Prices!D667&gt;OFFSET(Prices!D667,-$N$3,0),1,IF(Prices!D667&lt;OFFSET(Prices!D667,-$N$3,0),-1,0))</f>
        <v>1</v>
      </c>
      <c r="O668" s="1">
        <f ca="1">IF(N668=1,O$3*L667/Prices!C667,O$3*M667*N668)</f>
        <v>5.5218152383310385E-4</v>
      </c>
      <c r="P668" s="14"/>
      <c r="Q668" s="9">
        <f ca="1">Q667-T668*Prices!C668</f>
        <v>0.98994979793015014</v>
      </c>
      <c r="R668" s="1">
        <f t="shared" ca="1" si="71"/>
        <v>1.0404682043096438E-2</v>
      </c>
      <c r="S668" s="9">
        <f ca="1">IF(Prices!C667&lt;OFFSET(Prices!C667,-S$3,0),1,IF(Prices!C667&gt;OFFSET(Prices!C667,-S$3,0),-1,0))</f>
        <v>-1</v>
      </c>
      <c r="T668" s="1">
        <f ca="1">IF(S668=1,T$3*Q667/Prices!C667,T$3*R667*S668)</f>
        <v>-2.12340449859111E-4</v>
      </c>
    </row>
    <row r="669" spans="1:20" x14ac:dyDescent="0.2">
      <c r="A669" s="4">
        <v>34443</v>
      </c>
      <c r="B669" s="9">
        <f ca="1">Prices!C668*(1+J669/(50*(ABS(O669)+ABS(T669)+0.0001)))</f>
        <v>105.00278435592141</v>
      </c>
      <c r="C669" s="13">
        <f t="shared" ca="1" si="66"/>
        <v>1</v>
      </c>
      <c r="D669" s="9">
        <f ca="1">D668+C669*(Prices!C669-Prices!C668)/Prices!C668</f>
        <v>0.29609785573909408</v>
      </c>
      <c r="E669" s="9">
        <f t="shared" ca="1" si="67"/>
        <v>3.0195961892859946E-2</v>
      </c>
      <c r="F669" s="9">
        <f t="shared" ca="1" si="68"/>
        <v>0.32629381763195403</v>
      </c>
      <c r="G669" s="13">
        <f ca="1">IF((Prices!C669-Prices!C668)*C669&gt;0,1,0)</f>
        <v>0</v>
      </c>
      <c r="H669" s="9">
        <f>ABS(Prices!C669-Prices!C668)/Prices!C668</f>
        <v>1.3565891472868271E-3</v>
      </c>
      <c r="I669" s="13"/>
      <c r="J669" s="1">
        <f t="shared" ca="1" si="69"/>
        <v>6.901517565230616E-4</v>
      </c>
      <c r="K669" s="9"/>
      <c r="L669" s="9">
        <f ca="1">L668-O669*Prices!C669</f>
        <v>0.46289174997406124</v>
      </c>
      <c r="M669" s="1">
        <f t="shared" ca="1" si="70"/>
        <v>1.5403690047661657E-2</v>
      </c>
      <c r="N669" s="9">
        <f ca="1">IF(Prices!D668&gt;OFFSET(Prices!D668,-$N$3,0),1,IF(Prices!D668&lt;OFFSET(Prices!D668,-$N$3,0),-1,0))</f>
        <v>1</v>
      </c>
      <c r="O669" s="1">
        <f ca="1">IF(N669=1,O$3*L668/Prices!C668,O$3*M668*N669)</f>
        <v>4.9830102049008677E-4</v>
      </c>
      <c r="P669" s="14"/>
      <c r="Q669" s="9">
        <f ca="1">Q668-T669*Prices!C669</f>
        <v>0.9701776610745918</v>
      </c>
      <c r="R669" s="1">
        <f t="shared" ca="1" si="71"/>
        <v>1.0596532779129413E-2</v>
      </c>
      <c r="S669" s="9">
        <f ca="1">IF(Prices!C668&lt;OFFSET(Prices!C668,-S$3,0),1,IF(Prices!C668&gt;OFFSET(Prices!C668,-S$3,0),-1,0))</f>
        <v>1</v>
      </c>
      <c r="T669" s="1">
        <f ca="1">IF(S669=1,T$3*Q668/Prices!C668,T$3*R668*S669)</f>
        <v>1.9185073603297483E-4</v>
      </c>
    </row>
    <row r="670" spans="1:20" x14ac:dyDescent="0.2">
      <c r="A670" s="4">
        <v>34444</v>
      </c>
      <c r="B670" s="9">
        <f ca="1">Prices!C669*(1+J670/(50*(ABS(O670)+ABS(T670)+0.0001)))</f>
        <v>104.84168575419821</v>
      </c>
      <c r="C670" s="13">
        <f t="shared" ca="1" si="66"/>
        <v>1</v>
      </c>
      <c r="D670" s="9">
        <f ca="1">D669+C670*(Prices!C670-Prices!C669)/Prices!C669</f>
        <v>0.29658301001815479</v>
      </c>
      <c r="E670" s="9">
        <f t="shared" ca="1" si="67"/>
        <v>2.9710807613799239E-2</v>
      </c>
      <c r="F670" s="9">
        <f t="shared" ca="1" si="68"/>
        <v>0.32629381763195403</v>
      </c>
      <c r="G670" s="13">
        <f ca="1">IF((Prices!C670-Prices!C669)*C670&gt;0,1,0)</f>
        <v>1</v>
      </c>
      <c r="H670" s="9">
        <f>ABS(Prices!C670-Prices!C669)/Prices!C669</f>
        <v>4.8515427906071373E-4</v>
      </c>
      <c r="I670" s="13"/>
      <c r="J670" s="1">
        <f t="shared" ca="1" si="69"/>
        <v>6.3742216397145307E-4</v>
      </c>
      <c r="K670" s="9"/>
      <c r="L670" s="9">
        <f ca="1">L669-O670*Prices!C670</f>
        <v>0.41658011758533092</v>
      </c>
      <c r="M670" s="1">
        <f t="shared" ca="1" si="70"/>
        <v>1.5852837874145317E-2</v>
      </c>
      <c r="N670" s="9">
        <f ca="1">IF(Prices!D669&gt;OFFSET(Prices!D669,-$N$3,0),1,IF(Prices!D669&lt;OFFSET(Prices!D669,-$N$3,0),-1,0))</f>
        <v>1</v>
      </c>
      <c r="O670" s="1">
        <f ca="1">IF(N670=1,O$3*L669/Prices!C669,O$3*M669*N670)</f>
        <v>4.4914782648366119E-4</v>
      </c>
      <c r="P670" s="14"/>
      <c r="Q670" s="9">
        <f ca="1">Q669-T670*Prices!C670</f>
        <v>0.95076469413622555</v>
      </c>
      <c r="R670" s="1">
        <f t="shared" ca="1" si="71"/>
        <v>1.0784807116617204E-2</v>
      </c>
      <c r="S670" s="9">
        <f ca="1">IF(Prices!C669&lt;OFFSET(Prices!C669,-S$3,0),1,IF(Prices!C669&gt;OFFSET(Prices!C669,-S$3,0),-1,0))</f>
        <v>1</v>
      </c>
      <c r="T670" s="1">
        <f ca="1">IF(S670=1,T$3*Q669/Prices!C669,T$3*R669*S670)</f>
        <v>1.8827433748779191E-4</v>
      </c>
    </row>
    <row r="671" spans="1:20" x14ac:dyDescent="0.2">
      <c r="A671" s="4">
        <v>34445</v>
      </c>
      <c r="B671" s="9">
        <f ca="1">Prices!C670*(1+J671/(50*(ABS(O671)+ABS(T671)+0.0001)))</f>
        <v>101.56490491640888</v>
      </c>
      <c r="C671" s="13">
        <f t="shared" ca="1" si="66"/>
        <v>-1</v>
      </c>
      <c r="D671" s="9">
        <f ca="1">D670+C671*(Prices!C671-Prices!C670)/Prices!C670</f>
        <v>0.29173381983291574</v>
      </c>
      <c r="E671" s="9">
        <f t="shared" ca="1" si="67"/>
        <v>3.4559997799038289E-2</v>
      </c>
      <c r="F671" s="9">
        <f t="shared" ca="1" si="68"/>
        <v>0.32629381763195403</v>
      </c>
      <c r="G671" s="13">
        <f ca="1">IF((Prices!C671-Prices!C670)*C671&gt;0,1,0)</f>
        <v>0</v>
      </c>
      <c r="H671" s="9">
        <f>ABS(Prices!C671-Prices!C670)/Prices!C670</f>
        <v>4.8491901852390652E-3</v>
      </c>
      <c r="I671" s="13"/>
      <c r="J671" s="1">
        <f t="shared" ca="1" si="69"/>
        <v>-1.4008662344834437E-3</v>
      </c>
      <c r="K671" s="9"/>
      <c r="L671" s="9">
        <f ca="1">L670-O671*Prices!C671</f>
        <v>0.58083137079935054</v>
      </c>
      <c r="M671" s="1">
        <f t="shared" ca="1" si="70"/>
        <v>1.4267554086730784E-2</v>
      </c>
      <c r="N671" s="9">
        <f ca="1">IF(Prices!D670&gt;OFFSET(Prices!D670,-$N$3,0),1,IF(Prices!D670&lt;OFFSET(Prices!D670,-$N$3,0),-1,0))</f>
        <v>-1</v>
      </c>
      <c r="O671" s="1">
        <f ca="1">IF(N671=1,O$3*L670/Prices!C670,O$3*M670*N671)</f>
        <v>-1.5852837874145318E-3</v>
      </c>
      <c r="P671" s="14"/>
      <c r="Q671" s="9">
        <f ca="1">Q670-T671*Prices!C671</f>
        <v>0.93165719147703552</v>
      </c>
      <c r="R671" s="1">
        <f t="shared" ca="1" si="71"/>
        <v>1.0969224669548293E-2</v>
      </c>
      <c r="S671" s="9">
        <f ca="1">IF(Prices!C670&lt;OFFSET(Prices!C670,-S$3,0),1,IF(Prices!C670&gt;OFFSET(Prices!C670,-S$3,0),-1,0))</f>
        <v>1</v>
      </c>
      <c r="T671" s="1">
        <f ca="1">IF(S671=1,T$3*Q670/Prices!C670,T$3*R670*S671)</f>
        <v>1.8441755293108826E-4</v>
      </c>
    </row>
    <row r="672" spans="1:20" x14ac:dyDescent="0.2">
      <c r="A672" s="4">
        <v>34446</v>
      </c>
      <c r="B672" s="9">
        <f ca="1">Prices!C671*(1+J672/(50*(ABS(O672)+ABS(T672)+0.0001)))</f>
        <v>101.65647319437295</v>
      </c>
      <c r="C672" s="13">
        <f t="shared" ca="1" si="66"/>
        <v>-1</v>
      </c>
      <c r="D672" s="9">
        <f ca="1">D671+C672*(Prices!C672-Prices!C671)/Prices!C671</f>
        <v>0.2951118721444686</v>
      </c>
      <c r="E672" s="9">
        <f t="shared" ca="1" si="67"/>
        <v>3.118194548748543E-2</v>
      </c>
      <c r="F672" s="9">
        <f t="shared" ca="1" si="68"/>
        <v>0.32629381763195403</v>
      </c>
      <c r="G672" s="13">
        <f ca="1">IF((Prices!C672-Prices!C671)*C672&gt;0,1,0)</f>
        <v>1</v>
      </c>
      <c r="H672" s="9">
        <f>ABS(Prices!C672-Prices!C671)/Prices!C671</f>
        <v>3.3780523115528841E-3</v>
      </c>
      <c r="I672" s="13"/>
      <c r="J672" s="1">
        <f t="shared" ca="1" si="69"/>
        <v>-1.6461399020640444E-3</v>
      </c>
      <c r="K672" s="9"/>
      <c r="L672" s="9">
        <f ca="1">L671-O672*Prices!C672</f>
        <v>0.72815813429893261</v>
      </c>
      <c r="M672" s="1">
        <f t="shared" ca="1" si="70"/>
        <v>1.2840798678057706E-2</v>
      </c>
      <c r="N672" s="9">
        <f ca="1">IF(Prices!D671&gt;OFFSET(Prices!D671,-$N$3,0),1,IF(Prices!D671&lt;OFFSET(Prices!D671,-$N$3,0),-1,0))</f>
        <v>-1</v>
      </c>
      <c r="O672" s="1">
        <f ca="1">IF(N672=1,O$3*L671/Prices!C671,O$3*M671*N672)</f>
        <v>-1.4267554086730785E-3</v>
      </c>
      <c r="P672" s="14"/>
      <c r="Q672" s="9">
        <f ca="1">Q671-T672*Prices!C672</f>
        <v>0.95431083426458663</v>
      </c>
      <c r="R672" s="1">
        <f t="shared" ca="1" si="71"/>
        <v>1.0749840176157327E-2</v>
      </c>
      <c r="S672" s="9">
        <f ca="1">IF(Prices!C671&lt;OFFSET(Prices!C671,-S$3,0),1,IF(Prices!C671&gt;OFFSET(Prices!C671,-S$3,0),-1,0))</f>
        <v>-1</v>
      </c>
      <c r="T672" s="1">
        <f ca="1">IF(S672=1,T$3*Q671/Prices!C671,T$3*R671*S672)</f>
        <v>-2.1938449339096587E-4</v>
      </c>
    </row>
    <row r="673" spans="1:20" x14ac:dyDescent="0.2">
      <c r="A673" s="4">
        <v>34449</v>
      </c>
      <c r="B673" s="9">
        <f ca="1">Prices!C672*(1+J673/(50*(ABS(O673)+ABS(T673)+0.0001)))</f>
        <v>101.32394952966474</v>
      </c>
      <c r="C673" s="13">
        <f t="shared" ca="1" si="66"/>
        <v>-1</v>
      </c>
      <c r="D673" s="9">
        <f ca="1">D672+C673*(Prices!C673-Prices!C672)/Prices!C672</f>
        <v>0.29608030135229357</v>
      </c>
      <c r="E673" s="9">
        <f t="shared" ca="1" si="67"/>
        <v>3.0213516279660457E-2</v>
      </c>
      <c r="F673" s="9">
        <f t="shared" ca="1" si="68"/>
        <v>0.32629381763195403</v>
      </c>
      <c r="G673" s="13">
        <f ca="1">IF((Prices!C673-Prices!C672)*C673&gt;0,1,0)</f>
        <v>1</v>
      </c>
      <c r="H673" s="9">
        <f>ABS(Prices!C673-Prices!C672)/Prices!C672</f>
        <v>9.6842920782499054E-4</v>
      </c>
      <c r="I673" s="13"/>
      <c r="J673" s="1">
        <f t="shared" ca="1" si="69"/>
        <v>-1.4990766713289172E-3</v>
      </c>
      <c r="K673" s="9"/>
      <c r="L673" s="9">
        <f ca="1">L672-O673*Prices!C673</f>
        <v>0.86062381346177586</v>
      </c>
      <c r="M673" s="1">
        <f t="shared" ca="1" si="70"/>
        <v>1.1556718810251936E-2</v>
      </c>
      <c r="N673" s="9">
        <f ca="1">IF(Prices!D672&gt;OFFSET(Prices!D672,-$N$3,0),1,IF(Prices!D672&lt;OFFSET(Prices!D672,-$N$3,0),-1,0))</f>
        <v>-1</v>
      </c>
      <c r="O673" s="1">
        <f ca="1">IF(N673=1,O$3*L672/Prices!C672,O$3*M672*N673)</f>
        <v>-1.2840798678057706E-3</v>
      </c>
      <c r="P673" s="14"/>
      <c r="Q673" s="9">
        <f ca="1">Q672-T673*Prices!C673</f>
        <v>0.97648990451603446</v>
      </c>
      <c r="R673" s="1">
        <f t="shared" ca="1" si="71"/>
        <v>1.0534843372634181E-2</v>
      </c>
      <c r="S673" s="9">
        <f ca="1">IF(Prices!C672&lt;OFFSET(Prices!C672,-S$3,0),1,IF(Prices!C672&gt;OFFSET(Prices!C672,-S$3,0),-1,0))</f>
        <v>-1</v>
      </c>
      <c r="T673" s="1">
        <f ca="1">IF(S673=1,T$3*Q672/Prices!C672,T$3*R672*S673)</f>
        <v>-2.1499680352314652E-4</v>
      </c>
    </row>
    <row r="674" spans="1:20" x14ac:dyDescent="0.2">
      <c r="A674" s="4">
        <v>34450</v>
      </c>
      <c r="B674" s="9">
        <f ca="1">Prices!C673*(1+J674/(50*(ABS(O674)+ABS(T674)+0.0001)))</f>
        <v>101.2375013073718</v>
      </c>
      <c r="C674" s="13">
        <f t="shared" ca="1" si="66"/>
        <v>-1</v>
      </c>
      <c r="D674" s="9">
        <f ca="1">D673+C674*(Prices!C674-Prices!C673)/Prices!C673</f>
        <v>0.29947308925458122</v>
      </c>
      <c r="E674" s="9">
        <f t="shared" ca="1" si="67"/>
        <v>2.6820728377372816E-2</v>
      </c>
      <c r="F674" s="9">
        <f t="shared" ca="1" si="68"/>
        <v>0.32629381763195403</v>
      </c>
      <c r="G674" s="13">
        <f ca="1">IF((Prices!C674-Prices!C673)*C674&gt;0,1,0)</f>
        <v>1</v>
      </c>
      <c r="H674" s="9">
        <f>ABS(Prices!C674-Prices!C673)/Prices!C673</f>
        <v>3.3927879022876534E-3</v>
      </c>
      <c r="I674" s="13"/>
      <c r="J674" s="1">
        <f t="shared" ca="1" si="69"/>
        <v>-1.3663687484778773E-3</v>
      </c>
      <c r="K674" s="9"/>
      <c r="L674" s="9">
        <f ca="1">L673-O674*Prices!C674</f>
        <v>0.979438439549976</v>
      </c>
      <c r="M674" s="1">
        <f t="shared" ca="1" si="70"/>
        <v>1.0401046929226741E-2</v>
      </c>
      <c r="N674" s="9">
        <f ca="1">IF(Prices!D673&gt;OFFSET(Prices!D673,-$N$3,0),1,IF(Prices!D673&lt;OFFSET(Prices!D673,-$N$3,0),-1,0))</f>
        <v>-1</v>
      </c>
      <c r="O674" s="1">
        <f ca="1">IF(N674=1,O$3*L673/Prices!C673,O$3*M673*N674)</f>
        <v>-1.1556718810251936E-3</v>
      </c>
      <c r="P674" s="14"/>
      <c r="Q674" s="9">
        <f ca="1">Q673-T674*Prices!C674</f>
        <v>0.99815164945884483</v>
      </c>
      <c r="R674" s="1">
        <f t="shared" ca="1" si="71"/>
        <v>1.0324146505181497E-2</v>
      </c>
      <c r="S674" s="9">
        <f ca="1">IF(Prices!C673&lt;OFFSET(Prices!C673,-S$3,0),1,IF(Prices!C673&gt;OFFSET(Prices!C673,-S$3,0),-1,0))</f>
        <v>-1</v>
      </c>
      <c r="T674" s="1">
        <f ca="1">IF(S674=1,T$3*Q673/Prices!C673,T$3*R673*S674)</f>
        <v>-2.1069686745268362E-4</v>
      </c>
    </row>
    <row r="675" spans="1:20" x14ac:dyDescent="0.2">
      <c r="A675" s="4">
        <v>34451</v>
      </c>
      <c r="B675" s="9">
        <f ca="1">Prices!C674*(1+J675/(50*(ABS(O675)+ABS(T675)+0.0001)))</f>
        <v>101.506372378809</v>
      </c>
      <c r="C675" s="13">
        <f t="shared" ca="1" si="66"/>
        <v>-1</v>
      </c>
      <c r="D675" s="9">
        <f ca="1">D674+C675*(Prices!C675-Prices!C674)/Prices!C674</f>
        <v>0.30394736218523005</v>
      </c>
      <c r="E675" s="9">
        <f t="shared" ca="1" si="67"/>
        <v>2.2346455446723978E-2</v>
      </c>
      <c r="F675" s="9">
        <f t="shared" ca="1" si="68"/>
        <v>0.32629381763195403</v>
      </c>
      <c r="G675" s="13">
        <f ca="1">IF((Prices!C675-Prices!C674)*C675&gt;0,1,0)</f>
        <v>1</v>
      </c>
      <c r="H675" s="9">
        <f>ABS(Prices!C675-Prices!C674)/Prices!C674</f>
        <v>4.4742729306488467E-3</v>
      </c>
      <c r="I675" s="13"/>
      <c r="J675" s="1">
        <f t="shared" ca="1" si="69"/>
        <v>-8.45930653537625E-4</v>
      </c>
      <c r="K675" s="9"/>
      <c r="L675" s="9">
        <f ca="1">L674-O675*Prices!C675</f>
        <v>1.0858931548706117</v>
      </c>
      <c r="M675" s="1">
        <f t="shared" ca="1" si="70"/>
        <v>9.3609422363040672E-3</v>
      </c>
      <c r="N675" s="9">
        <f ca="1">IF(Prices!D674&gt;OFFSET(Prices!D674,-$N$3,0),1,IF(Prices!D674&lt;OFFSET(Prices!D674,-$N$3,0),-1,0))</f>
        <v>-1</v>
      </c>
      <c r="O675" s="1">
        <f ca="1">IF(N675=1,O$3*L674/Prices!C674,O$3*M674*N675)</f>
        <v>-1.0401046929226741E-3</v>
      </c>
      <c r="P675" s="14"/>
      <c r="Q675" s="9">
        <f ca="1">Q674-T675*Prices!C675</f>
        <v>0.97827793652778505</v>
      </c>
      <c r="R675" s="1">
        <f t="shared" ca="1" si="71"/>
        <v>1.0518320544566546E-2</v>
      </c>
      <c r="S675" s="9">
        <f ca="1">IF(Prices!C674&lt;OFFSET(Prices!C674,-S$3,0),1,IF(Prices!C674&gt;OFFSET(Prices!C674,-S$3,0),-1,0))</f>
        <v>1</v>
      </c>
      <c r="T675" s="1">
        <f ca="1">IF(S675=1,T$3*Q674/Prices!C674,T$3*R674*S675)</f>
        <v>1.9417403938504907E-4</v>
      </c>
    </row>
    <row r="676" spans="1:20" x14ac:dyDescent="0.2">
      <c r="A676" s="4">
        <v>34452</v>
      </c>
      <c r="B676" s="9">
        <f ca="1">Prices!C675*(1+J676/(50*(ABS(O676)+ABS(T676)+0.0001)))</f>
        <v>101.10749487552937</v>
      </c>
      <c r="C676" s="13">
        <f t="shared" ca="1" si="66"/>
        <v>-1</v>
      </c>
      <c r="D676" s="9">
        <f ca="1">D675+C676*(Prices!C676-Prices!C675)/Prices!C675</f>
        <v>0.31362005392924563</v>
      </c>
      <c r="E676" s="9">
        <f t="shared" ca="1" si="67"/>
        <v>1.2673763702708396E-2</v>
      </c>
      <c r="F676" s="9">
        <f t="shared" ca="1" si="68"/>
        <v>0.32629381763195403</v>
      </c>
      <c r="G676" s="13">
        <f ca="1">IF((Prices!C676-Prices!C675)*C676&gt;0,1,0)</f>
        <v>1</v>
      </c>
      <c r="H676" s="9">
        <f>ABS(Prices!C676-Prices!C675)/Prices!C675</f>
        <v>9.6726917440155824E-3</v>
      </c>
      <c r="I676" s="13"/>
      <c r="J676" s="1">
        <f t="shared" ca="1" si="69"/>
        <v>-7.4493097272121573E-4</v>
      </c>
      <c r="K676" s="9"/>
      <c r="L676" s="9">
        <f ca="1">L675-O676*Prices!C676</f>
        <v>1.1807756653777897</v>
      </c>
      <c r="M676" s="1">
        <f t="shared" ca="1" si="70"/>
        <v>8.4248480126736611E-3</v>
      </c>
      <c r="N676" s="9">
        <f ca="1">IF(Prices!D675&gt;OFFSET(Prices!D675,-$N$3,0),1,IF(Prices!D675&lt;OFFSET(Prices!D675,-$N$3,0),-1,0))</f>
        <v>-1</v>
      </c>
      <c r="O676" s="1">
        <f ca="1">IF(N676=1,O$3*L675/Prices!C675,O$3*M675*N676)</f>
        <v>-9.3609422363040678E-4</v>
      </c>
      <c r="P676" s="14"/>
      <c r="Q676" s="9">
        <f ca="1">Q675-T676*Prices!C676</f>
        <v>0.9589016294156294</v>
      </c>
      <c r="R676" s="1">
        <f t="shared" ca="1" si="71"/>
        <v>1.0709483795475736E-2</v>
      </c>
      <c r="S676" s="9">
        <f ca="1">IF(Prices!C675&lt;OFFSET(Prices!C675,-S$3,0),1,IF(Prices!C675&gt;OFFSET(Prices!C675,-S$3,0),-1,0))</f>
        <v>1</v>
      </c>
      <c r="T676" s="1">
        <f ca="1">IF(S676=1,T$3*Q675/Prices!C675,T$3*R675*S676)</f>
        <v>1.9116325090919105E-4</v>
      </c>
    </row>
    <row r="677" spans="1:20" x14ac:dyDescent="0.2">
      <c r="A677" s="4">
        <v>34453</v>
      </c>
      <c r="B677" s="9">
        <f ca="1">Prices!C676*(1+J677/(50*(ABS(O677)+ABS(T677)+0.0001)))</f>
        <v>103.2477911102001</v>
      </c>
      <c r="C677" s="13">
        <f t="shared" ca="1" si="66"/>
        <v>1</v>
      </c>
      <c r="D677" s="9">
        <f ca="1">D676+C677*(Prices!C677-Prices!C676)/Prices!C676</f>
        <v>0.31697443435544931</v>
      </c>
      <c r="E677" s="9">
        <f t="shared" ca="1" si="67"/>
        <v>9.3193832765047224E-3</v>
      </c>
      <c r="F677" s="9">
        <f t="shared" ca="1" si="68"/>
        <v>0.32629381763195403</v>
      </c>
      <c r="G677" s="13">
        <f ca="1">IF((Prices!C677-Prices!C676)*C677&gt;0,1,0)</f>
        <v>1</v>
      </c>
      <c r="H677" s="9">
        <f>ABS(Prices!C677-Prices!C676)/Prices!C676</f>
        <v>3.3543804262036645E-3</v>
      </c>
      <c r="I677" s="13"/>
      <c r="J677" s="1">
        <f t="shared" ca="1" si="69"/>
        <v>1.3541396914570989E-3</v>
      </c>
      <c r="K677" s="9"/>
      <c r="L677" s="9">
        <f ca="1">L676-O677*Prices!C677</f>
        <v>1.0623020217620427</v>
      </c>
      <c r="M677" s="1">
        <f t="shared" ca="1" si="70"/>
        <v>9.5897805949327272E-3</v>
      </c>
      <c r="N677" s="9">
        <f ca="1">IF(Prices!D676&gt;OFFSET(Prices!D676,-$N$3,0),1,IF(Prices!D676&lt;OFFSET(Prices!D676,-$N$3,0),-1,0))</f>
        <v>1</v>
      </c>
      <c r="O677" s="1">
        <f ca="1">IF(N677=1,O$3*L676/Prices!C676,O$3*M676*N677)</f>
        <v>1.1649325822590663E-3</v>
      </c>
      <c r="P677" s="14"/>
      <c r="Q677" s="9">
        <f ca="1">Q676-T677*Prices!C677</f>
        <v>0.93965926641018949</v>
      </c>
      <c r="R677" s="1">
        <f t="shared" ca="1" si="71"/>
        <v>1.0898690904673769E-2</v>
      </c>
      <c r="S677" s="9">
        <f ca="1">IF(Prices!C676&lt;OFFSET(Prices!C676,-S$3,0),1,IF(Prices!C676&gt;OFFSET(Prices!C676,-S$3,0),-1,0))</f>
        <v>1</v>
      </c>
      <c r="T677" s="1">
        <f ca="1">IF(S677=1,T$3*Q676/Prices!C676,T$3*R676*S677)</f>
        <v>1.8920710919803263E-4</v>
      </c>
    </row>
    <row r="678" spans="1:20" x14ac:dyDescent="0.2">
      <c r="A678" s="4">
        <v>34456</v>
      </c>
      <c r="B678" s="9">
        <f ca="1">Prices!C677*(1+J678/(50*(ABS(O678)+ABS(T678)+0.0001)))</f>
        <v>103.58099118513229</v>
      </c>
      <c r="C678" s="13">
        <f t="shared" ca="1" si="66"/>
        <v>1</v>
      </c>
      <c r="D678" s="9">
        <f ca="1">D677+C678*(Prices!C678-Prices!C677)/Prices!C677</f>
        <v>0.31667944910471185</v>
      </c>
      <c r="E678" s="9">
        <f t="shared" ca="1" si="67"/>
        <v>9.6143685272421786E-3</v>
      </c>
      <c r="F678" s="9">
        <f t="shared" ca="1" si="68"/>
        <v>0.32629381763195403</v>
      </c>
      <c r="G678" s="13">
        <f ca="1">IF((Prices!C678-Prices!C677)*C678&gt;0,1,0)</f>
        <v>0</v>
      </c>
      <c r="H678" s="9">
        <f>ABS(Prices!C678-Prices!C677)/Prices!C677</f>
        <v>2.9498525073747429E-4</v>
      </c>
      <c r="I678" s="13"/>
      <c r="J678" s="1">
        <f t="shared" ca="1" si="69"/>
        <v>1.2293351770344941E-3</v>
      </c>
      <c r="K678" s="9"/>
      <c r="L678" s="9">
        <f ca="1">L677-O678*Prices!C678</f>
        <v>0.95610315592866324</v>
      </c>
      <c r="M678" s="1">
        <f t="shared" ca="1" si="70"/>
        <v>1.0634325355760695E-2</v>
      </c>
      <c r="N678" s="9">
        <f ca="1">IF(Prices!D677&gt;OFFSET(Prices!D677,-$N$3,0),1,IF(Prices!D677&lt;OFFSET(Prices!D677,-$N$3,0),-1,0))</f>
        <v>1</v>
      </c>
      <c r="O678" s="1">
        <f ca="1">IF(N678=1,O$3*L677/Prices!C677,O$3*M677*N678)</f>
        <v>1.0445447608279671E-3</v>
      </c>
      <c r="P678" s="14"/>
      <c r="Q678" s="9">
        <f ca="1">Q677-T678*Prices!C678</f>
        <v>0.92087162479447193</v>
      </c>
      <c r="R678" s="1">
        <f t="shared" ca="1" si="71"/>
        <v>1.1083481320880295E-2</v>
      </c>
      <c r="S678" s="9">
        <f ca="1">IF(Prices!C677&lt;OFFSET(Prices!C677,-S$3,0),1,IF(Prices!C677&gt;OFFSET(Prices!C677,-S$3,0),-1,0))</f>
        <v>1</v>
      </c>
      <c r="T678" s="1">
        <f ca="1">IF(S678=1,T$3*Q677/Prices!C677,T$3*R677*S678)</f>
        <v>1.8479041620652695E-4</v>
      </c>
    </row>
    <row r="679" spans="1:20" x14ac:dyDescent="0.2">
      <c r="A679" s="4">
        <v>34457</v>
      </c>
      <c r="B679" s="9">
        <f ca="1">Prices!C678*(1+J679/(50*(ABS(O679)+ABS(T679)+0.0001)))</f>
        <v>103.53693903350867</v>
      </c>
      <c r="C679" s="13">
        <f t="shared" ca="1" si="66"/>
        <v>1</v>
      </c>
      <c r="D679" s="9">
        <f ca="1">D678+C679*(Prices!C679-Prices!C678)/Prices!C678</f>
        <v>0.31008950123415019</v>
      </c>
      <c r="E679" s="9">
        <f t="shared" ca="1" si="67"/>
        <v>1.6204316397803842E-2</v>
      </c>
      <c r="F679" s="9">
        <f t="shared" ca="1" si="68"/>
        <v>0.32629381763195403</v>
      </c>
      <c r="G679" s="13">
        <f ca="1">IF((Prices!C679-Prices!C678)*C679&gt;0,1,0)</f>
        <v>0</v>
      </c>
      <c r="H679" s="9">
        <f>ABS(Prices!C679-Prices!C678)/Prices!C678</f>
        <v>6.5899478705616372E-3</v>
      </c>
      <c r="I679" s="13"/>
      <c r="J679" s="1">
        <f t="shared" ca="1" si="69"/>
        <v>1.1215476353767656E-3</v>
      </c>
      <c r="K679" s="9"/>
      <c r="L679" s="9">
        <f ca="1">L678-O679*Prices!C679</f>
        <v>0.86112290733144181</v>
      </c>
      <c r="M679" s="1">
        <f t="shared" ca="1" si="70"/>
        <v>1.1574723856723283E-2</v>
      </c>
      <c r="N679" s="9">
        <f ca="1">IF(Prices!D678&gt;OFFSET(Prices!D678,-$N$3,0),1,IF(Prices!D678&lt;OFFSET(Prices!D678,-$N$3,0),-1,0))</f>
        <v>1</v>
      </c>
      <c r="O679" s="1">
        <f ca="1">IF(N679=1,O$3*L678/Prices!C678,O$3*M678*N679)</f>
        <v>9.4039850096258799E-4</v>
      </c>
      <c r="P679" s="14"/>
      <c r="Q679" s="9">
        <f ca="1">Q678-T679*Prices!C679</f>
        <v>0.90257556221863999</v>
      </c>
      <c r="R679" s="1">
        <f t="shared" ca="1" si="71"/>
        <v>1.1264630455294473E-2</v>
      </c>
      <c r="S679" s="9">
        <f ca="1">IF(Prices!C678&lt;OFFSET(Prices!C678,-S$3,0),1,IF(Prices!C678&gt;OFFSET(Prices!C678,-S$3,0),-1,0))</f>
        <v>1</v>
      </c>
      <c r="T679" s="1">
        <f ca="1">IF(S679=1,T$3*Q678/Prices!C678,T$3*R678*S679)</f>
        <v>1.8114913441417762E-4</v>
      </c>
    </row>
    <row r="680" spans="1:20" x14ac:dyDescent="0.2">
      <c r="A680" s="4">
        <v>34458</v>
      </c>
      <c r="B680" s="9">
        <f ca="1">Prices!C679*(1+J680/(50*(ABS(O680)+ABS(T680)+0.0001)))</f>
        <v>102.8414482657945</v>
      </c>
      <c r="C680" s="13">
        <f t="shared" ca="1" si="66"/>
        <v>1</v>
      </c>
      <c r="D680" s="9">
        <f ca="1">D679+C680*(Prices!C680-Prices!C679)/Prices!C679</f>
        <v>0.31860435271929871</v>
      </c>
      <c r="E680" s="9">
        <f t="shared" ca="1" si="67"/>
        <v>7.6894649126553194E-3</v>
      </c>
      <c r="F680" s="9">
        <f t="shared" ca="1" si="68"/>
        <v>0.32629381763195403</v>
      </c>
      <c r="G680" s="13">
        <f ca="1">IF((Prices!C680-Prices!C679)*C680&gt;0,1,0)</f>
        <v>1</v>
      </c>
      <c r="H680" s="9">
        <f>ABS(Prices!C680-Prices!C679)/Prices!C679</f>
        <v>8.5148514851485085E-3</v>
      </c>
      <c r="I680" s="13"/>
      <c r="J680" s="1">
        <f t="shared" ca="1" si="69"/>
        <v>1.0313247720546237E-3</v>
      </c>
      <c r="K680" s="9"/>
      <c r="L680" s="9">
        <f ca="1">L679-O680*Prices!C680</f>
        <v>0.77427738323165896</v>
      </c>
      <c r="M680" s="1">
        <f t="shared" ca="1" si="70"/>
        <v>1.2427320794675206E-2</v>
      </c>
      <c r="N680" s="9">
        <f ca="1">IF(Prices!D679&gt;OFFSET(Prices!D679,-$N$3,0),1,IF(Prices!D679&lt;OFFSET(Prices!D679,-$N$3,0),-1,0))</f>
        <v>1</v>
      </c>
      <c r="O680" s="1">
        <f ca="1">IF(N680=1,O$3*L679/Prices!C679,O$3*M679*N680)</f>
        <v>8.5259693795192268E-4</v>
      </c>
      <c r="P680" s="14"/>
      <c r="Q680" s="9">
        <f ca="1">Q679-T680*Prices!C680</f>
        <v>0.8843703450369389</v>
      </c>
      <c r="R680" s="1">
        <f t="shared" ca="1" si="71"/>
        <v>1.1443358289397174E-2</v>
      </c>
      <c r="S680" s="9">
        <f ca="1">IF(Prices!C679&lt;OFFSET(Prices!C679,-S$3,0),1,IF(Prices!C679&gt;OFFSET(Prices!C679,-S$3,0),-1,0))</f>
        <v>1</v>
      </c>
      <c r="T680" s="1">
        <f ca="1">IF(S680=1,T$3*Q679/Prices!C679,T$3*R679*S680)</f>
        <v>1.7872783410270097E-4</v>
      </c>
    </row>
    <row r="681" spans="1:20" x14ac:dyDescent="0.2">
      <c r="A681" s="4">
        <v>34459</v>
      </c>
      <c r="B681" s="9">
        <f ca="1">Prices!C680*(1+J681/(50*(ABS(O681)+ABS(T681)+0.0001)))</f>
        <v>102.85384815952139</v>
      </c>
      <c r="C681" s="13">
        <f t="shared" ca="1" si="66"/>
        <v>1</v>
      </c>
      <c r="D681" s="9">
        <f ca="1">D680+C681*(Prices!C681-Prices!C680)/Prices!C680</f>
        <v>0.3288144450028252</v>
      </c>
      <c r="E681" s="9">
        <f t="shared" ca="1" si="67"/>
        <v>0</v>
      </c>
      <c r="F681" s="9">
        <f t="shared" ca="1" si="68"/>
        <v>0.3288144450028252</v>
      </c>
      <c r="G681" s="13">
        <f ca="1">IF((Prices!C681-Prices!C680)*C681&gt;0,1,0)</f>
        <v>1</v>
      </c>
      <c r="H681" s="9">
        <f>ABS(Prices!C681-Prices!C680)/Prices!C680</f>
        <v>1.021009228352647E-2</v>
      </c>
      <c r="I681" s="13"/>
      <c r="J681" s="1">
        <f t="shared" ca="1" si="69"/>
        <v>5.312716357353817E-4</v>
      </c>
      <c r="K681" s="9"/>
      <c r="L681" s="9">
        <f ca="1">L680-O681*Prices!C681</f>
        <v>0.69605910055490883</v>
      </c>
      <c r="M681" s="1">
        <f t="shared" ca="1" si="70"/>
        <v>1.3187459596198532E-2</v>
      </c>
      <c r="N681" s="9">
        <f ca="1">IF(Prices!D680&gt;OFFSET(Prices!D680,-$N$3,0),1,IF(Prices!D680&lt;OFFSET(Prices!D680,-$N$3,0),-1,0))</f>
        <v>1</v>
      </c>
      <c r="O681" s="1">
        <f ca="1">IF(N681=1,O$3*L680/Prices!C680,O$3*M680*N681)</f>
        <v>7.6013880152332519E-4</v>
      </c>
      <c r="P681" s="14"/>
      <c r="Q681" s="9">
        <f ca="1">Q680-T681*Prices!C681</f>
        <v>0.90792077639651825</v>
      </c>
      <c r="R681" s="1">
        <f t="shared" ca="1" si="71"/>
        <v>1.1214491123609231E-2</v>
      </c>
      <c r="S681" s="9">
        <f ca="1">IF(Prices!C680&lt;OFFSET(Prices!C680,-S$3,0),1,IF(Prices!C680&gt;OFFSET(Prices!C680,-S$3,0),-1,0))</f>
        <v>-1</v>
      </c>
      <c r="T681" s="1">
        <f ca="1">IF(S681=1,T$3*Q680/Prices!C680,T$3*R680*S681)</f>
        <v>-2.2886716578794349E-4</v>
      </c>
    </row>
    <row r="682" spans="1:20" x14ac:dyDescent="0.2">
      <c r="A682" s="4">
        <v>34460</v>
      </c>
      <c r="B682" s="9">
        <f ca="1">Prices!C681*(1+J682/(50*(ABS(O682)+ABS(T682)+0.0001)))</f>
        <v>100.96725594527099</v>
      </c>
      <c r="C682" s="13">
        <f t="shared" ca="1" si="66"/>
        <v>-1</v>
      </c>
      <c r="D682" s="9">
        <f ca="1">D681+C682*(Prices!C682-Prices!C681)/Prices!C681</f>
        <v>0.33357634976473005</v>
      </c>
      <c r="E682" s="9">
        <f t="shared" ca="1" si="67"/>
        <v>0</v>
      </c>
      <c r="F682" s="9">
        <f t="shared" ca="1" si="68"/>
        <v>0.33357634976473005</v>
      </c>
      <c r="G682" s="13">
        <f ca="1">IF((Prices!C682-Prices!C681)*C682&gt;0,1,0)</f>
        <v>1</v>
      </c>
      <c r="H682" s="9">
        <f>ABS(Prices!C682-Prices!C681)/Prices!C681</f>
        <v>4.7619047619048499E-3</v>
      </c>
      <c r="I682" s="13"/>
      <c r="J682" s="1">
        <f t="shared" ca="1" si="69"/>
        <v>-1.5430357820920379E-3</v>
      </c>
      <c r="K682" s="9"/>
      <c r="L682" s="9">
        <f ca="1">L681-O682*Prices!C682</f>
        <v>0.831111874279578</v>
      </c>
      <c r="M682" s="1">
        <f t="shared" ca="1" si="70"/>
        <v>1.1868713636578678E-2</v>
      </c>
      <c r="N682" s="9">
        <f ca="1">IF(Prices!D681&gt;OFFSET(Prices!D681,-$N$3,0),1,IF(Prices!D681&lt;OFFSET(Prices!D681,-$N$3,0),-1,0))</f>
        <v>-1</v>
      </c>
      <c r="O682" s="1">
        <f ca="1">IF(N682=1,O$3*L681/Prices!C681,O$3*M681*N682)</f>
        <v>-1.3187459596198533E-3</v>
      </c>
      <c r="P682" s="14"/>
      <c r="Q682" s="9">
        <f ca="1">Q681-T682*Prices!C682</f>
        <v>0.93089029711589466</v>
      </c>
      <c r="R682" s="1">
        <f t="shared" ca="1" si="71"/>
        <v>1.0990201301137046E-2</v>
      </c>
      <c r="S682" s="9">
        <f ca="1">IF(Prices!C681&lt;OFFSET(Prices!C681,-S$3,0),1,IF(Prices!C681&gt;OFFSET(Prices!C681,-S$3,0),-1,0))</f>
        <v>-1</v>
      </c>
      <c r="T682" s="1">
        <f ca="1">IF(S682=1,T$3*Q681/Prices!C681,T$3*R681*S682)</f>
        <v>-2.2428982247218462E-4</v>
      </c>
    </row>
    <row r="683" spans="1:20" x14ac:dyDescent="0.2">
      <c r="A683" s="4">
        <v>34463</v>
      </c>
      <c r="B683" s="9">
        <f ca="1">Prices!C682*(1+J683/(50*(ABS(O683)+ABS(T683)+0.0001)))</f>
        <v>103.4812981375477</v>
      </c>
      <c r="C683" s="13">
        <f t="shared" ca="1" si="66"/>
        <v>1</v>
      </c>
      <c r="D683" s="9">
        <f ca="1">D682+C683*(Prices!C683-Prices!C682)/Prices!C682</f>
        <v>0.33650575119037207</v>
      </c>
      <c r="E683" s="9">
        <f t="shared" ca="1" si="67"/>
        <v>0</v>
      </c>
      <c r="F683" s="9">
        <f t="shared" ca="1" si="68"/>
        <v>0.33650575119037207</v>
      </c>
      <c r="G683" s="13">
        <f ca="1">IF((Prices!C683-Prices!C682)*C683&gt;0,1,0)</f>
        <v>1</v>
      </c>
      <c r="H683" s="9">
        <f>ABS(Prices!C683-Prices!C682)/Prices!C682</f>
        <v>2.9294014256419994E-3</v>
      </c>
      <c r="I683" s="13"/>
      <c r="J683" s="1">
        <f t="shared" ca="1" si="69"/>
        <v>5.9174941043813024E-4</v>
      </c>
      <c r="K683" s="9"/>
      <c r="L683" s="9">
        <f ca="1">L682-O683*Prices!C683</f>
        <v>0.74775722082068197</v>
      </c>
      <c r="M683" s="1">
        <f t="shared" ca="1" si="70"/>
        <v>1.2680267073039549E-2</v>
      </c>
      <c r="N683" s="9">
        <f ca="1">IF(Prices!D682&gt;OFFSET(Prices!D682,-$N$3,0),1,IF(Prices!D682&lt;OFFSET(Prices!D682,-$N$3,0),-1,0))</f>
        <v>1</v>
      </c>
      <c r="O683" s="1">
        <f ca="1">IF(N683=1,O$3*L682/Prices!C682,O$3*M682*N683)</f>
        <v>8.1155343646087115E-4</v>
      </c>
      <c r="P683" s="14"/>
      <c r="Q683" s="9">
        <f ca="1">Q682-T683*Prices!C683</f>
        <v>0.95346636862869039</v>
      </c>
      <c r="R683" s="1">
        <f t="shared" ca="1" si="71"/>
        <v>1.0770397275114304E-2</v>
      </c>
      <c r="S683" s="9">
        <f ca="1">IF(Prices!C682&lt;OFFSET(Prices!C682,-S$3,0),1,IF(Prices!C682&gt;OFFSET(Prices!C682,-S$3,0),-1,0))</f>
        <v>-1</v>
      </c>
      <c r="T683" s="1">
        <f ca="1">IF(S683=1,T$3*Q682/Prices!C682,T$3*R682*S683)</f>
        <v>-2.1980402602274091E-4</v>
      </c>
    </row>
    <row r="684" spans="1:20" x14ac:dyDescent="0.2">
      <c r="A684" s="4">
        <v>34464</v>
      </c>
      <c r="B684" s="9">
        <f ca="1">Prices!C683*(1+J684/(50*(ABS(O684)+ABS(T684)+0.0001)))</f>
        <v>103.71918870642227</v>
      </c>
      <c r="C684" s="13">
        <f t="shared" ca="1" si="66"/>
        <v>1</v>
      </c>
      <c r="D684" s="9">
        <f ca="1">D683+C684*(Prices!C684-Prices!C683)/Prices!C683</f>
        <v>0.35354401426115389</v>
      </c>
      <c r="E684" s="9">
        <f t="shared" ca="1" si="67"/>
        <v>0</v>
      </c>
      <c r="F684" s="9">
        <f t="shared" ca="1" si="68"/>
        <v>0.35354401426115389</v>
      </c>
      <c r="G684" s="13">
        <f ca="1">IF((Prices!C684-Prices!C683)*C684&gt;0,1,0)</f>
        <v>1</v>
      </c>
      <c r="H684" s="9">
        <f>ABS(Prices!C684-Prices!C683)/Prices!C683</f>
        <v>1.7038263070781812E-2</v>
      </c>
      <c r="I684" s="13"/>
      <c r="J684" s="1">
        <f t="shared" ca="1" si="69"/>
        <v>5.1261972543596929E-4</v>
      </c>
      <c r="K684" s="9"/>
      <c r="L684" s="9">
        <f ca="1">L683-O684*Prices!C684</f>
        <v>0.67170745031447177</v>
      </c>
      <c r="M684" s="1">
        <f t="shared" ca="1" si="70"/>
        <v>1.3408294743977804E-2</v>
      </c>
      <c r="N684" s="9">
        <f ca="1">IF(Prices!D683&gt;OFFSET(Prices!D683,-$N$3,0),1,IF(Prices!D683&lt;OFFSET(Prices!D683,-$N$3,0),-1,0))</f>
        <v>1</v>
      </c>
      <c r="O684" s="1">
        <f ca="1">IF(N684=1,O$3*L683/Prices!C683,O$3*M683*N684)</f>
        <v>7.2802767093825538E-4</v>
      </c>
      <c r="P684" s="14"/>
      <c r="Q684" s="9">
        <f ca="1">Q683-T684*Prices!C684</f>
        <v>0.97596788261585921</v>
      </c>
      <c r="R684" s="1">
        <f t="shared" ca="1" si="71"/>
        <v>1.0554989329612017E-2</v>
      </c>
      <c r="S684" s="9">
        <f ca="1">IF(Prices!C683&lt;OFFSET(Prices!C683,-S$3,0),1,IF(Prices!C683&gt;OFFSET(Prices!C683,-S$3,0),-1,0))</f>
        <v>-1</v>
      </c>
      <c r="T684" s="1">
        <f ca="1">IF(S684=1,T$3*Q683/Prices!C683,T$3*R683*S684)</f>
        <v>-2.1540794550228609E-4</v>
      </c>
    </row>
    <row r="685" spans="1:20" x14ac:dyDescent="0.2">
      <c r="A685" s="4">
        <v>34465</v>
      </c>
      <c r="B685" s="9">
        <f ca="1">Prices!C684*(1+J685/(50*(ABS(O685)+ABS(T685)+0.0001)))</f>
        <v>102.49727030652801</v>
      </c>
      <c r="C685" s="13">
        <f t="shared" ca="1" si="66"/>
        <v>-1</v>
      </c>
      <c r="D685" s="9">
        <f ca="1">D684+C685*(Prices!C685-Prices!C684)/Prices!C684</f>
        <v>0.35497997060808084</v>
      </c>
      <c r="E685" s="9">
        <f t="shared" ca="1" si="67"/>
        <v>0</v>
      </c>
      <c r="F685" s="9">
        <f t="shared" ca="1" si="68"/>
        <v>0.35497997060808084</v>
      </c>
      <c r="G685" s="13">
        <f ca="1">IF((Prices!C685-Prices!C684)*C685&gt;0,1,0)</f>
        <v>1</v>
      </c>
      <c r="H685" s="9">
        <f>ABS(Prices!C685-Prices!C684)/Prices!C684</f>
        <v>1.4359563469269719E-3</v>
      </c>
      <c r="I685" s="13"/>
      <c r="J685" s="1">
        <f t="shared" ca="1" si="69"/>
        <v>-1.5519292609900209E-3</v>
      </c>
      <c r="K685" s="9"/>
      <c r="L685" s="9">
        <f ca="1">L684-O685*Prices!C685</f>
        <v>0.81156937278890429</v>
      </c>
      <c r="M685" s="1">
        <f t="shared" ca="1" si="70"/>
        <v>1.2067465269580024E-2</v>
      </c>
      <c r="N685" s="9">
        <f ca="1">IF(Prices!D684&gt;OFFSET(Prices!D684,-$N$3,0),1,IF(Prices!D684&lt;OFFSET(Prices!D684,-$N$3,0),-1,0))</f>
        <v>-1</v>
      </c>
      <c r="O685" s="1">
        <f ca="1">IF(N685=1,O$3*L684/Prices!C684,O$3*M684*N685)</f>
        <v>-1.3408294743977806E-3</v>
      </c>
      <c r="P685" s="14"/>
      <c r="Q685" s="9">
        <f ca="1">Q684-T685*Prices!C685</f>
        <v>0.9979877013552958</v>
      </c>
      <c r="R685" s="1">
        <f t="shared" ca="1" si="71"/>
        <v>1.0343889543019777E-2</v>
      </c>
      <c r="S685" s="9">
        <f ca="1">IF(Prices!C684&lt;OFFSET(Prices!C684,-S$3,0),1,IF(Prices!C684&gt;OFFSET(Prices!C684,-S$3,0),-1,0))</f>
        <v>-1</v>
      </c>
      <c r="T685" s="1">
        <f ca="1">IF(S685=1,T$3*Q684/Prices!C684,T$3*R684*S685)</f>
        <v>-2.1109978659224034E-4</v>
      </c>
    </row>
    <row r="686" spans="1:20" x14ac:dyDescent="0.2">
      <c r="A686" s="4">
        <v>34466</v>
      </c>
      <c r="B686" s="9">
        <f ca="1">Prices!C685*(1+J686/(50*(ABS(O686)+ABS(T686)+0.0001)))</f>
        <v>102.36162812389054</v>
      </c>
      <c r="C686" s="13">
        <f t="shared" ca="1" si="66"/>
        <v>-1</v>
      </c>
      <c r="D686" s="9">
        <f ca="1">D685+C686*(Prices!C686-Prices!C685)/Prices!C685</f>
        <v>0.35497997060808084</v>
      </c>
      <c r="E686" s="9">
        <f t="shared" ca="1" si="67"/>
        <v>0</v>
      </c>
      <c r="F686" s="9">
        <f t="shared" ca="1" si="68"/>
        <v>0.35497997060808084</v>
      </c>
      <c r="G686" s="13">
        <f ca="1">IF((Prices!C686-Prices!C685)*C686&gt;0,1,0)</f>
        <v>0</v>
      </c>
      <c r="H686" s="9">
        <f>ABS(Prices!C686-Prices!C685)/Prices!C685</f>
        <v>0</v>
      </c>
      <c r="I686" s="13"/>
      <c r="J686" s="1">
        <f t="shared" ca="1" si="69"/>
        <v>-1.4136243178183979E-3</v>
      </c>
      <c r="K686" s="9"/>
      <c r="L686" s="9">
        <f ca="1">L685-O686*Prices!C686</f>
        <v>0.93744510301589357</v>
      </c>
      <c r="M686" s="1">
        <f t="shared" ca="1" si="70"/>
        <v>1.0860718742622021E-2</v>
      </c>
      <c r="N686" s="9">
        <f ca="1">IF(Prices!D685&gt;OFFSET(Prices!D685,-$N$3,0),1,IF(Prices!D685&lt;OFFSET(Prices!D685,-$N$3,0),-1,0))</f>
        <v>-1</v>
      </c>
      <c r="O686" s="1">
        <f ca="1">IF(N686=1,O$3*L685/Prices!C685,O$3*M685*N686)</f>
        <v>-1.2067465269580025E-3</v>
      </c>
      <c r="P686" s="14"/>
      <c r="Q686" s="9">
        <f ca="1">Q685-T686*Prices!C686</f>
        <v>1.0195671237199437</v>
      </c>
      <c r="R686" s="1">
        <f t="shared" ca="1" si="71"/>
        <v>1.0137011752159381E-2</v>
      </c>
      <c r="S686" s="9">
        <f ca="1">IF(Prices!C685&lt;OFFSET(Prices!C685,-S$3,0),1,IF(Prices!C685&gt;OFFSET(Prices!C685,-S$3,0),-1,0))</f>
        <v>-1</v>
      </c>
      <c r="T686" s="1">
        <f ca="1">IF(S686=1,T$3*Q685/Prices!C685,T$3*R685*S686)</f>
        <v>-2.0687779086039554E-4</v>
      </c>
    </row>
    <row r="687" spans="1:20" x14ac:dyDescent="0.2">
      <c r="A687" s="4">
        <v>34467</v>
      </c>
      <c r="B687" s="9">
        <f ca="1">Prices!C686*(1+J687/(50*(ABS(O687)+ABS(T687)+0.0001)))</f>
        <v>105.51848344110735</v>
      </c>
      <c r="C687" s="13">
        <f t="shared" ca="1" si="66"/>
        <v>1</v>
      </c>
      <c r="D687" s="9">
        <f ca="1">D686+C687*(Prices!C687-Prices!C686)/Prices!C686</f>
        <v>0.36111552808099812</v>
      </c>
      <c r="E687" s="9">
        <f t="shared" ca="1" si="67"/>
        <v>0</v>
      </c>
      <c r="F687" s="9">
        <f t="shared" ca="1" si="68"/>
        <v>0.36111552808099812</v>
      </c>
      <c r="G687" s="13">
        <f ca="1">IF((Prices!C687-Prices!C686)*C687&gt;0,1,0)</f>
        <v>1</v>
      </c>
      <c r="H687" s="9">
        <f>ABS(Prices!C687-Prices!C686)/Prices!C686</f>
        <v>6.1355574729172711E-3</v>
      </c>
      <c r="I687" s="13"/>
      <c r="J687" s="1">
        <f t="shared" ca="1" si="69"/>
        <v>6.9597043796600956E-4</v>
      </c>
      <c r="K687" s="9"/>
      <c r="L687" s="9">
        <f ca="1">L686-O687*Prices!C687</f>
        <v>0.84312541788357831</v>
      </c>
      <c r="M687" s="1">
        <f t="shared" ca="1" si="70"/>
        <v>1.1759429415631219E-2</v>
      </c>
      <c r="N687" s="9">
        <f ca="1">IF(Prices!D686&gt;OFFSET(Prices!D686,-$N$3,0),1,IF(Prices!D686&lt;OFFSET(Prices!D686,-$N$3,0),-1,0))</f>
        <v>1</v>
      </c>
      <c r="O687" s="1">
        <f ca="1">IF(N687=1,O$3*L686/Prices!C686,O$3*M686*N687)</f>
        <v>8.9871067300919725E-4</v>
      </c>
      <c r="P687" s="14"/>
      <c r="Q687" s="9">
        <f ca="1">Q686-T687*Prices!C687</f>
        <v>1.0408447113877264</v>
      </c>
      <c r="R687" s="1">
        <f t="shared" ca="1" si="71"/>
        <v>9.9342715171161933E-3</v>
      </c>
      <c r="S687" s="9">
        <f ca="1">IF(Prices!C686&lt;OFFSET(Prices!C686,-S$3,0),1,IF(Prices!C686&gt;OFFSET(Prices!C686,-S$3,0),-1,0))</f>
        <v>-1</v>
      </c>
      <c r="T687" s="1">
        <f ca="1">IF(S687=1,T$3*Q686/Prices!C686,T$3*R686*S687)</f>
        <v>-2.0274023504318763E-4</v>
      </c>
    </row>
    <row r="688" spans="1:20" x14ac:dyDescent="0.2">
      <c r="A688" s="4">
        <v>34470</v>
      </c>
      <c r="B688" s="9">
        <f ca="1">Prices!C687*(1+J688/(50*(ABS(O688)+ABS(T688)+0.0001)))</f>
        <v>102.99334094772554</v>
      </c>
      <c r="C688" s="13">
        <f t="shared" ca="1" si="66"/>
        <v>-1</v>
      </c>
      <c r="D688" s="9">
        <f ca="1">D687+C688*(Prices!C688-Prices!C687)/Prices!C687</f>
        <v>0.36254478010577185</v>
      </c>
      <c r="E688" s="9">
        <f t="shared" ca="1" si="67"/>
        <v>0</v>
      </c>
      <c r="F688" s="9">
        <f t="shared" ca="1" si="68"/>
        <v>0.36254478010577185</v>
      </c>
      <c r="G688" s="13">
        <f ca="1">IF((Prices!C688-Prices!C687)*C688&gt;0,1,0)</f>
        <v>1</v>
      </c>
      <c r="H688" s="9">
        <f>ABS(Prices!C688-Prices!C687)/Prices!C687</f>
        <v>1.429252024773756E-3</v>
      </c>
      <c r="I688" s="13"/>
      <c r="J688" s="1">
        <f t="shared" ca="1" si="69"/>
        <v>-1.3746283719054458E-3</v>
      </c>
      <c r="K688" s="9"/>
      <c r="L688" s="9">
        <f ca="1">L687-O688*Prices!C688</f>
        <v>0.96636423815939354</v>
      </c>
      <c r="M688" s="1">
        <f t="shared" ca="1" si="70"/>
        <v>1.0583486474068097E-2</v>
      </c>
      <c r="N688" s="9">
        <f ca="1">IF(Prices!D687&gt;OFFSET(Prices!D687,-$N$3,0),1,IF(Prices!D687&lt;OFFSET(Prices!D687,-$N$3,0),-1,0))</f>
        <v>-1</v>
      </c>
      <c r="O688" s="1">
        <f ca="1">IF(N688=1,O$3*L687/Prices!C687,O$3*M687*N688)</f>
        <v>-1.1759429415631219E-3</v>
      </c>
      <c r="P688" s="14"/>
      <c r="Q688" s="9">
        <f ca="1">Q687-T688*Prices!C688</f>
        <v>1.0616669444876019</v>
      </c>
      <c r="R688" s="1">
        <f t="shared" ca="1" si="71"/>
        <v>9.7355860867738703E-3</v>
      </c>
      <c r="S688" s="9">
        <f ca="1">IF(Prices!C687&lt;OFFSET(Prices!C687,-S$3,0),1,IF(Prices!C687&gt;OFFSET(Prices!C687,-S$3,0),-1,0))</f>
        <v>-1</v>
      </c>
      <c r="T688" s="1">
        <f ca="1">IF(S688=1,T$3*Q687/Prices!C687,T$3*R687*S688)</f>
        <v>-1.9868543034232388E-4</v>
      </c>
    </row>
    <row r="689" spans="1:20" x14ac:dyDescent="0.2">
      <c r="A689" s="4">
        <v>34471</v>
      </c>
      <c r="B689" s="9">
        <f ca="1">Prices!C688*(1+J689/(50*(ABS(O689)+ABS(T689)+0.0001)))</f>
        <v>102.85890809189308</v>
      </c>
      <c r="C689" s="13">
        <f t="shared" ca="1" si="66"/>
        <v>-1</v>
      </c>
      <c r="D689" s="9">
        <f ca="1">D688+C689*(Prices!C689-Prices!C688)/Prices!C688</f>
        <v>0.36445317705233676</v>
      </c>
      <c r="E689" s="9">
        <f t="shared" ca="1" si="67"/>
        <v>0</v>
      </c>
      <c r="F689" s="9">
        <f t="shared" ca="1" si="68"/>
        <v>0.36445317705233676</v>
      </c>
      <c r="G689" s="13">
        <f ca="1">IF((Prices!C689-Prices!C688)*C689&gt;0,1,0)</f>
        <v>1</v>
      </c>
      <c r="H689" s="9">
        <f>ABS(Prices!C689-Prices!C688)/Prices!C688</f>
        <v>1.9083969465649127E-3</v>
      </c>
      <c r="I689" s="13"/>
      <c r="J689" s="1">
        <f t="shared" ca="1" si="69"/>
        <v>-1.2530603691422871E-3</v>
      </c>
      <c r="K689" s="9"/>
      <c r="L689" s="9">
        <f ca="1">L688-O689*Prices!C689</f>
        <v>1.0770675066781459</v>
      </c>
      <c r="M689" s="1">
        <f t="shared" ca="1" si="70"/>
        <v>9.5251378266612875E-3</v>
      </c>
      <c r="N689" s="9">
        <f ca="1">IF(Prices!D688&gt;OFFSET(Prices!D688,-$N$3,0),1,IF(Prices!D688&lt;OFFSET(Prices!D688,-$N$3,0),-1,0))</f>
        <v>-1</v>
      </c>
      <c r="O689" s="1">
        <f ca="1">IF(N689=1,O$3*L688/Prices!C688,O$3*M688*N689)</f>
        <v>-1.0583486474068098E-3</v>
      </c>
      <c r="P689" s="14"/>
      <c r="Q689" s="9">
        <f ca="1">Q688-T689*Prices!C689</f>
        <v>1.0820337905811328</v>
      </c>
      <c r="R689" s="1">
        <f t="shared" ca="1" si="71"/>
        <v>9.5408743650383931E-3</v>
      </c>
      <c r="S689" s="9">
        <f ca="1">IF(Prices!C688&lt;OFFSET(Prices!C688,-S$3,0),1,IF(Prices!C688&gt;OFFSET(Prices!C688,-S$3,0),-1,0))</f>
        <v>-1</v>
      </c>
      <c r="T689" s="1">
        <f ca="1">IF(S689=1,T$3*Q688/Prices!C688,T$3*R688*S689)</f>
        <v>-1.947117217354774E-4</v>
      </c>
    </row>
    <row r="690" spans="1:20" x14ac:dyDescent="0.2">
      <c r="A690" s="4">
        <v>34472</v>
      </c>
      <c r="B690" s="9">
        <f ca="1">Prices!C689*(1+J690/(50*(ABS(O690)+ABS(T690)+0.0001)))</f>
        <v>102.67625765188514</v>
      </c>
      <c r="C690" s="13">
        <f t="shared" ca="1" si="66"/>
        <v>-1</v>
      </c>
      <c r="D690" s="9">
        <f ca="1">D689+C690*(Prices!C690-Prices!C689)/Prices!C689</f>
        <v>0.37439581567566366</v>
      </c>
      <c r="E690" s="9">
        <f t="shared" ca="1" si="67"/>
        <v>0</v>
      </c>
      <c r="F690" s="9">
        <f t="shared" ca="1" si="68"/>
        <v>0.37439581567566366</v>
      </c>
      <c r="G690" s="13">
        <f ca="1">IF((Prices!C690-Prices!C689)*C690&gt;0,1,0)</f>
        <v>1</v>
      </c>
      <c r="H690" s="9">
        <f>ABS(Prices!C690-Prices!C689)/Prices!C689</f>
        <v>9.9426386233268851E-3</v>
      </c>
      <c r="I690" s="13"/>
      <c r="J690" s="1">
        <f t="shared" ca="1" si="69"/>
        <v>-1.1433312699668967E-3</v>
      </c>
      <c r="K690" s="9"/>
      <c r="L690" s="9">
        <f ca="1">L689-O690*Prices!C690</f>
        <v>1.1757098340110501</v>
      </c>
      <c r="M690" s="1">
        <f t="shared" ca="1" si="70"/>
        <v>8.5726240439951591E-3</v>
      </c>
      <c r="N690" s="9">
        <f ca="1">IF(Prices!D689&gt;OFFSET(Prices!D689,-$N$3,0),1,IF(Prices!D689&lt;OFFSET(Prices!D689,-$N$3,0),-1,0))</f>
        <v>-1</v>
      </c>
      <c r="O690" s="1">
        <f ca="1">IF(N690=1,O$3*L689/Prices!C689,O$3*M689*N690)</f>
        <v>-9.5251378266612884E-4</v>
      </c>
      <c r="P690" s="14"/>
      <c r="Q690" s="9">
        <f ca="1">Q689-T690*Prices!C690</f>
        <v>1.1017948495660004</v>
      </c>
      <c r="R690" s="1">
        <f t="shared" ca="1" si="71"/>
        <v>9.3500568777376246E-3</v>
      </c>
      <c r="S690" s="9">
        <f ca="1">IF(Prices!C689&lt;OFFSET(Prices!C689,-S$3,0),1,IF(Prices!C689&gt;OFFSET(Prices!C689,-S$3,0),-1,0))</f>
        <v>-1</v>
      </c>
      <c r="T690" s="1">
        <f ca="1">IF(S690=1,T$3*Q689/Prices!C689,T$3*R689*S690)</f>
        <v>-1.9081748730076788E-4</v>
      </c>
    </row>
    <row r="691" spans="1:20" x14ac:dyDescent="0.2">
      <c r="A691" s="4">
        <v>34473</v>
      </c>
      <c r="B691" s="9">
        <f ca="1">Prices!C690*(1+J691/(50*(ABS(O691)+ABS(T691)+0.0001)))</f>
        <v>102.41915284905706</v>
      </c>
      <c r="C691" s="13">
        <f t="shared" ca="1" si="66"/>
        <v>-1</v>
      </c>
      <c r="D691" s="9">
        <f ca="1">D690+C691*(Prices!C691-Prices!C690)/Prices!C690</f>
        <v>0.36696051246979272</v>
      </c>
      <c r="E691" s="9">
        <f t="shared" ca="1" si="67"/>
        <v>7.4353032058709356E-3</v>
      </c>
      <c r="F691" s="9">
        <f t="shared" ca="1" si="68"/>
        <v>0.37439581567566366</v>
      </c>
      <c r="G691" s="13">
        <f ca="1">IF((Prices!C691-Prices!C690)*C691&gt;0,1,0)</f>
        <v>0</v>
      </c>
      <c r="H691" s="9">
        <f>ABS(Prices!C691-Prices!C690)/Prices!C690</f>
        <v>7.4353032058709538E-3</v>
      </c>
      <c r="I691" s="13"/>
      <c r="J691" s="1">
        <f t="shared" ca="1" si="69"/>
        <v>-6.4447854005691258E-4</v>
      </c>
      <c r="K691" s="9"/>
      <c r="L691" s="9">
        <f ca="1">L690-O691*Prices!C691</f>
        <v>1.2651480206620516</v>
      </c>
      <c r="M691" s="1">
        <f t="shared" ca="1" si="70"/>
        <v>7.7153616395956434E-3</v>
      </c>
      <c r="N691" s="9">
        <f ca="1">IF(Prices!D690&gt;OFFSET(Prices!D690,-$N$3,0),1,IF(Prices!D690&lt;OFFSET(Prices!D690,-$N$3,0),-1,0))</f>
        <v>-1</v>
      </c>
      <c r="O691" s="1">
        <f ca="1">IF(N691=1,O$3*L690/Prices!C690,O$3*M690*N691)</f>
        <v>-8.5726240439951596E-4</v>
      </c>
      <c r="P691" s="14"/>
      <c r="Q691" s="9">
        <f ca="1">Q690-T691*Prices!C691</f>
        <v>1.0795951089991365</v>
      </c>
      <c r="R691" s="1">
        <f t="shared" ca="1" si="71"/>
        <v>9.5628407420802284E-3</v>
      </c>
      <c r="S691" s="9">
        <f ca="1">IF(Prices!C690&lt;OFFSET(Prices!C690,-S$3,0),1,IF(Prices!C690&gt;OFFSET(Prices!C690,-S$3,0),-1,0))</f>
        <v>1</v>
      </c>
      <c r="T691" s="1">
        <f ca="1">IF(S691=1,T$3*Q690/Prices!C690,T$3*R690*S691)</f>
        <v>2.127838643426034E-4</v>
      </c>
    </row>
    <row r="692" spans="1:20" x14ac:dyDescent="0.2">
      <c r="A692" s="4">
        <v>34474</v>
      </c>
      <c r="B692" s="9">
        <f ca="1">Prices!C691*(1+J692/(50*(ABS(O692)+ABS(T692)+0.0001)))</f>
        <v>103.23769034522323</v>
      </c>
      <c r="C692" s="13">
        <f t="shared" ca="1" si="66"/>
        <v>-1</v>
      </c>
      <c r="D692" s="9">
        <f ca="1">D691+C692*(Prices!C692-Prices!C691)/Prices!C691</f>
        <v>0.3672480615927679</v>
      </c>
      <c r="E692" s="9">
        <f t="shared" ca="1" si="67"/>
        <v>7.147754082895752E-3</v>
      </c>
      <c r="F692" s="9">
        <f t="shared" ca="1" si="68"/>
        <v>0.37439581567566366</v>
      </c>
      <c r="G692" s="13">
        <f ca="1">IF((Prices!C692-Prices!C691)*C692&gt;0,1,0)</f>
        <v>1</v>
      </c>
      <c r="H692" s="9">
        <f>ABS(Prices!C692-Prices!C691)/Prices!C691</f>
        <v>2.8754912297518581E-4</v>
      </c>
      <c r="I692" s="13"/>
      <c r="J692" s="1">
        <f t="shared" ca="1" si="69"/>
        <v>-5.6457841278557107E-4</v>
      </c>
      <c r="K692" s="9"/>
      <c r="L692" s="9">
        <f ca="1">L691-O692*Prices!C692</f>
        <v>1.3456192425630342</v>
      </c>
      <c r="M692" s="1">
        <f t="shared" ca="1" si="70"/>
        <v>6.943825475636079E-3</v>
      </c>
      <c r="N692" s="9">
        <f ca="1">IF(Prices!D691&gt;OFFSET(Prices!D691,-$N$3,0),1,IF(Prices!D691&lt;OFFSET(Prices!D691,-$N$3,0),-1,0))</f>
        <v>-1</v>
      </c>
      <c r="O692" s="1">
        <f ca="1">IF(N692=1,O$3*L691/Prices!C691,O$3*M691*N692)</f>
        <v>-7.7153616395956442E-4</v>
      </c>
      <c r="P692" s="14"/>
      <c r="Q692" s="9">
        <f ca="1">Q691-T692*Prices!C692</f>
        <v>1.058009415551689</v>
      </c>
      <c r="R692" s="1">
        <f t="shared" ca="1" si="71"/>
        <v>9.7697984932542219E-3</v>
      </c>
      <c r="S692" s="9">
        <f ca="1">IF(Prices!C691&lt;OFFSET(Prices!C691,-S$3,0),1,IF(Prices!C691&gt;OFFSET(Prices!C691,-S$3,0),-1,0))</f>
        <v>1</v>
      </c>
      <c r="T692" s="1">
        <f ca="1">IF(S692=1,T$3*Q691/Prices!C691,T$3*R691*S692)</f>
        <v>2.0695775117399339E-4</v>
      </c>
    </row>
    <row r="693" spans="1:20" x14ac:dyDescent="0.2">
      <c r="A693" s="4">
        <v>34477</v>
      </c>
      <c r="B693" s="9">
        <f ca="1">Prices!C692*(1+J693/(50*(ABS(O693)+ABS(T693)+0.0001)))</f>
        <v>103.27190548323944</v>
      </c>
      <c r="C693" s="13">
        <f t="shared" ca="1" si="66"/>
        <v>-1</v>
      </c>
      <c r="D693" s="9">
        <f ca="1">D692+C693*(Prices!C693-Prices!C692)/Prices!C692</f>
        <v>0.36628928882191453</v>
      </c>
      <c r="E693" s="9">
        <f t="shared" ca="1" si="67"/>
        <v>8.1065268537491297E-3</v>
      </c>
      <c r="F693" s="9">
        <f t="shared" ca="1" si="68"/>
        <v>0.37439581567566366</v>
      </c>
      <c r="G693" s="13">
        <f ca="1">IF((Prices!C693-Prices!C692)*C693&gt;0,1,0)</f>
        <v>0</v>
      </c>
      <c r="H693" s="9">
        <f>ABS(Prices!C693-Prices!C692)/Prices!C692</f>
        <v>9.5877277085338957E-4</v>
      </c>
      <c r="I693" s="13"/>
      <c r="J693" s="1">
        <f t="shared" ca="1" si="69"/>
        <v>-4.9150442377613162E-4</v>
      </c>
      <c r="K693" s="9"/>
      <c r="L693" s="9">
        <f ca="1">L692-O693*Prices!C693</f>
        <v>1.4181127805286748</v>
      </c>
      <c r="M693" s="1">
        <f t="shared" ca="1" si="70"/>
        <v>6.2494429280724713E-3</v>
      </c>
      <c r="N693" s="9">
        <f ca="1">IF(Prices!D692&gt;OFFSET(Prices!D692,-$N$3,0),1,IF(Prices!D692&lt;OFFSET(Prices!D692,-$N$3,0),-1,0))</f>
        <v>-1</v>
      </c>
      <c r="O693" s="1">
        <f ca="1">IF(N693=1,O$3*L692/Prices!C692,O$3*M692*N693)</f>
        <v>-6.9438254756360796E-4</v>
      </c>
      <c r="P693" s="14"/>
      <c r="Q693" s="9">
        <f ca="1">Q692-T693*Prices!C693</f>
        <v>1.0368289394282766</v>
      </c>
      <c r="R693" s="1">
        <f t="shared" ca="1" si="71"/>
        <v>9.9726766170416987E-3</v>
      </c>
      <c r="S693" s="9">
        <f ca="1">IF(Prices!C692&lt;OFFSET(Prices!C692,-S$3,0),1,IF(Prices!C692&gt;OFFSET(Prices!C692,-S$3,0),-1,0))</f>
        <v>1</v>
      </c>
      <c r="T693" s="1">
        <f ca="1">IF(S693=1,T$3*Q692/Prices!C692,T$3*R692*S693)</f>
        <v>2.0287812378747634E-4</v>
      </c>
    </row>
    <row r="694" spans="1:20" x14ac:dyDescent="0.2">
      <c r="A694" s="4">
        <v>34478</v>
      </c>
      <c r="B694" s="9">
        <f ca="1">Prices!C693*(1+J694/(50*(ABS(O694)+ABS(T694)+0.0001)))</f>
        <v>106.36198699308714</v>
      </c>
      <c r="C694" s="13">
        <f t="shared" ca="1" si="66"/>
        <v>1</v>
      </c>
      <c r="D694" s="9">
        <f ca="1">D693+C694*(Prices!C694-Prices!C693)/Prices!C693</f>
        <v>0.36935442292153131</v>
      </c>
      <c r="E694" s="9">
        <f t="shared" ca="1" si="67"/>
        <v>5.0413927541323456E-3</v>
      </c>
      <c r="F694" s="9">
        <f t="shared" ca="1" si="68"/>
        <v>0.37439581567566366</v>
      </c>
      <c r="G694" s="13">
        <f ca="1">IF((Prices!C694-Prices!C693)*C694&gt;0,1,0)</f>
        <v>1</v>
      </c>
      <c r="H694" s="9">
        <f>ABS(Prices!C694-Prices!C693)/Prices!C693</f>
        <v>3.0651340996167929E-3</v>
      </c>
      <c r="I694" s="13"/>
      <c r="J694" s="1">
        <f t="shared" ca="1" si="69"/>
        <v>1.5569718088259867E-3</v>
      </c>
      <c r="K694" s="9"/>
      <c r="L694" s="9">
        <f ca="1">L693-O694*Prices!C694</f>
        <v>1.2758668318917372</v>
      </c>
      <c r="M694" s="1">
        <f t="shared" ca="1" si="70"/>
        <v>7.6077885032915082E-3</v>
      </c>
      <c r="N694" s="9">
        <f ca="1">IF(Prices!D693&gt;OFFSET(Prices!D693,-$N$3,0),1,IF(Prices!D693&lt;OFFSET(Prices!D693,-$N$3,0),-1,0))</f>
        <v>1</v>
      </c>
      <c r="O694" s="1">
        <f ca="1">IF(N694=1,O$3*L693/Prices!C693,O$3*M693*N694)</f>
        <v>1.3583455752190373E-3</v>
      </c>
      <c r="P694" s="14"/>
      <c r="Q694" s="9">
        <f ca="1">Q693-T694*Prices!C694</f>
        <v>1.0160288002449569</v>
      </c>
      <c r="R694" s="1">
        <f t="shared" ca="1" si="71"/>
        <v>1.0171302850648649E-2</v>
      </c>
      <c r="S694" s="9">
        <f ca="1">IF(Prices!C693&lt;OFFSET(Prices!C693,-S$3,0),1,IF(Prices!C693&gt;OFFSET(Prices!C693,-S$3,0),-1,0))</f>
        <v>1</v>
      </c>
      <c r="T694" s="1">
        <f ca="1">IF(S694=1,T$3*Q693/Prices!C693,T$3*R693*S694)</f>
        <v>1.9862623360694952E-4</v>
      </c>
    </row>
    <row r="695" spans="1:20" x14ac:dyDescent="0.2">
      <c r="A695" s="4">
        <v>34479</v>
      </c>
      <c r="B695" s="9">
        <f ca="1">Prices!C694*(1+J695/(50*(ABS(O695)+ABS(T695)+0.0001)))</f>
        <v>106.11683091469702</v>
      </c>
      <c r="C695" s="13">
        <f t="shared" ca="1" si="66"/>
        <v>1</v>
      </c>
      <c r="D695" s="9">
        <f ca="1">D694+C695*(Prices!C695-Prices!C694)/Prices!C694</f>
        <v>0.36629865515988125</v>
      </c>
      <c r="E695" s="9">
        <f t="shared" ca="1" si="67"/>
        <v>8.0971605157824089E-3</v>
      </c>
      <c r="F695" s="9">
        <f t="shared" ca="1" si="68"/>
        <v>0.37439581567566366</v>
      </c>
      <c r="G695" s="13">
        <f ca="1">IF((Prices!C695-Prices!C694)*C695&gt;0,1,0)</f>
        <v>0</v>
      </c>
      <c r="H695" s="9">
        <f>ABS(Prices!C695-Prices!C694)/Prices!C694</f>
        <v>3.0557677616500495E-3</v>
      </c>
      <c r="I695" s="13"/>
      <c r="J695" s="1">
        <f t="shared" ca="1" si="69"/>
        <v>1.0149341720662262E-3</v>
      </c>
      <c r="K695" s="9"/>
      <c r="L695" s="9">
        <f ca="1">L694-O695*Prices!C695</f>
        <v>1.1486700239758689</v>
      </c>
      <c r="M695" s="1">
        <f t="shared" ca="1" si="70"/>
        <v>8.8261487323707082E-3</v>
      </c>
      <c r="N695" s="9">
        <f ca="1">IF(Prices!D694&gt;OFFSET(Prices!D694,-$N$3,0),1,IF(Prices!D694&lt;OFFSET(Prices!D694,-$N$3,0),-1,0))</f>
        <v>1</v>
      </c>
      <c r="O695" s="1">
        <f ca="1">IF(N695=1,O$3*L694/Prices!C694,O$3*M694*N695)</f>
        <v>1.2183602290791991E-3</v>
      </c>
      <c r="P695" s="14"/>
      <c r="Q695" s="9">
        <f ca="1">Q694-T695*Prices!C695</f>
        <v>1.0372664805971112</v>
      </c>
      <c r="R695" s="1">
        <f t="shared" ca="1" si="71"/>
        <v>9.9678767936356751E-3</v>
      </c>
      <c r="S695" s="9">
        <f ca="1">IF(Prices!C694&lt;OFFSET(Prices!C694,-S$3,0),1,IF(Prices!C694&gt;OFFSET(Prices!C694,-S$3,0),-1,0))</f>
        <v>-1</v>
      </c>
      <c r="T695" s="1">
        <f ca="1">IF(S695=1,T$3*Q694/Prices!C694,T$3*R694*S695)</f>
        <v>-2.0342605701297297E-4</v>
      </c>
    </row>
    <row r="696" spans="1:20" x14ac:dyDescent="0.2">
      <c r="A696" s="4">
        <v>34480</v>
      </c>
      <c r="B696" s="9">
        <f ca="1">Prices!C695*(1+J696/(50*(ABS(O696)+ABS(T696)+0.0001)))</f>
        <v>102.4886538697441</v>
      </c>
      <c r="C696" s="13">
        <f t="shared" ca="1" si="66"/>
        <v>-1</v>
      </c>
      <c r="D696" s="9">
        <f ca="1">D695+C696*(Prices!C696-Prices!C695)/Prices!C695</f>
        <v>0.36361666282271649</v>
      </c>
      <c r="E696" s="9">
        <f t="shared" ca="1" si="67"/>
        <v>1.0779152852947171E-2</v>
      </c>
      <c r="F696" s="9">
        <f t="shared" ca="1" si="68"/>
        <v>0.37439581567566366</v>
      </c>
      <c r="G696" s="13">
        <f ca="1">IF((Prices!C696-Prices!C695)*C696&gt;0,1,0)</f>
        <v>0</v>
      </c>
      <c r="H696" s="9">
        <f>ABS(Prices!C696-Prices!C695)/Prices!C695</f>
        <v>2.6819923371647616E-3</v>
      </c>
      <c r="I696" s="13"/>
      <c r="J696" s="1">
        <f t="shared" ca="1" si="69"/>
        <v>-1.0819724091097843E-3</v>
      </c>
      <c r="K696" s="9"/>
      <c r="L696" s="9">
        <f ca="1">L695-O696*Prices!C696</f>
        <v>1.2410621489063256</v>
      </c>
      <c r="M696" s="1">
        <f t="shared" ca="1" si="70"/>
        <v>7.9435338591336366E-3</v>
      </c>
      <c r="N696" s="9">
        <f ca="1">IF(Prices!D695&gt;OFFSET(Prices!D695,-$N$3,0),1,IF(Prices!D695&lt;OFFSET(Prices!D695,-$N$3,0),-1,0))</f>
        <v>-1</v>
      </c>
      <c r="O696" s="1">
        <f ca="1">IF(N696=1,O$3*L695/Prices!C695,O$3*M695*N696)</f>
        <v>-8.8261487323707086E-4</v>
      </c>
      <c r="P696" s="14"/>
      <c r="Q696" s="9">
        <f ca="1">Q695-T696*Prices!C696</f>
        <v>1.0581352274522668</v>
      </c>
      <c r="R696" s="1">
        <f t="shared" ca="1" si="71"/>
        <v>9.7685192577629618E-3</v>
      </c>
      <c r="S696" s="9">
        <f ca="1">IF(Prices!C695&lt;OFFSET(Prices!C695,-S$3,0),1,IF(Prices!C695&gt;OFFSET(Prices!C695,-S$3,0),-1,0))</f>
        <v>-1</v>
      </c>
      <c r="T696" s="1">
        <f ca="1">IF(S696=1,T$3*Q695/Prices!C695,T$3*R695*S696)</f>
        <v>-1.9935753587271349E-4</v>
      </c>
    </row>
    <row r="697" spans="1:20" x14ac:dyDescent="0.2">
      <c r="A697" s="4">
        <v>34481</v>
      </c>
      <c r="B697" s="9">
        <f ca="1">Prices!C696*(1+J697/(50*(ABS(O697)+ABS(T697)+0.0001)))</f>
        <v>102.77852208227291</v>
      </c>
      <c r="C697" s="13">
        <f t="shared" ca="1" si="66"/>
        <v>-1</v>
      </c>
      <c r="D697" s="9">
        <f ca="1">D696+C697*(Prices!C697-Prices!C696)/Prices!C696</f>
        <v>0.36724677363662561</v>
      </c>
      <c r="E697" s="9">
        <f t="shared" ca="1" si="67"/>
        <v>7.1490420390380449E-3</v>
      </c>
      <c r="F697" s="9">
        <f t="shared" ca="1" si="68"/>
        <v>0.37439581567566366</v>
      </c>
      <c r="G697" s="13">
        <f ca="1">IF((Prices!C697-Prices!C696)*C697&gt;0,1,0)</f>
        <v>1</v>
      </c>
      <c r="H697" s="9">
        <f>ABS(Prices!C697-Prices!C696)/Prices!C696</f>
        <v>3.6301108139091482E-3</v>
      </c>
      <c r="I697" s="13"/>
      <c r="J697" s="1">
        <f t="shared" ca="1" si="69"/>
        <v>-9.8972377106862288E-4</v>
      </c>
      <c r="K697" s="9"/>
      <c r="L697" s="9">
        <f ca="1">L696-O697*Prices!C697</f>
        <v>1.3239132070570894</v>
      </c>
      <c r="M697" s="1">
        <f t="shared" ca="1" si="70"/>
        <v>7.1491804732202726E-3</v>
      </c>
      <c r="N697" s="9">
        <f ca="1">IF(Prices!D696&gt;OFFSET(Prices!D696,-$N$3,0),1,IF(Prices!D696&lt;OFFSET(Prices!D696,-$N$3,0),-1,0))</f>
        <v>-1</v>
      </c>
      <c r="O697" s="1">
        <f ca="1">IF(N697=1,O$3*L696/Prices!C696,O$3*M696*N697)</f>
        <v>-7.9435338591336369E-4</v>
      </c>
      <c r="P697" s="14"/>
      <c r="Q697" s="9">
        <f ca="1">Q696-T697*Prices!C697</f>
        <v>1.0785123586239604</v>
      </c>
      <c r="R697" s="1">
        <f t="shared" ca="1" si="71"/>
        <v>9.5731488726077032E-3</v>
      </c>
      <c r="S697" s="9">
        <f ca="1">IF(Prices!C696&lt;OFFSET(Prices!C696,-S$3,0),1,IF(Prices!C696&gt;OFFSET(Prices!C696,-S$3,0),-1,0))</f>
        <v>-1</v>
      </c>
      <c r="T697" s="1">
        <f ca="1">IF(S697=1,T$3*Q696/Prices!C696,T$3*R696*S697)</f>
        <v>-1.9537038515525924E-4</v>
      </c>
    </row>
    <row r="698" spans="1:20" x14ac:dyDescent="0.2">
      <c r="A698" s="4">
        <v>34484</v>
      </c>
      <c r="B698" s="9">
        <f ca="1">Prices!C697*(1+J698/(50*(ABS(O698)+ABS(T698)+0.0001)))</f>
        <v>103.26262565916146</v>
      </c>
      <c r="C698" s="13">
        <f t="shared" ca="1" si="66"/>
        <v>-1</v>
      </c>
      <c r="D698" s="9">
        <f ca="1">D697+C698*(Prices!C698-Prices!C697)/Prices!C697</f>
        <v>0.36465808715532172</v>
      </c>
      <c r="E698" s="9">
        <f t="shared" ca="1" si="67"/>
        <v>9.7377285203419373E-3</v>
      </c>
      <c r="F698" s="9">
        <f t="shared" ca="1" si="68"/>
        <v>0.37439581567566366</v>
      </c>
      <c r="G698" s="13">
        <f ca="1">IF((Prices!C698-Prices!C697)*C698&gt;0,1,0)</f>
        <v>0</v>
      </c>
      <c r="H698" s="9">
        <f>ABS(Prices!C698-Prices!C697)/Prices!C697</f>
        <v>2.5886864813038928E-3</v>
      </c>
      <c r="I698" s="13"/>
      <c r="J698" s="1">
        <f t="shared" ca="1" si="69"/>
        <v>-5.0810839082654111E-4</v>
      </c>
      <c r="K698" s="9"/>
      <c r="L698" s="9">
        <f ca="1">L697-O698*Prices!C698</f>
        <v>1.3986721872655536</v>
      </c>
      <c r="M698" s="1">
        <f t="shared" ca="1" si="70"/>
        <v>6.4342624258982451E-3</v>
      </c>
      <c r="N698" s="9">
        <f ca="1">IF(Prices!D697&gt;OFFSET(Prices!D697,-$N$3,0),1,IF(Prices!D697&lt;OFFSET(Prices!D697,-$N$3,0),-1,0))</f>
        <v>-1</v>
      </c>
      <c r="O698" s="1">
        <f ca="1">IF(N698=1,O$3*L697/Prices!C697,O$3*M697*N698)</f>
        <v>-7.1491804732202731E-4</v>
      </c>
      <c r="P698" s="14"/>
      <c r="Q698" s="9">
        <f ca="1">Q697-T698*Prices!C698</f>
        <v>1.0568862728442274</v>
      </c>
      <c r="R698" s="1">
        <f t="shared" ca="1" si="71"/>
        <v>9.7799585291031901E-3</v>
      </c>
      <c r="S698" s="9">
        <f ca="1">IF(Prices!C697&lt;OFFSET(Prices!C697,-S$3,0),1,IF(Prices!C697&gt;OFFSET(Prices!C697,-S$3,0),-1,0))</f>
        <v>1</v>
      </c>
      <c r="T698" s="1">
        <f ca="1">IF(S698=1,T$3*Q697/Prices!C697,T$3*R697*S698)</f>
        <v>2.0680965649548619E-4</v>
      </c>
    </row>
    <row r="699" spans="1:20" x14ac:dyDescent="0.2">
      <c r="A699" s="4">
        <v>34485</v>
      </c>
      <c r="B699" s="9">
        <f ca="1">Prices!C698*(1+J699/(50*(ABS(O699)+ABS(T699)+0.0001)))</f>
        <v>106.53385117332506</v>
      </c>
      <c r="C699" s="13">
        <f t="shared" ca="1" si="66"/>
        <v>1</v>
      </c>
      <c r="D699" s="9">
        <f ca="1">D698+C699*(Prices!C699-Prices!C698)/Prices!C698</f>
        <v>0.36666631131138949</v>
      </c>
      <c r="E699" s="9">
        <f t="shared" ca="1" si="67"/>
        <v>7.7295043642741645E-3</v>
      </c>
      <c r="F699" s="9">
        <f t="shared" ca="1" si="68"/>
        <v>0.37439581567566366</v>
      </c>
      <c r="G699" s="13">
        <f ca="1">IF((Prices!C699-Prices!C698)*C699&gt;0,1,0)</f>
        <v>1</v>
      </c>
      <c r="H699" s="9">
        <f>ABS(Prices!C699-Prices!C698)/Prices!C698</f>
        <v>2.0082241560677823E-3</v>
      </c>
      <c r="I699" s="13"/>
      <c r="J699" s="1">
        <f t="shared" ca="1" si="69"/>
        <v>1.5396858007405559E-3</v>
      </c>
      <c r="K699" s="9"/>
      <c r="L699" s="9">
        <f ca="1">L698-O699*Prices!C699</f>
        <v>1.2585240838117095</v>
      </c>
      <c r="M699" s="1">
        <f t="shared" ca="1" si="70"/>
        <v>7.7718087463205018E-3</v>
      </c>
      <c r="N699" s="9">
        <f ca="1">IF(Prices!D698&gt;OFFSET(Prices!D698,-$N$3,0),1,IF(Prices!D698&lt;OFFSET(Prices!D698,-$N$3,0),-1,0))</f>
        <v>1</v>
      </c>
      <c r="O699" s="1">
        <f ca="1">IF(N699=1,O$3*L698/Prices!C698,O$3*M698*N699)</f>
        <v>1.3375463204222567E-3</v>
      </c>
      <c r="P699" s="14"/>
      <c r="Q699" s="9">
        <f ca="1">Q698-T699*Prices!C699</f>
        <v>1.0357060980964761</v>
      </c>
      <c r="R699" s="1">
        <f t="shared" ca="1" si="71"/>
        <v>9.9820980094214896E-3</v>
      </c>
      <c r="S699" s="9">
        <f ca="1">IF(Prices!C698&lt;OFFSET(Prices!C698,-S$3,0),1,IF(Prices!C698&gt;OFFSET(Prices!C698,-S$3,0),-1,0))</f>
        <v>1</v>
      </c>
      <c r="T699" s="1">
        <f ca="1">IF(S699=1,T$3*Q698/Prices!C698,T$3*R698*S699)</f>
        <v>2.0213948031829924E-4</v>
      </c>
    </row>
    <row r="700" spans="1:20" x14ac:dyDescent="0.2">
      <c r="A700" s="4">
        <v>34486</v>
      </c>
      <c r="B700" s="9">
        <f ca="1">Prices!C699*(1+J700/(50*(ABS(O700)+ABS(T700)+0.0001)))</f>
        <v>106.1784170352295</v>
      </c>
      <c r="C700" s="13">
        <f t="shared" ca="1" si="66"/>
        <v>1</v>
      </c>
      <c r="D700" s="9">
        <f ca="1">D699+C700*(Prices!C700-Prices!C699)/Prices!C699</f>
        <v>0.36428035979392431</v>
      </c>
      <c r="E700" s="9">
        <f t="shared" ca="1" si="67"/>
        <v>1.0115455881739344E-2</v>
      </c>
      <c r="F700" s="9">
        <f t="shared" ca="1" si="68"/>
        <v>0.37439581567566366</v>
      </c>
      <c r="G700" s="13">
        <f ca="1">IF((Prices!C700-Prices!C699)*C700&gt;0,1,0)</f>
        <v>0</v>
      </c>
      <c r="H700" s="9">
        <f>ABS(Prices!C700-Prices!C699)/Prices!C699</f>
        <v>2.3859515174651652E-3</v>
      </c>
      <c r="I700" s="13"/>
      <c r="J700" s="1">
        <f t="shared" ca="1" si="69"/>
        <v>1.0014690188263722E-3</v>
      </c>
      <c r="K700" s="9"/>
      <c r="L700" s="9">
        <f ca="1">L699-O700*Prices!C700</f>
        <v>1.1329719531752922</v>
      </c>
      <c r="M700" s="1">
        <f t="shared" ca="1" si="70"/>
        <v>8.9729197253353033E-3</v>
      </c>
      <c r="N700" s="9">
        <f ca="1">IF(Prices!D699&gt;OFFSET(Prices!D699,-$N$3,0),1,IF(Prices!D699&lt;OFFSET(Prices!D699,-$N$3,0),-1,0))</f>
        <v>1</v>
      </c>
      <c r="O700" s="1">
        <f ca="1">IF(N700=1,O$3*L699/Prices!C699,O$3*M699*N700)</f>
        <v>1.201110979014802E-3</v>
      </c>
      <c r="P700" s="14"/>
      <c r="Q700" s="9">
        <f ca="1">Q699-T700*Prices!C700</f>
        <v>1.0565746721949727</v>
      </c>
      <c r="R700" s="1">
        <f t="shared" ca="1" si="71"/>
        <v>9.7824560492330605E-3</v>
      </c>
      <c r="S700" s="9">
        <f ca="1">IF(Prices!C699&lt;OFFSET(Prices!C699,-S$3,0),1,IF(Prices!C699&gt;OFFSET(Prices!C699,-S$3,0),-1,0))</f>
        <v>-1</v>
      </c>
      <c r="T700" s="1">
        <f ca="1">IF(S700=1,T$3*Q699/Prices!C699,T$3*R699*S700)</f>
        <v>-1.9964196018842979E-4</v>
      </c>
    </row>
    <row r="701" spans="1:20" x14ac:dyDescent="0.2">
      <c r="A701" s="4">
        <v>34487</v>
      </c>
      <c r="B701" s="9">
        <f ca="1">Prices!C700*(1+J701/(50*(ABS(O701)+ABS(T701)+0.0001)))</f>
        <v>105.92870852360778</v>
      </c>
      <c r="C701" s="13">
        <f t="shared" ca="1" si="66"/>
        <v>1</v>
      </c>
      <c r="D701" s="9">
        <f ca="1">D700+C701*(Prices!C701-Prices!C700)/Prices!C700</f>
        <v>0.36734168190240984</v>
      </c>
      <c r="E701" s="9">
        <f t="shared" ca="1" si="67"/>
        <v>7.0541337732538123E-3</v>
      </c>
      <c r="F701" s="9">
        <f t="shared" ca="1" si="68"/>
        <v>0.37439581567566366</v>
      </c>
      <c r="G701" s="13">
        <f ca="1">IF((Prices!C701-Prices!C700)*C701&gt;0,1,0)</f>
        <v>1</v>
      </c>
      <c r="H701" s="9">
        <f>ABS(Prices!C701-Prices!C700)/Prices!C700</f>
        <v>3.061322108485537E-3</v>
      </c>
      <c r="I701" s="13"/>
      <c r="J701" s="1">
        <f t="shared" ca="1" si="69"/>
        <v>2.0215721270352486E-4</v>
      </c>
      <c r="K701" s="9"/>
      <c r="L701" s="9">
        <f ca="1">L700-O701*Prices!C701</f>
        <v>1.1329719531752922</v>
      </c>
      <c r="M701" s="1">
        <f t="shared" ca="1" si="70"/>
        <v>8.9729197253353033E-3</v>
      </c>
      <c r="N701" s="9">
        <f ca="1">IF(Prices!D700&gt;OFFSET(Prices!D700,-$N$3,0),1,IF(Prices!D700&lt;OFFSET(Prices!D700,-$N$3,0),-1,0))</f>
        <v>0</v>
      </c>
      <c r="O701" s="1">
        <f ca="1">IF(N701=1,O$3*L700/Prices!C700,O$3*M700*N701)</f>
        <v>0</v>
      </c>
      <c r="P701" s="14"/>
      <c r="Q701" s="9">
        <f ca="1">Q700-T701*Prices!C701</f>
        <v>1.0353784884430082</v>
      </c>
      <c r="R701" s="1">
        <f t="shared" ca="1" si="71"/>
        <v>9.9846132619365851E-3</v>
      </c>
      <c r="S701" s="9">
        <f ca="1">IF(Prices!C700&lt;OFFSET(Prices!C700,-S$3,0),1,IF(Prices!C700&gt;OFFSET(Prices!C700,-S$3,0),-1,0))</f>
        <v>1</v>
      </c>
      <c r="T701" s="1">
        <f ca="1">IF(S701=1,T$3*Q700/Prices!C700,T$3*R700*S701)</f>
        <v>2.0215721270352486E-4</v>
      </c>
    </row>
    <row r="702" spans="1:20" x14ac:dyDescent="0.2">
      <c r="A702" s="4">
        <v>34488</v>
      </c>
      <c r="B702" s="9">
        <f ca="1">Prices!C701*(1+J702/(50*(ABS(O702)+ABS(T702)+0.0001)))</f>
        <v>102.92819027684965</v>
      </c>
      <c r="C702" s="13">
        <f t="shared" ca="1" si="66"/>
        <v>-1</v>
      </c>
      <c r="D702" s="9">
        <f ca="1">D701+C702*(Prices!C702-Prices!C701)/Prices!C701</f>
        <v>0.36161922124432677</v>
      </c>
      <c r="E702" s="9">
        <f t="shared" ca="1" si="67"/>
        <v>1.2776594431336885E-2</v>
      </c>
      <c r="F702" s="9">
        <f t="shared" ca="1" si="68"/>
        <v>0.37439581567566366</v>
      </c>
      <c r="G702" s="13">
        <f ca="1">IF((Prices!C702-Prices!C701)*C702&gt;0,1,0)</f>
        <v>0</v>
      </c>
      <c r="H702" s="9">
        <f>ABS(Prices!C702-Prices!C701)/Prices!C701</f>
        <v>5.7224606580830572E-3</v>
      </c>
      <c r="I702" s="13"/>
      <c r="J702" s="1">
        <f t="shared" ca="1" si="69"/>
        <v>-1.096984237772262E-3</v>
      </c>
      <c r="K702" s="9"/>
      <c r="L702" s="9">
        <f ca="1">L701-O702*Prices!C702</f>
        <v>1.2275913916789529</v>
      </c>
      <c r="M702" s="1">
        <f t="shared" ca="1" si="70"/>
        <v>8.0756277528017725E-3</v>
      </c>
      <c r="N702" s="9">
        <f ca="1">IF(Prices!D701&gt;OFFSET(Prices!D701,-$N$3,0),1,IF(Prices!D701&lt;OFFSET(Prices!D701,-$N$3,0),-1,0))</f>
        <v>-1</v>
      </c>
      <c r="O702" s="1">
        <f ca="1">IF(N702=1,O$3*L701/Prices!C701,O$3*M701*N702)</f>
        <v>-8.9729197253353042E-4</v>
      </c>
      <c r="P702" s="14"/>
      <c r="Q702" s="9">
        <f ca="1">Q701-T702*Prices!C702</f>
        <v>1.0564360378124324</v>
      </c>
      <c r="R702" s="1">
        <f t="shared" ca="1" si="71"/>
        <v>9.7849209966978535E-3</v>
      </c>
      <c r="S702" s="9">
        <f ca="1">IF(Prices!C701&lt;OFFSET(Prices!C701,-S$3,0),1,IF(Prices!C701&gt;OFFSET(Prices!C701,-S$3,0),-1,0))</f>
        <v>-1</v>
      </c>
      <c r="T702" s="1">
        <f ca="1">IF(S702=1,T$3*Q701/Prices!C701,T$3*R701*S702)</f>
        <v>-1.9969226523873171E-4</v>
      </c>
    </row>
    <row r="703" spans="1:20" x14ac:dyDescent="0.2">
      <c r="A703" s="4">
        <v>34491</v>
      </c>
      <c r="B703" s="9">
        <f ca="1">Prices!C702*(1+J703/(50*(ABS(O703)+ABS(T703)+0.0001)))</f>
        <v>103.53216053470825</v>
      </c>
      <c r="C703" s="13">
        <f t="shared" ca="1" si="66"/>
        <v>-1</v>
      </c>
      <c r="D703" s="9">
        <f ca="1">D702+C703*(Prices!C703-Prices!C702)/Prices!C702</f>
        <v>0.36313652802479141</v>
      </c>
      <c r="E703" s="9">
        <f t="shared" ca="1" si="67"/>
        <v>1.1259287650872252E-2</v>
      </c>
      <c r="F703" s="9">
        <f t="shared" ca="1" si="68"/>
        <v>0.37439581567566366</v>
      </c>
      <c r="G703" s="13">
        <f ca="1">IF((Prices!C703-Prices!C702)*C703&gt;0,1,0)</f>
        <v>1</v>
      </c>
      <c r="H703" s="9">
        <f>ABS(Prices!C703-Prices!C702)/Prices!C702</f>
        <v>1.5173067804646427E-3</v>
      </c>
      <c r="I703" s="13"/>
      <c r="J703" s="1">
        <f t="shared" ca="1" si="69"/>
        <v>-1.0032611952141344E-3</v>
      </c>
      <c r="K703" s="9"/>
      <c r="L703" s="9">
        <f ca="1">L702-O703*Prices!C703</f>
        <v>1.3126196762882028</v>
      </c>
      <c r="M703" s="1">
        <f t="shared" ca="1" si="70"/>
        <v>7.2680649775215952E-3</v>
      </c>
      <c r="N703" s="9">
        <f ca="1">IF(Prices!D702&gt;OFFSET(Prices!D702,-$N$3,0),1,IF(Prices!D702&lt;OFFSET(Prices!D702,-$N$3,0),-1,0))</f>
        <v>-1</v>
      </c>
      <c r="O703" s="1">
        <f ca="1">IF(N703=1,O$3*L702/Prices!C702,O$3*M702*N703)</f>
        <v>-8.0756277528017725E-4</v>
      </c>
      <c r="P703" s="14"/>
      <c r="Q703" s="9">
        <f ca="1">Q702-T703*Prices!C703</f>
        <v>1.0770411244472788</v>
      </c>
      <c r="R703" s="1">
        <f t="shared" ca="1" si="71"/>
        <v>9.5892225767638967E-3</v>
      </c>
      <c r="S703" s="9">
        <f ca="1">IF(Prices!C702&lt;OFFSET(Prices!C702,-S$3,0),1,IF(Prices!C702&gt;OFFSET(Prices!C702,-S$3,0),-1,0))</f>
        <v>-1</v>
      </c>
      <c r="T703" s="1">
        <f ca="1">IF(S703=1,T$3*Q702/Prices!C702,T$3*R702*S703)</f>
        <v>-1.9569841993395708E-4</v>
      </c>
    </row>
    <row r="704" spans="1:20" x14ac:dyDescent="0.2">
      <c r="A704" s="4">
        <v>34492</v>
      </c>
      <c r="B704" s="9">
        <f ca="1">Prices!C703*(1+J704/(50*(ABS(O704)+ABS(T704)+0.0001)))</f>
        <v>103.39093657089465</v>
      </c>
      <c r="C704" s="13">
        <f t="shared" ca="1" si="66"/>
        <v>-1</v>
      </c>
      <c r="D704" s="9">
        <f ca="1">D703+C704*(Prices!C704-Prices!C703)/Prices!C703</f>
        <v>0.37377381551648109</v>
      </c>
      <c r="E704" s="9">
        <f t="shared" ca="1" si="67"/>
        <v>6.2200015918256746E-4</v>
      </c>
      <c r="F704" s="9">
        <f t="shared" ca="1" si="68"/>
        <v>0.37439581567566366</v>
      </c>
      <c r="G704" s="13">
        <f ca="1">IF((Prices!C704-Prices!C703)*C704&gt;0,1,0)</f>
        <v>1</v>
      </c>
      <c r="H704" s="9">
        <f>ABS(Prices!C704-Prices!C703)/Prices!C703</f>
        <v>1.0637287491689662E-2</v>
      </c>
      <c r="I704" s="13"/>
      <c r="J704" s="1">
        <f t="shared" ca="1" si="69"/>
        <v>-9.1859094928743745E-4</v>
      </c>
      <c r="K704" s="9"/>
      <c r="L704" s="9">
        <f ca="1">L703-O704*Prices!C704</f>
        <v>1.3883311091590451</v>
      </c>
      <c r="M704" s="1">
        <f t="shared" ca="1" si="70"/>
        <v>6.5412584797694354E-3</v>
      </c>
      <c r="N704" s="9">
        <f ca="1">IF(Prices!D703&gt;OFFSET(Prices!D703,-$N$3,0),1,IF(Prices!D703&lt;OFFSET(Prices!D703,-$N$3,0),-1,0))</f>
        <v>-1</v>
      </c>
      <c r="O704" s="1">
        <f ca="1">IF(N704=1,O$3*L703/Prices!C703,O$3*M703*N704)</f>
        <v>-7.2680649775215956E-4</v>
      </c>
      <c r="P704" s="14"/>
      <c r="Q704" s="9">
        <f ca="1">Q703-T704*Prices!C704</f>
        <v>1.0970193107637087</v>
      </c>
      <c r="R704" s="1">
        <f t="shared" ca="1" si="71"/>
        <v>9.3974381252286184E-3</v>
      </c>
      <c r="S704" s="9">
        <f ca="1">IF(Prices!C703&lt;OFFSET(Prices!C703,-S$3,0),1,IF(Prices!C703&gt;OFFSET(Prices!C703,-S$3,0),-1,0))</f>
        <v>-1</v>
      </c>
      <c r="T704" s="1">
        <f ca="1">IF(S704=1,T$3*Q703/Prices!C703,T$3*R703*S704)</f>
        <v>-1.9178445153527794E-4</v>
      </c>
    </row>
    <row r="705" spans="1:20" x14ac:dyDescent="0.2">
      <c r="A705" s="4">
        <v>34493</v>
      </c>
      <c r="B705" s="9">
        <f ca="1">Prices!C704*(1+J705/(50*(ABS(O705)+ABS(T705)+0.0001)))</f>
        <v>103.21223776408145</v>
      </c>
      <c r="C705" s="13">
        <f t="shared" ca="1" si="66"/>
        <v>-1</v>
      </c>
      <c r="D705" s="9">
        <f ca="1">D704+C705*(Prices!C705-Prices!C704)/Prices!C704</f>
        <v>0.37540576329415221</v>
      </c>
      <c r="E705" s="9">
        <f t="shared" ca="1" si="67"/>
        <v>0</v>
      </c>
      <c r="F705" s="9">
        <f t="shared" ca="1" si="68"/>
        <v>0.37540576329415221</v>
      </c>
      <c r="G705" s="13">
        <f ca="1">IF((Prices!C705-Prices!C704)*C705&gt;0,1,0)</f>
        <v>1</v>
      </c>
      <c r="H705" s="9">
        <f>ABS(Prices!C705-Prices!C704)/Prices!C704</f>
        <v>1.631947777671131E-3</v>
      </c>
      <c r="I705" s="13"/>
      <c r="J705" s="1">
        <f t="shared" ca="1" si="69"/>
        <v>-4.43504880181281E-4</v>
      </c>
      <c r="K705" s="9"/>
      <c r="L705" s="9">
        <f ca="1">L704-O705*Prices!C705</f>
        <v>1.4563601973486473</v>
      </c>
      <c r="M705" s="1">
        <f t="shared" ca="1" si="70"/>
        <v>5.8871326317924914E-3</v>
      </c>
      <c r="N705" s="9">
        <f ca="1">IF(Prices!D704&gt;OFFSET(Prices!D704,-$N$3,0),1,IF(Prices!D704&lt;OFFSET(Prices!D704,-$N$3,0),-1,0))</f>
        <v>-1</v>
      </c>
      <c r="O705" s="1">
        <f ca="1">IF(N705=1,O$3*L704/Prices!C704,O$3*M704*N705)</f>
        <v>-6.5412584797694363E-4</v>
      </c>
      <c r="P705" s="14"/>
      <c r="Q705" s="9">
        <f ca="1">Q704-T705*Prices!C705</f>
        <v>1.0751147301129598</v>
      </c>
      <c r="R705" s="1">
        <f t="shared" ca="1" si="71"/>
        <v>9.6080590930242814E-3</v>
      </c>
      <c r="S705" s="9">
        <f ca="1">IF(Prices!C704&lt;OFFSET(Prices!C704,-S$3,0),1,IF(Prices!C704&gt;OFFSET(Prices!C704,-S$3,0),-1,0))</f>
        <v>1</v>
      </c>
      <c r="T705" s="1">
        <f ca="1">IF(S705=1,T$3*Q704/Prices!C704,T$3*R704*S705)</f>
        <v>2.1062096779566263E-4</v>
      </c>
    </row>
    <row r="706" spans="1:20" x14ac:dyDescent="0.2">
      <c r="A706" s="4">
        <v>34494</v>
      </c>
      <c r="B706" s="9">
        <f ca="1">Prices!C705*(1+J706/(50*(ABS(O706)+ABS(T706)+0.0001)))</f>
        <v>105.95815587817893</v>
      </c>
      <c r="C706" s="13">
        <f t="shared" ca="1" si="66"/>
        <v>1</v>
      </c>
      <c r="D706" s="9">
        <f ca="1">D705+C706*(Prices!C706-Prices!C705)/Prices!C705</f>
        <v>0.37492499406338298</v>
      </c>
      <c r="E706" s="9">
        <f t="shared" ca="1" si="67"/>
        <v>4.8076923076922906E-4</v>
      </c>
      <c r="F706" s="9">
        <f t="shared" ca="1" si="68"/>
        <v>0.37540576329415221</v>
      </c>
      <c r="G706" s="13">
        <f ca="1">IF((Prices!C706-Prices!C705)*C706&gt;0,1,0)</f>
        <v>0</v>
      </c>
      <c r="H706" s="9">
        <f>ABS(Prices!C706-Prices!C705)/Prices!C705</f>
        <v>4.8076923076920342E-4</v>
      </c>
      <c r="I706" s="13"/>
      <c r="J706" s="1">
        <f t="shared" ca="1" si="69"/>
        <v>1.6070991763184992E-3</v>
      </c>
      <c r="K706" s="9"/>
      <c r="L706" s="9">
        <f ca="1">L705-O706*Prices!C706</f>
        <v>1.3107941949309627</v>
      </c>
      <c r="M706" s="1">
        <f t="shared" ca="1" si="70"/>
        <v>7.2874789753969594E-3</v>
      </c>
      <c r="N706" s="9">
        <f ca="1">IF(Prices!D705&gt;OFFSET(Prices!D705,-$N$3,0),1,IF(Prices!D705&lt;OFFSET(Prices!D705,-$N$3,0),-1,0))</f>
        <v>1</v>
      </c>
      <c r="O706" s="1">
        <f ca="1">IF(N706=1,O$3*L705/Prices!C705,O$3*M705*N706)</f>
        <v>1.4003463436044685E-3</v>
      </c>
      <c r="P706" s="14"/>
      <c r="Q706" s="9">
        <f ca="1">Q705-T706*Prices!C706</f>
        <v>1.0536227731523362</v>
      </c>
      <c r="R706" s="1">
        <f t="shared" ca="1" si="71"/>
        <v>9.8148119257383121E-3</v>
      </c>
      <c r="S706" s="9">
        <f ca="1">IF(Prices!C705&lt;OFFSET(Prices!C705,-S$3,0),1,IF(Prices!C705&gt;OFFSET(Prices!C705,-S$3,0),-1,0))</f>
        <v>1</v>
      </c>
      <c r="T706" s="1">
        <f ca="1">IF(S706=1,T$3*Q705/Prices!C705,T$3*R705*S706)</f>
        <v>2.0675283271403072E-4</v>
      </c>
    </row>
    <row r="707" spans="1:20" x14ac:dyDescent="0.2">
      <c r="A707" s="4">
        <v>34495</v>
      </c>
      <c r="B707" s="9">
        <f ca="1">Prices!C706*(1+J707/(50*(ABS(O707)+ABS(T707)+0.0001)))</f>
        <v>105.89604632121763</v>
      </c>
      <c r="C707" s="13">
        <f t="shared" ca="1" si="66"/>
        <v>1</v>
      </c>
      <c r="D707" s="9">
        <f ca="1">D706+C707*(Prices!C707-Prices!C706)/Prices!C706</f>
        <v>0.37155799069637951</v>
      </c>
      <c r="E707" s="9">
        <f t="shared" ca="1" si="67"/>
        <v>3.8477725977726918E-3</v>
      </c>
      <c r="F707" s="9">
        <f t="shared" ca="1" si="68"/>
        <v>0.37540576329415221</v>
      </c>
      <c r="G707" s="13">
        <f ca="1">IF((Prices!C707-Prices!C706)*C707&gt;0,1,0)</f>
        <v>0</v>
      </c>
      <c r="H707" s="9">
        <f>ABS(Prices!C707-Prices!C706)/Prices!C706</f>
        <v>3.3670033670034488E-3</v>
      </c>
      <c r="I707" s="13"/>
      <c r="J707" s="1">
        <f t="shared" ca="1" si="69"/>
        <v>1.4637025007805966E-3</v>
      </c>
      <c r="K707" s="9"/>
      <c r="L707" s="9">
        <f ca="1">L706-O707*Prices!C707</f>
        <v>1.1801561202846444</v>
      </c>
      <c r="M707" s="1">
        <f t="shared" ca="1" si="70"/>
        <v>8.5484642519058213E-3</v>
      </c>
      <c r="N707" s="9">
        <f ca="1">IF(Prices!D706&gt;OFFSET(Prices!D706,-$N$3,0),1,IF(Prices!D706&lt;OFFSET(Prices!D706,-$N$3,0),-1,0))</f>
        <v>1</v>
      </c>
      <c r="O707" s="1">
        <f ca="1">IF(N707=1,O$3*L706/Prices!C706,O$3*M706*N707)</f>
        <v>1.2609852765088627E-3</v>
      </c>
      <c r="P707" s="14"/>
      <c r="Q707" s="9">
        <f ca="1">Q706-T707*Prices!C707</f>
        <v>1.0326212687177847</v>
      </c>
      <c r="R707" s="1">
        <f t="shared" ca="1" si="71"/>
        <v>1.0017529150010045E-2</v>
      </c>
      <c r="S707" s="9">
        <f ca="1">IF(Prices!C706&lt;OFFSET(Prices!C706,-S$3,0),1,IF(Prices!C706&gt;OFFSET(Prices!C706,-S$3,0),-1,0))</f>
        <v>1</v>
      </c>
      <c r="T707" s="1">
        <f ca="1">IF(S707=1,T$3*Q706/Prices!C706,T$3*R706*S707)</f>
        <v>2.0271722427173377E-4</v>
      </c>
    </row>
    <row r="708" spans="1:20" x14ac:dyDescent="0.2">
      <c r="A708" s="4">
        <v>34498</v>
      </c>
      <c r="B708" s="9">
        <f ca="1">Prices!C707*(1+J708/(50*(ABS(O708)+ABS(T708)+0.0001)))</f>
        <v>105.52796052679685</v>
      </c>
      <c r="C708" s="13">
        <f t="shared" ca="1" si="66"/>
        <v>1</v>
      </c>
      <c r="D708" s="9">
        <f ca="1">D707+C708*(Prices!C708-Prices!C707)/Prices!C707</f>
        <v>0.36480123393962288</v>
      </c>
      <c r="E708" s="9">
        <f t="shared" ca="1" si="67"/>
        <v>1.0604529354529324E-2</v>
      </c>
      <c r="F708" s="9">
        <f t="shared" ca="1" si="68"/>
        <v>0.37540576329415221</v>
      </c>
      <c r="G708" s="13">
        <f ca="1">IF((Prices!C708-Prices!C707)*C708&gt;0,1,0)</f>
        <v>0</v>
      </c>
      <c r="H708" s="9">
        <f>ABS(Prices!C708-Prices!C707)/Prices!C707</f>
        <v>6.756756756756647E-3</v>
      </c>
      <c r="I708" s="13"/>
      <c r="J708" s="1">
        <f t="shared" ca="1" si="69"/>
        <v>1.338494569525291E-3</v>
      </c>
      <c r="K708" s="9"/>
      <c r="L708" s="9">
        <f ca="1">L707-O708*Prices!C708</f>
        <v>1.062937911040156</v>
      </c>
      <c r="M708" s="1">
        <f t="shared" ca="1" si="70"/>
        <v>9.6876110861574081E-3</v>
      </c>
      <c r="N708" s="9">
        <f ca="1">IF(Prices!D707&gt;OFFSET(Prices!D707,-$N$3,0),1,IF(Prices!D707&lt;OFFSET(Prices!D707,-$N$3,0),-1,0))</f>
        <v>1</v>
      </c>
      <c r="O708" s="1">
        <f ca="1">IF(N708=1,O$3*L707/Prices!C707,O$3*M707*N708)</f>
        <v>1.1391468342515875E-3</v>
      </c>
      <c r="P708" s="14"/>
      <c r="Q708" s="9">
        <f ca="1">Q707-T708*Prices!C708</f>
        <v>1.0121083867581206</v>
      </c>
      <c r="R708" s="1">
        <f t="shared" ca="1" si="71"/>
        <v>1.0216876885283749E-2</v>
      </c>
      <c r="S708" s="9">
        <f ca="1">IF(Prices!C707&lt;OFFSET(Prices!C707,-S$3,0),1,IF(Prices!C707&gt;OFFSET(Prices!C707,-S$3,0),-1,0))</f>
        <v>1</v>
      </c>
      <c r="T708" s="1">
        <f ca="1">IF(S708=1,T$3*Q707/Prices!C707,T$3*R707*S708)</f>
        <v>1.9934773527370363E-4</v>
      </c>
    </row>
    <row r="709" spans="1:20" x14ac:dyDescent="0.2">
      <c r="A709" s="4">
        <v>34499</v>
      </c>
      <c r="B709" s="9">
        <f ca="1">Prices!C708*(1+J709/(50*(ABS(O709)+ABS(T709)+0.0001)))</f>
        <v>104.8032280533631</v>
      </c>
      <c r="C709" s="13">
        <f t="shared" ca="1" si="66"/>
        <v>1</v>
      </c>
      <c r="D709" s="9">
        <f ca="1">D708+C709*(Prices!C709-Prices!C708)/Prices!C708</f>
        <v>0.36363505318160533</v>
      </c>
      <c r="E709" s="9">
        <f t="shared" ca="1" si="67"/>
        <v>1.1770710112546878E-2</v>
      </c>
      <c r="F709" s="9">
        <f t="shared" ca="1" si="68"/>
        <v>0.37540576329415221</v>
      </c>
      <c r="G709" s="13">
        <f ca="1">IF((Prices!C709-Prices!C708)*C709&gt;0,1,0)</f>
        <v>0</v>
      </c>
      <c r="H709" s="9">
        <f>ABS(Prices!C709-Prices!C708)/Prices!C708</f>
        <v>1.1661807580175369E-3</v>
      </c>
      <c r="I709" s="13"/>
      <c r="J709" s="1">
        <f t="shared" ca="1" si="69"/>
        <v>1.2296983366295237E-3</v>
      </c>
      <c r="K709" s="9"/>
      <c r="L709" s="9">
        <f ca="1">L708-O709*Prices!C709</f>
        <v>0.9567680777100227</v>
      </c>
      <c r="M709" s="1">
        <f t="shared" ca="1" si="70"/>
        <v>1.0720592535176024E-2</v>
      </c>
      <c r="N709" s="9">
        <f ca="1">IF(Prices!D708&gt;OFFSET(Prices!D708,-$N$3,0),1,IF(Prices!D708&lt;OFFSET(Prices!D708,-$N$3,0),-1,0))</f>
        <v>1</v>
      </c>
      <c r="O709" s="1">
        <f ca="1">IF(N709=1,O$3*L708/Prices!C708,O$3*M708*N709)</f>
        <v>1.032981449018616E-3</v>
      </c>
      <c r="P709" s="14"/>
      <c r="Q709" s="9">
        <f ca="1">Q708-T709*Prices!C709</f>
        <v>0.99188982504947154</v>
      </c>
      <c r="R709" s="1">
        <f t="shared" ca="1" si="71"/>
        <v>1.0413593772894657E-2</v>
      </c>
      <c r="S709" s="9">
        <f ca="1">IF(Prices!C708&lt;OFFSET(Prices!C708,-S$3,0),1,IF(Prices!C708&gt;OFFSET(Prices!C708,-S$3,0),-1,0))</f>
        <v>1</v>
      </c>
      <c r="T709" s="1">
        <f ca="1">IF(S709=1,T$3*Q708/Prices!C708,T$3*R708*S709)</f>
        <v>1.9671688761090778E-4</v>
      </c>
    </row>
    <row r="710" spans="1:20" x14ac:dyDescent="0.2">
      <c r="A710" s="4">
        <v>34500</v>
      </c>
      <c r="B710" s="9">
        <f ca="1">Prices!C709*(1+J710/(50*(ABS(O710)+ABS(T710)+0.0001)))</f>
        <v>101.45628245132352</v>
      </c>
      <c r="C710" s="13">
        <f t="shared" ca="1" si="66"/>
        <v>-1</v>
      </c>
      <c r="D710" s="9">
        <f ca="1">D709+C710*(Prices!C710-Prices!C709)/Prices!C709</f>
        <v>0.36344046279437048</v>
      </c>
      <c r="E710" s="9">
        <f t="shared" ca="1" si="67"/>
        <v>1.1965300499781728E-2</v>
      </c>
      <c r="F710" s="9">
        <f t="shared" ca="1" si="68"/>
        <v>0.37540576329415221</v>
      </c>
      <c r="G710" s="13">
        <f ca="1">IF((Prices!C710-Prices!C709)*C710&gt;0,1,0)</f>
        <v>0</v>
      </c>
      <c r="H710" s="9">
        <f>ABS(Prices!C710-Prices!C709)/Prices!C709</f>
        <v>1.9459038723483189E-4</v>
      </c>
      <c r="I710" s="13"/>
      <c r="J710" s="1">
        <f t="shared" ca="1" si="69"/>
        <v>-8.7904702836689779E-4</v>
      </c>
      <c r="K710" s="9"/>
      <c r="L710" s="9">
        <f ca="1">L709-O710*Prices!C710</f>
        <v>1.0669757689716322</v>
      </c>
      <c r="M710" s="1">
        <f t="shared" ca="1" si="70"/>
        <v>9.6485332816584213E-3</v>
      </c>
      <c r="N710" s="9">
        <f ca="1">IF(Prices!D709&gt;OFFSET(Prices!D709,-$N$3,0),1,IF(Prices!D709&lt;OFFSET(Prices!D709,-$N$3,0),-1,0))</f>
        <v>-1</v>
      </c>
      <c r="O710" s="1">
        <f ca="1">IF(N710=1,O$3*L709/Prices!C709,O$3*M709*N710)</f>
        <v>-1.0720592535176025E-3</v>
      </c>
      <c r="P710" s="14"/>
      <c r="Q710" s="9">
        <f ca="1">Q709-T710*Prices!C710</f>
        <v>0.97204816830397911</v>
      </c>
      <c r="R710" s="1">
        <f t="shared" ca="1" si="71"/>
        <v>1.0606605998045361E-2</v>
      </c>
      <c r="S710" s="9">
        <f ca="1">IF(Prices!C709&lt;OFFSET(Prices!C709,-S$3,0),1,IF(Prices!C709&gt;OFFSET(Prices!C709,-S$3,0),-1,0))</f>
        <v>1</v>
      </c>
      <c r="T710" s="1">
        <f ca="1">IF(S710=1,T$3*Q709/Prices!C709,T$3*R709*S710)</f>
        <v>1.9301222515070472E-4</v>
      </c>
    </row>
    <row r="711" spans="1:20" x14ac:dyDescent="0.2">
      <c r="A711" s="4">
        <v>34501</v>
      </c>
      <c r="B711" s="9">
        <f ca="1">Prices!C710*(1+J711/(50*(ABS(O711)+ABS(T711)+0.0001)))</f>
        <v>104.70106739363129</v>
      </c>
      <c r="C711" s="13">
        <f t="shared" ca="1" si="66"/>
        <v>1</v>
      </c>
      <c r="D711" s="9">
        <f ca="1">D710+C711*(Prices!C711-Prices!C710)/Prices!C710</f>
        <v>0.37024980131577129</v>
      </c>
      <c r="E711" s="9">
        <f t="shared" ca="1" si="67"/>
        <v>5.1559619783809185E-3</v>
      </c>
      <c r="F711" s="9">
        <f t="shared" ca="1" si="68"/>
        <v>0.37540576329415221</v>
      </c>
      <c r="G711" s="13">
        <f ca="1">IF((Prices!C711-Prices!C710)*C711&gt;0,1,0)</f>
        <v>1</v>
      </c>
      <c r="H711" s="9">
        <f>ABS(Prices!C711-Prices!C710)/Prices!C710</f>
        <v>6.8093385214008061E-3</v>
      </c>
      <c r="I711" s="13"/>
      <c r="J711" s="1">
        <f t="shared" ca="1" si="69"/>
        <v>1.2270286017825175E-3</v>
      </c>
      <c r="K711" s="9"/>
      <c r="L711" s="9">
        <f ca="1">L710-O711*Prices!C711</f>
        <v>0.95955165215396299</v>
      </c>
      <c r="M711" s="1">
        <f t="shared" ca="1" si="70"/>
        <v>1.0686447453809814E-2</v>
      </c>
      <c r="N711" s="9">
        <f ca="1">IF(Prices!D710&gt;OFFSET(Prices!D710,-$N$3,0),1,IF(Prices!D710&lt;OFFSET(Prices!D710,-$N$3,0),-1,0))</f>
        <v>1</v>
      </c>
      <c r="O711" s="1">
        <f ca="1">IF(N711=1,O$3*L710/Prices!C710,O$3*M710*N711)</f>
        <v>1.0379141721513932E-3</v>
      </c>
      <c r="P711" s="14"/>
      <c r="Q711" s="9">
        <f ca="1">Q710-T711*Prices!C711</f>
        <v>0.95247482483715773</v>
      </c>
      <c r="R711" s="1">
        <f t="shared" ca="1" si="71"/>
        <v>1.0795720427676486E-2</v>
      </c>
      <c r="S711" s="9">
        <f ca="1">IF(Prices!C710&lt;OFFSET(Prices!C710,-S$3,0),1,IF(Prices!C710&gt;OFFSET(Prices!C710,-S$3,0),-1,0))</f>
        <v>1</v>
      </c>
      <c r="T711" s="1">
        <f ca="1">IF(S711=1,T$3*Q710/Prices!C710,T$3*R710*S711)</f>
        <v>1.8911442963112434E-4</v>
      </c>
    </row>
    <row r="712" spans="1:20" x14ac:dyDescent="0.2">
      <c r="A712" s="4">
        <v>34502</v>
      </c>
      <c r="B712" s="9">
        <f ca="1">Prices!C711*(1+J712/(50*(ABS(O712)+ABS(T712)+0.0001)))</f>
        <v>105.39908892491611</v>
      </c>
      <c r="C712" s="13">
        <f t="shared" ca="1" si="66"/>
        <v>1</v>
      </c>
      <c r="D712" s="9">
        <f ca="1">D711+C712*(Prices!C712-Prices!C711)/Prices!C711</f>
        <v>0.36300342450417711</v>
      </c>
      <c r="E712" s="9">
        <f t="shared" ca="1" si="67"/>
        <v>1.2402338789975098E-2</v>
      </c>
      <c r="F712" s="9">
        <f t="shared" ca="1" si="68"/>
        <v>0.37540576329415221</v>
      </c>
      <c r="G712" s="13">
        <f ca="1">IF((Prices!C712-Prices!C711)*C712&gt;0,1,0)</f>
        <v>0</v>
      </c>
      <c r="H712" s="9">
        <f>ABS(Prices!C712-Prices!C711)/Prices!C711</f>
        <v>7.246376811594203E-3</v>
      </c>
      <c r="I712" s="13"/>
      <c r="J712" s="1">
        <f t="shared" ca="1" si="69"/>
        <v>1.1111561518081106E-3</v>
      </c>
      <c r="K712" s="9"/>
      <c r="L712" s="9">
        <f ca="1">L711-O712*Prices!C712</f>
        <v>0.86429181422273627</v>
      </c>
      <c r="M712" s="1">
        <f t="shared" ca="1" si="70"/>
        <v>1.1613550499369199E-2</v>
      </c>
      <c r="N712" s="9">
        <f ca="1">IF(Prices!D711&gt;OFFSET(Prices!D711,-$N$3,0),1,IF(Prices!D711&lt;OFFSET(Prices!D711,-$N$3,0),-1,0))</f>
        <v>1</v>
      </c>
      <c r="O712" s="1">
        <f ca="1">IF(N712=1,O$3*L711/Prices!C711,O$3*M711*N712)</f>
        <v>9.2710304555938458E-4</v>
      </c>
      <c r="P712" s="14"/>
      <c r="Q712" s="9">
        <f ca="1">Q711-T712*Prices!C712</f>
        <v>0.9335633681701011</v>
      </c>
      <c r="R712" s="1">
        <f t="shared" ca="1" si="71"/>
        <v>1.0979773533925213E-2</v>
      </c>
      <c r="S712" s="9">
        <f ca="1">IF(Prices!C711&lt;OFFSET(Prices!C711,-S$3,0),1,IF(Prices!C711&gt;OFFSET(Prices!C711,-S$3,0),-1,0))</f>
        <v>1</v>
      </c>
      <c r="T712" s="1">
        <f ca="1">IF(S712=1,T$3*Q711/Prices!C711,T$3*R711*S712)</f>
        <v>1.8405310624872615E-4</v>
      </c>
    </row>
    <row r="713" spans="1:20" x14ac:dyDescent="0.2">
      <c r="A713" s="4">
        <v>34505</v>
      </c>
      <c r="B713" s="9">
        <f ca="1">Prices!C712*(1+J713/(50*(ABS(O713)+ABS(T713)+0.0001)))</f>
        <v>104.62198771079778</v>
      </c>
      <c r="C713" s="13">
        <f t="shared" ca="1" si="66"/>
        <v>1</v>
      </c>
      <c r="D713" s="9">
        <f ca="1">D712+C713*(Prices!C713-Prices!C712)/Prices!C712</f>
        <v>0.35589880163313081</v>
      </c>
      <c r="E713" s="9">
        <f t="shared" ca="1" si="67"/>
        <v>1.9506961661021394E-2</v>
      </c>
      <c r="F713" s="9">
        <f t="shared" ca="1" si="68"/>
        <v>0.37540576329415221</v>
      </c>
      <c r="G713" s="13">
        <f ca="1">IF((Prices!C713-Prices!C712)*C713&gt;0,1,0)</f>
        <v>0</v>
      </c>
      <c r="H713" s="9">
        <f>ABS(Prices!C713-Prices!C712)/Prices!C712</f>
        <v>7.1046228710462678E-3</v>
      </c>
      <c r="I713" s="13"/>
      <c r="J713" s="1">
        <f t="shared" ca="1" si="69"/>
        <v>1.0228754139725124E-3</v>
      </c>
      <c r="K713" s="9"/>
      <c r="L713" s="9">
        <f ca="1">L712-O713*Prices!C713</f>
        <v>0.77847667953952115</v>
      </c>
      <c r="M713" s="1">
        <f t="shared" ca="1" si="70"/>
        <v>1.2454710415887678E-2</v>
      </c>
      <c r="N713" s="9">
        <f ca="1">IF(Prices!D712&gt;OFFSET(Prices!D712,-$N$3,0),1,IF(Prices!D712&lt;OFFSET(Prices!D712,-$N$3,0),-1,0))</f>
        <v>1</v>
      </c>
      <c r="O713" s="1">
        <f ca="1">IF(N713=1,O$3*L712/Prices!C712,O$3*M712*N713)</f>
        <v>8.4115991651847815E-4</v>
      </c>
      <c r="P713" s="14"/>
      <c r="Q713" s="9">
        <f ca="1">Q712-T713*Prices!C713</f>
        <v>0.91502475311984055</v>
      </c>
      <c r="R713" s="1">
        <f t="shared" ca="1" si="71"/>
        <v>1.1161489031379247E-2</v>
      </c>
      <c r="S713" s="9">
        <f ca="1">IF(Prices!C712&lt;OFFSET(Prices!C712,-S$3,0),1,IF(Prices!C712&gt;OFFSET(Prices!C712,-S$3,0),-1,0))</f>
        <v>1</v>
      </c>
      <c r="T713" s="1">
        <f ca="1">IF(S713=1,T$3*Q712/Prices!C712,T$3*R712*S713)</f>
        <v>1.8171549745403428E-4</v>
      </c>
    </row>
    <row r="714" spans="1:20" x14ac:dyDescent="0.2">
      <c r="A714" s="4">
        <v>34506</v>
      </c>
      <c r="B714" s="9">
        <f ca="1">Prices!C713*(1+J714/(50*(ABS(O714)+ABS(T714)+0.0001)))</f>
        <v>103.86466771140164</v>
      </c>
      <c r="C714" s="13">
        <f t="shared" ca="1" si="66"/>
        <v>1</v>
      </c>
      <c r="D714" s="9">
        <f ca="1">D713+C714*(Prices!C714-Prices!C713)/Prices!C713</f>
        <v>0.33903936230750842</v>
      </c>
      <c r="E714" s="9">
        <f t="shared" ca="1" si="67"/>
        <v>3.6366400986643788E-2</v>
      </c>
      <c r="F714" s="9">
        <f t="shared" ca="1" si="68"/>
        <v>0.37540576329415221</v>
      </c>
      <c r="G714" s="13">
        <f ca="1">IF((Prices!C714-Prices!C713)*C714&gt;0,1,0)</f>
        <v>0</v>
      </c>
      <c r="H714" s="9">
        <f>ABS(Prices!C714-Prices!C713)/Prices!C713</f>
        <v>1.6859439325622415E-2</v>
      </c>
      <c r="I714" s="13"/>
      <c r="J714" s="1">
        <f t="shared" ca="1" si="69"/>
        <v>9.4244425618848196E-4</v>
      </c>
      <c r="K714" s="9"/>
      <c r="L714" s="9">
        <f ca="1">L713-O714*Prices!C714</f>
        <v>0.70194147962007991</v>
      </c>
      <c r="M714" s="1">
        <f t="shared" ca="1" si="70"/>
        <v>1.3217773226649803E-2</v>
      </c>
      <c r="N714" s="9">
        <f ca="1">IF(Prices!D713&gt;OFFSET(Prices!D713,-$N$3,0),1,IF(Prices!D713&lt;OFFSET(Prices!D713,-$N$3,0),-1,0))</f>
        <v>1</v>
      </c>
      <c r="O714" s="1">
        <f ca="1">IF(N714=1,O$3*L713/Prices!C713,O$3*M713*N714)</f>
        <v>7.6306281076212628E-4</v>
      </c>
      <c r="P714" s="14"/>
      <c r="Q714" s="9">
        <f ca="1">Q713-T714*Prices!C714</f>
        <v>0.89703279414357706</v>
      </c>
      <c r="R714" s="1">
        <f t="shared" ca="1" si="71"/>
        <v>1.1340870476805603E-2</v>
      </c>
      <c r="S714" s="9">
        <f ca="1">IF(Prices!C713&lt;OFFSET(Prices!C713,-S$3,0),1,IF(Prices!C713&gt;OFFSET(Prices!C713,-S$3,0),-1,0))</f>
        <v>1</v>
      </c>
      <c r="T714" s="1">
        <f ca="1">IF(S714=1,T$3*Q713/Prices!C713,T$3*R713*S714)</f>
        <v>1.7938144542635571E-4</v>
      </c>
    </row>
    <row r="715" spans="1:20" x14ac:dyDescent="0.2">
      <c r="A715" s="4">
        <v>34507</v>
      </c>
      <c r="B715" s="9">
        <f ca="1">Prices!C714*(1+J715/(50*(ABS(O715)+ABS(T715)+0.0001)))</f>
        <v>102.10103672179905</v>
      </c>
      <c r="C715" s="13">
        <f t="shared" ca="1" si="66"/>
        <v>1</v>
      </c>
      <c r="D715" s="9">
        <f ca="1">D714+C715*(Prices!C715-Prices!C714)/Prices!C714</f>
        <v>0.34801244306523527</v>
      </c>
      <c r="E715" s="9">
        <f t="shared" ca="1" si="67"/>
        <v>2.739332022891694E-2</v>
      </c>
      <c r="F715" s="9">
        <f t="shared" ca="1" si="68"/>
        <v>0.37540576329415221</v>
      </c>
      <c r="G715" s="13">
        <f ca="1">IF((Prices!C715-Prices!C714)*C715&gt;0,1,0)</f>
        <v>1</v>
      </c>
      <c r="H715" s="9">
        <f>ABS(Prices!C715-Prices!C714)/Prices!C714</f>
        <v>8.9730807577268756E-3</v>
      </c>
      <c r="I715" s="13"/>
      <c r="J715" s="1">
        <f t="shared" ca="1" si="69"/>
        <v>8.7871190274057371E-4</v>
      </c>
      <c r="K715" s="9"/>
      <c r="L715" s="9">
        <f ca="1">L714-O715*Prices!C715</f>
        <v>0.63111747389968897</v>
      </c>
      <c r="M715" s="1">
        <f t="shared" ca="1" si="70"/>
        <v>1.3917615180408608E-2</v>
      </c>
      <c r="N715" s="9">
        <f ca="1">IF(Prices!D714&gt;OFFSET(Prices!D714,-$N$3,0),1,IF(Prices!D714&lt;OFFSET(Prices!D714,-$N$3,0),-1,0))</f>
        <v>1</v>
      </c>
      <c r="O715" s="1">
        <f ca="1">IF(N715=1,O$3*L714/Prices!C714,O$3*M714*N715)</f>
        <v>6.9984195375880358E-4</v>
      </c>
      <c r="P715" s="14"/>
      <c r="Q715" s="9">
        <f ca="1">Q714-T715*Prices!C715</f>
        <v>0.87893115530662191</v>
      </c>
      <c r="R715" s="1">
        <f t="shared" ca="1" si="71"/>
        <v>1.1519740425787373E-2</v>
      </c>
      <c r="S715" s="9">
        <f ca="1">IF(Prices!C714&lt;OFFSET(Prices!C714,-S$3,0),1,IF(Prices!C714&gt;OFFSET(Prices!C714,-S$3,0),-1,0))</f>
        <v>1</v>
      </c>
      <c r="T715" s="1">
        <f ca="1">IF(S715=1,T$3*Q714/Prices!C714,T$3*R714*S715)</f>
        <v>1.7886994898177013E-4</v>
      </c>
    </row>
    <row r="716" spans="1:20" x14ac:dyDescent="0.2">
      <c r="A716" s="4">
        <v>34508</v>
      </c>
      <c r="B716" s="9">
        <f ca="1">Prices!C715*(1+J716/(50*(ABS(O716)+ABS(T716)+0.0001)))</f>
        <v>99.719719521980963</v>
      </c>
      <c r="C716" s="13">
        <f t="shared" ca="1" si="66"/>
        <v>-1</v>
      </c>
      <c r="D716" s="9">
        <f ca="1">D715+C716*(Prices!C716-Prices!C715)/Prices!C715</f>
        <v>0.34603615848025499</v>
      </c>
      <c r="E716" s="9">
        <f t="shared" ca="1" si="67"/>
        <v>2.9369604813897221E-2</v>
      </c>
      <c r="F716" s="9">
        <f t="shared" ca="1" si="68"/>
        <v>0.37540576329415221</v>
      </c>
      <c r="G716" s="13">
        <f ca="1">IF((Prices!C716-Prices!C715)*C716&gt;0,1,0)</f>
        <v>0</v>
      </c>
      <c r="H716" s="9">
        <f>ABS(Prices!C716-Prices!C715)/Prices!C715</f>
        <v>1.9762845849802652E-3</v>
      </c>
      <c r="I716" s="13"/>
      <c r="J716" s="1">
        <f t="shared" ca="1" si="69"/>
        <v>-1.218059708691726E-3</v>
      </c>
      <c r="K716" s="9"/>
      <c r="L716" s="9">
        <f ca="1">L715-O716*Prices!C716</f>
        <v>0.77224209182903225</v>
      </c>
      <c r="M716" s="1">
        <f t="shared" ca="1" si="70"/>
        <v>1.2525853662367747E-2</v>
      </c>
      <c r="N716" s="9">
        <f ca="1">IF(Prices!D715&gt;OFFSET(Prices!D715,-$N$3,0),1,IF(Prices!D715&lt;OFFSET(Prices!D715,-$N$3,0),-1,0))</f>
        <v>-1</v>
      </c>
      <c r="O716" s="1">
        <f ca="1">IF(N716=1,O$3*L715/Prices!C715,O$3*M715*N716)</f>
        <v>-1.3917615180408609E-3</v>
      </c>
      <c r="P716" s="14"/>
      <c r="Q716" s="9">
        <f ca="1">Q715-T716*Prices!C716</f>
        <v>0.86131779183861967</v>
      </c>
      <c r="R716" s="1">
        <f t="shared" ca="1" si="71"/>
        <v>1.1693442235136508E-2</v>
      </c>
      <c r="S716" s="9">
        <f ca="1">IF(Prices!C715&lt;OFFSET(Prices!C715,-S$3,0),1,IF(Prices!C715&gt;OFFSET(Prices!C715,-S$3,0),-1,0))</f>
        <v>1</v>
      </c>
      <c r="T716" s="1">
        <f ca="1">IF(S716=1,T$3*Q715/Prices!C715,T$3*R715*S716)</f>
        <v>1.7370180934913476E-4</v>
      </c>
    </row>
    <row r="717" spans="1:20" x14ac:dyDescent="0.2">
      <c r="A717" s="4">
        <v>34509</v>
      </c>
      <c r="B717" s="9">
        <f ca="1">Prices!C716*(1+J717/(50*(ABS(O717)+ABS(T717)+0.0001)))</f>
        <v>99.957794085705785</v>
      </c>
      <c r="C717" s="13">
        <f t="shared" ca="1" si="66"/>
        <v>-1</v>
      </c>
      <c r="D717" s="9">
        <f ca="1">D716+C717*(Prices!C717-Prices!C716)/Prices!C716</f>
        <v>0.35392570483133989</v>
      </c>
      <c r="E717" s="9">
        <f t="shared" ca="1" si="67"/>
        <v>2.1480058462812313E-2</v>
      </c>
      <c r="F717" s="9">
        <f t="shared" ca="1" si="68"/>
        <v>0.37540576329415221</v>
      </c>
      <c r="G717" s="13">
        <f ca="1">IF((Prices!C717-Prices!C716)*C717&gt;0,1,0)</f>
        <v>1</v>
      </c>
      <c r="H717" s="9">
        <f>ABS(Prices!C717-Prices!C716)/Prices!C716</f>
        <v>7.889546351084924E-3</v>
      </c>
      <c r="I717" s="13"/>
      <c r="J717" s="1">
        <f t="shared" ca="1" si="69"/>
        <v>-1.0827002001936546E-3</v>
      </c>
      <c r="K717" s="9"/>
      <c r="L717" s="9">
        <f ca="1">L716-O717*Prices!C717</f>
        <v>0.89825217967245186</v>
      </c>
      <c r="M717" s="1">
        <f t="shared" ca="1" si="70"/>
        <v>1.1273268296130973E-2</v>
      </c>
      <c r="N717" s="9">
        <f ca="1">IF(Prices!D716&gt;OFFSET(Prices!D716,-$N$3,0),1,IF(Prices!D716&lt;OFFSET(Prices!D716,-$N$3,0),-1,0))</f>
        <v>-1</v>
      </c>
      <c r="O717" s="1">
        <f ca="1">IF(N717=1,O$3*L716/Prices!C716,O$3*M716*N717)</f>
        <v>-1.2525853662367749E-3</v>
      </c>
      <c r="P717" s="14"/>
      <c r="Q717" s="9">
        <f ca="1">Q716-T717*Prices!C717</f>
        <v>0.84422734413468181</v>
      </c>
      <c r="R717" s="1">
        <f t="shared" ca="1" si="71"/>
        <v>1.1863327401179628E-2</v>
      </c>
      <c r="S717" s="9">
        <f ca="1">IF(Prices!C716&lt;OFFSET(Prices!C716,-S$3,0),1,IF(Prices!C716&gt;OFFSET(Prices!C716,-S$3,0),-1,0))</f>
        <v>1</v>
      </c>
      <c r="T717" s="1">
        <f ca="1">IF(S717=1,T$3*Q716/Prices!C716,T$3*R716*S717)</f>
        <v>1.6988516604312024E-4</v>
      </c>
    </row>
    <row r="718" spans="1:20" x14ac:dyDescent="0.2">
      <c r="A718" s="4">
        <v>34512</v>
      </c>
      <c r="B718" s="9">
        <f ca="1">Prices!C717*(1+J718/(50*(ABS(O718)+ABS(T718)+0.0001)))</f>
        <v>102.43866129347769</v>
      </c>
      <c r="C718" s="13">
        <f t="shared" ca="1" si="66"/>
        <v>1</v>
      </c>
      <c r="D718" s="9">
        <f ca="1">D717+C718*(Prices!C718-Prices!C717)/Prices!C717</f>
        <v>0.35243465115340755</v>
      </c>
      <c r="E718" s="9">
        <f t="shared" ca="1" si="67"/>
        <v>2.2971112140744654E-2</v>
      </c>
      <c r="F718" s="9">
        <f t="shared" ca="1" si="68"/>
        <v>0.37540576329415221</v>
      </c>
      <c r="G718" s="13">
        <f ca="1">IF((Prices!C718-Prices!C717)*C718&gt;0,1,0)</f>
        <v>0</v>
      </c>
      <c r="H718" s="9">
        <f>ABS(Prices!C718-Prices!C717)/Prices!C717</f>
        <v>1.491053677932321E-3</v>
      </c>
      <c r="I718" s="13"/>
      <c r="J718" s="1">
        <f t="shared" ca="1" si="69"/>
        <v>1.0607332490053562E-3</v>
      </c>
      <c r="K718" s="9"/>
      <c r="L718" s="9">
        <f ca="1">L717-O718*Prices!C718</f>
        <v>0.80856089592682778</v>
      </c>
      <c r="M718" s="1">
        <f t="shared" ca="1" si="70"/>
        <v>1.216616310693858E-2</v>
      </c>
      <c r="N718" s="9">
        <f ca="1">IF(Prices!D717&gt;OFFSET(Prices!D717,-$N$3,0),1,IF(Prices!D717&lt;OFFSET(Prices!D717,-$N$3,0),-1,0))</f>
        <v>1</v>
      </c>
      <c r="O718" s="1">
        <f ca="1">IF(N718=1,O$3*L717/Prices!C717,O$3*M717*N718)</f>
        <v>8.9289481080760626E-4</v>
      </c>
      <c r="P718" s="14"/>
      <c r="Q718" s="9">
        <f ca="1">Q717-T718*Prices!C718</f>
        <v>0.82736797301771781</v>
      </c>
      <c r="R718" s="1">
        <f t="shared" ca="1" si="71"/>
        <v>1.2031165839377378E-2</v>
      </c>
      <c r="S718" s="9">
        <f ca="1">IF(Prices!C717&lt;OFFSET(Prices!C717,-S$3,0),1,IF(Prices!C717&gt;OFFSET(Prices!C717,-S$3,0),-1,0))</f>
        <v>1</v>
      </c>
      <c r="T718" s="1">
        <f ca="1">IF(S718=1,T$3*Q717/Prices!C717,T$3*R717*S718)</f>
        <v>1.6783843819774988E-4</v>
      </c>
    </row>
    <row r="719" spans="1:20" x14ac:dyDescent="0.2">
      <c r="A719" s="4">
        <v>34513</v>
      </c>
      <c r="B719" s="9">
        <f ca="1">Prices!C718*(1+J719/(50*(ABS(O719)+ABS(T719)+0.0001)))</f>
        <v>101.43965360200465</v>
      </c>
      <c r="C719" s="13">
        <f t="shared" ca="1" si="66"/>
        <v>1</v>
      </c>
      <c r="D719" s="9">
        <f ca="1">D718+C719*(Prices!C719-Prices!C718)/Prices!C718</f>
        <v>0.3484525705162746</v>
      </c>
      <c r="E719" s="9">
        <f t="shared" ca="1" si="67"/>
        <v>2.695319277787761E-2</v>
      </c>
      <c r="F719" s="9">
        <f t="shared" ca="1" si="68"/>
        <v>0.37540576329415221</v>
      </c>
      <c r="G719" s="13">
        <f ca="1">IF((Prices!C719-Prices!C718)*C719&gt;0,1,0)</f>
        <v>0</v>
      </c>
      <c r="H719" s="9">
        <f>ABS(Prices!C719-Prices!C718)/Prices!C718</f>
        <v>3.9820806371329582E-3</v>
      </c>
      <c r="I719" s="13"/>
      <c r="J719" s="1">
        <f t="shared" ca="1" si="69"/>
        <v>5.6431535511571561E-4</v>
      </c>
      <c r="K719" s="9"/>
      <c r="L719" s="9">
        <f ca="1">L718-O719*Prices!C719</f>
        <v>0.72802678180290625</v>
      </c>
      <c r="M719" s="1">
        <f t="shared" ca="1" si="70"/>
        <v>1.2971101778841844E-2</v>
      </c>
      <c r="N719" s="9">
        <f ca="1">IF(Prices!D718&gt;OFFSET(Prices!D718,-$N$3,0),1,IF(Prices!D718&lt;OFFSET(Prices!D718,-$N$3,0),-1,0))</f>
        <v>1</v>
      </c>
      <c r="O719" s="1">
        <f ca="1">IF(N719=1,O$3*L718/Prices!C718,O$3*M718*N719)</f>
        <v>8.0493867190326311E-4</v>
      </c>
      <c r="P719" s="14"/>
      <c r="Q719" s="9">
        <f ca="1">Q718-T719*Prices!C719</f>
        <v>0.85144233586231199</v>
      </c>
      <c r="R719" s="1">
        <f t="shared" ca="1" si="71"/>
        <v>1.179054252258983E-2</v>
      </c>
      <c r="S719" s="9">
        <f ca="1">IF(Prices!C718&lt;OFFSET(Prices!C718,-S$3,0),1,IF(Prices!C718&gt;OFFSET(Prices!C718,-S$3,0),-1,0))</f>
        <v>-1</v>
      </c>
      <c r="T719" s="1">
        <f ca="1">IF(S719=1,T$3*Q718/Prices!C718,T$3*R718*S719)</f>
        <v>-2.4062331678754756E-4</v>
      </c>
    </row>
    <row r="720" spans="1:20" x14ac:dyDescent="0.2">
      <c r="A720" s="4">
        <v>34514</v>
      </c>
      <c r="B720" s="9">
        <f ca="1">Prices!C719*(1+J720/(50*(ABS(O720)+ABS(T720)+0.0001)))</f>
        <v>101.85047213687029</v>
      </c>
      <c r="C720" s="13">
        <f t="shared" ca="1" si="66"/>
        <v>1</v>
      </c>
      <c r="D720" s="9">
        <f ca="1">D719+C720*(Prices!C720-Prices!C719)/Prices!C719</f>
        <v>0.33595881739283634</v>
      </c>
      <c r="E720" s="9">
        <f t="shared" ca="1" si="67"/>
        <v>3.9446945901315866E-2</v>
      </c>
      <c r="F720" s="9">
        <f t="shared" ca="1" si="68"/>
        <v>0.37540576329415221</v>
      </c>
      <c r="G720" s="13">
        <f ca="1">IF((Prices!C720-Prices!C719)*C720&gt;0,1,0)</f>
        <v>0</v>
      </c>
      <c r="H720" s="9">
        <f>ABS(Prices!C720-Prices!C719)/Prices!C719</f>
        <v>1.2493753123438282E-2</v>
      </c>
      <c r="I720" s="13"/>
      <c r="J720" s="1">
        <f t="shared" ca="1" si="69"/>
        <v>8.9786631581745995E-4</v>
      </c>
      <c r="K720" s="9"/>
      <c r="L720" s="9">
        <f ca="1">L719-O720*Prices!C720</f>
        <v>0.65613368231052527</v>
      </c>
      <c r="M720" s="1">
        <f t="shared" ca="1" si="70"/>
        <v>1.3698764729169586E-2</v>
      </c>
      <c r="N720" s="9">
        <f ca="1">IF(Prices!D719&gt;OFFSET(Prices!D719,-$N$3,0),1,IF(Prices!D719&lt;OFFSET(Prices!D719,-$N$3,0),-1,0))</f>
        <v>1</v>
      </c>
      <c r="O720" s="1">
        <f ca="1">IF(N720=1,O$3*L719/Prices!C719,O$3*M719*N720)</f>
        <v>7.276629503277424E-4</v>
      </c>
      <c r="P720" s="14"/>
      <c r="Q720" s="9">
        <f ca="1">Q719-T720*Prices!C720</f>
        <v>0.83462624335192792</v>
      </c>
      <c r="R720" s="1">
        <f t="shared" ca="1" si="71"/>
        <v>1.1960745888079547E-2</v>
      </c>
      <c r="S720" s="9">
        <f ca="1">IF(Prices!C719&lt;OFFSET(Prices!C719,-S$3,0),1,IF(Prices!C719&gt;OFFSET(Prices!C719,-S$3,0),-1,0))</f>
        <v>1</v>
      </c>
      <c r="T720" s="1">
        <f ca="1">IF(S720=1,T$3*Q719/Prices!C719,T$3*R719*S720)</f>
        <v>1.7020336548971758E-4</v>
      </c>
    </row>
    <row r="721" spans="1:20" x14ac:dyDescent="0.2">
      <c r="A721" s="4">
        <v>34515</v>
      </c>
      <c r="B721" s="9">
        <f ca="1">Prices!C720*(1+J721/(50*(ABS(O721)+ABS(T721)+0.0001)))</f>
        <v>100.56422269499275</v>
      </c>
      <c r="C721" s="13">
        <f t="shared" ca="1" si="66"/>
        <v>1</v>
      </c>
      <c r="D721" s="9">
        <f ca="1">D720+C721*(Prices!C721-Prices!C720)/Prices!C720</f>
        <v>0.33231509269648007</v>
      </c>
      <c r="E721" s="9">
        <f t="shared" ca="1" si="67"/>
        <v>4.3090670597672132E-2</v>
      </c>
      <c r="F721" s="9">
        <f t="shared" ca="1" si="68"/>
        <v>0.37540576329415221</v>
      </c>
      <c r="G721" s="13">
        <f ca="1">IF((Prices!C721-Prices!C720)*C721&gt;0,1,0)</f>
        <v>0</v>
      </c>
      <c r="H721" s="9">
        <f>ABS(Prices!C721-Prices!C720)/Prices!C720</f>
        <v>3.6437246963562696E-3</v>
      </c>
      <c r="I721" s="13"/>
      <c r="J721" s="1">
        <f t="shared" ca="1" si="69"/>
        <v>8.3305559815881672E-4</v>
      </c>
      <c r="K721" s="9"/>
      <c r="L721" s="9">
        <f ca="1">L720-O721*Prices!C721</f>
        <v>0.59075939112970732</v>
      </c>
      <c r="M721" s="1">
        <f t="shared" ca="1" si="70"/>
        <v>1.4362867646487932E-2</v>
      </c>
      <c r="N721" s="9">
        <f ca="1">IF(Prices!D720&gt;OFFSET(Prices!D720,-$N$3,0),1,IF(Prices!D720&lt;OFFSET(Prices!D720,-$N$3,0),-1,0))</f>
        <v>1</v>
      </c>
      <c r="O721" s="1">
        <f ca="1">IF(N721=1,O$3*L720/Prices!C720,O$3*M720*N721)</f>
        <v>6.6410291731834549E-4</v>
      </c>
      <c r="P721" s="14"/>
      <c r="Q721" s="9">
        <f ca="1">Q720-T721*Prices!C721</f>
        <v>0.81799454144999195</v>
      </c>
      <c r="R721" s="1">
        <f t="shared" ca="1" si="71"/>
        <v>1.2129698568920018E-2</v>
      </c>
      <c r="S721" s="9">
        <f ca="1">IF(Prices!C720&lt;OFFSET(Prices!C720,-S$3,0),1,IF(Prices!C720&gt;OFFSET(Prices!C720,-S$3,0),-1,0))</f>
        <v>1</v>
      </c>
      <c r="T721" s="1">
        <f ca="1">IF(S721=1,T$3*Q720/Prices!C720,T$3*R720*S721)</f>
        <v>1.6895268084047126E-4</v>
      </c>
    </row>
    <row r="722" spans="1:20" x14ac:dyDescent="0.2">
      <c r="A722" s="4">
        <v>34516</v>
      </c>
      <c r="B722" s="9">
        <f ca="1">Prices!C721*(1+J722/(50*(ABS(O722)+ABS(T722)+0.0001)))</f>
        <v>100.18153797082864</v>
      </c>
      <c r="C722" s="13">
        <f t="shared" ref="C722:C785" ca="1" si="72">IF(J722&gt;0,1,IF(J722&lt;0,-1,0))</f>
        <v>1</v>
      </c>
      <c r="D722" s="9">
        <f ca="1">D721+C722*(Prices!C722-Prices!C721)/Prices!C721</f>
        <v>0.33546421906787383</v>
      </c>
      <c r="E722" s="9">
        <f t="shared" ref="E722:E785" ca="1" si="73">F722-D722</f>
        <v>3.994154422627838E-2</v>
      </c>
      <c r="F722" s="9">
        <f t="shared" ref="F722:F785" ca="1" si="74">MAX(F721,D722)</f>
        <v>0.37540576329415221</v>
      </c>
      <c r="G722" s="13">
        <f ca="1">IF((Prices!C722-Prices!C721)*C722&gt;0,1,0)</f>
        <v>1</v>
      </c>
      <c r="H722" s="9">
        <f>ABS(Prices!C722-Prices!C721)/Prices!C721</f>
        <v>3.1491263713937655E-3</v>
      </c>
      <c r="I722" s="13"/>
      <c r="J722" s="1">
        <f t="shared" ref="J722:J785" ca="1" si="75">O722+T722</f>
        <v>7.6631277876849436E-4</v>
      </c>
      <c r="K722" s="9"/>
      <c r="L722" s="9">
        <f ca="1">L721-O722*Prices!C722</f>
        <v>0.53149741441896103</v>
      </c>
      <c r="M722" s="1">
        <f t="shared" ref="M722:M785" ca="1" si="76">M721+O722</f>
        <v>1.496298892963473E-2</v>
      </c>
      <c r="N722" s="9">
        <f ca="1">IF(Prices!D721&gt;OFFSET(Prices!D721,-$N$3,0),1,IF(Prices!D721&lt;OFFSET(Prices!D721,-$N$3,0),-1,0))</f>
        <v>1</v>
      </c>
      <c r="O722" s="1">
        <f ca="1">IF(N722=1,O$3*L721/Prices!C721,O$3*M721*N722)</f>
        <v>6.0012128314679747E-4</v>
      </c>
      <c r="P722" s="14"/>
      <c r="Q722" s="9">
        <f ca="1">Q721-T722*Prices!C722</f>
        <v>0.80158313125734937</v>
      </c>
      <c r="R722" s="1">
        <f t="shared" ref="R722:R785" ca="1" si="77">R721+T722</f>
        <v>1.2295890064541714E-2</v>
      </c>
      <c r="S722" s="9">
        <f ca="1">IF(Prices!C721&lt;OFFSET(Prices!C721,-S$3,0),1,IF(Prices!C721&gt;OFFSET(Prices!C721,-S$3,0),-1,0))</f>
        <v>1</v>
      </c>
      <c r="T722" s="1">
        <f ca="1">IF(S722=1,T$3*Q721/Prices!C721,T$3*R721*S722)</f>
        <v>1.6619149562169686E-4</v>
      </c>
    </row>
    <row r="723" spans="1:20" x14ac:dyDescent="0.2">
      <c r="A723" s="4">
        <v>34519</v>
      </c>
      <c r="B723" s="9">
        <f ca="1">Prices!C722*(1+J723/(50*(ABS(O723)+ABS(T723)+0.0001)))</f>
        <v>100.47830113695204</v>
      </c>
      <c r="C723" s="13">
        <f t="shared" ca="1" si="72"/>
        <v>1</v>
      </c>
      <c r="D723" s="9">
        <f ca="1">D722+C723*(Prices!C723-Prices!C722)/Prices!C722</f>
        <v>0.33799586463749409</v>
      </c>
      <c r="E723" s="9">
        <f t="shared" ca="1" si="73"/>
        <v>3.7409898656658114E-2</v>
      </c>
      <c r="F723" s="9">
        <f t="shared" ca="1" si="74"/>
        <v>0.37540576329415221</v>
      </c>
      <c r="G723" s="13">
        <f ca="1">IF((Prices!C723-Prices!C722)*C723&gt;0,1,0)</f>
        <v>1</v>
      </c>
      <c r="H723" s="9">
        <f>ABS(Prices!C723-Prices!C722)/Prices!C722</f>
        <v>2.5316455696202532E-3</v>
      </c>
      <c r="I723" s="13"/>
      <c r="J723" s="1">
        <f t="shared" ca="1" si="75"/>
        <v>7.0057118042575288E-4</v>
      </c>
      <c r="K723" s="9"/>
      <c r="L723" s="9">
        <f ca="1">L722-O723*Prices!C723</f>
        <v>0.47821311666961708</v>
      </c>
      <c r="M723" s="1">
        <f t="shared" ca="1" si="76"/>
        <v>1.5501214159426083E-2</v>
      </c>
      <c r="N723" s="9">
        <f ca="1">IF(Prices!D722&gt;OFFSET(Prices!D722,-$N$3,0),1,IF(Prices!D722&lt;OFFSET(Prices!D722,-$N$3,0),-1,0))</f>
        <v>1</v>
      </c>
      <c r="O723" s="1">
        <f ca="1">IF(N723=1,O$3*L722/Prices!C722,O$3*M722*N723)</f>
        <v>5.3822522979135297E-4</v>
      </c>
      <c r="P723" s="14"/>
      <c r="Q723" s="9">
        <f ca="1">Q722-T723*Prices!C723</f>
        <v>0.78551088214454379</v>
      </c>
      <c r="R723" s="1">
        <f t="shared" ca="1" si="77"/>
        <v>1.2458236015176115E-2</v>
      </c>
      <c r="S723" s="9">
        <f ca="1">IF(Prices!C722&lt;OFFSET(Prices!C722,-S$3,0),1,IF(Prices!C722&gt;OFFSET(Prices!C722,-S$3,0),-1,0))</f>
        <v>1</v>
      </c>
      <c r="T723" s="1">
        <f ca="1">IF(S723=1,T$3*Q722/Prices!C722,T$3*R722*S723)</f>
        <v>1.6234595063439988E-4</v>
      </c>
    </row>
    <row r="724" spans="1:20" x14ac:dyDescent="0.2">
      <c r="A724" s="4">
        <v>34520</v>
      </c>
      <c r="B724" s="9">
        <f ca="1">Prices!C723*(1+J724/(50*(ABS(O724)+ABS(T724)+0.0001)))</f>
        <v>97.476879652933889</v>
      </c>
      <c r="C724" s="13">
        <f t="shared" ca="1" si="72"/>
        <v>-1</v>
      </c>
      <c r="D724" s="9">
        <f ca="1">D723+C724*(Prices!C724-Prices!C723)/Prices!C723</f>
        <v>0.33799586463749409</v>
      </c>
      <c r="E724" s="9">
        <f t="shared" ca="1" si="73"/>
        <v>3.7409898656658114E-2</v>
      </c>
      <c r="F724" s="9">
        <f t="shared" ca="1" si="74"/>
        <v>0.37540576329415221</v>
      </c>
      <c r="G724" s="13">
        <f ca="1">IF((Prices!C724-Prices!C723)*C724&gt;0,1,0)</f>
        <v>0</v>
      </c>
      <c r="H724" s="9">
        <f>ABS(Prices!C724-Prices!C723)/Prices!C723</f>
        <v>0</v>
      </c>
      <c r="I724" s="13"/>
      <c r="J724" s="1">
        <f t="shared" ca="1" si="75"/>
        <v>-1.3914323488427006E-3</v>
      </c>
      <c r="K724" s="9"/>
      <c r="L724" s="9">
        <f ca="1">L723-O724*Prices!C724</f>
        <v>0.6316751368479353</v>
      </c>
      <c r="M724" s="1">
        <f t="shared" ca="1" si="76"/>
        <v>1.3951092743483474E-2</v>
      </c>
      <c r="N724" s="9">
        <f ca="1">IF(Prices!D723&gt;OFFSET(Prices!D723,-$N$3,0),1,IF(Prices!D723&lt;OFFSET(Prices!D723,-$N$3,0),-1,0))</f>
        <v>-1</v>
      </c>
      <c r="O724" s="1">
        <f ca="1">IF(N724=1,O$3*L723/Prices!C723,O$3*M723*N724)</f>
        <v>-1.5501214159426083E-3</v>
      </c>
      <c r="P724" s="14"/>
      <c r="Q724" s="9">
        <f ca="1">Q723-T724*Prices!C724</f>
        <v>0.76980066450165296</v>
      </c>
      <c r="R724" s="1">
        <f t="shared" ca="1" si="77"/>
        <v>1.2616925082276022E-2</v>
      </c>
      <c r="S724" s="9">
        <f ca="1">IF(Prices!C723&lt;OFFSET(Prices!C723,-S$3,0),1,IF(Prices!C723&gt;OFFSET(Prices!C723,-S$3,0),-1,0))</f>
        <v>1</v>
      </c>
      <c r="T724" s="1">
        <f ca="1">IF(S724=1,T$3*Q723/Prices!C723,T$3*R723*S724)</f>
        <v>1.5868906709990782E-4</v>
      </c>
    </row>
    <row r="725" spans="1:20" x14ac:dyDescent="0.2">
      <c r="A725" s="4">
        <v>34521</v>
      </c>
      <c r="B725" s="9">
        <f ca="1">Prices!C724*(1+J725/(50*(ABS(O725)+ABS(T725)+0.0001)))</f>
        <v>97.133308107240794</v>
      </c>
      <c r="C725" s="13">
        <f t="shared" ca="1" si="72"/>
        <v>-1</v>
      </c>
      <c r="D725" s="9">
        <f ca="1">D724+C725*(Prices!C725-Prices!C724)/Prices!C724</f>
        <v>0.33799586463749409</v>
      </c>
      <c r="E725" s="9">
        <f t="shared" ca="1" si="73"/>
        <v>3.7409898656658114E-2</v>
      </c>
      <c r="F725" s="9">
        <f t="shared" ca="1" si="74"/>
        <v>0.37540576329415221</v>
      </c>
      <c r="G725" s="13">
        <f ca="1">IF((Prices!C725-Prices!C724)*C725&gt;0,1,0)</f>
        <v>0</v>
      </c>
      <c r="H725" s="9">
        <f>ABS(Prices!C725-Prices!C724)/Prices!C724</f>
        <v>0</v>
      </c>
      <c r="I725" s="13"/>
      <c r="J725" s="1">
        <f t="shared" ca="1" si="75"/>
        <v>-1.6474477759938679E-3</v>
      </c>
      <c r="K725" s="9"/>
      <c r="L725" s="9">
        <f ca="1">L724-O725*Prices!C725</f>
        <v>0.76979095500842165</v>
      </c>
      <c r="M725" s="1">
        <f t="shared" ca="1" si="76"/>
        <v>1.2555983469135126E-2</v>
      </c>
      <c r="N725" s="9">
        <f ca="1">IF(Prices!D724&gt;OFFSET(Prices!D724,-$N$3,0),1,IF(Prices!D724&lt;OFFSET(Prices!D724,-$N$3,0),-1,0))</f>
        <v>-1</v>
      </c>
      <c r="O725" s="1">
        <f ca="1">IF(N725=1,O$3*L724/Prices!C724,O$3*M724*N725)</f>
        <v>-1.3951092743483475E-3</v>
      </c>
      <c r="P725" s="14"/>
      <c r="Q725" s="9">
        <f ca="1">Q724-T725*Prices!C725</f>
        <v>0.79478217616455948</v>
      </c>
      <c r="R725" s="1">
        <f t="shared" ca="1" si="77"/>
        <v>1.2364586580630502E-2</v>
      </c>
      <c r="S725" s="9">
        <f ca="1">IF(Prices!C724&lt;OFFSET(Prices!C724,-S$3,0),1,IF(Prices!C724&gt;OFFSET(Prices!C724,-S$3,0),-1,0))</f>
        <v>-1</v>
      </c>
      <c r="T725" s="1">
        <f ca="1">IF(S725=1,T$3*Q724/Prices!C724,T$3*R724*S725)</f>
        <v>-2.5233850164552043E-4</v>
      </c>
    </row>
    <row r="726" spans="1:20" x14ac:dyDescent="0.2">
      <c r="A726" s="4">
        <v>34522</v>
      </c>
      <c r="B726" s="9">
        <f ca="1">Prices!C725*(1+J726/(50*(ABS(O726)+ABS(T726)+0.0001)))</f>
        <v>97.143526873522148</v>
      </c>
      <c r="C726" s="13">
        <f t="shared" ca="1" si="72"/>
        <v>-1</v>
      </c>
      <c r="D726" s="9">
        <f ca="1">D725+C726*(Prices!C726-Prices!C725)/Prices!C725</f>
        <v>0.34203626867789821</v>
      </c>
      <c r="E726" s="9">
        <f t="shared" ca="1" si="73"/>
        <v>3.3369494616253992E-2</v>
      </c>
      <c r="F726" s="9">
        <f t="shared" ca="1" si="74"/>
        <v>0.37540576329415221</v>
      </c>
      <c r="G726" s="13">
        <f ca="1">IF((Prices!C726-Prices!C725)*C726&gt;0,1,0)</f>
        <v>1</v>
      </c>
      <c r="H726" s="9">
        <f>ABS(Prices!C726-Prices!C725)/Prices!C725</f>
        <v>4.0404040404040976E-3</v>
      </c>
      <c r="I726" s="13"/>
      <c r="J726" s="1">
        <f t="shared" ca="1" si="75"/>
        <v>-1.5028900785261229E-3</v>
      </c>
      <c r="K726" s="9"/>
      <c r="L726" s="9">
        <f ca="1">L725-O726*Prices!C726</f>
        <v>0.89359295201409394</v>
      </c>
      <c r="M726" s="1">
        <f t="shared" ca="1" si="76"/>
        <v>1.1300385122221614E-2</v>
      </c>
      <c r="N726" s="9">
        <f ca="1">IF(Prices!D725&gt;OFFSET(Prices!D725,-$N$3,0),1,IF(Prices!D725&lt;OFFSET(Prices!D725,-$N$3,0),-1,0))</f>
        <v>-1</v>
      </c>
      <c r="O726" s="1">
        <f ca="1">IF(N726=1,O$3*L725/Prices!C725,O$3*M725*N726)</f>
        <v>-1.2555983469135128E-3</v>
      </c>
      <c r="P726" s="14"/>
      <c r="Q726" s="9">
        <f ca="1">Q725-T726*Prices!C726</f>
        <v>0.81916514090156278</v>
      </c>
      <c r="R726" s="1">
        <f t="shared" ca="1" si="77"/>
        <v>1.2117294849017893E-2</v>
      </c>
      <c r="S726" s="9">
        <f ca="1">IF(Prices!C725&lt;OFFSET(Prices!C725,-S$3,0),1,IF(Prices!C725&gt;OFFSET(Prices!C725,-S$3,0),-1,0))</f>
        <v>-1</v>
      </c>
      <c r="T726" s="1">
        <f ca="1">IF(S726=1,T$3*Q725/Prices!C725,T$3*R725*S726)</f>
        <v>-2.4729173161261003E-4</v>
      </c>
    </row>
    <row r="727" spans="1:20" x14ac:dyDescent="0.2">
      <c r="A727" s="4">
        <v>34523</v>
      </c>
      <c r="B727" s="9">
        <f ca="1">Prices!C726*(1+J727/(50*(ABS(O727)+ABS(T727)+0.0001)))</f>
        <v>97.238609851292196</v>
      </c>
      <c r="C727" s="13">
        <f t="shared" ca="1" si="72"/>
        <v>-1</v>
      </c>
      <c r="D727" s="9">
        <f ca="1">D726+C727*(Prices!C727-Prices!C726)/Prices!C726</f>
        <v>0.34710726259270552</v>
      </c>
      <c r="E727" s="9">
        <f t="shared" ca="1" si="73"/>
        <v>2.8298500701446683E-2</v>
      </c>
      <c r="F727" s="9">
        <f t="shared" ca="1" si="74"/>
        <v>0.37540576329415221</v>
      </c>
      <c r="G727" s="13">
        <f ca="1">IF((Prices!C727-Prices!C726)*C727&gt;0,1,0)</f>
        <v>1</v>
      </c>
      <c r="H727" s="9">
        <f>ABS(Prices!C727-Prices!C726)/Prices!C726</f>
        <v>5.0709939148073022E-3</v>
      </c>
      <c r="I727" s="13"/>
      <c r="J727" s="1">
        <f t="shared" ca="1" si="75"/>
        <v>-9.6387925443279781E-4</v>
      </c>
      <c r="K727" s="9"/>
      <c r="L727" s="9">
        <f ca="1">L726-O727*Prices!C727</f>
        <v>1.0044497300630879</v>
      </c>
      <c r="M727" s="1">
        <f t="shared" ca="1" si="76"/>
        <v>1.0170346609999452E-2</v>
      </c>
      <c r="N727" s="9">
        <f ca="1">IF(Prices!D726&gt;OFFSET(Prices!D726,-$N$3,0),1,IF(Prices!D726&lt;OFFSET(Prices!D726,-$N$3,0),-1,0))</f>
        <v>-1</v>
      </c>
      <c r="O727" s="1">
        <f ca="1">IF(N727=1,O$3*L726/Prices!C726,O$3*M726*N727)</f>
        <v>-1.1300385122221615E-3</v>
      </c>
      <c r="P727" s="14"/>
      <c r="Q727" s="9">
        <f ca="1">Q726-T727*Prices!C727</f>
        <v>0.80286491771242618</v>
      </c>
      <c r="R727" s="1">
        <f t="shared" ca="1" si="77"/>
        <v>1.2283454106807257E-2</v>
      </c>
      <c r="S727" s="9">
        <f ca="1">IF(Prices!C726&lt;OFFSET(Prices!C726,-S$3,0),1,IF(Prices!C726&gt;OFFSET(Prices!C726,-S$3,0),-1,0))</f>
        <v>1</v>
      </c>
      <c r="T727" s="1">
        <f ca="1">IF(S727=1,T$3*Q726/Prices!C726,T$3*R726*S727)</f>
        <v>1.6615925778936367E-4</v>
      </c>
    </row>
    <row r="728" spans="1:20" x14ac:dyDescent="0.2">
      <c r="A728" s="4">
        <v>34526</v>
      </c>
      <c r="B728" s="9">
        <f ca="1">Prices!C727*(1+J728/(50*(ABS(O728)+ABS(T728)+0.0001)))</f>
        <v>99.909621931007322</v>
      </c>
      <c r="C728" s="13">
        <f t="shared" ca="1" si="72"/>
        <v>1</v>
      </c>
      <c r="D728" s="9">
        <f ca="1">D727+C728*(Prices!C728-Prices!C727)/Prices!C727</f>
        <v>0.34201042263348025</v>
      </c>
      <c r="E728" s="9">
        <f t="shared" ca="1" si="73"/>
        <v>3.3395340660671957E-2</v>
      </c>
      <c r="F728" s="9">
        <f t="shared" ca="1" si="74"/>
        <v>0.37540576329415221</v>
      </c>
      <c r="G728" s="13">
        <f ca="1">IF((Prices!C728-Prices!C727)*C728&gt;0,1,0)</f>
        <v>0</v>
      </c>
      <c r="H728" s="9">
        <f>ABS(Prices!C728-Prices!C727)/Prices!C727</f>
        <v>5.0968399592252805E-3</v>
      </c>
      <c r="I728" s="13"/>
      <c r="J728" s="1">
        <f t="shared" ca="1" si="75"/>
        <v>1.1875868640219911E-3</v>
      </c>
      <c r="K728" s="9"/>
      <c r="L728" s="9">
        <f ca="1">L727-O728*Prices!C728</f>
        <v>0.90451670900890102</v>
      </c>
      <c r="M728" s="1">
        <f t="shared" ca="1" si="76"/>
        <v>1.1194250514243172E-2</v>
      </c>
      <c r="N728" s="9">
        <f ca="1">IF(Prices!D727&gt;OFFSET(Prices!D727,-$N$3,0),1,IF(Prices!D727&lt;OFFSET(Prices!D727,-$N$3,0),-1,0))</f>
        <v>1</v>
      </c>
      <c r="O728" s="1">
        <f ca="1">IF(N728=1,O$3*L727/Prices!C727,O$3*M727*N728)</f>
        <v>1.0239039042437186E-3</v>
      </c>
      <c r="P728" s="14"/>
      <c r="Q728" s="9">
        <f ca="1">Q727-T728*Prices!C728</f>
        <v>0.78688946083806677</v>
      </c>
      <c r="R728" s="1">
        <f t="shared" ca="1" si="77"/>
        <v>1.2447137066585529E-2</v>
      </c>
      <c r="S728" s="9">
        <f ca="1">IF(Prices!C727&lt;OFFSET(Prices!C727,-S$3,0),1,IF(Prices!C727&gt;OFFSET(Prices!C727,-S$3,0),-1,0))</f>
        <v>1</v>
      </c>
      <c r="T728" s="1">
        <f ca="1">IF(S728=1,T$3*Q727/Prices!C727,T$3*R727*S728)</f>
        <v>1.6368295977827244E-4</v>
      </c>
    </row>
    <row r="729" spans="1:20" x14ac:dyDescent="0.2">
      <c r="A729" s="4">
        <v>34527</v>
      </c>
      <c r="B729" s="9">
        <f ca="1">Prices!C728*(1+J729/(50*(ABS(O729)+ABS(T729)+0.0001)))</f>
        <v>99.387691171130342</v>
      </c>
      <c r="C729" s="13">
        <f t="shared" ca="1" si="72"/>
        <v>1</v>
      </c>
      <c r="D729" s="9">
        <f ca="1">D728+C729*(Prices!C729-Prices!C728)/Prices!C728</f>
        <v>0.3384243570597098</v>
      </c>
      <c r="E729" s="9">
        <f t="shared" ca="1" si="73"/>
        <v>3.6981406234442404E-2</v>
      </c>
      <c r="F729" s="9">
        <f t="shared" ca="1" si="74"/>
        <v>0.37540576329415221</v>
      </c>
      <c r="G729" s="13">
        <f ca="1">IF((Prices!C729-Prices!C728)*C729&gt;0,1,0)</f>
        <v>0</v>
      </c>
      <c r="H729" s="9">
        <f>ABS(Prices!C729-Prices!C728)/Prices!C728</f>
        <v>3.5860655737704338E-3</v>
      </c>
      <c r="I729" s="13"/>
      <c r="J729" s="1">
        <f t="shared" ca="1" si="75"/>
        <v>1.0880067635005272E-3</v>
      </c>
      <c r="K729" s="9"/>
      <c r="L729" s="9">
        <f ca="1">L728-O729*Prices!C729</f>
        <v>0.81438940373111857</v>
      </c>
      <c r="M729" s="1">
        <f t="shared" ca="1" si="76"/>
        <v>1.212100943740803E-2</v>
      </c>
      <c r="N729" s="9">
        <f ca="1">IF(Prices!D728&gt;OFFSET(Prices!D728,-$N$3,0),1,IF(Prices!D728&lt;OFFSET(Prices!D728,-$N$3,0),-1,0))</f>
        <v>1</v>
      </c>
      <c r="O729" s="1">
        <f ca="1">IF(N729=1,O$3*L728/Prices!C728,O$3*M728*N729)</f>
        <v>9.2675892316485778E-4</v>
      </c>
      <c r="P729" s="14"/>
      <c r="Q729" s="9">
        <f ca="1">Q728-T729*Prices!C729</f>
        <v>0.77120810836542286</v>
      </c>
      <c r="R729" s="1">
        <f t="shared" ca="1" si="77"/>
        <v>1.2608384906921198E-2</v>
      </c>
      <c r="S729" s="9">
        <f ca="1">IF(Prices!C728&lt;OFFSET(Prices!C728,-S$3,0),1,IF(Prices!C728&gt;OFFSET(Prices!C728,-S$3,0),-1,0))</f>
        <v>1</v>
      </c>
      <c r="T729" s="1">
        <f ca="1">IF(S729=1,T$3*Q728/Prices!C728,T$3*R728*S729)</f>
        <v>1.6124784033566945E-4</v>
      </c>
    </row>
    <row r="730" spans="1:20" x14ac:dyDescent="0.2">
      <c r="A730" s="4">
        <v>34528</v>
      </c>
      <c r="B730" s="9">
        <f ca="1">Prices!C729*(1+J730/(50*(ABS(O730)+ABS(T730)+0.0001)))</f>
        <v>99.017539996967983</v>
      </c>
      <c r="C730" s="13">
        <f t="shared" ca="1" si="72"/>
        <v>1</v>
      </c>
      <c r="D730" s="9">
        <f ca="1">D729+C730*(Prices!C730-Prices!C729)/Prices!C729</f>
        <v>0.34922127222680488</v>
      </c>
      <c r="E730" s="9">
        <f t="shared" ca="1" si="73"/>
        <v>2.6184491067347326E-2</v>
      </c>
      <c r="F730" s="9">
        <f t="shared" ca="1" si="74"/>
        <v>0.37540576329415221</v>
      </c>
      <c r="G730" s="13">
        <f ca="1">IF((Prices!C730-Prices!C729)*C730&gt;0,1,0)</f>
        <v>1</v>
      </c>
      <c r="H730" s="9">
        <f>ABS(Prices!C730-Prices!C729)/Prices!C729</f>
        <v>1.0796915167095087E-2</v>
      </c>
      <c r="I730" s="13"/>
      <c r="J730" s="1">
        <f t="shared" ca="1" si="75"/>
        <v>9.9602161995290817E-4</v>
      </c>
      <c r="K730" s="9"/>
      <c r="L730" s="9">
        <f ca="1">L729-O730*Prices!C730</f>
        <v>0.7320711740275001</v>
      </c>
      <c r="M730" s="1">
        <f t="shared" ca="1" si="76"/>
        <v>1.2958427847414323E-2</v>
      </c>
      <c r="N730" s="9">
        <f ca="1">IF(Prices!D729&gt;OFFSET(Prices!D729,-$N$3,0),1,IF(Prices!D729&lt;OFFSET(Prices!D729,-$N$3,0),-1,0))</f>
        <v>1</v>
      </c>
      <c r="O730" s="1">
        <f ca="1">IF(N730=1,O$3*L729/Prices!C729,O$3*M729*N730)</f>
        <v>8.3741841000629165E-4</v>
      </c>
      <c r="P730" s="14"/>
      <c r="Q730" s="9">
        <f ca="1">Q729-T730*Prices!C730</f>
        <v>0.75561741282767048</v>
      </c>
      <c r="R730" s="1">
        <f t="shared" ca="1" si="77"/>
        <v>1.2766988116867814E-2</v>
      </c>
      <c r="S730" s="9">
        <f ca="1">IF(Prices!C729&lt;OFFSET(Prices!C729,-S$3,0),1,IF(Prices!C729&gt;OFFSET(Prices!C729,-S$3,0),-1,0))</f>
        <v>1</v>
      </c>
      <c r="T730" s="1">
        <f ca="1">IF(S730=1,T$3*Q729/Prices!C729,T$3*R729*S730)</f>
        <v>1.5860320994661651E-4</v>
      </c>
    </row>
    <row r="731" spans="1:20" x14ac:dyDescent="0.2">
      <c r="A731" s="4">
        <v>34529</v>
      </c>
      <c r="B731" s="9">
        <f ca="1">Prices!C730*(1+J731/(50*(ABS(O731)+ABS(T731)+0.0001)))</f>
        <v>96.850974945122502</v>
      </c>
      <c r="C731" s="13">
        <f t="shared" ca="1" si="72"/>
        <v>-1</v>
      </c>
      <c r="D731" s="9">
        <f ca="1">D730+C731*(Prices!C731-Prices!C730)/Prices!C730</f>
        <v>0.34616939023290866</v>
      </c>
      <c r="E731" s="9">
        <f t="shared" ca="1" si="73"/>
        <v>2.9236373061243548E-2</v>
      </c>
      <c r="F731" s="9">
        <f t="shared" ca="1" si="74"/>
        <v>0.37540576329415221</v>
      </c>
      <c r="G731" s="13">
        <f ca="1">IF((Prices!C731-Prices!C730)*C731&gt;0,1,0)</f>
        <v>0</v>
      </c>
      <c r="H731" s="9">
        <f>ABS(Prices!C731-Prices!C730)/Prices!C730</f>
        <v>3.0518819938962073E-3</v>
      </c>
      <c r="I731" s="13"/>
      <c r="J731" s="1">
        <f t="shared" ca="1" si="75"/>
        <v>-1.1421057729758839E-3</v>
      </c>
      <c r="K731" s="9"/>
      <c r="L731" s="9">
        <f ca="1">L730-O731*Prices!C731</f>
        <v>0.85984127260300536</v>
      </c>
      <c r="M731" s="1">
        <f t="shared" ca="1" si="76"/>
        <v>1.1662585062672891E-2</v>
      </c>
      <c r="N731" s="9">
        <f ca="1">IF(Prices!D730&gt;OFFSET(Prices!D730,-$N$3,0),1,IF(Prices!D730&lt;OFFSET(Prices!D730,-$N$3,0),-1,0))</f>
        <v>-1</v>
      </c>
      <c r="O731" s="1">
        <f ca="1">IF(N731=1,O$3*L730/Prices!C730,O$3*M730*N731)</f>
        <v>-1.2958427847414324E-3</v>
      </c>
      <c r="P731" s="14"/>
      <c r="Q731" s="9">
        <f ca="1">Q730-T731*Prices!C731</f>
        <v>0.74045894346758745</v>
      </c>
      <c r="R731" s="1">
        <f t="shared" ca="1" si="77"/>
        <v>1.2920725128633362E-2</v>
      </c>
      <c r="S731" s="9">
        <f ca="1">IF(Prices!C730&lt;OFFSET(Prices!C730,-S$3,0),1,IF(Prices!C730&gt;OFFSET(Prices!C730,-S$3,0),-1,0))</f>
        <v>1</v>
      </c>
      <c r="T731" s="1">
        <f ca="1">IF(S731=1,T$3*Q730/Prices!C730,T$3*R730*S731)</f>
        <v>1.5373701176554842E-4</v>
      </c>
    </row>
    <row r="732" spans="1:20" x14ac:dyDescent="0.2">
      <c r="A732" s="4">
        <v>34530</v>
      </c>
      <c r="B732" s="9">
        <f ca="1">Prices!C731*(1+J732/(50*(ABS(O732)+ABS(T732)+0.0001)))</f>
        <v>96.757339208378866</v>
      </c>
      <c r="C732" s="13">
        <f t="shared" ca="1" si="72"/>
        <v>-1</v>
      </c>
      <c r="D732" s="9">
        <f ca="1">D731+C732*(Prices!C732-Prices!C731)/Prices!C731</f>
        <v>0.35367446122682339</v>
      </c>
      <c r="E732" s="9">
        <f t="shared" ca="1" si="73"/>
        <v>2.1731302067328817E-2</v>
      </c>
      <c r="F732" s="9">
        <f t="shared" ca="1" si="74"/>
        <v>0.37540576329415221</v>
      </c>
      <c r="G732" s="13">
        <f ca="1">IF((Prices!C732-Prices!C731)*C732&gt;0,1,0)</f>
        <v>1</v>
      </c>
      <c r="H732" s="9">
        <f>ABS(Prices!C732-Prices!C731)/Prices!C731</f>
        <v>7.505070993914756E-3</v>
      </c>
      <c r="I732" s="13"/>
      <c r="J732" s="1">
        <f t="shared" ca="1" si="75"/>
        <v>-1.4246730088399563E-3</v>
      </c>
      <c r="K732" s="9"/>
      <c r="L732" s="9">
        <f ca="1">L731-O732*Prices!C732</f>
        <v>0.9739713300263223</v>
      </c>
      <c r="M732" s="1">
        <f t="shared" ca="1" si="76"/>
        <v>1.0496326556405602E-2</v>
      </c>
      <c r="N732" s="9">
        <f ca="1">IF(Prices!D731&gt;OFFSET(Prices!D731,-$N$3,0),1,IF(Prices!D731&lt;OFFSET(Prices!D731,-$N$3,0),-1,0))</f>
        <v>-1</v>
      </c>
      <c r="O732" s="1">
        <f ca="1">IF(N732=1,O$3*L731/Prices!C731,O$3*M731*N732)</f>
        <v>-1.166258506267289E-3</v>
      </c>
      <c r="P732" s="14"/>
      <c r="Q732" s="9">
        <f ca="1">Q731-T732*Prices!C732</f>
        <v>0.76574738668934872</v>
      </c>
      <c r="R732" s="1">
        <f t="shared" ca="1" si="77"/>
        <v>1.2662310626060694E-2</v>
      </c>
      <c r="S732" s="9">
        <f ca="1">IF(Prices!C731&lt;OFFSET(Prices!C731,-S$3,0),1,IF(Prices!C731&gt;OFFSET(Prices!C731,-S$3,0),-1,0))</f>
        <v>-1</v>
      </c>
      <c r="T732" s="1">
        <f ca="1">IF(S732=1,T$3*Q731/Prices!C731,T$3*R731*S732)</f>
        <v>-2.5841450257266724E-4</v>
      </c>
    </row>
    <row r="733" spans="1:20" x14ac:dyDescent="0.2">
      <c r="A733" s="4">
        <v>34533</v>
      </c>
      <c r="B733" s="9">
        <f ca="1">Prices!C732*(1+J733/(50*(ABS(O733)+ABS(T733)+0.0001)))</f>
        <v>96.042313114383461</v>
      </c>
      <c r="C733" s="13">
        <f t="shared" ca="1" si="72"/>
        <v>-1</v>
      </c>
      <c r="D733" s="9">
        <f ca="1">D732+C733*(Prices!C733-Prices!C732)/Prices!C732</f>
        <v>0.34764544017634308</v>
      </c>
      <c r="E733" s="9">
        <f t="shared" ca="1" si="73"/>
        <v>2.7760323117809127E-2</v>
      </c>
      <c r="F733" s="9">
        <f t="shared" ca="1" si="74"/>
        <v>0.37540576329415221</v>
      </c>
      <c r="G733" s="13">
        <f ca="1">IF((Prices!C733-Prices!C732)*C733&gt;0,1,0)</f>
        <v>0</v>
      </c>
      <c r="H733" s="9">
        <f>ABS(Prices!C733-Prices!C732)/Prices!C732</f>
        <v>6.0290210504803125E-3</v>
      </c>
      <c r="I733" s="13"/>
      <c r="J733" s="1">
        <f t="shared" ca="1" si="75"/>
        <v>-1.3028788681617742E-3</v>
      </c>
      <c r="K733" s="9"/>
      <c r="L733" s="9">
        <f ca="1">L732-O733*Prices!C733</f>
        <v>1.0773076649741355</v>
      </c>
      <c r="M733" s="1">
        <f t="shared" ca="1" si="76"/>
        <v>9.4466939007650415E-3</v>
      </c>
      <c r="N733" s="9">
        <f ca="1">IF(Prices!D732&gt;OFFSET(Prices!D732,-$N$3,0),1,IF(Prices!D732&lt;OFFSET(Prices!D732,-$N$3,0),-1,0))</f>
        <v>-1</v>
      </c>
      <c r="O733" s="1">
        <f ca="1">IF(N733=1,O$3*L732/Prices!C732,O$3*M732*N733)</f>
        <v>-1.0496326556405603E-3</v>
      </c>
      <c r="P733" s="14"/>
      <c r="Q733" s="9">
        <f ca="1">Q732-T733*Prices!C733</f>
        <v>0.79067947631206226</v>
      </c>
      <c r="R733" s="1">
        <f t="shared" ca="1" si="77"/>
        <v>1.240906441353948E-2</v>
      </c>
      <c r="S733" s="9">
        <f ca="1">IF(Prices!C732&lt;OFFSET(Prices!C732,-S$3,0),1,IF(Prices!C732&gt;OFFSET(Prices!C732,-S$3,0),-1,0))</f>
        <v>-1</v>
      </c>
      <c r="T733" s="1">
        <f ca="1">IF(S733=1,T$3*Q732/Prices!C732,T$3*R732*S733)</f>
        <v>-2.5324621252121389E-4</v>
      </c>
    </row>
    <row r="734" spans="1:20" x14ac:dyDescent="0.2">
      <c r="A734" s="4">
        <v>34534</v>
      </c>
      <c r="B734" s="9">
        <f ca="1">Prices!C733*(1+J734/(50*(ABS(O734)+ABS(T734)+0.0001)))</f>
        <v>96.633299104063354</v>
      </c>
      <c r="C734" s="13">
        <f t="shared" ca="1" si="72"/>
        <v>-1</v>
      </c>
      <c r="D734" s="9">
        <f ca="1">D733+C734*(Prices!C734-Prices!C733)/Prices!C733</f>
        <v>0.33901161590006074</v>
      </c>
      <c r="E734" s="9">
        <f t="shared" ca="1" si="73"/>
        <v>3.6394147394091469E-2</v>
      </c>
      <c r="F734" s="9">
        <f t="shared" ca="1" si="74"/>
        <v>0.37540576329415221</v>
      </c>
      <c r="G734" s="13">
        <f ca="1">IF((Prices!C734-Prices!C733)*C734&gt;0,1,0)</f>
        <v>0</v>
      </c>
      <c r="H734" s="9">
        <f>ABS(Prices!C734-Prices!C733)/Prices!C733</f>
        <v>8.6338242762823182E-3</v>
      </c>
      <c r="I734" s="13"/>
      <c r="J734" s="1">
        <f t="shared" ca="1" si="75"/>
        <v>-1.1928506783472938E-3</v>
      </c>
      <c r="K734" s="9"/>
      <c r="L734" s="9">
        <f ca="1">L733-O734*Prices!C734</f>
        <v>1.1711133354087324</v>
      </c>
      <c r="M734" s="1">
        <f t="shared" ca="1" si="76"/>
        <v>8.502024510688537E-3</v>
      </c>
      <c r="N734" s="9">
        <f ca="1">IF(Prices!D733&gt;OFFSET(Prices!D733,-$N$3,0),1,IF(Prices!D733&lt;OFFSET(Prices!D733,-$N$3,0),-1,0))</f>
        <v>-1</v>
      </c>
      <c r="O734" s="1">
        <f ca="1">IF(N734=1,O$3*L733/Prices!C733,O$3*M733*N734)</f>
        <v>-9.4466939007650417E-4</v>
      </c>
      <c r="P734" s="14"/>
      <c r="Q734" s="9">
        <f ca="1">Q733-T734*Prices!C734</f>
        <v>0.81532387823735164</v>
      </c>
      <c r="R734" s="1">
        <f t="shared" ca="1" si="77"/>
        <v>1.216088312526869E-2</v>
      </c>
      <c r="S734" s="9">
        <f ca="1">IF(Prices!C733&lt;OFFSET(Prices!C733,-S$3,0),1,IF(Prices!C733&gt;OFFSET(Prices!C733,-S$3,0),-1,0))</f>
        <v>-1</v>
      </c>
      <c r="T734" s="1">
        <f ca="1">IF(S734=1,T$3*Q733/Prices!C733,T$3*R733*S734)</f>
        <v>-2.4818128827078961E-4</v>
      </c>
    </row>
    <row r="735" spans="1:20" x14ac:dyDescent="0.2">
      <c r="A735" s="4">
        <v>34535</v>
      </c>
      <c r="B735" s="9">
        <f ca="1">Prices!C734*(1+J735/(50*(ABS(O735)+ABS(T735)+0.0001)))</f>
        <v>97.480412479344935</v>
      </c>
      <c r="C735" s="13">
        <f t="shared" ca="1" si="72"/>
        <v>-1</v>
      </c>
      <c r="D735" s="9">
        <f ca="1">D734+C735*(Prices!C735-Prices!C734)/Prices!C734</f>
        <v>0.34354333795444142</v>
      </c>
      <c r="E735" s="9">
        <f t="shared" ca="1" si="73"/>
        <v>3.1862425339710787E-2</v>
      </c>
      <c r="F735" s="9">
        <f t="shared" ca="1" si="74"/>
        <v>0.37540576329415221</v>
      </c>
      <c r="G735" s="13">
        <f ca="1">IF((Prices!C735-Prices!C734)*C735&gt;0,1,0)</f>
        <v>1</v>
      </c>
      <c r="H735" s="9">
        <f>ABS(Prices!C735-Prices!C734)/Prices!C734</f>
        <v>4.5317220543806937E-3</v>
      </c>
      <c r="I735" s="13"/>
      <c r="J735" s="1">
        <f t="shared" ca="1" si="75"/>
        <v>-1.0934201135742276E-3</v>
      </c>
      <c r="K735" s="9"/>
      <c r="L735" s="9">
        <f ca="1">L734-O735*Prices!C735</f>
        <v>1.2551558476968885</v>
      </c>
      <c r="M735" s="1">
        <f t="shared" ca="1" si="76"/>
        <v>7.6518220596196833E-3</v>
      </c>
      <c r="N735" s="9">
        <f ca="1">IF(Prices!D734&gt;OFFSET(Prices!D734,-$N$3,0),1,IF(Prices!D734&lt;OFFSET(Prices!D734,-$N$3,0),-1,0))</f>
        <v>-1</v>
      </c>
      <c r="O735" s="1">
        <f ca="1">IF(N735=1,O$3*L734/Prices!C734,O$3*M734*N735)</f>
        <v>-8.502024510688537E-4</v>
      </c>
      <c r="P735" s="14"/>
      <c r="Q735" s="9">
        <f ca="1">Q734-T735*Prices!C735</f>
        <v>0.83936594417600785</v>
      </c>
      <c r="R735" s="1">
        <f t="shared" ca="1" si="77"/>
        <v>1.1917665462763316E-2</v>
      </c>
      <c r="S735" s="9">
        <f ca="1">IF(Prices!C734&lt;OFFSET(Prices!C734,-S$3,0),1,IF(Prices!C734&gt;OFFSET(Prices!C734,-S$3,0),-1,0))</f>
        <v>-1</v>
      </c>
      <c r="T735" s="1">
        <f ca="1">IF(S735=1,T$3*Q734/Prices!C734,T$3*R734*S735)</f>
        <v>-2.432176625053738E-4</v>
      </c>
    </row>
    <row r="736" spans="1:20" x14ac:dyDescent="0.2">
      <c r="A736" s="4">
        <v>34536</v>
      </c>
      <c r="B736" s="9">
        <f ca="1">Prices!C735*(1+J736/(50*(ABS(O736)+ABS(T736)+0.0001)))</f>
        <v>100.11800123117742</v>
      </c>
      <c r="C736" s="13">
        <f t="shared" ca="1" si="72"/>
        <v>1</v>
      </c>
      <c r="D736" s="9">
        <f ca="1">D735+C736*(Prices!C736-Prices!C735)/Prices!C735</f>
        <v>0.34607242242586278</v>
      </c>
      <c r="E736" s="9">
        <f t="shared" ca="1" si="73"/>
        <v>2.9333340868289426E-2</v>
      </c>
      <c r="F736" s="9">
        <f t="shared" ca="1" si="74"/>
        <v>0.37540576329415221</v>
      </c>
      <c r="G736" s="13">
        <f ca="1">IF((Prices!C736-Prices!C735)*C736&gt;0,1,0)</f>
        <v>1</v>
      </c>
      <c r="H736" s="9">
        <f>ABS(Prices!C736-Prices!C735)/Prices!C735</f>
        <v>2.5290844714213456E-3</v>
      </c>
      <c r="I736" s="13"/>
      <c r="J736" s="1">
        <f t="shared" ca="1" si="75"/>
        <v>1.0314047561942922E-3</v>
      </c>
      <c r="K736" s="9"/>
      <c r="L736" s="9">
        <f ca="1">L735-O736*Prices!C736</f>
        <v>1.1293228234108372</v>
      </c>
      <c r="M736" s="1">
        <f t="shared" ca="1" si="76"/>
        <v>8.9215801250692416E-3</v>
      </c>
      <c r="N736" s="9">
        <f ca="1">IF(Prices!D735&gt;OFFSET(Prices!D735,-$N$3,0),1,IF(Prices!D735&lt;OFFSET(Prices!D735,-$N$3,0),-1,0))</f>
        <v>1</v>
      </c>
      <c r="O736" s="1">
        <f ca="1">IF(N736=1,O$3*L735/Prices!C735,O$3*M735*N736)</f>
        <v>1.2697580654495585E-3</v>
      </c>
      <c r="P736" s="14"/>
      <c r="Q736" s="9">
        <f ca="1">Q735-T736*Prices!C736</f>
        <v>0.86298675712320472</v>
      </c>
      <c r="R736" s="1">
        <f t="shared" ca="1" si="77"/>
        <v>1.1679312153508051E-2</v>
      </c>
      <c r="S736" s="9">
        <f ca="1">IF(Prices!C735&lt;OFFSET(Prices!C735,-S$3,0),1,IF(Prices!C735&gt;OFFSET(Prices!C735,-S$3,0),-1,0))</f>
        <v>-1</v>
      </c>
      <c r="T736" s="1">
        <f ca="1">IF(S736=1,T$3*Q735/Prices!C735,T$3*R735*S736)</f>
        <v>-2.3835330925526635E-4</v>
      </c>
    </row>
    <row r="737" spans="1:20" x14ac:dyDescent="0.2">
      <c r="A737" s="4">
        <v>34537</v>
      </c>
      <c r="B737" s="9">
        <f ca="1">Prices!C736*(1+J737/(50*(ABS(O737)+ABS(T737)+0.0001)))</f>
        <v>100.31892481456403</v>
      </c>
      <c r="C737" s="13">
        <f t="shared" ca="1" si="72"/>
        <v>1</v>
      </c>
      <c r="D737" s="9">
        <f ca="1">D736+C737*(Prices!C737-Prices!C736)/Prices!C736</f>
        <v>0.34455879982243198</v>
      </c>
      <c r="E737" s="9">
        <f t="shared" ca="1" si="73"/>
        <v>3.0846963471720223E-2</v>
      </c>
      <c r="F737" s="9">
        <f t="shared" ca="1" si="74"/>
        <v>0.37540576329415221</v>
      </c>
      <c r="G737" s="13">
        <f ca="1">IF((Prices!C737-Prices!C736)*C737&gt;0,1,0)</f>
        <v>0</v>
      </c>
      <c r="H737" s="9">
        <f>ABS(Prices!C737-Prices!C736)/Prices!C736</f>
        <v>1.5136226034307919E-3</v>
      </c>
      <c r="I737" s="13"/>
      <c r="J737" s="1">
        <f t="shared" ca="1" si="75"/>
        <v>9.0599279165318636E-4</v>
      </c>
      <c r="K737" s="9"/>
      <c r="L737" s="9">
        <f ca="1">L736-O737*Prices!C737</f>
        <v>1.0165614779249621</v>
      </c>
      <c r="M737" s="1">
        <f t="shared" ca="1" si="76"/>
        <v>1.0061159159792589E-2</v>
      </c>
      <c r="N737" s="9">
        <f ca="1">IF(Prices!D736&gt;OFFSET(Prices!D736,-$N$3,0),1,IF(Prices!D736&lt;OFFSET(Prices!D736,-$N$3,0),-1,0))</f>
        <v>1</v>
      </c>
      <c r="O737" s="1">
        <f ca="1">IF(N737=1,O$3*L736/Prices!C736,O$3*M736*N737)</f>
        <v>1.1395790347233474E-3</v>
      </c>
      <c r="P737" s="14"/>
      <c r="Q737" s="9">
        <f ca="1">Q736-T737*Prices!C737</f>
        <v>0.88610011587499715</v>
      </c>
      <c r="R737" s="1">
        <f t="shared" ca="1" si="77"/>
        <v>1.144572591043789E-2</v>
      </c>
      <c r="S737" s="9">
        <f ca="1">IF(Prices!C736&lt;OFFSET(Prices!C736,-S$3,0),1,IF(Prices!C736&gt;OFFSET(Prices!C736,-S$3,0),-1,0))</f>
        <v>-1</v>
      </c>
      <c r="T737" s="1">
        <f ca="1">IF(S737=1,T$3*Q736/Prices!C736,T$3*R736*S737)</f>
        <v>-2.3358624307016101E-4</v>
      </c>
    </row>
    <row r="738" spans="1:20" x14ac:dyDescent="0.2">
      <c r="A738" s="4">
        <v>34540</v>
      </c>
      <c r="B738" s="9">
        <f ca="1">Prices!C737*(1+J738/(50*(ABS(O738)+ABS(T738)+0.0001)))</f>
        <v>100.11504021829884</v>
      </c>
      <c r="C738" s="13">
        <f t="shared" ca="1" si="72"/>
        <v>1</v>
      </c>
      <c r="D738" s="9">
        <f ca="1">D737+C738*(Prices!C738-Prices!C737)/Prices!C737</f>
        <v>0.34102165985275024</v>
      </c>
      <c r="E738" s="9">
        <f t="shared" ca="1" si="73"/>
        <v>3.438410344140197E-2</v>
      </c>
      <c r="F738" s="9">
        <f t="shared" ca="1" si="74"/>
        <v>0.37540576329415221</v>
      </c>
      <c r="G738" s="13">
        <f ca="1">IF((Prices!C738-Prices!C737)*C738&gt;0,1,0)</f>
        <v>0</v>
      </c>
      <c r="H738" s="9">
        <f>ABS(Prices!C738-Prices!C737)/Prices!C737</f>
        <v>3.5371399696817437E-3</v>
      </c>
      <c r="I738" s="13"/>
      <c r="J738" s="1">
        <f t="shared" ca="1" si="75"/>
        <v>7.984341204218255E-4</v>
      </c>
      <c r="K738" s="9"/>
      <c r="L738" s="9">
        <f ca="1">L737-O738*Prices!C738</f>
        <v>0.91526490215598655</v>
      </c>
      <c r="M738" s="1">
        <f t="shared" ca="1" si="76"/>
        <v>1.1088507798423172E-2</v>
      </c>
      <c r="N738" s="9">
        <f ca="1">IF(Prices!D737&gt;OFFSET(Prices!D737,-$N$3,0),1,IF(Prices!D737&lt;OFFSET(Prices!D737,-$N$3,0),-1,0))</f>
        <v>1</v>
      </c>
      <c r="O738" s="1">
        <f ca="1">IF(N738=1,O$3*L737/Prices!C737,O$3*M737*N738)</f>
        <v>1.0273486386305833E-3</v>
      </c>
      <c r="P738" s="14"/>
      <c r="Q738" s="9">
        <f ca="1">Q737-T738*Prices!C738</f>
        <v>0.90867108737038071</v>
      </c>
      <c r="R738" s="1">
        <f t="shared" ca="1" si="77"/>
        <v>1.1216811392229133E-2</v>
      </c>
      <c r="S738" s="9">
        <f ca="1">IF(Prices!C737&lt;OFFSET(Prices!C737,-S$3,0),1,IF(Prices!C737&gt;OFFSET(Prices!C737,-S$3,0),-1,0))</f>
        <v>-1</v>
      </c>
      <c r="T738" s="1">
        <f ca="1">IF(S738=1,T$3*Q737/Prices!C737,T$3*R737*S738)</f>
        <v>-2.2891451820875782E-4</v>
      </c>
    </row>
    <row r="739" spans="1:20" x14ac:dyDescent="0.2">
      <c r="A739" s="4">
        <v>34541</v>
      </c>
      <c r="B739" s="9">
        <f ca="1">Prices!C738*(1+J739/(50*(ABS(O739)+ABS(T739)+0.0001)))</f>
        <v>97.291336075208108</v>
      </c>
      <c r="C739" s="13">
        <f t="shared" ca="1" si="72"/>
        <v>-1</v>
      </c>
      <c r="D739" s="9">
        <f ca="1">D738+C739*(Prices!C739-Prices!C738)/Prices!C738</f>
        <v>0.34406425620163461</v>
      </c>
      <c r="E739" s="9">
        <f t="shared" ca="1" si="73"/>
        <v>3.1341507092517595E-2</v>
      </c>
      <c r="F739" s="9">
        <f t="shared" ca="1" si="74"/>
        <v>0.37540576329415221</v>
      </c>
      <c r="G739" s="13">
        <f ca="1">IF((Prices!C739-Prices!C738)*C739&gt;0,1,0)</f>
        <v>1</v>
      </c>
      <c r="H739" s="9">
        <f>ABS(Prices!C739-Prices!C738)/Prices!C738</f>
        <v>3.0425963488843527E-3</v>
      </c>
      <c r="I739" s="13"/>
      <c r="J739" s="1">
        <f t="shared" ca="1" si="75"/>
        <v>-9.2453615765765581E-4</v>
      </c>
      <c r="K739" s="9"/>
      <c r="L739" s="9">
        <f ca="1">L738-O739*Prices!C739</f>
        <v>1.0242649338144862</v>
      </c>
      <c r="M739" s="1">
        <f t="shared" ca="1" si="76"/>
        <v>9.979657018580855E-3</v>
      </c>
      <c r="N739" s="9">
        <f ca="1">IF(Prices!D738&gt;OFFSET(Prices!D738,-$N$3,0),1,IF(Prices!D738&lt;OFFSET(Prices!D738,-$N$3,0),-1,0))</f>
        <v>-1</v>
      </c>
      <c r="O739" s="1">
        <f ca="1">IF(N739=1,O$3*L738/Prices!C738,O$3*M738*N739)</f>
        <v>-1.1088507798423172E-3</v>
      </c>
      <c r="P739" s="14"/>
      <c r="Q739" s="9">
        <f ca="1">Q738-T739*Prices!C739</f>
        <v>0.89055296000962847</v>
      </c>
      <c r="R739" s="1">
        <f t="shared" ca="1" si="77"/>
        <v>1.1401126014413794E-2</v>
      </c>
      <c r="S739" s="9">
        <f ca="1">IF(Prices!C738&lt;OFFSET(Prices!C738,-S$3,0),1,IF(Prices!C738&gt;OFFSET(Prices!C738,-S$3,0),-1,0))</f>
        <v>1</v>
      </c>
      <c r="T739" s="1">
        <f ca="1">IF(S739=1,T$3*Q738/Prices!C738,T$3*R738*S739)</f>
        <v>1.8431462218466141E-4</v>
      </c>
    </row>
    <row r="740" spans="1:20" x14ac:dyDescent="0.2">
      <c r="A740" s="4">
        <v>34542</v>
      </c>
      <c r="B740" s="9">
        <f ca="1">Prices!C739*(1+J740/(50*(ABS(O740)+ABS(T740)+0.0001)))</f>
        <v>97.044657641147822</v>
      </c>
      <c r="C740" s="13">
        <f t="shared" ca="1" si="72"/>
        <v>-1</v>
      </c>
      <c r="D740" s="9">
        <f ca="1">D739+C740*(Prices!C740-Prices!C739)/Prices!C739</f>
        <v>0.34233485640509337</v>
      </c>
      <c r="E740" s="9">
        <f t="shared" ca="1" si="73"/>
        <v>3.3070906889058838E-2</v>
      </c>
      <c r="F740" s="9">
        <f t="shared" ca="1" si="74"/>
        <v>0.37540576329415221</v>
      </c>
      <c r="G740" s="13">
        <f ca="1">IF((Prices!C740-Prices!C739)*C740&gt;0,1,0)</f>
        <v>0</v>
      </c>
      <c r="H740" s="9">
        <f>ABS(Prices!C740-Prices!C739)/Prices!C739</f>
        <v>1.7293997965412177E-3</v>
      </c>
      <c r="I740" s="13"/>
      <c r="J740" s="1">
        <f t="shared" ca="1" si="75"/>
        <v>-8.1677486564046017E-4</v>
      </c>
      <c r="K740" s="9"/>
      <c r="L740" s="9">
        <f ca="1">L739-O740*Prices!C740</f>
        <v>1.122534616476452</v>
      </c>
      <c r="M740" s="1">
        <f t="shared" ca="1" si="76"/>
        <v>8.9816913167227695E-3</v>
      </c>
      <c r="N740" s="9">
        <f ca="1">IF(Prices!D739&gt;OFFSET(Prices!D739,-$N$3,0),1,IF(Prices!D739&lt;OFFSET(Prices!D739,-$N$3,0),-1,0))</f>
        <v>-1</v>
      </c>
      <c r="O740" s="1">
        <f ca="1">IF(N740=1,O$3*L739/Prices!C739,O$3*M739*N740)</f>
        <v>-9.979657018580855E-4</v>
      </c>
      <c r="P740" s="14"/>
      <c r="Q740" s="9">
        <f ca="1">Q739-T740*Prices!C740</f>
        <v>0.87271109836727889</v>
      </c>
      <c r="R740" s="1">
        <f t="shared" ca="1" si="77"/>
        <v>1.158231685063142E-2</v>
      </c>
      <c r="S740" s="9">
        <f ca="1">IF(Prices!C739&lt;OFFSET(Prices!C739,-S$3,0),1,IF(Prices!C739&gt;OFFSET(Prices!C739,-S$3,0),-1,0))</f>
        <v>1</v>
      </c>
      <c r="T740" s="1">
        <f ca="1">IF(S740=1,T$3*Q739/Prices!C739,T$3*R739*S740)</f>
        <v>1.8119083621762535E-4</v>
      </c>
    </row>
    <row r="741" spans="1:20" x14ac:dyDescent="0.2">
      <c r="A741" s="4">
        <v>34543</v>
      </c>
      <c r="B741" s="9">
        <f ca="1">Prices!C740*(1+J741/(50*(ABS(O741)+ABS(T741)+0.0001)))</f>
        <v>100.30043883225086</v>
      </c>
      <c r="C741" s="13">
        <f t="shared" ca="1" si="72"/>
        <v>1</v>
      </c>
      <c r="D741" s="9">
        <f ca="1">D740+C741*(Prices!C741-Prices!C740)/Prices!C740</f>
        <v>0.35939589022249974</v>
      </c>
      <c r="E741" s="9">
        <f t="shared" ca="1" si="73"/>
        <v>1.600987307165247E-2</v>
      </c>
      <c r="F741" s="9">
        <f t="shared" ca="1" si="74"/>
        <v>0.37540576329415221</v>
      </c>
      <c r="G741" s="13">
        <f ca="1">IF((Prices!C741-Prices!C740)*C741&gt;0,1,0)</f>
        <v>1</v>
      </c>
      <c r="H741" s="9">
        <f>ABS(Prices!C741-Prices!C740)/Prices!C740</f>
        <v>1.7061033817406385E-2</v>
      </c>
      <c r="I741" s="13"/>
      <c r="J741" s="1">
        <f t="shared" ca="1" si="75"/>
        <v>1.3172304622219031E-3</v>
      </c>
      <c r="K741" s="9"/>
      <c r="L741" s="9">
        <f ca="1">L740-O741*Prices!C741</f>
        <v>1.0083659947235155</v>
      </c>
      <c r="M741" s="1">
        <f t="shared" ca="1" si="76"/>
        <v>1.0121667569872411E-2</v>
      </c>
      <c r="N741" s="9">
        <f ca="1">IF(Prices!D740&gt;OFFSET(Prices!D740,-$N$3,0),1,IF(Prices!D740&lt;OFFSET(Prices!D740,-$N$3,0),-1,0))</f>
        <v>1</v>
      </c>
      <c r="O741" s="1">
        <f ca="1">IF(N741=1,O$3*L740/Prices!C740,O$3*M740*N741)</f>
        <v>1.1399762531496417E-3</v>
      </c>
      <c r="P741" s="14"/>
      <c r="Q741" s="9">
        <f ca="1">Q740-T741*Prices!C741</f>
        <v>0.85495908932869191</v>
      </c>
      <c r="R741" s="1">
        <f t="shared" ca="1" si="77"/>
        <v>1.1759571059703681E-2</v>
      </c>
      <c r="S741" s="9">
        <f ca="1">IF(Prices!C740&lt;OFFSET(Prices!C740,-S$3,0),1,IF(Prices!C740&gt;OFFSET(Prices!C740,-S$3,0),-1,0))</f>
        <v>1</v>
      </c>
      <c r="T741" s="1">
        <f ca="1">IF(S741=1,T$3*Q740/Prices!C740,T$3*R740*S741)</f>
        <v>1.7725420907226138E-4</v>
      </c>
    </row>
    <row r="742" spans="1:20" x14ac:dyDescent="0.2">
      <c r="A742" s="4">
        <v>34544</v>
      </c>
      <c r="B742" s="9">
        <f ca="1">Prices!C741*(1+J742/(50*(ABS(O742)+ABS(T742)+0.0001)))</f>
        <v>101.30170587942604</v>
      </c>
      <c r="C742" s="13">
        <f t="shared" ca="1" si="72"/>
        <v>1</v>
      </c>
      <c r="D742" s="9">
        <f ca="1">D741+C742*(Prices!C742-Prices!C741)/Prices!C741</f>
        <v>0.35939589022249974</v>
      </c>
      <c r="E742" s="9">
        <f t="shared" ca="1" si="73"/>
        <v>1.600987307165247E-2</v>
      </c>
      <c r="F742" s="9">
        <f t="shared" ca="1" si="74"/>
        <v>0.37540576329415221</v>
      </c>
      <c r="G742" s="13">
        <f ca="1">IF((Prices!C742-Prices!C741)*C742&gt;0,1,0)</f>
        <v>0</v>
      </c>
      <c r="H742" s="9">
        <f>ABS(Prices!C742-Prices!C741)/Prices!C741</f>
        <v>0</v>
      </c>
      <c r="I742" s="13"/>
      <c r="J742" s="1">
        <f t="shared" ca="1" si="75"/>
        <v>7.7166428996270687E-4</v>
      </c>
      <c r="K742" s="9"/>
      <c r="L742" s="9">
        <f ca="1">L741-O742*Prices!C742</f>
        <v>0.90752939525116394</v>
      </c>
      <c r="M742" s="1">
        <f t="shared" ca="1" si="76"/>
        <v>1.1128523281029191E-2</v>
      </c>
      <c r="N742" s="9">
        <f ca="1">IF(Prices!D741&gt;OFFSET(Prices!D741,-$N$3,0),1,IF(Prices!D741&lt;OFFSET(Prices!D741,-$N$3,0),-1,0))</f>
        <v>1</v>
      </c>
      <c r="O742" s="1">
        <f ca="1">IF(N742=1,O$3*L741/Prices!C741,O$3*M741*N742)</f>
        <v>1.0068557111567805E-3</v>
      </c>
      <c r="P742" s="14"/>
      <c r="Q742" s="9">
        <f ca="1">Q741-T742*Prices!C742</f>
        <v>0.87851351016127843</v>
      </c>
      <c r="R742" s="1">
        <f t="shared" ca="1" si="77"/>
        <v>1.1524379638509608E-2</v>
      </c>
      <c r="S742" s="9">
        <f ca="1">IF(Prices!C741&lt;OFFSET(Prices!C741,-S$3,0),1,IF(Prices!C741&gt;OFFSET(Prices!C741,-S$3,0),-1,0))</f>
        <v>-1</v>
      </c>
      <c r="T742" s="1">
        <f ca="1">IF(S742=1,T$3*Q741/Prices!C741,T$3*R741*S742)</f>
        <v>-2.3519142119407362E-4</v>
      </c>
    </row>
    <row r="743" spans="1:20" x14ac:dyDescent="0.2">
      <c r="A743" s="4">
        <v>34547</v>
      </c>
      <c r="B743" s="9">
        <f ca="1">Prices!C742*(1+J743/(50*(ABS(O743)+ABS(T743)+0.0001)))</f>
        <v>98.285775348137562</v>
      </c>
      <c r="C743" s="13">
        <f t="shared" ca="1" si="72"/>
        <v>-1</v>
      </c>
      <c r="D743" s="9">
        <f ca="1">D742+C743*(Prices!C743-Prices!C742)/Prices!C742</f>
        <v>0.36678480684756221</v>
      </c>
      <c r="E743" s="9">
        <f t="shared" ca="1" si="73"/>
        <v>8.6209564465900002E-3</v>
      </c>
      <c r="F743" s="9">
        <f t="shared" ca="1" si="74"/>
        <v>0.37540576329415221</v>
      </c>
      <c r="G743" s="13">
        <f ca="1">IF((Prices!C743-Prices!C742)*C743&gt;0,1,0)</f>
        <v>1</v>
      </c>
      <c r="H743" s="9">
        <f>ABS(Prices!C743-Prices!C742)/Prices!C742</f>
        <v>7.3889166250624971E-3</v>
      </c>
      <c r="I743" s="13"/>
      <c r="J743" s="1">
        <f t="shared" ca="1" si="75"/>
        <v>-1.3433399208731113E-3</v>
      </c>
      <c r="K743" s="9"/>
      <c r="L743" s="9">
        <f ca="1">L742-O743*Prices!C743</f>
        <v>1.0181580451878751</v>
      </c>
      <c r="M743" s="1">
        <f t="shared" ca="1" si="76"/>
        <v>1.0015670952926272E-2</v>
      </c>
      <c r="N743" s="9">
        <f ca="1">IF(Prices!D742&gt;OFFSET(Prices!D742,-$N$3,0),1,IF(Prices!D742&lt;OFFSET(Prices!D742,-$N$3,0),-1,0))</f>
        <v>-1</v>
      </c>
      <c r="O743" s="1">
        <f ca="1">IF(N743=1,O$3*L742/Prices!C742,O$3*M742*N743)</f>
        <v>-1.1128523281029191E-3</v>
      </c>
      <c r="P743" s="14"/>
      <c r="Q743" s="9">
        <f ca="1">Q742-T743*Prices!C743</f>
        <v>0.90142628175856321</v>
      </c>
      <c r="R743" s="1">
        <f t="shared" ca="1" si="77"/>
        <v>1.1293892045739416E-2</v>
      </c>
      <c r="S743" s="9">
        <f ca="1">IF(Prices!C742&lt;OFFSET(Prices!C742,-S$3,0),1,IF(Prices!C742&gt;OFFSET(Prices!C742,-S$3,0),-1,0))</f>
        <v>-1</v>
      </c>
      <c r="T743" s="1">
        <f ca="1">IF(S743=1,T$3*Q742/Prices!C742,T$3*R742*S743)</f>
        <v>-2.3048759277019215E-4</v>
      </c>
    </row>
    <row r="744" spans="1:20" x14ac:dyDescent="0.2">
      <c r="A744" s="4">
        <v>34548</v>
      </c>
      <c r="B744" s="9">
        <f ca="1">Prices!C743*(1+J744/(50*(ABS(O744)+ABS(T744)+0.0001)))</f>
        <v>97.57157645744617</v>
      </c>
      <c r="C744" s="13">
        <f t="shared" ca="1" si="72"/>
        <v>-1</v>
      </c>
      <c r="D744" s="9">
        <f ca="1">D743+C744*(Prices!C744-Prices!C743)/Prices!C743</f>
        <v>0.35672545668158295</v>
      </c>
      <c r="E744" s="9">
        <f t="shared" ca="1" si="73"/>
        <v>1.8680306612569253E-2</v>
      </c>
      <c r="F744" s="9">
        <f t="shared" ca="1" si="74"/>
        <v>0.37540576329415221</v>
      </c>
      <c r="G744" s="13">
        <f ca="1">IF((Prices!C744-Prices!C743)*C744&gt;0,1,0)</f>
        <v>0</v>
      </c>
      <c r="H744" s="9">
        <f>ABS(Prices!C744-Prices!C743)/Prices!C743</f>
        <v>1.0059350165979279E-2</v>
      </c>
      <c r="I744" s="13"/>
      <c r="J744" s="1">
        <f t="shared" ca="1" si="75"/>
        <v>-1.2274449362074155E-3</v>
      </c>
      <c r="K744" s="9"/>
      <c r="L744" s="9">
        <f ca="1">L743-O744*Prices!C744</f>
        <v>1.1187253972262079</v>
      </c>
      <c r="M744" s="1">
        <f t="shared" ca="1" si="76"/>
        <v>9.0141038576336437E-3</v>
      </c>
      <c r="N744" s="9">
        <f ca="1">IF(Prices!D743&gt;OFFSET(Prices!D743,-$N$3,0),1,IF(Prices!D743&lt;OFFSET(Prices!D743,-$N$3,0),-1,0))</f>
        <v>-1</v>
      </c>
      <c r="O744" s="1">
        <f ca="1">IF(N744=1,O$3*L743/Prices!C743,O$3*M743*N744)</f>
        <v>-1.0015670952926272E-3</v>
      </c>
      <c r="P744" s="14"/>
      <c r="Q744" s="9">
        <f ca="1">Q743-T744*Prices!C744</f>
        <v>0.92410667576481709</v>
      </c>
      <c r="R744" s="1">
        <f t="shared" ca="1" si="77"/>
        <v>1.1068014204824627E-2</v>
      </c>
      <c r="S744" s="9">
        <f ca="1">IF(Prices!C743&lt;OFFSET(Prices!C743,-S$3,0),1,IF(Prices!C743&gt;OFFSET(Prices!C743,-S$3,0),-1,0))</f>
        <v>-1</v>
      </c>
      <c r="T744" s="1">
        <f ca="1">IF(S744=1,T$3*Q743/Prices!C743,T$3*R743*S744)</f>
        <v>-2.258778409147883E-4</v>
      </c>
    </row>
    <row r="745" spans="1:20" x14ac:dyDescent="0.2">
      <c r="A745" s="4">
        <v>34549</v>
      </c>
      <c r="B745" s="9">
        <f ca="1">Prices!C744*(1+J745/(50*(ABS(O745)+ABS(T745)+0.0001)))</f>
        <v>98.566033576213457</v>
      </c>
      <c r="C745" s="13">
        <f t="shared" ca="1" si="72"/>
        <v>-1</v>
      </c>
      <c r="D745" s="9">
        <f ca="1">D744+C745*(Prices!C745-Prices!C744)/Prices!C744</f>
        <v>0.35782096509707939</v>
      </c>
      <c r="E745" s="9">
        <f t="shared" ca="1" si="73"/>
        <v>1.7584798197072815E-2</v>
      </c>
      <c r="F745" s="9">
        <f t="shared" ca="1" si="74"/>
        <v>0.37540576329415221</v>
      </c>
      <c r="G745" s="13">
        <f ca="1">IF((Prices!C745-Prices!C744)*C745&gt;0,1,0)</f>
        <v>1</v>
      </c>
      <c r="H745" s="9">
        <f>ABS(Prices!C745-Prices!C744)/Prices!C744</f>
        <v>1.0955084154964589E-3</v>
      </c>
      <c r="I745" s="13"/>
      <c r="J745" s="1">
        <f t="shared" ca="1" si="75"/>
        <v>-1.122770669859857E-3</v>
      </c>
      <c r="K745" s="9"/>
      <c r="L745" s="9">
        <f ca="1">L744-O745*Prices!C745</f>
        <v>1.2091368589182734</v>
      </c>
      <c r="M745" s="1">
        <f t="shared" ca="1" si="76"/>
        <v>8.1126934718702796E-3</v>
      </c>
      <c r="N745" s="9">
        <f ca="1">IF(Prices!D744&gt;OFFSET(Prices!D744,-$N$3,0),1,IF(Prices!D744&lt;OFFSET(Prices!D744,-$N$3,0),-1,0))</f>
        <v>-1</v>
      </c>
      <c r="O745" s="1">
        <f ca="1">IF(N745=1,O$3*L744/Prices!C744,O$3*M744*N745)</f>
        <v>-9.0141038576336445E-4</v>
      </c>
      <c r="P745" s="14"/>
      <c r="Q745" s="9">
        <f ca="1">Q744-T745*Prices!C745</f>
        <v>0.94630911225969527</v>
      </c>
      <c r="R745" s="1">
        <f t="shared" ca="1" si="77"/>
        <v>1.0846653920728134E-2</v>
      </c>
      <c r="S745" s="9">
        <f ca="1">IF(Prices!C744&lt;OFFSET(Prices!C744,-S$3,0),1,IF(Prices!C744&gt;OFFSET(Prices!C744,-S$3,0),-1,0))</f>
        <v>-1</v>
      </c>
      <c r="T745" s="1">
        <f ca="1">IF(S745=1,T$3*Q744/Prices!C744,T$3*R744*S745)</f>
        <v>-2.2136028409649254E-4</v>
      </c>
    </row>
    <row r="746" spans="1:20" x14ac:dyDescent="0.2">
      <c r="A746" s="4">
        <v>34550</v>
      </c>
      <c r="B746" s="9">
        <f ca="1">Prices!C745*(1+J746/(50*(ABS(O746)+ABS(T746)+0.0001)))</f>
        <v>98.471804971384486</v>
      </c>
      <c r="C746" s="13">
        <f t="shared" ca="1" si="72"/>
        <v>-1</v>
      </c>
      <c r="D746" s="9">
        <f ca="1">D745+C746*(Prices!C746-Prices!C745)/Prices!C745</f>
        <v>0.35482993817783715</v>
      </c>
      <c r="E746" s="9">
        <f t="shared" ca="1" si="73"/>
        <v>2.0575825116315061E-2</v>
      </c>
      <c r="F746" s="9">
        <f t="shared" ca="1" si="74"/>
        <v>0.37540576329415221</v>
      </c>
      <c r="G746" s="13">
        <f ca="1">IF((Prices!C746-Prices!C745)*C746&gt;0,1,0)</f>
        <v>0</v>
      </c>
      <c r="H746" s="9">
        <f>ABS(Prices!C746-Prices!C745)/Prices!C745</f>
        <v>2.9910269192422448E-3</v>
      </c>
      <c r="I746" s="13"/>
      <c r="J746" s="1">
        <f t="shared" ca="1" si="75"/>
        <v>-1.0282024256015906E-3</v>
      </c>
      <c r="K746" s="9"/>
      <c r="L746" s="9">
        <f ca="1">L745-O746*Prices!C746</f>
        <v>1.2907505552452885</v>
      </c>
      <c r="M746" s="1">
        <f t="shared" ca="1" si="76"/>
        <v>7.3014241246832515E-3</v>
      </c>
      <c r="N746" s="9">
        <f ca="1">IF(Prices!D745&gt;OFFSET(Prices!D745,-$N$3,0),1,IF(Prices!D745&lt;OFFSET(Prices!D745,-$N$3,0),-1,0))</f>
        <v>-1</v>
      </c>
      <c r="O746" s="1">
        <f ca="1">IF(N746=1,O$3*L745/Prices!C745,O$3*M745*N746)</f>
        <v>-8.1126934718702803E-4</v>
      </c>
      <c r="P746" s="14"/>
      <c r="Q746" s="9">
        <f ca="1">Q745-T746*Prices!C746</f>
        <v>0.96813257994820023</v>
      </c>
      <c r="R746" s="1">
        <f t="shared" ca="1" si="77"/>
        <v>1.0629720842313572E-2</v>
      </c>
      <c r="S746" s="9">
        <f ca="1">IF(Prices!C745&lt;OFFSET(Prices!C745,-S$3,0),1,IF(Prices!C745&gt;OFFSET(Prices!C745,-S$3,0),-1,0))</f>
        <v>-1</v>
      </c>
      <c r="T746" s="1">
        <f ca="1">IF(S746=1,T$3*Q745/Prices!C745,T$3*R745*S746)</f>
        <v>-2.1693307841456268E-4</v>
      </c>
    </row>
    <row r="747" spans="1:20" x14ac:dyDescent="0.2">
      <c r="A747" s="4">
        <v>34551</v>
      </c>
      <c r="B747" s="9">
        <f ca="1">Prices!C746*(1+J747/(50*(ABS(O747)+ABS(T747)+0.0001)))</f>
        <v>101.94977322963875</v>
      </c>
      <c r="C747" s="13">
        <f t="shared" ca="1" si="72"/>
        <v>1</v>
      </c>
      <c r="D747" s="9">
        <f ca="1">D746+C747*(Prices!C747-Prices!C746)/Prices!C746</f>
        <v>0.35135081292932824</v>
      </c>
      <c r="E747" s="9">
        <f t="shared" ca="1" si="73"/>
        <v>2.4054950364823968E-2</v>
      </c>
      <c r="F747" s="9">
        <f t="shared" ca="1" si="74"/>
        <v>0.37540576329415221</v>
      </c>
      <c r="G747" s="13">
        <f ca="1">IF((Prices!C747-Prices!C746)*C747&gt;0,1,0)</f>
        <v>0</v>
      </c>
      <c r="H747" s="9">
        <f>ABS(Prices!C747-Prices!C746)/Prices!C746</f>
        <v>3.4791252485088901E-3</v>
      </c>
      <c r="I747" s="13"/>
      <c r="J747" s="1">
        <f t="shared" ca="1" si="75"/>
        <v>1.07045782494825E-3</v>
      </c>
      <c r="K747" s="9"/>
      <c r="L747" s="9">
        <f ca="1">L746-O747*Prices!C747</f>
        <v>1.1621245680053878</v>
      </c>
      <c r="M747" s="1">
        <f t="shared" ca="1" si="76"/>
        <v>8.5844763664777723E-3</v>
      </c>
      <c r="N747" s="9">
        <f ca="1">IF(Prices!D746&gt;OFFSET(Prices!D746,-$N$3,0),1,IF(Prices!D746&lt;OFFSET(Prices!D746,-$N$3,0),-1,0))</f>
        <v>1</v>
      </c>
      <c r="O747" s="1">
        <f ca="1">IF(N747=1,O$3*L746/Prices!C746,O$3*M746*N747)</f>
        <v>1.2830522417945215E-3</v>
      </c>
      <c r="P747" s="14"/>
      <c r="Q747" s="9">
        <f ca="1">Q746-T747*Prices!C747</f>
        <v>0.98944517023703893</v>
      </c>
      <c r="R747" s="1">
        <f t="shared" ca="1" si="77"/>
        <v>1.0417126425467301E-2</v>
      </c>
      <c r="S747" s="9">
        <f ca="1">IF(Prices!C746&lt;OFFSET(Prices!C746,-S$3,0),1,IF(Prices!C746&gt;OFFSET(Prices!C746,-S$3,0),-1,0))</f>
        <v>-1</v>
      </c>
      <c r="T747" s="1">
        <f ca="1">IF(S747=1,T$3*Q746/Prices!C746,T$3*R746*S747)</f>
        <v>-2.1259441684627145E-4</v>
      </c>
    </row>
    <row r="748" spans="1:20" x14ac:dyDescent="0.2">
      <c r="A748" s="4">
        <v>34554</v>
      </c>
      <c r="B748" s="9">
        <f ca="1">Prices!C747*(1+J748/(50*(ABS(O748)+ABS(T748)+0.0001)))</f>
        <v>101.54910234342525</v>
      </c>
      <c r="C748" s="13">
        <f t="shared" ca="1" si="72"/>
        <v>1</v>
      </c>
      <c r="D748" s="9">
        <f ca="1">D747+C748*(Prices!C748-Prices!C747)/Prices!C747</f>
        <v>0.36391939148294428</v>
      </c>
      <c r="E748" s="9">
        <f t="shared" ca="1" si="73"/>
        <v>1.1486371811207929E-2</v>
      </c>
      <c r="F748" s="9">
        <f t="shared" ca="1" si="74"/>
        <v>0.37540576329415221</v>
      </c>
      <c r="G748" s="13">
        <f ca="1">IF((Prices!C748-Prices!C747)*C748&gt;0,1,0)</f>
        <v>1</v>
      </c>
      <c r="H748" s="9">
        <f>ABS(Prices!C748-Prices!C747)/Prices!C747</f>
        <v>1.2568578553616011E-2</v>
      </c>
      <c r="I748" s="13"/>
      <c r="J748" s="1">
        <f t="shared" ca="1" si="75"/>
        <v>9.5088397324166426E-4</v>
      </c>
      <c r="K748" s="9"/>
      <c r="L748" s="9">
        <f ca="1">L747-O748*Prices!C748</f>
        <v>1.0444514858126428</v>
      </c>
      <c r="M748" s="1">
        <f t="shared" ca="1" si="76"/>
        <v>9.7437028682287822E-3</v>
      </c>
      <c r="N748" s="9">
        <f ca="1">IF(Prices!D747&gt;OFFSET(Prices!D747,-$N$3,0),1,IF(Prices!D747&lt;OFFSET(Prices!D747,-$N$3,0),-1,0))</f>
        <v>1</v>
      </c>
      <c r="O748" s="1">
        <f ca="1">IF(N748=1,O$3*L747/Prices!C747,O$3*M747*N748)</f>
        <v>1.1592265017510103E-3</v>
      </c>
      <c r="P748" s="14"/>
      <c r="Q748" s="9">
        <f ca="1">Q747-T748*Prices!C748</f>
        <v>1.0105940203060226</v>
      </c>
      <c r="R748" s="1">
        <f t="shared" ca="1" si="77"/>
        <v>1.0208783896957955E-2</v>
      </c>
      <c r="S748" s="9">
        <f ca="1">IF(Prices!C747&lt;OFFSET(Prices!C747,-S$3,0),1,IF(Prices!C747&gt;OFFSET(Prices!C747,-S$3,0),-1,0))</f>
        <v>-1</v>
      </c>
      <c r="T748" s="1">
        <f ca="1">IF(S748=1,T$3*Q747/Prices!C747,T$3*R747*S748)</f>
        <v>-2.0834252850934602E-4</v>
      </c>
    </row>
    <row r="749" spans="1:20" x14ac:dyDescent="0.2">
      <c r="A749" s="4">
        <v>34555</v>
      </c>
      <c r="B749" s="9">
        <f ca="1">Prices!C748*(1+J749/(50*(ABS(O749)+ABS(T749)+0.0001)))</f>
        <v>102.76601783861064</v>
      </c>
      <c r="C749" s="13">
        <f t="shared" ca="1" si="72"/>
        <v>1</v>
      </c>
      <c r="D749" s="9">
        <f ca="1">D748+C749*(Prices!C749-Prices!C748)/Prices!C748</f>
        <v>0.36204765470824218</v>
      </c>
      <c r="E749" s="9">
        <f t="shared" ca="1" si="73"/>
        <v>1.3358108585910022E-2</v>
      </c>
      <c r="F749" s="9">
        <f t="shared" ca="1" si="74"/>
        <v>0.37540576329415221</v>
      </c>
      <c r="G749" s="13">
        <f ca="1">IF((Prices!C749-Prices!C748)*C749&gt;0,1,0)</f>
        <v>0</v>
      </c>
      <c r="H749" s="9">
        <f>ABS(Prices!C749-Prices!C748)/Prices!C748</f>
        <v>1.8717367747021173E-3</v>
      </c>
      <c r="I749" s="13"/>
      <c r="J749" s="1">
        <f t="shared" ca="1" si="75"/>
        <v>8.2473919331750817E-4</v>
      </c>
      <c r="K749" s="9"/>
      <c r="L749" s="9">
        <f ca="1">L748-O749*Prices!C749</f>
        <v>0.94020183105691735</v>
      </c>
      <c r="M749" s="1">
        <f t="shared" ca="1" si="76"/>
        <v>1.077261773948545E-2</v>
      </c>
      <c r="N749" s="9">
        <f ca="1">IF(Prices!D748&gt;OFFSET(Prices!D748,-$N$3,0),1,IF(Prices!D748&lt;OFFSET(Prices!D748,-$N$3,0),-1,0))</f>
        <v>1</v>
      </c>
      <c r="O749" s="1">
        <f ca="1">IF(N749=1,O$3*L748/Prices!C748,O$3*M748*N749)</f>
        <v>1.0289148712566672E-3</v>
      </c>
      <c r="P749" s="14"/>
      <c r="Q749" s="9">
        <f ca="1">Q748-T749*Prices!C749</f>
        <v>1.0312810999948183</v>
      </c>
      <c r="R749" s="1">
        <f t="shared" ca="1" si="77"/>
        <v>1.0004608219018796E-2</v>
      </c>
      <c r="S749" s="9">
        <f ca="1">IF(Prices!C748&lt;OFFSET(Prices!C748,-S$3,0),1,IF(Prices!C748&gt;OFFSET(Prices!C748,-S$3,0),-1,0))</f>
        <v>-1</v>
      </c>
      <c r="T749" s="1">
        <f ca="1">IF(S749=1,T$3*Q748/Prices!C748,T$3*R748*S749)</f>
        <v>-2.0417567793915909E-4</v>
      </c>
    </row>
    <row r="750" spans="1:20" x14ac:dyDescent="0.2">
      <c r="A750" s="4">
        <v>34556</v>
      </c>
      <c r="B750" s="9">
        <f ca="1">Prices!C749*(1+J750/(50*(ABS(O750)+ABS(T750)+0.0001)))</f>
        <v>102.52104465135061</v>
      </c>
      <c r="C750" s="13">
        <f t="shared" ca="1" si="72"/>
        <v>1</v>
      </c>
      <c r="D750" s="9">
        <f ca="1">D749+C750*(Prices!C750-Prices!C749)/Prices!C749</f>
        <v>0.36234374629924099</v>
      </c>
      <c r="E750" s="9">
        <f t="shared" ca="1" si="73"/>
        <v>1.3062016994911219E-2</v>
      </c>
      <c r="F750" s="9">
        <f t="shared" ca="1" si="74"/>
        <v>0.37540576329415221</v>
      </c>
      <c r="G750" s="13">
        <f ca="1">IF((Prices!C750-Prices!C749)*C750&gt;0,1,0)</f>
        <v>1</v>
      </c>
      <c r="H750" s="9">
        <f>ABS(Prices!C750-Prices!C749)/Prices!C749</f>
        <v>2.9609159099882687E-4</v>
      </c>
      <c r="I750" s="13"/>
      <c r="J750" s="1">
        <f t="shared" ca="1" si="75"/>
        <v>7.2786068901176527E-4</v>
      </c>
      <c r="K750" s="9"/>
      <c r="L750" s="9">
        <f ca="1">L749-O750*Prices!C750</f>
        <v>0.84615380936562379</v>
      </c>
      <c r="M750" s="1">
        <f t="shared" ca="1" si="76"/>
        <v>1.1700570592877591E-2</v>
      </c>
      <c r="N750" s="9">
        <f ca="1">IF(Prices!D749&gt;OFFSET(Prices!D749,-$N$3,0),1,IF(Prices!D749&lt;OFFSET(Prices!D749,-$N$3,0),-1,0))</f>
        <v>1</v>
      </c>
      <c r="O750" s="1">
        <f ca="1">IF(N750=1,O$3*L749/Prices!C749,O$3*M749*N750)</f>
        <v>9.2795285339214125E-4</v>
      </c>
      <c r="P750" s="14"/>
      <c r="Q750" s="9">
        <f ca="1">Q749-T750*Prices!C750</f>
        <v>1.0515604408547694</v>
      </c>
      <c r="R750" s="1">
        <f t="shared" ca="1" si="77"/>
        <v>9.8045160546384198E-3</v>
      </c>
      <c r="S750" s="9">
        <f ca="1">IF(Prices!C749&lt;OFFSET(Prices!C749,-S$3,0),1,IF(Prices!C749&gt;OFFSET(Prices!C749,-S$3,0),-1,0))</f>
        <v>-1</v>
      </c>
      <c r="T750" s="1">
        <f ca="1">IF(S750=1,T$3*Q749/Prices!C749,T$3*R749*S750)</f>
        <v>-2.0009216438037592E-4</v>
      </c>
    </row>
    <row r="751" spans="1:20" x14ac:dyDescent="0.2">
      <c r="A751" s="4">
        <v>34557</v>
      </c>
      <c r="B751" s="9">
        <f ca="1">Prices!C750*(1+J751/(50*(ABS(O751)+ABS(T751)+0.0001)))</f>
        <v>102.49488347272968</v>
      </c>
      <c r="C751" s="13">
        <f t="shared" ca="1" si="72"/>
        <v>1</v>
      </c>
      <c r="D751" s="9">
        <f ca="1">D750+C751*(Prices!C751-Prices!C750)/Prices!C750</f>
        <v>0.35149026825286711</v>
      </c>
      <c r="E751" s="9">
        <f t="shared" ca="1" si="73"/>
        <v>2.3915495041285095E-2</v>
      </c>
      <c r="F751" s="9">
        <f t="shared" ca="1" si="74"/>
        <v>0.37540576329415221</v>
      </c>
      <c r="G751" s="13">
        <f ca="1">IF((Prices!C751-Prices!C750)*C751&gt;0,1,0)</f>
        <v>0</v>
      </c>
      <c r="H751" s="9">
        <f>ABS(Prices!C751-Prices!C750)/Prices!C750</f>
        <v>1.0853478046373896E-2</v>
      </c>
      <c r="I751" s="13"/>
      <c r="J751" s="1">
        <f t="shared" ca="1" si="75"/>
        <v>6.3879256925318518E-4</v>
      </c>
      <c r="K751" s="9"/>
      <c r="L751" s="9">
        <f ca="1">L750-O751*Prices!C751</f>
        <v>0.76245679960844193</v>
      </c>
      <c r="M751" s="1">
        <f t="shared" ca="1" si="76"/>
        <v>1.2535453483223545E-2</v>
      </c>
      <c r="N751" s="9">
        <f ca="1">IF(Prices!D750&gt;OFFSET(Prices!D750,-$N$3,0),1,IF(Prices!D750&lt;OFFSET(Prices!D750,-$N$3,0),-1,0))</f>
        <v>1</v>
      </c>
      <c r="O751" s="1">
        <f ca="1">IF(N751=1,O$3*L750/Prices!C750,O$3*M750*N751)</f>
        <v>8.3488289034595355E-4</v>
      </c>
      <c r="P751" s="14"/>
      <c r="Q751" s="9">
        <f ca="1">Q750-T751*Prices!C751</f>
        <v>1.0712184955443194</v>
      </c>
      <c r="R751" s="1">
        <f t="shared" ca="1" si="77"/>
        <v>9.6084257335456516E-3</v>
      </c>
      <c r="S751" s="9">
        <f ca="1">IF(Prices!C750&lt;OFFSET(Prices!C750,-S$3,0),1,IF(Prices!C750&gt;OFFSET(Prices!C750,-S$3,0),-1,0))</f>
        <v>-1</v>
      </c>
      <c r="T751" s="1">
        <f ca="1">IF(S751=1,T$3*Q750/Prices!C750,T$3*R750*S751)</f>
        <v>-1.960903210927684E-4</v>
      </c>
    </row>
    <row r="752" spans="1:20" x14ac:dyDescent="0.2">
      <c r="A752" s="4">
        <v>34558</v>
      </c>
      <c r="B752" s="9">
        <f ca="1">Prices!C751*(1+J752/(50*(ABS(O752)+ABS(T752)+0.0001)))</f>
        <v>102.02201093570699</v>
      </c>
      <c r="C752" s="13">
        <f t="shared" ca="1" si="72"/>
        <v>1</v>
      </c>
      <c r="D752" s="9">
        <f ca="1">D751+C752*(Prices!C752-Prices!C751)/Prices!C751</f>
        <v>0.3504927620184532</v>
      </c>
      <c r="E752" s="9">
        <f t="shared" ca="1" si="73"/>
        <v>2.4913001275699009E-2</v>
      </c>
      <c r="F752" s="9">
        <f t="shared" ca="1" si="74"/>
        <v>0.37540576329415221</v>
      </c>
      <c r="G752" s="13">
        <f ca="1">IF((Prices!C752-Prices!C751)*C752&gt;0,1,0)</f>
        <v>0</v>
      </c>
      <c r="H752" s="9">
        <f>ABS(Prices!C752-Prices!C751)/Prices!C751</f>
        <v>9.9750623441390842E-4</v>
      </c>
      <c r="I752" s="13"/>
      <c r="J752" s="1">
        <f t="shared" ca="1" si="75"/>
        <v>7.6055541108074008E-4</v>
      </c>
      <c r="K752" s="9"/>
      <c r="L752" s="9">
        <f ca="1">L751-O752*Prices!C752</f>
        <v>0.68628717518870586</v>
      </c>
      <c r="M752" s="1">
        <f t="shared" ca="1" si="76"/>
        <v>1.3296008894304285E-2</v>
      </c>
      <c r="N752" s="9">
        <f ca="1">IF(Prices!D751&gt;OFFSET(Prices!D751,-$N$3,0),1,IF(Prices!D751&lt;OFFSET(Prices!D751,-$N$3,0),-1,0))</f>
        <v>1</v>
      </c>
      <c r="O752" s="1">
        <f ca="1">IF(N752=1,O$3*L751/Prices!C751,O$3*M751*N752)</f>
        <v>7.6055541108074008E-4</v>
      </c>
      <c r="P752" s="14"/>
      <c r="Q752" s="9">
        <f ca="1">Q751-T752*Prices!C752</f>
        <v>1.0712184955443194</v>
      </c>
      <c r="R752" s="1">
        <f t="shared" ca="1" si="77"/>
        <v>9.6084257335456516E-3</v>
      </c>
      <c r="S752" s="9">
        <f ca="1">IF(Prices!C751&lt;OFFSET(Prices!C751,-S$3,0),1,IF(Prices!C751&gt;OFFSET(Prices!C751,-S$3,0),-1,0))</f>
        <v>0</v>
      </c>
      <c r="T752" s="1">
        <f ca="1">IF(S752=1,T$3*Q751/Prices!C751,T$3*R751*S752)</f>
        <v>0</v>
      </c>
    </row>
    <row r="753" spans="1:20" x14ac:dyDescent="0.2">
      <c r="A753" s="4">
        <v>34561</v>
      </c>
      <c r="B753" s="9">
        <f ca="1">Prices!C752*(1+J753/(50*(ABS(O753)+ABS(T753)+0.0001)))</f>
        <v>98.79029756465232</v>
      </c>
      <c r="C753" s="13">
        <f t="shared" ca="1" si="72"/>
        <v>-1</v>
      </c>
      <c r="D753" s="9">
        <f ca="1">D752+C753*(Prices!C753-Prices!C752)/Prices!C752</f>
        <v>0.34999351089513819</v>
      </c>
      <c r="E753" s="9">
        <f t="shared" ca="1" si="73"/>
        <v>2.5412252399014013E-2</v>
      </c>
      <c r="F753" s="9">
        <f t="shared" ca="1" si="74"/>
        <v>0.37540576329415221</v>
      </c>
      <c r="G753" s="13">
        <f ca="1">IF((Prices!C753-Prices!C752)*C753&gt;0,1,0)</f>
        <v>0</v>
      </c>
      <c r="H753" s="9">
        <f>ABS(Prices!C753-Prices!C752)/Prices!C752</f>
        <v>4.9925112331499909E-4</v>
      </c>
      <c r="I753" s="13"/>
      <c r="J753" s="1">
        <f t="shared" ca="1" si="75"/>
        <v>-1.1156780745438947E-3</v>
      </c>
      <c r="K753" s="9"/>
      <c r="L753" s="9">
        <f ca="1">L752-O753*Prices!C753</f>
        <v>0.81951318430963482</v>
      </c>
      <c r="M753" s="1">
        <f t="shared" ca="1" si="76"/>
        <v>1.1966408004873856E-2</v>
      </c>
      <c r="N753" s="9">
        <f ca="1">IF(Prices!D752&gt;OFFSET(Prices!D752,-$N$3,0),1,IF(Prices!D752&lt;OFFSET(Prices!D752,-$N$3,0),-1,0))</f>
        <v>-1</v>
      </c>
      <c r="O753" s="1">
        <f ca="1">IF(N753=1,O$3*L752/Prices!C752,O$3*M752*N753)</f>
        <v>-1.3296008894304286E-3</v>
      </c>
      <c r="P753" s="14"/>
      <c r="Q753" s="9">
        <f ca="1">Q752-T753*Prices!C753</f>
        <v>1.0497834294926887</v>
      </c>
      <c r="R753" s="1">
        <f t="shared" ca="1" si="77"/>
        <v>9.8223485484321849E-3</v>
      </c>
      <c r="S753" s="9">
        <f ca="1">IF(Prices!C752&lt;OFFSET(Prices!C752,-S$3,0),1,IF(Prices!C752&gt;OFFSET(Prices!C752,-S$3,0),-1,0))</f>
        <v>1</v>
      </c>
      <c r="T753" s="1">
        <f ca="1">IF(S753=1,T$3*Q752/Prices!C752,T$3*R752*S753)</f>
        <v>2.1392281488653408E-4</v>
      </c>
    </row>
    <row r="754" spans="1:20" x14ac:dyDescent="0.2">
      <c r="A754" s="4">
        <v>34562</v>
      </c>
      <c r="B754" s="9">
        <f ca="1">Prices!C753*(1+J754/(50*(ABS(O754)+ABS(T754)+0.0001)))</f>
        <v>98.886639791331135</v>
      </c>
      <c r="C754" s="13">
        <f t="shared" ca="1" si="72"/>
        <v>-1</v>
      </c>
      <c r="D754" s="9">
        <f ca="1">D753+C754*(Prices!C754-Prices!C753)/Prices!C753</f>
        <v>0.34620109572547758</v>
      </c>
      <c r="E754" s="9">
        <f t="shared" ca="1" si="73"/>
        <v>2.9204667568674625E-2</v>
      </c>
      <c r="F754" s="9">
        <f t="shared" ca="1" si="74"/>
        <v>0.37540576329415221</v>
      </c>
      <c r="G754" s="13">
        <f ca="1">IF((Prices!C754-Prices!C753)*C754&gt;0,1,0)</f>
        <v>0</v>
      </c>
      <c r="H754" s="9">
        <f>ABS(Prices!C754-Prices!C753)/Prices!C753</f>
        <v>3.7924151696606331E-3</v>
      </c>
      <c r="I754" s="13"/>
      <c r="J754" s="1">
        <f t="shared" ca="1" si="75"/>
        <v>-9.871031898102023E-4</v>
      </c>
      <c r="K754" s="9"/>
      <c r="L754" s="9">
        <f ca="1">L753-O754*Prices!C754</f>
        <v>0.93987131602265606</v>
      </c>
      <c r="M754" s="1">
        <f t="shared" ca="1" si="76"/>
        <v>1.0769767204386471E-2</v>
      </c>
      <c r="N754" s="9">
        <f ca="1">IF(Prices!D753&gt;OFFSET(Prices!D753,-$N$3,0),1,IF(Prices!D753&lt;OFFSET(Prices!D753,-$N$3,0),-1,0))</f>
        <v>-1</v>
      </c>
      <c r="O754" s="1">
        <f ca="1">IF(N754=1,O$3*L753/Prices!C753,O$3*M753*N754)</f>
        <v>-1.1966408004873857E-3</v>
      </c>
      <c r="P754" s="14"/>
      <c r="Q754" s="9">
        <f ca="1">Q753-T754*Prices!C754</f>
        <v>1.0287081366107775</v>
      </c>
      <c r="R754" s="1">
        <f t="shared" ca="1" si="77"/>
        <v>1.0031886159109368E-2</v>
      </c>
      <c r="S754" s="9">
        <f ca="1">IF(Prices!C753&lt;OFFSET(Prices!C753,-S$3,0),1,IF(Prices!C753&gt;OFFSET(Prices!C753,-S$3,0),-1,0))</f>
        <v>1</v>
      </c>
      <c r="T754" s="1">
        <f ca="1">IF(S754=1,T$3*Q753/Prices!C753,T$3*R753*S754)</f>
        <v>2.0953761067718334E-4</v>
      </c>
    </row>
    <row r="755" spans="1:20" x14ac:dyDescent="0.2">
      <c r="A755" s="4">
        <v>34563</v>
      </c>
      <c r="B755" s="9">
        <f ca="1">Prices!C754*(1+J755/(50*(ABS(O755)+ABS(T755)+0.0001)))</f>
        <v>99.309697749880996</v>
      </c>
      <c r="C755" s="13">
        <f t="shared" ca="1" si="72"/>
        <v>-1</v>
      </c>
      <c r="D755" s="9">
        <f ca="1">D754+C755*(Prices!C755-Prices!C754)/Prices!C754</f>
        <v>0.35067514623253665</v>
      </c>
      <c r="E755" s="9">
        <f t="shared" ca="1" si="73"/>
        <v>2.4730617061615556E-2</v>
      </c>
      <c r="F755" s="9">
        <f t="shared" ca="1" si="74"/>
        <v>0.37540576329415221</v>
      </c>
      <c r="G755" s="13">
        <f ca="1">IF((Prices!C755-Prices!C754)*C755&gt;0,1,0)</f>
        <v>1</v>
      </c>
      <c r="H755" s="9">
        <f>ABS(Prices!C755-Prices!C754)/Prices!C754</f>
        <v>4.4740505070590859E-3</v>
      </c>
      <c r="I755" s="13"/>
      <c r="J755" s="1">
        <f t="shared" ca="1" si="75"/>
        <v>-8.7242151331779264E-4</v>
      </c>
      <c r="K755" s="9"/>
      <c r="L755" s="9">
        <f ca="1">L754-O755*Prices!C755</f>
        <v>1.0477089950401779</v>
      </c>
      <c r="M755" s="1">
        <f t="shared" ca="1" si="76"/>
        <v>9.6927904839478243E-3</v>
      </c>
      <c r="N755" s="9">
        <f ca="1">IF(Prices!D754&gt;OFFSET(Prices!D754,-$N$3,0),1,IF(Prices!D754&lt;OFFSET(Prices!D754,-$N$3,0),-1,0))</f>
        <v>-1</v>
      </c>
      <c r="O755" s="1">
        <f ca="1">IF(N755=1,O$3*L754/Prices!C754,O$3*M754*N755)</f>
        <v>-1.0769767204386472E-3</v>
      </c>
      <c r="P755" s="14"/>
      <c r="Q755" s="9">
        <f ca="1">Q754-T755*Prices!C755</f>
        <v>1.0082260237217664</v>
      </c>
      <c r="R755" s="1">
        <f t="shared" ca="1" si="77"/>
        <v>1.0236441366230222E-2</v>
      </c>
      <c r="S755" s="9">
        <f ca="1">IF(Prices!C754&lt;OFFSET(Prices!C754,-S$3,0),1,IF(Prices!C754&gt;OFFSET(Prices!C754,-S$3,0),-1,0))</f>
        <v>1</v>
      </c>
      <c r="T755" s="1">
        <f ca="1">IF(S755=1,T$3*Q754/Prices!C754,T$3*R754*S755)</f>
        <v>2.0455520712085457E-4</v>
      </c>
    </row>
    <row r="756" spans="1:20" x14ac:dyDescent="0.2">
      <c r="A756" s="4">
        <v>34564</v>
      </c>
      <c r="B756" s="9">
        <f ca="1">Prices!C755*(1+J756/(50*(ABS(O756)+ABS(T756)+0.0001)))</f>
        <v>98.919774729610197</v>
      </c>
      <c r="C756" s="13">
        <f t="shared" ca="1" si="72"/>
        <v>-1</v>
      </c>
      <c r="D756" s="9">
        <f ca="1">D755+C756*(Prices!C756-Prices!C755)/Prices!C755</f>
        <v>0.36615502239352732</v>
      </c>
      <c r="E756" s="9">
        <f t="shared" ca="1" si="73"/>
        <v>9.2507409006248875E-3</v>
      </c>
      <c r="F756" s="9">
        <f t="shared" ca="1" si="74"/>
        <v>0.37540576329415221</v>
      </c>
      <c r="G756" s="13">
        <f ca="1">IF((Prices!C756-Prices!C755)*C756&gt;0,1,0)</f>
        <v>1</v>
      </c>
      <c r="H756" s="9">
        <f>ABS(Prices!C756-Prices!C755)/Prices!C755</f>
        <v>1.5479876160990684E-2</v>
      </c>
      <c r="I756" s="13"/>
      <c r="J756" s="1">
        <f t="shared" ca="1" si="75"/>
        <v>-7.6789564207864025E-4</v>
      </c>
      <c r="K756" s="9"/>
      <c r="L756" s="9">
        <f ca="1">L755-O756*Prices!C756</f>
        <v>1.1432605236309357</v>
      </c>
      <c r="M756" s="1">
        <f t="shared" ca="1" si="76"/>
        <v>8.7235114355530413E-3</v>
      </c>
      <c r="N756" s="9">
        <f ca="1">IF(Prices!D755&gt;OFFSET(Prices!D755,-$N$3,0),1,IF(Prices!D755&lt;OFFSET(Prices!D755,-$N$3,0),-1,0))</f>
        <v>-1</v>
      </c>
      <c r="O756" s="1">
        <f ca="1">IF(N756=1,O$3*L755/Prices!C755,O$3*M755*N756)</f>
        <v>-9.6927904839478251E-4</v>
      </c>
      <c r="P756" s="14"/>
      <c r="Q756" s="9">
        <f ca="1">Q755-T756*Prices!C756</f>
        <v>0.98837364752712109</v>
      </c>
      <c r="R756" s="1">
        <f t="shared" ca="1" si="77"/>
        <v>1.0437824772546364E-2</v>
      </c>
      <c r="S756" s="9">
        <f ca="1">IF(Prices!C755&lt;OFFSET(Prices!C755,-S$3,0),1,IF(Prices!C755&gt;OFFSET(Prices!C755,-S$3,0),-1,0))</f>
        <v>1</v>
      </c>
      <c r="T756" s="1">
        <f ca="1">IF(S756=1,T$3*Q755/Prices!C755,T$3*R755*S756)</f>
        <v>2.0138340631614232E-4</v>
      </c>
    </row>
    <row r="757" spans="1:20" x14ac:dyDescent="0.2">
      <c r="A757" s="4">
        <v>34565</v>
      </c>
      <c r="B757" s="9">
        <f ca="1">Prices!C756*(1+J757/(50*(ABS(O757)+ABS(T757)+0.0001)))</f>
        <v>100.41658209895552</v>
      </c>
      <c r="C757" s="13">
        <f t="shared" ca="1" si="72"/>
        <v>1</v>
      </c>
      <c r="D757" s="9">
        <f ca="1">D756+C757*(Prices!C757-Prices!C756)/Prices!C756</f>
        <v>0.36686510557470003</v>
      </c>
      <c r="E757" s="9">
        <f t="shared" ca="1" si="73"/>
        <v>8.5406577194521716E-3</v>
      </c>
      <c r="F757" s="9">
        <f t="shared" ca="1" si="74"/>
        <v>0.37540576329415221</v>
      </c>
      <c r="G757" s="13">
        <f ca="1">IF((Prices!C757-Prices!C756)*C757&gt;0,1,0)</f>
        <v>1</v>
      </c>
      <c r="H757" s="9">
        <f>ABS(Prices!C757-Prices!C756)/Prices!C756</f>
        <v>7.1008318117272659E-4</v>
      </c>
      <c r="I757" s="13"/>
      <c r="J757" s="1">
        <f t="shared" ca="1" si="75"/>
        <v>1.3602508147051735E-3</v>
      </c>
      <c r="K757" s="9"/>
      <c r="L757" s="9">
        <f ca="1">L756-O757*Prices!C757</f>
        <v>1.0288532902608891</v>
      </c>
      <c r="M757" s="1">
        <f t="shared" ca="1" si="76"/>
        <v>9.8832401063087081E-3</v>
      </c>
      <c r="N757" s="9">
        <f ca="1">IF(Prices!D756&gt;OFFSET(Prices!D756,-$N$3,0),1,IF(Prices!D756&lt;OFFSET(Prices!D756,-$N$3,0),-1,0))</f>
        <v>1</v>
      </c>
      <c r="O757" s="1">
        <f ca="1">IF(N757=1,O$3*L756/Prices!C756,O$3*M756*N757)</f>
        <v>1.1597286707556661E-3</v>
      </c>
      <c r="P757" s="14"/>
      <c r="Q757" s="9">
        <f ca="1">Q756-T757*Prices!C757</f>
        <v>0.96859213802650224</v>
      </c>
      <c r="R757" s="1">
        <f t="shared" ca="1" si="77"/>
        <v>1.063834691649587E-2</v>
      </c>
      <c r="S757" s="9">
        <f ca="1">IF(Prices!C756&lt;OFFSET(Prices!C756,-S$3,0),1,IF(Prices!C756&gt;OFFSET(Prices!C756,-S$3,0),-1,0))</f>
        <v>1</v>
      </c>
      <c r="T757" s="1">
        <f ca="1">IF(S757=1,T$3*Q756/Prices!C756,T$3*R756*S757)</f>
        <v>2.0052214394950725E-4</v>
      </c>
    </row>
    <row r="758" spans="1:20" x14ac:dyDescent="0.2">
      <c r="A758" s="4">
        <v>34568</v>
      </c>
      <c r="B758" s="9">
        <f ca="1">Prices!C757*(1+J758/(50*(ABS(O758)+ABS(T758)+0.0001)))</f>
        <v>100.47568449090109</v>
      </c>
      <c r="C758" s="13">
        <f t="shared" ca="1" si="72"/>
        <v>1</v>
      </c>
      <c r="D758" s="9">
        <f ca="1">D757+C758*(Prices!C758-Prices!C757)/Prices!C757</f>
        <v>0.35824878525032083</v>
      </c>
      <c r="E758" s="9">
        <f t="shared" ca="1" si="73"/>
        <v>1.7156978043831372E-2</v>
      </c>
      <c r="F758" s="9">
        <f t="shared" ca="1" si="74"/>
        <v>0.37540576329415221</v>
      </c>
      <c r="G758" s="13">
        <f ca="1">IF((Prices!C758-Prices!C757)*C758&gt;0,1,0)</f>
        <v>0</v>
      </c>
      <c r="H758" s="9">
        <f>ABS(Prices!C758-Prices!C757)/Prices!C757</f>
        <v>8.6163203243792043E-3</v>
      </c>
      <c r="I758" s="13"/>
      <c r="J758" s="1">
        <f t="shared" ca="1" si="75"/>
        <v>1.2393022989013579E-3</v>
      </c>
      <c r="K758" s="9"/>
      <c r="L758" s="9">
        <f ca="1">L757-O758*Prices!C758</f>
        <v>0.92685445418636814</v>
      </c>
      <c r="M758" s="1">
        <f t="shared" ca="1" si="76"/>
        <v>1.0926172990506265E-2</v>
      </c>
      <c r="N758" s="9">
        <f ca="1">IF(Prices!D757&gt;OFFSET(Prices!D757,-$N$3,0),1,IF(Prices!D757&lt;OFFSET(Prices!D757,-$N$3,0),-1,0))</f>
        <v>1</v>
      </c>
      <c r="O758" s="1">
        <f ca="1">IF(N758=1,O$3*L757/Prices!C757,O$3*M757*N758)</f>
        <v>1.0429328841975562E-3</v>
      </c>
      <c r="P758" s="14"/>
      <c r="Q758" s="9">
        <f ca="1">Q757-T758*Prices!C758</f>
        <v>0.94938720926847042</v>
      </c>
      <c r="R758" s="1">
        <f t="shared" ca="1" si="77"/>
        <v>1.0834716331199673E-2</v>
      </c>
      <c r="S758" s="9">
        <f ca="1">IF(Prices!C757&lt;OFFSET(Prices!C757,-S$3,0),1,IF(Prices!C757&gt;OFFSET(Prices!C757,-S$3,0),-1,0))</f>
        <v>1</v>
      </c>
      <c r="T758" s="1">
        <f ca="1">IF(S758=1,T$3*Q757/Prices!C757,T$3*R757*S758)</f>
        <v>1.9636941470380177E-4</v>
      </c>
    </row>
    <row r="759" spans="1:20" x14ac:dyDescent="0.2">
      <c r="A759" s="4">
        <v>34569</v>
      </c>
      <c r="B759" s="9">
        <f ca="1">Prices!C758*(1+J759/(50*(ABS(O759)+ABS(T759)+0.0001)))</f>
        <v>99.598493391385006</v>
      </c>
      <c r="C759" s="13">
        <f t="shared" ca="1" si="72"/>
        <v>1</v>
      </c>
      <c r="D759" s="9">
        <f ca="1">D758+C759*(Prices!C759-Prices!C758)/Prices!C758</f>
        <v>0.35906678116034124</v>
      </c>
      <c r="E759" s="9">
        <f t="shared" ca="1" si="73"/>
        <v>1.6338982133810964E-2</v>
      </c>
      <c r="F759" s="9">
        <f t="shared" ca="1" si="74"/>
        <v>0.37540576329415221</v>
      </c>
      <c r="G759" s="13">
        <f ca="1">IF((Prices!C759-Prices!C758)*C759&gt;0,1,0)</f>
        <v>1</v>
      </c>
      <c r="H759" s="9">
        <f>ABS(Prices!C759-Prices!C758)/Prices!C758</f>
        <v>8.1799591002043245E-4</v>
      </c>
      <c r="I759" s="13"/>
      <c r="J759" s="1">
        <f t="shared" ca="1" si="75"/>
        <v>1.1418526544376916E-3</v>
      </c>
      <c r="K759" s="9"/>
      <c r="L759" s="9">
        <f ca="1">L758-O759*Prices!C759</f>
        <v>0.83409319245246039</v>
      </c>
      <c r="M759" s="1">
        <f t="shared" ca="1" si="76"/>
        <v>1.1873876931392122E-2</v>
      </c>
      <c r="N759" s="9">
        <f ca="1">IF(Prices!D758&gt;OFFSET(Prices!D758,-$N$3,0),1,IF(Prices!D758&lt;OFFSET(Prices!D758,-$N$3,0),-1,0))</f>
        <v>1</v>
      </c>
      <c r="O759" s="1">
        <f ca="1">IF(N759=1,O$3*L758/Prices!C758,O$3*M758*N759)</f>
        <v>9.4770394088585712E-4</v>
      </c>
      <c r="P759" s="14"/>
      <c r="Q759" s="9">
        <f ca="1">Q758-T759*Prices!C759</f>
        <v>0.93038393318601686</v>
      </c>
      <c r="R759" s="1">
        <f t="shared" ca="1" si="77"/>
        <v>1.1028865044751507E-2</v>
      </c>
      <c r="S759" s="9">
        <f ca="1">IF(Prices!C758&lt;OFFSET(Prices!C758,-S$3,0),1,IF(Prices!C758&gt;OFFSET(Prices!C758,-S$3,0),-1,0))</f>
        <v>1</v>
      </c>
      <c r="T759" s="1">
        <f ca="1">IF(S759=1,T$3*Q758/Prices!C758,T$3*R758*S759)</f>
        <v>1.9414871355183445E-4</v>
      </c>
    </row>
    <row r="760" spans="1:20" x14ac:dyDescent="0.2">
      <c r="A760" s="4">
        <v>34570</v>
      </c>
      <c r="B760" s="9">
        <f ca="1">Prices!C759*(1+J760/(50*(ABS(O760)+ABS(T760)+0.0001)))</f>
        <v>99.666221357199049</v>
      </c>
      <c r="C760" s="13">
        <f t="shared" ca="1" si="72"/>
        <v>1</v>
      </c>
      <c r="D760" s="9">
        <f ca="1">D759+C760*(Prices!C760-Prices!C759)/Prices!C759</f>
        <v>0.37071369574963425</v>
      </c>
      <c r="E760" s="9">
        <f t="shared" ca="1" si="73"/>
        <v>4.6920675445179527E-3</v>
      </c>
      <c r="F760" s="9">
        <f t="shared" ca="1" si="74"/>
        <v>0.37540576329415221</v>
      </c>
      <c r="G760" s="13">
        <f ca="1">IF((Prices!C760-Prices!C759)*C760&gt;0,1,0)</f>
        <v>1</v>
      </c>
      <c r="H760" s="9">
        <f>ABS(Prices!C760-Prices!C759)/Prices!C759</f>
        <v>1.1646914589293018E-2</v>
      </c>
      <c r="I760" s="13"/>
      <c r="J760" s="1">
        <f t="shared" ca="1" si="75"/>
        <v>1.0422660186858029E-3</v>
      </c>
      <c r="K760" s="9"/>
      <c r="L760" s="9">
        <f ca="1">L759-O760*Prices!C760</f>
        <v>0.74971241199001393</v>
      </c>
      <c r="M760" s="1">
        <f t="shared" ca="1" si="76"/>
        <v>1.272603589384866E-2</v>
      </c>
      <c r="N760" s="9">
        <f ca="1">IF(Prices!D759&gt;OFFSET(Prices!D759,-$N$3,0),1,IF(Prices!D759&lt;OFFSET(Prices!D759,-$N$3,0),-1,0))</f>
        <v>1</v>
      </c>
      <c r="O760" s="1">
        <f ca="1">IF(N760=1,O$3*L759/Prices!C759,O$3*M759*N760)</f>
        <v>8.5215896245653905E-4</v>
      </c>
      <c r="P760" s="14"/>
      <c r="Q760" s="9">
        <f ca="1">Q759-T760*Prices!C760</f>
        <v>0.91155953247819521</v>
      </c>
      <c r="R760" s="1">
        <f t="shared" ca="1" si="77"/>
        <v>1.1218972100980771E-2</v>
      </c>
      <c r="S760" s="9">
        <f ca="1">IF(Prices!C759&lt;OFFSET(Prices!C759,-S$3,0),1,IF(Prices!C759&gt;OFFSET(Prices!C759,-S$3,0),-1,0))</f>
        <v>1</v>
      </c>
      <c r="T760" s="1">
        <f ca="1">IF(S760=1,T$3*Q759/Prices!C759,T$3*R759*S760)</f>
        <v>1.9010705622926377E-4</v>
      </c>
    </row>
    <row r="761" spans="1:20" x14ac:dyDescent="0.2">
      <c r="A761" s="4">
        <v>34571</v>
      </c>
      <c r="B761" s="9">
        <f ca="1">Prices!C760*(1+J761/(50*(ABS(O761)+ABS(T761)+0.0001)))</f>
        <v>97.163608831719287</v>
      </c>
      <c r="C761" s="13">
        <f t="shared" ca="1" si="72"/>
        <v>-1</v>
      </c>
      <c r="D761" s="9">
        <f ca="1">D760+C761*(Prices!C761-Prices!C760)/Prices!C760</f>
        <v>0.3638463962141868</v>
      </c>
      <c r="E761" s="9">
        <f t="shared" ca="1" si="73"/>
        <v>1.155936707996541E-2</v>
      </c>
      <c r="F761" s="9">
        <f t="shared" ca="1" si="74"/>
        <v>0.37540576329415221</v>
      </c>
      <c r="G761" s="13">
        <f ca="1">IF((Prices!C761-Prices!C760)*C761&gt;0,1,0)</f>
        <v>0</v>
      </c>
      <c r="H761" s="9">
        <f>ABS(Prices!C761-Prices!C760)/Prices!C760</f>
        <v>6.8672995354474532E-3</v>
      </c>
      <c r="I761" s="13"/>
      <c r="J761" s="1">
        <f t="shared" ca="1" si="75"/>
        <v>-1.4969830314044816E-3</v>
      </c>
      <c r="K761" s="9"/>
      <c r="L761" s="9">
        <f ca="1">L760-O761*Prices!C761</f>
        <v>0.87659098985168504</v>
      </c>
      <c r="M761" s="1">
        <f t="shared" ca="1" si="76"/>
        <v>1.1453432304463794E-2</v>
      </c>
      <c r="N761" s="9">
        <f ca="1">IF(Prices!D760&gt;OFFSET(Prices!D760,-$N$3,0),1,IF(Prices!D760&lt;OFFSET(Prices!D760,-$N$3,0),-1,0))</f>
        <v>-1</v>
      </c>
      <c r="O761" s="1">
        <f ca="1">IF(N761=1,O$3*L760/Prices!C760,O$3*M760*N761)</f>
        <v>-1.2726035893848662E-3</v>
      </c>
      <c r="P761" s="14"/>
      <c r="Q761" s="9">
        <f ca="1">Q760-T761*Prices!C761</f>
        <v>0.93393016284755093</v>
      </c>
      <c r="R761" s="1">
        <f t="shared" ca="1" si="77"/>
        <v>1.0994592658961156E-2</v>
      </c>
      <c r="S761" s="9">
        <f ca="1">IF(Prices!C760&lt;OFFSET(Prices!C760,-S$3,0),1,IF(Prices!C760&gt;OFFSET(Prices!C760,-S$3,0),-1,0))</f>
        <v>-1</v>
      </c>
      <c r="T761" s="1">
        <f ca="1">IF(S761=1,T$3*Q760/Prices!C760,T$3*R760*S761)</f>
        <v>-2.2437944201961544E-4</v>
      </c>
    </row>
    <row r="762" spans="1:20" x14ac:dyDescent="0.2">
      <c r="A762" s="4">
        <v>34572</v>
      </c>
      <c r="B762" s="9">
        <f ca="1">Prices!C761*(1+J762/(50*(ABS(O762)+ABS(T762)+0.0001)))</f>
        <v>98.32933566178157</v>
      </c>
      <c r="C762" s="13">
        <f t="shared" ca="1" si="72"/>
        <v>-1</v>
      </c>
      <c r="D762" s="9">
        <f ca="1">D761+C762*(Prices!C762-Prices!C761)/Prices!C761</f>
        <v>0.35411720865149876</v>
      </c>
      <c r="E762" s="9">
        <f t="shared" ca="1" si="73"/>
        <v>2.1288554642653446E-2</v>
      </c>
      <c r="F762" s="9">
        <f t="shared" ca="1" si="74"/>
        <v>0.37540576329415221</v>
      </c>
      <c r="G762" s="13">
        <f ca="1">IF((Prices!C762-Prices!C761)*C762&gt;0,1,0)</f>
        <v>0</v>
      </c>
      <c r="H762" s="9">
        <f>ABS(Prices!C762-Prices!C761)/Prices!C761</f>
        <v>9.7291875626880527E-3</v>
      </c>
      <c r="I762" s="13"/>
      <c r="J762" s="1">
        <f t="shared" ca="1" si="75"/>
        <v>-2.1989185317922312E-4</v>
      </c>
      <c r="K762" s="9"/>
      <c r="L762" s="9">
        <f ca="1">L761-O762*Prices!C762</f>
        <v>0.87659098985168504</v>
      </c>
      <c r="M762" s="1">
        <f t="shared" ca="1" si="76"/>
        <v>1.1453432304463794E-2</v>
      </c>
      <c r="N762" s="9">
        <f ca="1">IF(Prices!D761&gt;OFFSET(Prices!D761,-$N$3,0),1,IF(Prices!D761&lt;OFFSET(Prices!D761,-$N$3,0),-1,0))</f>
        <v>0</v>
      </c>
      <c r="O762" s="1">
        <f ca="1">IF(N762=1,O$3*L761/Prices!C761,O$3*M761*N762)</f>
        <v>0</v>
      </c>
      <c r="P762" s="14"/>
      <c r="Q762" s="9">
        <f ca="1">Q761-T762*Prices!C762</f>
        <v>0.95606667570710335</v>
      </c>
      <c r="R762" s="1">
        <f t="shared" ca="1" si="77"/>
        <v>1.0774700805781932E-2</v>
      </c>
      <c r="S762" s="9">
        <f ca="1">IF(Prices!C761&lt;OFFSET(Prices!C761,-S$3,0),1,IF(Prices!C761&gt;OFFSET(Prices!C761,-S$3,0),-1,0))</f>
        <v>-1</v>
      </c>
      <c r="T762" s="1">
        <f ca="1">IF(S762=1,T$3*Q761/Prices!C761,T$3*R761*S762)</f>
        <v>-2.1989185317922312E-4</v>
      </c>
    </row>
    <row r="763" spans="1:20" x14ac:dyDescent="0.2">
      <c r="A763" s="4">
        <v>34575</v>
      </c>
      <c r="B763" s="9">
        <f ca="1">Prices!C762*(1+J763/(50*(ABS(O763)+ABS(T763)+0.0001)))</f>
        <v>101.78216462652239</v>
      </c>
      <c r="C763" s="13">
        <f t="shared" ca="1" si="72"/>
        <v>1</v>
      </c>
      <c r="D763" s="9">
        <f ca="1">D762+C763*(Prices!C763-Prices!C762)/Prices!C762</f>
        <v>0.34775980326757105</v>
      </c>
      <c r="E763" s="9">
        <f t="shared" ca="1" si="73"/>
        <v>2.7645960026581151E-2</v>
      </c>
      <c r="F763" s="9">
        <f t="shared" ca="1" si="74"/>
        <v>0.37540576329415221</v>
      </c>
      <c r="G763" s="13">
        <f ca="1">IF((Prices!C763-Prices!C762)*C763&gt;0,1,0)</f>
        <v>0</v>
      </c>
      <c r="H763" s="9">
        <f>ABS(Prices!C763-Prices!C762)/Prices!C762</f>
        <v>6.35740538392769E-3</v>
      </c>
      <c r="I763" s="13"/>
      <c r="J763" s="1">
        <f t="shared" ca="1" si="75"/>
        <v>6.5526290238211151E-4</v>
      </c>
      <c r="K763" s="9"/>
      <c r="L763" s="9">
        <f ca="1">L762-O763*Prices!C763</f>
        <v>0.78948917529435514</v>
      </c>
      <c r="M763" s="1">
        <f t="shared" ca="1" si="76"/>
        <v>1.2324189222961544E-2</v>
      </c>
      <c r="N763" s="9">
        <f ca="1">IF(Prices!D762&gt;OFFSET(Prices!D762,-$N$3,0),1,IF(Prices!D762&lt;OFFSET(Prices!D762,-$N$3,0),-1,0))</f>
        <v>1</v>
      </c>
      <c r="O763" s="1">
        <f ca="1">IF(N763=1,O$3*L762/Prices!C762,O$3*M762*N763)</f>
        <v>8.7075691849775017E-4</v>
      </c>
      <c r="P763" s="14"/>
      <c r="Q763" s="9">
        <f ca="1">Q762-T763*Prices!C763</f>
        <v>0.97762254213915067</v>
      </c>
      <c r="R763" s="1">
        <f t="shared" ca="1" si="77"/>
        <v>1.0559206789666294E-2</v>
      </c>
      <c r="S763" s="9">
        <f ca="1">IF(Prices!C762&lt;OFFSET(Prices!C762,-S$3,0),1,IF(Prices!C762&gt;OFFSET(Prices!C762,-S$3,0),-1,0))</f>
        <v>-1</v>
      </c>
      <c r="T763" s="1">
        <f ca="1">IF(S763=1,T$3*Q762/Prices!C762,T$3*R762*S763)</f>
        <v>-2.1549401611563866E-4</v>
      </c>
    </row>
    <row r="764" spans="1:20" x14ac:dyDescent="0.2">
      <c r="A764" s="4">
        <v>34576</v>
      </c>
      <c r="B764" s="9">
        <f ca="1">Prices!C763*(1+J764/(50*(ABS(O764)+ABS(T764)+0.0001)))</f>
        <v>98.159005858806481</v>
      </c>
      <c r="C764" s="13">
        <f t="shared" ca="1" si="72"/>
        <v>-1</v>
      </c>
      <c r="D764" s="9">
        <f ca="1">D763+C764*(Prices!C764-Prices!C763)/Prices!C763</f>
        <v>0.35225845367244962</v>
      </c>
      <c r="E764" s="9">
        <f t="shared" ca="1" si="73"/>
        <v>2.3147309621702583E-2</v>
      </c>
      <c r="F764" s="9">
        <f t="shared" ca="1" si="74"/>
        <v>0.37540576329415221</v>
      </c>
      <c r="G764" s="13">
        <f ca="1">IF((Prices!C764-Prices!C763)*C764&gt;0,1,0)</f>
        <v>1</v>
      </c>
      <c r="H764" s="9">
        <f>ABS(Prices!C764-Prices!C763)/Prices!C763</f>
        <v>4.4986504048785646E-3</v>
      </c>
      <c r="I764" s="13"/>
      <c r="J764" s="1">
        <f t="shared" ca="1" si="75"/>
        <v>-1.4436030580894804E-3</v>
      </c>
      <c r="K764" s="9"/>
      <c r="L764" s="9">
        <f ca="1">L763-O764*Prices!C764</f>
        <v>0.91221345157660616</v>
      </c>
      <c r="M764" s="1">
        <f t="shared" ca="1" si="76"/>
        <v>1.1091770300665389E-2</v>
      </c>
      <c r="N764" s="9">
        <f ca="1">IF(Prices!D763&gt;OFFSET(Prices!D763,-$N$3,0),1,IF(Prices!D763&lt;OFFSET(Prices!D763,-$N$3,0),-1,0))</f>
        <v>-1</v>
      </c>
      <c r="O764" s="1">
        <f ca="1">IF(N764=1,O$3*L763/Prices!C763,O$3*M763*N764)</f>
        <v>-1.2324189222961545E-3</v>
      </c>
      <c r="P764" s="14"/>
      <c r="Q764" s="9">
        <f ca="1">Q763-T764*Prices!C764</f>
        <v>0.99865225838145011</v>
      </c>
      <c r="R764" s="1">
        <f t="shared" ca="1" si="77"/>
        <v>1.0348022653872968E-2</v>
      </c>
      <c r="S764" s="9">
        <f ca="1">IF(Prices!C763&lt;OFFSET(Prices!C763,-S$3,0),1,IF(Prices!C763&gt;OFFSET(Prices!C763,-S$3,0),-1,0))</f>
        <v>-1</v>
      </c>
      <c r="T764" s="1">
        <f ca="1">IF(S764=1,T$3*Q763/Prices!C763,T$3*R763*S764)</f>
        <v>-2.1118413579332589E-4</v>
      </c>
    </row>
    <row r="765" spans="1:20" x14ac:dyDescent="0.2">
      <c r="A765" s="4">
        <v>34577</v>
      </c>
      <c r="B765" s="9">
        <f ca="1">Prices!C764*(1+J765/(50*(ABS(O765)+ABS(T765)+0.0001)))</f>
        <v>97.729036062790911</v>
      </c>
      <c r="C765" s="13">
        <f t="shared" ca="1" si="72"/>
        <v>-1</v>
      </c>
      <c r="D765" s="9">
        <f ca="1">D764+C765*(Prices!C765-Prices!C764)/Prices!C764</f>
        <v>0.34753863041476735</v>
      </c>
      <c r="E765" s="9">
        <f t="shared" ca="1" si="73"/>
        <v>2.7867132879384859E-2</v>
      </c>
      <c r="F765" s="9">
        <f t="shared" ca="1" si="74"/>
        <v>0.37540576329415221</v>
      </c>
      <c r="G765" s="13">
        <f ca="1">IF((Prices!C765-Prices!C764)*C765&gt;0,1,0)</f>
        <v>0</v>
      </c>
      <c r="H765" s="9">
        <f>ABS(Prices!C765-Prices!C764)/Prices!C764</f>
        <v>4.7198232576822546E-3</v>
      </c>
      <c r="I765" s="13"/>
      <c r="J765" s="1">
        <f t="shared" ca="1" si="75"/>
        <v>-1.3161374831439983E-3</v>
      </c>
      <c r="K765" s="9"/>
      <c r="L765" s="9">
        <f ca="1">L764-O765*Prices!C765</f>
        <v>1.0231866134347634</v>
      </c>
      <c r="M765" s="1">
        <f t="shared" ca="1" si="76"/>
        <v>9.9825932705988503E-3</v>
      </c>
      <c r="N765" s="9">
        <f ca="1">IF(Prices!D764&gt;OFFSET(Prices!D764,-$N$3,0),1,IF(Prices!D764&lt;OFFSET(Prices!D764,-$N$3,0),-1,0))</f>
        <v>-1</v>
      </c>
      <c r="O765" s="1">
        <f ca="1">IF(N765=1,O$3*L764/Prices!C764,O$3*M764*N765)</f>
        <v>-1.1091770300665389E-3</v>
      </c>
      <c r="P765" s="14"/>
      <c r="Q765" s="9">
        <f ca="1">Q764-T765*Prices!C765</f>
        <v>1.01935865171185</v>
      </c>
      <c r="R765" s="1">
        <f t="shared" ca="1" si="77"/>
        <v>1.0141062200795508E-2</v>
      </c>
      <c r="S765" s="9">
        <f ca="1">IF(Prices!C764&lt;OFFSET(Prices!C764,-S$3,0),1,IF(Prices!C764&gt;OFFSET(Prices!C764,-S$3,0),-1,0))</f>
        <v>-1</v>
      </c>
      <c r="T765" s="1">
        <f ca="1">IF(S765=1,T$3*Q764/Prices!C764,T$3*R764*S765)</f>
        <v>-2.0696045307745938E-4</v>
      </c>
    </row>
    <row r="766" spans="1:20" x14ac:dyDescent="0.2">
      <c r="A766" s="4">
        <v>34578</v>
      </c>
      <c r="B766" s="9">
        <f ca="1">Prices!C765*(1+J766/(50*(ABS(O766)+ABS(T766)+0.0001)))</f>
        <v>98.202795241008445</v>
      </c>
      <c r="C766" s="13">
        <f t="shared" ca="1" si="72"/>
        <v>-1</v>
      </c>
      <c r="D766" s="9">
        <f ca="1">D765+C766*(Prices!C766-Prices!C765)/Prices!C765</f>
        <v>0.34993743101446745</v>
      </c>
      <c r="E766" s="9">
        <f t="shared" ca="1" si="73"/>
        <v>2.5468332279684758E-2</v>
      </c>
      <c r="F766" s="9">
        <f t="shared" ca="1" si="74"/>
        <v>0.37540576329415221</v>
      </c>
      <c r="G766" s="13">
        <f ca="1">IF((Prices!C766-Prices!C765)*C766&gt;0,1,0)</f>
        <v>1</v>
      </c>
      <c r="H766" s="9">
        <f>ABS(Prices!C766-Prices!C765)/Prices!C765</f>
        <v>2.398800599700099E-3</v>
      </c>
      <c r="I766" s="13"/>
      <c r="J766" s="1">
        <f t="shared" ca="1" si="75"/>
        <v>-1.2010805710757951E-3</v>
      </c>
      <c r="K766" s="9"/>
      <c r="L766" s="9">
        <f ca="1">L765-O766*Prices!C766</f>
        <v>1.1228228768686104</v>
      </c>
      <c r="M766" s="1">
        <f t="shared" ca="1" si="76"/>
        <v>8.9843339435389646E-3</v>
      </c>
      <c r="N766" s="9">
        <f ca="1">IF(Prices!D765&gt;OFFSET(Prices!D765,-$N$3,0),1,IF(Prices!D765&lt;OFFSET(Prices!D765,-$N$3,0),-1,0))</f>
        <v>-1</v>
      </c>
      <c r="O766" s="1">
        <f ca="1">IF(N766=1,O$3*L765/Prices!C765,O$3*M765*N766)</f>
        <v>-9.9825932705988507E-4</v>
      </c>
      <c r="P766" s="14"/>
      <c r="Q766" s="9">
        <f ca="1">Q765-T766*Prices!C766</f>
        <v>1.0396022400770781</v>
      </c>
      <c r="R766" s="1">
        <f t="shared" ca="1" si="77"/>
        <v>9.9382409567795975E-3</v>
      </c>
      <c r="S766" s="9">
        <f ca="1">IF(Prices!C765&lt;OFFSET(Prices!C765,-S$3,0),1,IF(Prices!C765&gt;OFFSET(Prices!C765,-S$3,0),-1,0))</f>
        <v>-1</v>
      </c>
      <c r="T766" s="1">
        <f ca="1">IF(S766=1,T$3*Q765/Prices!C765,T$3*R765*S766)</f>
        <v>-2.0282124401591015E-4</v>
      </c>
    </row>
    <row r="767" spans="1:20" x14ac:dyDescent="0.2">
      <c r="A767" s="4">
        <v>34579</v>
      </c>
      <c r="B767" s="9">
        <f ca="1">Prices!C766*(1+J767/(50*(ABS(O767)+ABS(T767)+0.0001)))</f>
        <v>98.668411225979611</v>
      </c>
      <c r="C767" s="13">
        <f t="shared" ca="1" si="72"/>
        <v>-1</v>
      </c>
      <c r="D767" s="9">
        <f ca="1">D766+C767*(Prices!C767-Prices!C766)/Prices!C766</f>
        <v>0.35675037560919748</v>
      </c>
      <c r="E767" s="9">
        <f t="shared" ca="1" si="73"/>
        <v>1.8655387684954727E-2</v>
      </c>
      <c r="F767" s="9">
        <f t="shared" ca="1" si="74"/>
        <v>0.37540576329415221</v>
      </c>
      <c r="G767" s="13">
        <f ca="1">IF((Prices!C767-Prices!C766)*C767&gt;0,1,0)</f>
        <v>1</v>
      </c>
      <c r="H767" s="9">
        <f>ABS(Prices!C767-Prices!C766)/Prices!C766</f>
        <v>6.8129445947300547E-3</v>
      </c>
      <c r="I767" s="13"/>
      <c r="J767" s="1">
        <f t="shared" ca="1" si="75"/>
        <v>-6.901171454655931E-4</v>
      </c>
      <c r="K767" s="9"/>
      <c r="L767" s="9">
        <f ca="1">L766-O767*Prices!C767</f>
        <v>1.2118845792509121</v>
      </c>
      <c r="M767" s="1">
        <f t="shared" ca="1" si="76"/>
        <v>8.085900549185069E-3</v>
      </c>
      <c r="N767" s="9">
        <f ca="1">IF(Prices!D766&gt;OFFSET(Prices!D766,-$N$3,0),1,IF(Prices!D766&lt;OFFSET(Prices!D766,-$N$3,0),-1,0))</f>
        <v>-1</v>
      </c>
      <c r="O767" s="1">
        <f ca="1">IF(N767=1,O$3*L766/Prices!C766,O$3*M766*N767)</f>
        <v>-8.9843339435389646E-4</v>
      </c>
      <c r="P767" s="14"/>
      <c r="Q767" s="9">
        <f ca="1">Q766-T767*Prices!C767</f>
        <v>1.0189518503247805</v>
      </c>
      <c r="R767" s="1">
        <f t="shared" ca="1" si="77"/>
        <v>1.0146557205667902E-2</v>
      </c>
      <c r="S767" s="9">
        <f ca="1">IF(Prices!C766&lt;OFFSET(Prices!C766,-S$3,0),1,IF(Prices!C766&gt;OFFSET(Prices!C766,-S$3,0),-1,0))</f>
        <v>1</v>
      </c>
      <c r="T767" s="1">
        <f ca="1">IF(S767=1,T$3*Q766/Prices!C766,T$3*R766*S767)</f>
        <v>2.0831624888830339E-4</v>
      </c>
    </row>
    <row r="768" spans="1:20" x14ac:dyDescent="0.2">
      <c r="A768" s="4">
        <v>34582</v>
      </c>
      <c r="B768" s="9">
        <f ca="1">Prices!C767*(1+J768/(50*(ABS(O768)+ABS(T768)+0.0001)))</f>
        <v>100.98285713238607</v>
      </c>
      <c r="C768" s="13">
        <f t="shared" ca="1" si="72"/>
        <v>1</v>
      </c>
      <c r="D768" s="9">
        <f ca="1">D767+C768*(Prices!C768-Prices!C767)/Prices!C767</f>
        <v>0.359171438859475</v>
      </c>
      <c r="E768" s="9">
        <f t="shared" ca="1" si="73"/>
        <v>1.6234324434677205E-2</v>
      </c>
      <c r="F768" s="9">
        <f t="shared" ca="1" si="74"/>
        <v>0.37540576329415221</v>
      </c>
      <c r="G768" s="13">
        <f ca="1">IF((Prices!C768-Prices!C767)*C768&gt;0,1,0)</f>
        <v>1</v>
      </c>
      <c r="H768" s="9">
        <f>ABS(Prices!C768-Prices!C767)/Prices!C767</f>
        <v>2.4210632502775055E-3</v>
      </c>
      <c r="I768" s="13"/>
      <c r="J768" s="1">
        <f t="shared" ca="1" si="75"/>
        <v>1.4280994142195787E-3</v>
      </c>
      <c r="K768" s="9"/>
      <c r="L768" s="9">
        <f ca="1">L767-O768*Prices!C768</f>
        <v>1.0904027164039807</v>
      </c>
      <c r="M768" s="1">
        <f t="shared" ca="1" si="76"/>
        <v>9.30842105685269E-3</v>
      </c>
      <c r="N768" s="9">
        <f ca="1">IF(Prices!D767&gt;OFFSET(Prices!D767,-$N$3,0),1,IF(Prices!D767&lt;OFFSET(Prices!D767,-$N$3,0),-1,0))</f>
        <v>1</v>
      </c>
      <c r="O768" s="1">
        <f ca="1">IF(N768=1,O$3*L767/Prices!C767,O$3*M767*N768)</f>
        <v>1.2225205076676206E-3</v>
      </c>
      <c r="P768" s="14"/>
      <c r="Q768" s="9">
        <f ca="1">Q767-T768*Prices!C768</f>
        <v>0.99852347438071243</v>
      </c>
      <c r="R768" s="1">
        <f t="shared" ca="1" si="77"/>
        <v>1.035213611221986E-2</v>
      </c>
      <c r="S768" s="9">
        <f ca="1">IF(Prices!C767&lt;OFFSET(Prices!C767,-S$3,0),1,IF(Prices!C767&gt;OFFSET(Prices!C767,-S$3,0),-1,0))</f>
        <v>1</v>
      </c>
      <c r="T768" s="1">
        <f ca="1">IF(S768=1,T$3*Q767/Prices!C767,T$3*R767*S768)</f>
        <v>2.0557890655195817E-4</v>
      </c>
    </row>
    <row r="769" spans="1:20" x14ac:dyDescent="0.2">
      <c r="A769" s="4">
        <v>34583</v>
      </c>
      <c r="B769" s="9">
        <f ca="1">Prices!C768*(1+J769/(50*(ABS(O769)+ABS(T769)+0.0001)))</f>
        <v>101.21526891071656</v>
      </c>
      <c r="C769" s="13">
        <f t="shared" ca="1" si="72"/>
        <v>1</v>
      </c>
      <c r="D769" s="9">
        <f ca="1">D768+C769*(Prices!C769-Prices!C768)/Prices!C768</f>
        <v>0.35222769326221226</v>
      </c>
      <c r="E769" s="9">
        <f t="shared" ca="1" si="73"/>
        <v>2.3178070031939946E-2</v>
      </c>
      <c r="F769" s="9">
        <f t="shared" ca="1" si="74"/>
        <v>0.37540576329415221</v>
      </c>
      <c r="G769" s="13">
        <f ca="1">IF((Prices!C769-Prices!C768)*C769&gt;0,1,0)</f>
        <v>0</v>
      </c>
      <c r="H769" s="9">
        <f>ABS(Prices!C769-Prices!C768)/Prices!C768</f>
        <v>6.9437455972627318E-3</v>
      </c>
      <c r="I769" s="13"/>
      <c r="J769" s="1">
        <f t="shared" ca="1" si="75"/>
        <v>1.2982866169670155E-3</v>
      </c>
      <c r="K769" s="9"/>
      <c r="L769" s="9">
        <f ca="1">L768-O769*Prices!C769</f>
        <v>0.98211959266970994</v>
      </c>
      <c r="M769" s="1">
        <f t="shared" ca="1" si="76"/>
        <v>1.0405736862834355E-2</v>
      </c>
      <c r="N769" s="9">
        <f ca="1">IF(Prices!D768&gt;OFFSET(Prices!D768,-$N$3,0),1,IF(Prices!D768&lt;OFFSET(Prices!D768,-$N$3,0),-1,0))</f>
        <v>1</v>
      </c>
      <c r="O769" s="1">
        <f ca="1">IF(N769=1,O$3*L768/Prices!C768,O$3*M768*N769)</f>
        <v>1.0973158059816653E-3</v>
      </c>
      <c r="P769" s="14"/>
      <c r="Q769" s="9">
        <f ca="1">Q768-T769*Prices!C769</f>
        <v>0.97869167475267804</v>
      </c>
      <c r="R769" s="1">
        <f t="shared" ca="1" si="77"/>
        <v>1.055310692320521E-2</v>
      </c>
      <c r="S769" s="9">
        <f ca="1">IF(Prices!C768&lt;OFFSET(Prices!C768,-S$3,0),1,IF(Prices!C768&gt;OFFSET(Prices!C768,-S$3,0),-1,0))</f>
        <v>1</v>
      </c>
      <c r="T769" s="1">
        <f ca="1">IF(S769=1,T$3*Q768/Prices!C768,T$3*R768*S769)</f>
        <v>2.0097081098535019E-4</v>
      </c>
    </row>
    <row r="770" spans="1:20" x14ac:dyDescent="0.2">
      <c r="A770" s="4">
        <v>34584</v>
      </c>
      <c r="B770" s="9">
        <f ca="1">Prices!C769*(1+J770/(50*(ABS(O770)+ABS(T770)+0.0001)))</f>
        <v>100.50103512606549</v>
      </c>
      <c r="C770" s="13">
        <f t="shared" ca="1" si="72"/>
        <v>1</v>
      </c>
      <c r="D770" s="9">
        <f ca="1">D769+C770*(Prices!C770-Prices!C769)/Prices!C769</f>
        <v>0.35992935519978819</v>
      </c>
      <c r="E770" s="9">
        <f t="shared" ca="1" si="73"/>
        <v>1.5476408094364014E-2</v>
      </c>
      <c r="F770" s="9">
        <f t="shared" ca="1" si="74"/>
        <v>0.37540576329415221</v>
      </c>
      <c r="G770" s="13">
        <f ca="1">IF((Prices!C770-Prices!C769)*C770&gt;0,1,0)</f>
        <v>1</v>
      </c>
      <c r="H770" s="9">
        <f>ABS(Prices!C770-Prices!C769)/Prices!C769</f>
        <v>7.7016619375759104E-3</v>
      </c>
      <c r="I770" s="13"/>
      <c r="J770" s="1">
        <f t="shared" ca="1" si="75"/>
        <v>1.193613627503289E-3</v>
      </c>
      <c r="K770" s="9"/>
      <c r="L770" s="9">
        <f ca="1">L769-O770*Prices!C770</f>
        <v>0.88315123809423779</v>
      </c>
      <c r="M770" s="1">
        <f t="shared" ca="1" si="76"/>
        <v>1.1400993847704349E-2</v>
      </c>
      <c r="N770" s="9">
        <f ca="1">IF(Prices!D769&gt;OFFSET(Prices!D769,-$N$3,0),1,IF(Prices!D769&lt;OFFSET(Prices!D769,-$N$3,0),-1,0))</f>
        <v>1</v>
      </c>
      <c r="O770" s="1">
        <f ca="1">IF(N770=1,O$3*L769/Prices!C769,O$3*M769*N770)</f>
        <v>9.9525698486999385E-4</v>
      </c>
      <c r="P770" s="14"/>
      <c r="Q770" s="9">
        <f ca="1">Q769-T770*Prices!C770</f>
        <v>0.95896709020922322</v>
      </c>
      <c r="R770" s="1">
        <f t="shared" ca="1" si="77"/>
        <v>1.0751463565838506E-2</v>
      </c>
      <c r="S770" s="9">
        <f ca="1">IF(Prices!C769&lt;OFFSET(Prices!C769,-S$3,0),1,IF(Prices!C769&gt;OFFSET(Prices!C769,-S$3,0),-1,0))</f>
        <v>1</v>
      </c>
      <c r="T770" s="1">
        <f ca="1">IF(S770=1,T$3*Q769/Prices!C769,T$3*R769*S770)</f>
        <v>1.9835664263329511E-4</v>
      </c>
    </row>
    <row r="771" spans="1:20" x14ac:dyDescent="0.2">
      <c r="A771" s="4">
        <v>34585</v>
      </c>
      <c r="B771" s="9">
        <f ca="1">Prices!C770*(1+J771/(50*(ABS(O771)+ABS(T771)+0.0001)))</f>
        <v>101.26040008863647</v>
      </c>
      <c r="C771" s="13">
        <f t="shared" ca="1" si="72"/>
        <v>1</v>
      </c>
      <c r="D771" s="9">
        <f ca="1">D770+C771*(Prices!C771-Prices!C770)/Prices!C770</f>
        <v>0.36103554989005365</v>
      </c>
      <c r="E771" s="9">
        <f t="shared" ca="1" si="73"/>
        <v>1.4370213404098553E-2</v>
      </c>
      <c r="F771" s="9">
        <f t="shared" ca="1" si="74"/>
        <v>0.37540576329415221</v>
      </c>
      <c r="G771" s="13">
        <f ca="1">IF((Prices!C771-Prices!C770)*C771&gt;0,1,0)</f>
        <v>1</v>
      </c>
      <c r="H771" s="9">
        <f>ABS(Prices!C771-Prices!C770)/Prices!C770</f>
        <v>1.1061946902654811E-3</v>
      </c>
      <c r="I771" s="13"/>
      <c r="J771" s="1">
        <f t="shared" ca="1" si="75"/>
        <v>1.0809982463154491E-3</v>
      </c>
      <c r="K771" s="9"/>
      <c r="L771" s="9">
        <f ca="1">L770-O771*Prices!C771</f>
        <v>0.79473842056378585</v>
      </c>
      <c r="M771" s="1">
        <f t="shared" ca="1" si="76"/>
        <v>1.2289118584323655E-2</v>
      </c>
      <c r="N771" s="9">
        <f ca="1">IF(Prices!D770&gt;OFFSET(Prices!D770,-$N$3,0),1,IF(Prices!D770&lt;OFFSET(Prices!D770,-$N$3,0),-1,0))</f>
        <v>1</v>
      </c>
      <c r="O771" s="1">
        <f ca="1">IF(N771=1,O$3*L770/Prices!C770,O$3*M770*N771)</f>
        <v>8.8812473661930603E-4</v>
      </c>
      <c r="P771" s="14"/>
      <c r="Q771" s="9">
        <f ca="1">Q770-T771*Prices!C771</f>
        <v>0.93976653231897223</v>
      </c>
      <c r="R771" s="1">
        <f t="shared" ca="1" si="77"/>
        <v>1.0944337075534648E-2</v>
      </c>
      <c r="S771" s="9">
        <f ca="1">IF(Prices!C770&lt;OFFSET(Prices!C770,-S$3,0),1,IF(Prices!C770&gt;OFFSET(Prices!C770,-S$3,0),-1,0))</f>
        <v>1</v>
      </c>
      <c r="T771" s="1">
        <f ca="1">IF(S771=1,T$3*Q770/Prices!C770,T$3*R770*S771)</f>
        <v>1.9287350969614305E-4</v>
      </c>
    </row>
    <row r="772" spans="1:20" x14ac:dyDescent="0.2">
      <c r="A772" s="4">
        <v>34586</v>
      </c>
      <c r="B772" s="9">
        <f ca="1">Prices!C771*(1+J772/(50*(ABS(O772)+ABS(T772)+0.0001)))</f>
        <v>100.58263078378124</v>
      </c>
      <c r="C772" s="13">
        <f t="shared" ca="1" si="72"/>
        <v>1</v>
      </c>
      <c r="D772" s="9">
        <f ca="1">D771+C772*(Prices!C772-Prices!C771)/Prices!C771</f>
        <v>0.35731882462636716</v>
      </c>
      <c r="E772" s="9">
        <f t="shared" ca="1" si="73"/>
        <v>1.8086938667785046E-2</v>
      </c>
      <c r="F772" s="9">
        <f t="shared" ca="1" si="74"/>
        <v>0.37540576329415221</v>
      </c>
      <c r="G772" s="13">
        <f ca="1">IF((Prices!C772-Prices!C771)*C772&gt;0,1,0)</f>
        <v>0</v>
      </c>
      <c r="H772" s="9">
        <f>ABS(Prices!C772-Prices!C771)/Prices!C771</f>
        <v>3.7167252636864925E-3</v>
      </c>
      <c r="I772" s="13"/>
      <c r="J772" s="1">
        <f t="shared" ca="1" si="75"/>
        <v>5.7944416814655053E-4</v>
      </c>
      <c r="K772" s="9"/>
      <c r="L772" s="9">
        <f ca="1">L771-O772*Prices!C772</f>
        <v>0.71555996094398044</v>
      </c>
      <c r="M772" s="1">
        <f t="shared" ca="1" si="76"/>
        <v>1.3087449493980899E-2</v>
      </c>
      <c r="N772" s="9">
        <f ca="1">IF(Prices!D771&gt;OFFSET(Prices!D771,-$N$3,0),1,IF(Prices!D771&lt;OFFSET(Prices!D771,-$N$3,0),-1,0))</f>
        <v>1</v>
      </c>
      <c r="O772" s="1">
        <f ca="1">IF(N772=1,O$3*L771/Prices!C771,O$3*M771*N772)</f>
        <v>7.983309096572435E-4</v>
      </c>
      <c r="P772" s="14"/>
      <c r="Q772" s="9">
        <f ca="1">Q771-T772*Prices!C772</f>
        <v>0.96147571934200271</v>
      </c>
      <c r="R772" s="1">
        <f t="shared" ca="1" si="77"/>
        <v>1.0725450334023955E-2</v>
      </c>
      <c r="S772" s="9">
        <f ca="1">IF(Prices!C771&lt;OFFSET(Prices!C771,-S$3,0),1,IF(Prices!C771&gt;OFFSET(Prices!C771,-S$3,0),-1,0))</f>
        <v>-1</v>
      </c>
      <c r="T772" s="1">
        <f ca="1">IF(S772=1,T$3*Q771/Prices!C771,T$3*R771*S772)</f>
        <v>-2.1888674151069297E-4</v>
      </c>
    </row>
    <row r="773" spans="1:20" x14ac:dyDescent="0.2">
      <c r="A773" s="4">
        <v>34589</v>
      </c>
      <c r="B773" s="9">
        <f ca="1">Prices!C772*(1+J773/(50*(ABS(O773)+ABS(T773)+0.0001)))</f>
        <v>100.96824092357868</v>
      </c>
      <c r="C773" s="13">
        <f t="shared" ca="1" si="72"/>
        <v>1</v>
      </c>
      <c r="D773" s="9">
        <f ca="1">D772+C773*(Prices!C773-Prices!C772)/Prices!C772</f>
        <v>0.35802461208351571</v>
      </c>
      <c r="E773" s="9">
        <f t="shared" ca="1" si="73"/>
        <v>1.7381151210636492E-2</v>
      </c>
      <c r="F773" s="9">
        <f t="shared" ca="1" si="74"/>
        <v>0.37540576329415221</v>
      </c>
      <c r="G773" s="13">
        <f ca="1">IF((Prices!C773-Prices!C772)*C773&gt;0,1,0)</f>
        <v>1</v>
      </c>
      <c r="H773" s="9">
        <f>ABS(Prices!C773-Prices!C772)/Prices!C772</f>
        <v>7.0578745714854985E-4</v>
      </c>
      <c r="I773" s="13"/>
      <c r="J773" s="1">
        <f t="shared" ca="1" si="75"/>
        <v>9.1536106554989001E-4</v>
      </c>
      <c r="K773" s="9"/>
      <c r="L773" s="9">
        <f ca="1">L772-O773*Prices!C773</f>
        <v>0.64395346152505517</v>
      </c>
      <c r="M773" s="1">
        <f t="shared" ca="1" si="76"/>
        <v>1.3808925558655209E-2</v>
      </c>
      <c r="N773" s="9">
        <f ca="1">IF(Prices!D772&gt;OFFSET(Prices!D772,-$N$3,0),1,IF(Prices!D772&lt;OFFSET(Prices!D772,-$N$3,0),-1,0))</f>
        <v>1</v>
      </c>
      <c r="O773" s="1">
        <f ca="1">IF(N773=1,O$3*L772/Prices!C772,O$3*M772*N773)</f>
        <v>7.2147606467430972E-4</v>
      </c>
      <c r="P773" s="14"/>
      <c r="Q773" s="9">
        <f ca="1">Q772-T773*Prices!C773</f>
        <v>0.94223263300510141</v>
      </c>
      <c r="R773" s="1">
        <f t="shared" ca="1" si="77"/>
        <v>1.0919335334899536E-2</v>
      </c>
      <c r="S773" s="9">
        <f ca="1">IF(Prices!C772&lt;OFFSET(Prices!C772,-S$3,0),1,IF(Prices!C772&gt;OFFSET(Prices!C772,-S$3,0),-1,0))</f>
        <v>1</v>
      </c>
      <c r="T773" s="1">
        <f ca="1">IF(S773=1,T$3*Q772/Prices!C772,T$3*R772*S773)</f>
        <v>1.9388500087558032E-4</v>
      </c>
    </row>
    <row r="774" spans="1:20" x14ac:dyDescent="0.2">
      <c r="A774" s="4">
        <v>34590</v>
      </c>
      <c r="B774" s="9">
        <f ca="1">Prices!C773*(1+J774/(50*(ABS(O774)+ABS(T774)+0.0001)))</f>
        <v>100.1333785478341</v>
      </c>
      <c r="C774" s="13">
        <f t="shared" ca="1" si="72"/>
        <v>1</v>
      </c>
      <c r="D774" s="9">
        <f ca="1">D773+C774*(Prices!C774-Prices!C773)/Prices!C773</f>
        <v>0.35318834004321342</v>
      </c>
      <c r="E774" s="9">
        <f t="shared" ca="1" si="73"/>
        <v>2.2217423250938784E-2</v>
      </c>
      <c r="F774" s="9">
        <f t="shared" ca="1" si="74"/>
        <v>0.37540576329415221</v>
      </c>
      <c r="G774" s="13">
        <f ca="1">IF((Prices!C774-Prices!C773)*C774&gt;0,1,0)</f>
        <v>0</v>
      </c>
      <c r="H774" s="9">
        <f>ABS(Prices!C774-Prices!C773)/Prices!C773</f>
        <v>4.8362720403023075E-3</v>
      </c>
      <c r="I774" s="13"/>
      <c r="J774" s="1">
        <f t="shared" ca="1" si="75"/>
        <v>4.3043290189148555E-4</v>
      </c>
      <c r="K774" s="9"/>
      <c r="L774" s="9">
        <f ca="1">L773-O774*Prices!C774</f>
        <v>0.57986954878467256</v>
      </c>
      <c r="M774" s="1">
        <f t="shared" ca="1" si="76"/>
        <v>1.4457745167244684E-2</v>
      </c>
      <c r="N774" s="9">
        <f ca="1">IF(Prices!D773&gt;OFFSET(Prices!D773,-$N$3,0),1,IF(Prices!D773&lt;OFFSET(Prices!D773,-$N$3,0),-1,0))</f>
        <v>1</v>
      </c>
      <c r="O774" s="1">
        <f ca="1">IF(N774=1,O$3*L773/Prices!C773,O$3*M773*N774)</f>
        <v>6.4881960858947626E-4</v>
      </c>
      <c r="P774" s="14"/>
      <c r="Q774" s="9">
        <f ca="1">Q773-T774*Prices!C774</f>
        <v>0.96380268802566194</v>
      </c>
      <c r="R774" s="1">
        <f t="shared" ca="1" si="77"/>
        <v>1.0700948628201545E-2</v>
      </c>
      <c r="S774" s="9">
        <f ca="1">IF(Prices!C773&lt;OFFSET(Prices!C773,-S$3,0),1,IF(Prices!C773&gt;OFFSET(Prices!C773,-S$3,0),-1,0))</f>
        <v>-1</v>
      </c>
      <c r="T774" s="1">
        <f ca="1">IF(S774=1,T$3*Q773/Prices!C773,T$3*R773*S774)</f>
        <v>-2.1838670669799073E-4</v>
      </c>
    </row>
    <row r="775" spans="1:20" x14ac:dyDescent="0.2">
      <c r="A775" s="4">
        <v>34591</v>
      </c>
      <c r="B775" s="9">
        <f ca="1">Prices!C774*(1+J775/(50*(ABS(O775)+ABS(T775)+0.0001)))</f>
        <v>97.350957275171908</v>
      </c>
      <c r="C775" s="13">
        <f t="shared" ca="1" si="72"/>
        <v>-1</v>
      </c>
      <c r="D775" s="9">
        <f ca="1">D774+C775*(Prices!C775-Prices!C774)/Prices!C774</f>
        <v>0.34883479139483836</v>
      </c>
      <c r="E775" s="9">
        <f t="shared" ca="1" si="73"/>
        <v>2.6570971899313844E-2</v>
      </c>
      <c r="F775" s="9">
        <f t="shared" ca="1" si="74"/>
        <v>0.37540576329415221</v>
      </c>
      <c r="G775" s="13">
        <f ca="1">IF((Prices!C775-Prices!C774)*C775&gt;0,1,0)</f>
        <v>0</v>
      </c>
      <c r="H775" s="9">
        <f>ABS(Prices!C775-Prices!C774)/Prices!C774</f>
        <v>4.3535486483750815E-3</v>
      </c>
      <c r="I775" s="13"/>
      <c r="J775" s="1">
        <f t="shared" ca="1" si="75"/>
        <v>-1.2506134985963604E-3</v>
      </c>
      <c r="K775" s="9"/>
      <c r="L775" s="9">
        <f ca="1">L774-O775*Prices!C775</f>
        <v>0.72329038084373987</v>
      </c>
      <c r="M775" s="1">
        <f t="shared" ca="1" si="76"/>
        <v>1.3011970650520215E-2</v>
      </c>
      <c r="N775" s="9">
        <f ca="1">IF(Prices!D774&gt;OFFSET(Prices!D774,-$N$3,0),1,IF(Prices!D774&lt;OFFSET(Prices!D774,-$N$3,0),-1,0))</f>
        <v>-1</v>
      </c>
      <c r="O775" s="1">
        <f ca="1">IF(N775=1,O$3*L774/Prices!C774,O$3*M774*N775)</f>
        <v>-1.4457745167244685E-3</v>
      </c>
      <c r="P775" s="14"/>
      <c r="Q775" s="9">
        <f ca="1">Q774-T775*Prices!C775</f>
        <v>0.94444271502735355</v>
      </c>
      <c r="R775" s="1">
        <f t="shared" ca="1" si="77"/>
        <v>1.0896109646329652E-2</v>
      </c>
      <c r="S775" s="9">
        <f ca="1">IF(Prices!C774&lt;OFFSET(Prices!C774,-S$3,0),1,IF(Prices!C774&gt;OFFSET(Prices!C774,-S$3,0),-1,0))</f>
        <v>1</v>
      </c>
      <c r="T775" s="1">
        <f ca="1">IF(S775=1,T$3*Q774/Prices!C774,T$3*R774*S775)</f>
        <v>1.9516101812810816E-4</v>
      </c>
    </row>
    <row r="776" spans="1:20" x14ac:dyDescent="0.2">
      <c r="A776" s="4">
        <v>34592</v>
      </c>
      <c r="B776" s="9">
        <f ca="1">Prices!C775*(1+J776/(50*(ABS(O776)+ABS(T776)+0.0001)))</f>
        <v>97.815364687121416</v>
      </c>
      <c r="C776" s="13">
        <f t="shared" ca="1" si="72"/>
        <v>-1</v>
      </c>
      <c r="D776" s="9">
        <f ca="1">D775+C776*(Prices!C776-Prices!C775)/Prices!C775</f>
        <v>0.3458105978464513</v>
      </c>
      <c r="E776" s="9">
        <f t="shared" ca="1" si="73"/>
        <v>2.9595165447700911E-2</v>
      </c>
      <c r="F776" s="9">
        <f t="shared" ca="1" si="74"/>
        <v>0.37540576329415221</v>
      </c>
      <c r="G776" s="13">
        <f ca="1">IF((Prices!C776-Prices!C775)*C776&gt;0,1,0)</f>
        <v>0</v>
      </c>
      <c r="H776" s="9">
        <f>ABS(Prices!C776-Prices!C775)/Prices!C775</f>
        <v>3.0241935483870681E-3</v>
      </c>
      <c r="I776" s="13"/>
      <c r="J776" s="1">
        <f t="shared" ca="1" si="75"/>
        <v>-1.1107852273448938E-3</v>
      </c>
      <c r="K776" s="9"/>
      <c r="L776" s="9">
        <f ca="1">L775-O776*Prices!C776</f>
        <v>0.85275948881641606</v>
      </c>
      <c r="M776" s="1">
        <f t="shared" ca="1" si="76"/>
        <v>1.1710773585468194E-2</v>
      </c>
      <c r="N776" s="9">
        <f ca="1">IF(Prices!D775&gt;OFFSET(Prices!D775,-$N$3,0),1,IF(Prices!D775&lt;OFFSET(Prices!D775,-$N$3,0),-1,0))</f>
        <v>-1</v>
      </c>
      <c r="O776" s="1">
        <f ca="1">IF(N776=1,O$3*L775/Prices!C775,O$3*M775*N776)</f>
        <v>-1.3011970650520215E-3</v>
      </c>
      <c r="P776" s="14"/>
      <c r="Q776" s="9">
        <f ca="1">Q775-T776*Prices!C776</f>
        <v>0.9254967371754943</v>
      </c>
      <c r="R776" s="1">
        <f t="shared" ca="1" si="77"/>
        <v>1.108652148403678E-2</v>
      </c>
      <c r="S776" s="9">
        <f ca="1">IF(Prices!C775&lt;OFFSET(Prices!C775,-S$3,0),1,IF(Prices!C775&gt;OFFSET(Prices!C775,-S$3,0),-1,0))</f>
        <v>1</v>
      </c>
      <c r="T776" s="1">
        <f ca="1">IF(S776=1,T$3*Q775/Prices!C775,T$3*R775*S776)</f>
        <v>1.9041183770712771E-4</v>
      </c>
    </row>
    <row r="777" spans="1:20" x14ac:dyDescent="0.2">
      <c r="A777" s="4">
        <v>34593</v>
      </c>
      <c r="B777" s="9">
        <f ca="1">Prices!C776*(1+J777/(50*(ABS(O777)+ABS(T777)+0.0001)))</f>
        <v>97.643305842566832</v>
      </c>
      <c r="C777" s="13">
        <f t="shared" ca="1" si="72"/>
        <v>-1</v>
      </c>
      <c r="D777" s="9">
        <f ca="1">D776+C777*(Prices!C777-Prices!C776)/Prices!C776</f>
        <v>0.35133823603740605</v>
      </c>
      <c r="E777" s="9">
        <f t="shared" ca="1" si="73"/>
        <v>2.4067527256746157E-2</v>
      </c>
      <c r="F777" s="9">
        <f t="shared" ca="1" si="74"/>
        <v>0.37540576329415221</v>
      </c>
      <c r="G777" s="13">
        <f ca="1">IF((Prices!C777-Prices!C776)*C777&gt;0,1,0)</f>
        <v>1</v>
      </c>
      <c r="H777" s="9">
        <f>ABS(Prices!C777-Prices!C776)/Prices!C776</f>
        <v>5.5276381909547456E-3</v>
      </c>
      <c r="I777" s="13"/>
      <c r="J777" s="1">
        <f t="shared" ca="1" si="75"/>
        <v>-1.3928077882275551E-3</v>
      </c>
      <c r="K777" s="9"/>
      <c r="L777" s="9">
        <f ca="1">L776-O777*Prices!C777</f>
        <v>0.96863759344462386</v>
      </c>
      <c r="M777" s="1">
        <f t="shared" ca="1" si="76"/>
        <v>1.0539696226921375E-2</v>
      </c>
      <c r="N777" s="9">
        <f ca="1">IF(Prices!D776&gt;OFFSET(Prices!D776,-$N$3,0),1,IF(Prices!D776&lt;OFFSET(Prices!D776,-$N$3,0),-1,0))</f>
        <v>-1</v>
      </c>
      <c r="O777" s="1">
        <f ca="1">IF(N777=1,O$3*L776/Prices!C776,O$3*M776*N777)</f>
        <v>-1.1710773585468194E-3</v>
      </c>
      <c r="P777" s="14"/>
      <c r="Q777" s="9">
        <f ca="1">Q776-T777*Prices!C777</f>
        <v>0.94743696319240311</v>
      </c>
      <c r="R777" s="1">
        <f t="shared" ca="1" si="77"/>
        <v>1.0864791054356044E-2</v>
      </c>
      <c r="S777" s="9">
        <f ca="1">IF(Prices!C776&lt;OFFSET(Prices!C776,-S$3,0),1,IF(Prices!C776&gt;OFFSET(Prices!C776,-S$3,0),-1,0))</f>
        <v>-1</v>
      </c>
      <c r="T777" s="1">
        <f ca="1">IF(S777=1,T$3*Q776/Prices!C776,T$3*R776*S777)</f>
        <v>-2.2173042968073561E-4</v>
      </c>
    </row>
    <row r="778" spans="1:20" x14ac:dyDescent="0.2">
      <c r="A778" s="4">
        <v>34596</v>
      </c>
      <c r="B778" s="9">
        <f ca="1">Prices!C777*(1+J778/(50*(ABS(O778)+ABS(T778)+0.0001)))</f>
        <v>100.77322405014188</v>
      </c>
      <c r="C778" s="13">
        <f t="shared" ca="1" si="72"/>
        <v>1</v>
      </c>
      <c r="D778" s="9">
        <f ca="1">D777+C778*(Prices!C778-Prices!C777)/Prices!C777</f>
        <v>0.34679048464781531</v>
      </c>
      <c r="E778" s="9">
        <f t="shared" ca="1" si="73"/>
        <v>2.8615278646336895E-2</v>
      </c>
      <c r="F778" s="9">
        <f t="shared" ca="1" si="74"/>
        <v>0.37540576329415221</v>
      </c>
      <c r="G778" s="13">
        <f ca="1">IF((Prices!C778-Prices!C777)*C778&gt;0,1,0)</f>
        <v>0</v>
      </c>
      <c r="H778" s="9">
        <f>ABS(Prices!C778-Prices!C777)/Prices!C777</f>
        <v>4.5477513895907313E-3</v>
      </c>
      <c r="I778" s="13"/>
      <c r="J778" s="1">
        <f t="shared" ca="1" si="75"/>
        <v>1.1704143366175891E-3</v>
      </c>
      <c r="K778" s="9"/>
      <c r="L778" s="9">
        <f ca="1">L777-O778*Prices!C778</f>
        <v>0.87221434639632123</v>
      </c>
      <c r="M778" s="1">
        <f t="shared" ca="1" si="76"/>
        <v>1.1518612440609727E-2</v>
      </c>
      <c r="N778" s="9">
        <f ca="1">IF(Prices!D777&gt;OFFSET(Prices!D777,-$N$3,0),1,IF(Prices!D777&lt;OFFSET(Prices!D777,-$N$3,0),-1,0))</f>
        <v>1</v>
      </c>
      <c r="O778" s="1">
        <f ca="1">IF(N778=1,O$3*L777/Prices!C777,O$3*M777*N778)</f>
        <v>9.7891621368835155E-4</v>
      </c>
      <c r="P778" s="14"/>
      <c r="Q778" s="9">
        <f ca="1">Q777-T778*Prices!C778</f>
        <v>0.92857439808387321</v>
      </c>
      <c r="R778" s="1">
        <f t="shared" ca="1" si="77"/>
        <v>1.1056289177285282E-2</v>
      </c>
      <c r="S778" s="9">
        <f ca="1">IF(Prices!C777&lt;OFFSET(Prices!C777,-S$3,0),1,IF(Prices!C777&gt;OFFSET(Prices!C777,-S$3,0),-1,0))</f>
        <v>1</v>
      </c>
      <c r="T778" s="1">
        <f ca="1">IF(S778=1,T$3*Q777/Prices!C777,T$3*R777*S778)</f>
        <v>1.9149812292923763E-4</v>
      </c>
    </row>
    <row r="779" spans="1:20" x14ac:dyDescent="0.2">
      <c r="A779" s="4">
        <v>34597</v>
      </c>
      <c r="B779" s="9">
        <f ca="1">Prices!C778*(1+J779/(50*(ABS(O779)+ABS(T779)+0.0001)))</f>
        <v>100.30220330683876</v>
      </c>
      <c r="C779" s="13">
        <f t="shared" ca="1" si="72"/>
        <v>1</v>
      </c>
      <c r="D779" s="9">
        <f ca="1">D778+C779*(Prices!C779-Prices!C778)/Prices!C778</f>
        <v>0.33765342881025179</v>
      </c>
      <c r="E779" s="9">
        <f t="shared" ca="1" si="73"/>
        <v>3.7752334483900418E-2</v>
      </c>
      <c r="F779" s="9">
        <f t="shared" ca="1" si="74"/>
        <v>0.37540576329415221</v>
      </c>
      <c r="G779" s="13">
        <f ca="1">IF((Prices!C779-Prices!C778)*C779&gt;0,1,0)</f>
        <v>0</v>
      </c>
      <c r="H779" s="9">
        <f>ABS(Prices!C779-Prices!C778)/Prices!C778</f>
        <v>9.1370558375635097E-3</v>
      </c>
      <c r="I779" s="13"/>
      <c r="J779" s="1">
        <f t="shared" ca="1" si="75"/>
        <v>1.0740398233635492E-3</v>
      </c>
      <c r="K779" s="9"/>
      <c r="L779" s="9">
        <f ca="1">L778-O779*Prices!C779</f>
        <v>0.78578985887522379</v>
      </c>
      <c r="M779" s="1">
        <f t="shared" ca="1" si="76"/>
        <v>1.2404109238981626E-2</v>
      </c>
      <c r="N779" s="9">
        <f ca="1">IF(Prices!D778&gt;OFFSET(Prices!D778,-$N$3,0),1,IF(Prices!D778&lt;OFFSET(Prices!D778,-$N$3,0),-1,0))</f>
        <v>1</v>
      </c>
      <c r="O779" s="1">
        <f ca="1">IF(N779=1,O$3*L778/Prices!C778,O$3*M778*N779)</f>
        <v>8.8549679837189978E-4</v>
      </c>
      <c r="P779" s="14"/>
      <c r="Q779" s="9">
        <f ca="1">Q778-T779*Prices!C779</f>
        <v>0.91017259884468826</v>
      </c>
      <c r="R779" s="1">
        <f t="shared" ca="1" si="77"/>
        <v>1.1244832202276931E-2</v>
      </c>
      <c r="S779" s="9">
        <f ca="1">IF(Prices!C778&lt;OFFSET(Prices!C778,-S$3,0),1,IF(Prices!C778&gt;OFFSET(Prices!C778,-S$3,0),-1,0))</f>
        <v>1</v>
      </c>
      <c r="T779" s="1">
        <f ca="1">IF(S779=1,T$3*Q778/Prices!C778,T$3*R778*S779)</f>
        <v>1.8854302499164938E-4</v>
      </c>
    </row>
    <row r="780" spans="1:20" x14ac:dyDescent="0.2">
      <c r="A780" s="4">
        <v>34598</v>
      </c>
      <c r="B780" s="9">
        <f ca="1">Prices!C779*(1+J780/(50*(ABS(O780)+ABS(T780)+0.0001)))</f>
        <v>99.373183742536057</v>
      </c>
      <c r="C780" s="13">
        <f t="shared" ca="1" si="72"/>
        <v>1</v>
      </c>
      <c r="D780" s="9">
        <f ca="1">D779+C780*(Prices!C780-Prices!C779)/Prices!C779</f>
        <v>0.33919031405615346</v>
      </c>
      <c r="E780" s="9">
        <f t="shared" ca="1" si="73"/>
        <v>3.6215449237998742E-2</v>
      </c>
      <c r="F780" s="9">
        <f t="shared" ca="1" si="74"/>
        <v>0.37540576329415221</v>
      </c>
      <c r="G780" s="13">
        <f ca="1">IF((Prices!C780-Prices!C779)*C780&gt;0,1,0)</f>
        <v>1</v>
      </c>
      <c r="H780" s="9">
        <f>ABS(Prices!C780-Prices!C779)/Prices!C779</f>
        <v>1.5368852459016976E-3</v>
      </c>
      <c r="I780" s="13"/>
      <c r="J780" s="1">
        <f t="shared" ca="1" si="75"/>
        <v>9.9162333877475571E-4</v>
      </c>
      <c r="K780" s="9"/>
      <c r="L780" s="9">
        <f ca="1">L779-O780*Prices!C780</f>
        <v>0.70709010610365297</v>
      </c>
      <c r="M780" s="1">
        <f t="shared" ca="1" si="76"/>
        <v>1.3209221799304602E-2</v>
      </c>
      <c r="N780" s="9">
        <f ca="1">IF(Prices!D779&gt;OFFSET(Prices!D779,-$N$3,0),1,IF(Prices!D779&lt;OFFSET(Prices!D779,-$N$3,0),-1,0))</f>
        <v>1</v>
      </c>
      <c r="O780" s="1">
        <f ca="1">IF(N780=1,O$3*L779/Prices!C779,O$3*M779*N780)</f>
        <v>8.0511256032297527E-4</v>
      </c>
      <c r="P780" s="14"/>
      <c r="Q780" s="9">
        <f ca="1">Q779-T780*Prices!C780</f>
        <v>0.8919411702510267</v>
      </c>
      <c r="R780" s="1">
        <f t="shared" ca="1" si="77"/>
        <v>1.1431342980728711E-2</v>
      </c>
      <c r="S780" s="9">
        <f ca="1">IF(Prices!C779&lt;OFFSET(Prices!C779,-S$3,0),1,IF(Prices!C779&gt;OFFSET(Prices!C779,-S$3,0),-1,0))</f>
        <v>1</v>
      </c>
      <c r="T780" s="1">
        <f ca="1">IF(S780=1,T$3*Q779/Prices!C779,T$3*R779*S780)</f>
        <v>1.8651077845178041E-4</v>
      </c>
    </row>
    <row r="781" spans="1:20" x14ac:dyDescent="0.2">
      <c r="A781" s="4">
        <v>34599</v>
      </c>
      <c r="B781" s="9">
        <f ca="1">Prices!C780*(1+J781/(50*(ABS(O781)+ABS(T781)+0.0001)))</f>
        <v>99.510638993308419</v>
      </c>
      <c r="C781" s="13">
        <f t="shared" ca="1" si="72"/>
        <v>1</v>
      </c>
      <c r="D781" s="9">
        <f ca="1">D780+C781*(Prices!C781-Prices!C780)/Prices!C780</f>
        <v>0.34205476418403069</v>
      </c>
      <c r="E781" s="9">
        <f t="shared" ca="1" si="73"/>
        <v>3.3350999110121515E-2</v>
      </c>
      <c r="F781" s="9">
        <f t="shared" ca="1" si="74"/>
        <v>0.37540576329415221</v>
      </c>
      <c r="G781" s="13">
        <f ca="1">IF((Prices!C781-Prices!C780)*C781&gt;0,1,0)</f>
        <v>1</v>
      </c>
      <c r="H781" s="9">
        <f>ABS(Prices!C781-Prices!C780)/Prices!C780</f>
        <v>2.8644501278772493E-3</v>
      </c>
      <c r="I781" s="13"/>
      <c r="J781" s="1">
        <f t="shared" ca="1" si="75"/>
        <v>9.0586019453080138E-4</v>
      </c>
      <c r="K781" s="9"/>
      <c r="L781" s="9">
        <f ca="1">L780-O781*Prices!C781</f>
        <v>0.63617855305880278</v>
      </c>
      <c r="M781" s="1">
        <f t="shared" ca="1" si="76"/>
        <v>1.3932587636750794E-2</v>
      </c>
      <c r="N781" s="9">
        <f ca="1">IF(Prices!D780&gt;OFFSET(Prices!D780,-$N$3,0),1,IF(Prices!D780&lt;OFFSET(Prices!D780,-$N$3,0),-1,0))</f>
        <v>1</v>
      </c>
      <c r="O781" s="1">
        <f ca="1">IF(N781=1,O$3*L780/Prices!C780,O$3*M780*N781)</f>
        <v>7.2336583744619237E-4</v>
      </c>
      <c r="P781" s="14"/>
      <c r="Q781" s="9">
        <f ca="1">Q780-T781*Prices!C781</f>
        <v>0.87405124842602244</v>
      </c>
      <c r="R781" s="1">
        <f t="shared" ca="1" si="77"/>
        <v>1.1613837337813319E-2</v>
      </c>
      <c r="S781" s="9">
        <f ca="1">IF(Prices!C780&lt;OFFSET(Prices!C780,-S$3,0),1,IF(Prices!C780&gt;OFFSET(Prices!C780,-S$3,0),-1,0))</f>
        <v>1</v>
      </c>
      <c r="T781" s="1">
        <f ca="1">IF(S781=1,T$3*Q780/Prices!C780,T$3*R780*S781)</f>
        <v>1.8249435708460904E-4</v>
      </c>
    </row>
    <row r="782" spans="1:20" x14ac:dyDescent="0.2">
      <c r="A782" s="4">
        <v>34600</v>
      </c>
      <c r="B782" s="9">
        <f ca="1">Prices!C781*(1+J782/(50*(ABS(O782)+ABS(T782)+0.0001)))</f>
        <v>99.779165849881394</v>
      </c>
      <c r="C782" s="13">
        <f t="shared" ca="1" si="72"/>
        <v>1</v>
      </c>
      <c r="D782" s="9">
        <f ca="1">D781+C782*(Prices!C782-Prices!C781)/Prices!C781</f>
        <v>0.34021859158380618</v>
      </c>
      <c r="E782" s="9">
        <f t="shared" ca="1" si="73"/>
        <v>3.5187171710346021E-2</v>
      </c>
      <c r="F782" s="9">
        <f t="shared" ca="1" si="74"/>
        <v>0.37540576329415221</v>
      </c>
      <c r="G782" s="13">
        <f ca="1">IF((Prices!C782-Prices!C781)*C782&gt;0,1,0)</f>
        <v>0</v>
      </c>
      <c r="H782" s="9">
        <f>ABS(Prices!C782-Prices!C781)/Prices!C781</f>
        <v>1.8361726002244906E-3</v>
      </c>
      <c r="I782" s="13"/>
      <c r="J782" s="1">
        <f t="shared" ca="1" si="75"/>
        <v>8.2728634371519671E-4</v>
      </c>
      <c r="K782" s="9"/>
      <c r="L782" s="9">
        <f ca="1">L781-O782*Prices!C782</f>
        <v>0.57267751111572018</v>
      </c>
      <c r="M782" s="1">
        <f t="shared" ca="1" si="76"/>
        <v>1.4581550763404678E-2</v>
      </c>
      <c r="N782" s="9">
        <f ca="1">IF(Prices!D781&gt;OFFSET(Prices!D781,-$N$3,0),1,IF(Prices!D781&lt;OFFSET(Prices!D781,-$N$3,0),-1,0))</f>
        <v>1</v>
      </c>
      <c r="O782" s="1">
        <f ca="1">IF(N782=1,O$3*L781/Prices!C781,O$3*M781*N782)</f>
        <v>6.4896312665388433E-4</v>
      </c>
      <c r="P782" s="14"/>
      <c r="Q782" s="9">
        <f ca="1">Q781-T782*Prices!C782</f>
        <v>0.85660232163657302</v>
      </c>
      <c r="R782" s="1">
        <f t="shared" ca="1" si="77"/>
        <v>1.1792160554874632E-2</v>
      </c>
      <c r="S782" s="9">
        <f ca="1">IF(Prices!C781&lt;OFFSET(Prices!C781,-S$3,0),1,IF(Prices!C781&gt;OFFSET(Prices!C781,-S$3,0),-1,0))</f>
        <v>1</v>
      </c>
      <c r="T782" s="1">
        <f ca="1">IF(S782=1,T$3*Q781/Prices!C781,T$3*R781*S782)</f>
        <v>1.7832321706131234E-4</v>
      </c>
    </row>
    <row r="783" spans="1:20" x14ac:dyDescent="0.2">
      <c r="A783" s="4">
        <v>34603</v>
      </c>
      <c r="B783" s="9">
        <f ca="1">Prices!C782*(1+J783/(50*(ABS(O783)+ABS(T783)+0.0001)))</f>
        <v>99.095582978527901</v>
      </c>
      <c r="C783" s="13">
        <f t="shared" ca="1" si="72"/>
        <v>1</v>
      </c>
      <c r="D783" s="9">
        <f ca="1">D782+C783*(Prices!C783-Prices!C782)/Prices!C782</f>
        <v>0.34941634324451143</v>
      </c>
      <c r="E783" s="9">
        <f t="shared" ca="1" si="73"/>
        <v>2.5989420049640777E-2</v>
      </c>
      <c r="F783" s="9">
        <f t="shared" ca="1" si="74"/>
        <v>0.37540576329415221</v>
      </c>
      <c r="G783" s="13">
        <f ca="1">IF((Prices!C783-Prices!C782)*C783&gt;0,1,0)</f>
        <v>1</v>
      </c>
      <c r="H783" s="9">
        <f>ABS(Prices!C783-Prices!C782)/Prices!C782</f>
        <v>9.1977516607052202E-3</v>
      </c>
      <c r="I783" s="13"/>
      <c r="J783" s="1">
        <f t="shared" ca="1" si="75"/>
        <v>1.750847872532597E-4</v>
      </c>
      <c r="K783" s="9"/>
      <c r="L783" s="9">
        <f ca="1">L782-O783*Prices!C783</f>
        <v>0.57267751111572018</v>
      </c>
      <c r="M783" s="1">
        <f t="shared" ca="1" si="76"/>
        <v>1.4581550763404678E-2</v>
      </c>
      <c r="N783" s="9">
        <f ca="1">IF(Prices!D782&gt;OFFSET(Prices!D782,-$N$3,0),1,IF(Prices!D782&lt;OFFSET(Prices!D782,-$N$3,0),-1,0))</f>
        <v>0</v>
      </c>
      <c r="O783" s="1">
        <f ca="1">IF(N783=1,O$3*L782/Prices!C782,O$3*M782*N783)</f>
        <v>0</v>
      </c>
      <c r="P783" s="14"/>
      <c r="Q783" s="9">
        <f ca="1">Q782-T783*Prices!C783</f>
        <v>0.83931269889531357</v>
      </c>
      <c r="R783" s="1">
        <f t="shared" ca="1" si="77"/>
        <v>1.1967245342127892E-2</v>
      </c>
      <c r="S783" s="9">
        <f ca="1">IF(Prices!C782&lt;OFFSET(Prices!C782,-S$3,0),1,IF(Prices!C782&gt;OFFSET(Prices!C782,-S$3,0),-1,0))</f>
        <v>1</v>
      </c>
      <c r="T783" s="1">
        <f ca="1">IF(S783=1,T$3*Q782/Prices!C782,T$3*R782*S783)</f>
        <v>1.750847872532597E-4</v>
      </c>
    </row>
    <row r="784" spans="1:20" x14ac:dyDescent="0.2">
      <c r="A784" s="4">
        <v>34604</v>
      </c>
      <c r="B784" s="9">
        <f ca="1">Prices!C783*(1+J784/(50*(ABS(O784)+ABS(T784)+0.0001)))</f>
        <v>99.481719444082842</v>
      </c>
      <c r="C784" s="13">
        <f t="shared" ca="1" si="72"/>
        <v>1</v>
      </c>
      <c r="D784" s="9">
        <f ca="1">D783+C784*(Prices!C784-Prices!C783)/Prices!C783</f>
        <v>0.34182140653565068</v>
      </c>
      <c r="E784" s="9">
        <f t="shared" ca="1" si="73"/>
        <v>3.3584356758501521E-2</v>
      </c>
      <c r="F784" s="9">
        <f t="shared" ca="1" si="74"/>
        <v>0.37540576329415221</v>
      </c>
      <c r="G784" s="13">
        <f ca="1">IF((Prices!C784-Prices!C783)*C784&gt;0,1,0)</f>
        <v>0</v>
      </c>
      <c r="H784" s="9">
        <f>ABS(Prices!C784-Prices!C783)/Prices!C783</f>
        <v>7.5949367088607592E-3</v>
      </c>
      <c r="I784" s="13"/>
      <c r="J784" s="1">
        <f t="shared" ca="1" si="75"/>
        <v>3.4058168669234877E-4</v>
      </c>
      <c r="K784" s="9"/>
      <c r="L784" s="9">
        <f ca="1">L783-O784*Prices!C784</f>
        <v>0.51584470494929935</v>
      </c>
      <c r="M784" s="1">
        <f t="shared" ca="1" si="76"/>
        <v>1.5161477356939585E-2</v>
      </c>
      <c r="N784" s="9">
        <f ca="1">IF(Prices!D783&gt;OFFSET(Prices!D783,-$N$3,0),1,IF(Prices!D783&lt;OFFSET(Prices!D783,-$N$3,0),-1,0))</f>
        <v>1</v>
      </c>
      <c r="O784" s="1">
        <f ca="1">IF(N784=1,O$3*L783/Prices!C783,O$3*M783*N784)</f>
        <v>5.7992659353490658E-4</v>
      </c>
      <c r="P784" s="14"/>
      <c r="Q784" s="9">
        <f ca="1">Q783-T784*Prices!C784</f>
        <v>0.86276849976588421</v>
      </c>
      <c r="R784" s="1">
        <f t="shared" ca="1" si="77"/>
        <v>1.1727900435285333E-2</v>
      </c>
      <c r="S784" s="9">
        <f ca="1">IF(Prices!C783&lt;OFFSET(Prices!C783,-S$3,0),1,IF(Prices!C783&gt;OFFSET(Prices!C783,-S$3,0),-1,0))</f>
        <v>-1</v>
      </c>
      <c r="T784" s="1">
        <f ca="1">IF(S784=1,T$3*Q783/Prices!C783,T$3*R783*S784)</f>
        <v>-2.3934490684255784E-4</v>
      </c>
    </row>
    <row r="785" spans="1:20" x14ac:dyDescent="0.2">
      <c r="A785" s="4">
        <v>34605</v>
      </c>
      <c r="B785" s="9">
        <f ca="1">Prices!C784*(1+J785/(50*(ABS(O785)+ABS(T785)+0.0001)))</f>
        <v>98.664346240449348</v>
      </c>
      <c r="C785" s="13">
        <f t="shared" ca="1" si="72"/>
        <v>1</v>
      </c>
      <c r="D785" s="9">
        <f ca="1">D784+C785*(Prices!C785-Prices!C784)/Prices!C784</f>
        <v>0.3515152840866711</v>
      </c>
      <c r="E785" s="9">
        <f t="shared" ca="1" si="73"/>
        <v>2.3890479207481108E-2</v>
      </c>
      <c r="F785" s="9">
        <f t="shared" ca="1" si="74"/>
        <v>0.37540576329415221</v>
      </c>
      <c r="G785" s="13">
        <f ca="1">IF((Prices!C785-Prices!C784)*C785&gt;0,1,0)</f>
        <v>1</v>
      </c>
      <c r="H785" s="9">
        <f>ABS(Prices!C785-Prices!C784)/Prices!C784</f>
        <v>9.6938775510204377E-3</v>
      </c>
      <c r="I785" s="13"/>
      <c r="J785" s="1">
        <f t="shared" ca="1" si="75"/>
        <v>2.9181413920174165E-4</v>
      </c>
      <c r="K785" s="9"/>
      <c r="L785" s="9">
        <f ca="1">L784-O785*Prices!C785</f>
        <v>0.46376018091385734</v>
      </c>
      <c r="M785" s="1">
        <f t="shared" ca="1" si="76"/>
        <v>1.5687849504847032E-2</v>
      </c>
      <c r="N785" s="9">
        <f ca="1">IF(Prices!D784&gt;OFFSET(Prices!D784,-$N$3,0),1,IF(Prices!D784&lt;OFFSET(Prices!D784,-$N$3,0),-1,0))</f>
        <v>1</v>
      </c>
      <c r="O785" s="1">
        <f ca="1">IF(N785=1,O$3*L784/Prices!C784,O$3*M784*N785)</f>
        <v>5.2637214790744833E-4</v>
      </c>
      <c r="P785" s="14"/>
      <c r="Q785" s="9">
        <f ca="1">Q784-T785*Prices!C785</f>
        <v>0.88597801472731386</v>
      </c>
      <c r="R785" s="1">
        <f t="shared" ca="1" si="77"/>
        <v>1.1493342426579626E-2</v>
      </c>
      <c r="S785" s="9">
        <f ca="1">IF(Prices!C784&lt;OFFSET(Prices!C784,-S$3,0),1,IF(Prices!C784&gt;OFFSET(Prices!C784,-S$3,0),-1,0))</f>
        <v>-1</v>
      </c>
      <c r="T785" s="1">
        <f ca="1">IF(S785=1,T$3*Q784/Prices!C784,T$3*R784*S785)</f>
        <v>-2.3455800870570667E-4</v>
      </c>
    </row>
    <row r="786" spans="1:20" x14ac:dyDescent="0.2">
      <c r="A786" s="4">
        <v>34606</v>
      </c>
      <c r="B786" s="9">
        <f ca="1">Prices!C785*(1+J786/(50*(ABS(O786)+ABS(T786)+0.0001)))</f>
        <v>97.075231855521125</v>
      </c>
      <c r="C786" s="13">
        <f t="shared" ref="C786:C849" ca="1" si="78">IF(J786&gt;0,1,IF(J786&lt;0,-1,0))</f>
        <v>-1</v>
      </c>
      <c r="D786" s="9">
        <f ca="1">D785+C786*(Prices!C786-Prices!C785)/Prices!C785</f>
        <v>0.35555772976630734</v>
      </c>
      <c r="E786" s="9">
        <f t="shared" ref="E786:E849" ca="1" si="79">F786-D786</f>
        <v>1.9848033527844866E-2</v>
      </c>
      <c r="F786" s="9">
        <f t="shared" ref="F786:F849" ca="1" si="80">MAX(F785,D786)</f>
        <v>0.37540576329415221</v>
      </c>
      <c r="G786" s="13">
        <f ca="1">IF((Prices!C786-Prices!C785)*C786&gt;0,1,0)</f>
        <v>1</v>
      </c>
      <c r="H786" s="9">
        <f>ABS(Prices!C786-Prices!C785)/Prices!C785</f>
        <v>4.0424456796362375E-3</v>
      </c>
      <c r="I786" s="13"/>
      <c r="J786" s="1">
        <f t="shared" ref="J786:J849" ca="1" si="81">O786+T786</f>
        <v>-1.7986517990162957E-3</v>
      </c>
      <c r="K786" s="9"/>
      <c r="L786" s="9">
        <f ca="1">L785-O786*Prices!C786</f>
        <v>0.6183639377841248</v>
      </c>
      <c r="M786" s="1">
        <f t="shared" ref="M786:M849" ca="1" si="82">M785+O786</f>
        <v>1.4119064554362329E-2</v>
      </c>
      <c r="N786" s="9">
        <f ca="1">IF(Prices!D785&gt;OFFSET(Prices!D785,-$N$3,0),1,IF(Prices!D785&lt;OFFSET(Prices!D785,-$N$3,0),-1,0))</f>
        <v>-1</v>
      </c>
      <c r="O786" s="1">
        <f ca="1">IF(N786=1,O$3*L785/Prices!C785,O$3*M785*N786)</f>
        <v>-1.5687849504847032E-3</v>
      </c>
      <c r="P786" s="14"/>
      <c r="Q786" s="9">
        <f ca="1">Q785-T786*Prices!C786</f>
        <v>0.90863139265010229</v>
      </c>
      <c r="R786" s="1">
        <f t="shared" ref="R786:R849" ca="1" si="83">R785+T786</f>
        <v>1.1263475578048033E-2</v>
      </c>
      <c r="S786" s="9">
        <f ca="1">IF(Prices!C785&lt;OFFSET(Prices!C785,-S$3,0),1,IF(Prices!C785&gt;OFFSET(Prices!C785,-S$3,0),-1,0))</f>
        <v>-1</v>
      </c>
      <c r="T786" s="1">
        <f ca="1">IF(S786=1,T$3*Q785/Prices!C785,T$3*R785*S786)</f>
        <v>-2.2986684853159252E-4</v>
      </c>
    </row>
    <row r="787" spans="1:20" x14ac:dyDescent="0.2">
      <c r="A787" s="4">
        <v>34607</v>
      </c>
      <c r="B787" s="9">
        <f ca="1">Prices!C786*(1+J787/(50*(ABS(O787)+ABS(T787)+0.0001)))</f>
        <v>99.382051363029689</v>
      </c>
      <c r="C787" s="13">
        <f t="shared" ca="1" si="78"/>
        <v>1</v>
      </c>
      <c r="D787" s="9">
        <f ca="1">D786+C787*(Prices!C787-Prices!C786)/Prices!C786</f>
        <v>0.36164600982719025</v>
      </c>
      <c r="E787" s="9">
        <f t="shared" ca="1" si="79"/>
        <v>1.3759753466961955E-2</v>
      </c>
      <c r="F787" s="9">
        <f t="shared" ca="1" si="80"/>
        <v>0.37540576329415221</v>
      </c>
      <c r="G787" s="13">
        <f ca="1">IF((Prices!C787-Prices!C786)*C787&gt;0,1,0)</f>
        <v>1</v>
      </c>
      <c r="H787" s="9">
        <f>ABS(Prices!C787-Prices!C786)/Prices!C786</f>
        <v>6.088280060882887E-3</v>
      </c>
      <c r="I787" s="13"/>
      <c r="J787" s="1">
        <f t="shared" ca="1" si="81"/>
        <v>4.0219262723571606E-4</v>
      </c>
      <c r="K787" s="9"/>
      <c r="L787" s="9">
        <f ca="1">L786-O787*Prices!C787</f>
        <v>0.55615106672243431</v>
      </c>
      <c r="M787" s="1">
        <f t="shared" ca="1" si="82"/>
        <v>1.4746526693159005E-2</v>
      </c>
      <c r="N787" s="9">
        <f ca="1">IF(Prices!D786&gt;OFFSET(Prices!D786,-$N$3,0),1,IF(Prices!D786&lt;OFFSET(Prices!D786,-$N$3,0),-1,0))</f>
        <v>1</v>
      </c>
      <c r="O787" s="1">
        <f ca="1">IF(N787=1,O$3*L786/Prices!C786,O$3*M786*N787)</f>
        <v>6.274621387966767E-4</v>
      </c>
      <c r="P787" s="14"/>
      <c r="Q787" s="9">
        <f ca="1">Q786-T787*Prices!C787</f>
        <v>0.93096686472137158</v>
      </c>
      <c r="R787" s="1">
        <f t="shared" ca="1" si="83"/>
        <v>1.1038206066487073E-2</v>
      </c>
      <c r="S787" s="9">
        <f ca="1">IF(Prices!C786&lt;OFFSET(Prices!C786,-S$3,0),1,IF(Prices!C786&gt;OFFSET(Prices!C786,-S$3,0),-1,0))</f>
        <v>-1</v>
      </c>
      <c r="T787" s="1">
        <f ca="1">IF(S787=1,T$3*Q786/Prices!C786,T$3*R786*S787)</f>
        <v>-2.2526951156096067E-4</v>
      </c>
    </row>
    <row r="788" spans="1:20" x14ac:dyDescent="0.2">
      <c r="A788" s="4">
        <v>34610</v>
      </c>
      <c r="B788" s="9">
        <f ca="1">Prices!C787*(1+J788/(50*(ABS(O788)+ABS(T788)+0.0001)))</f>
        <v>99.915044672506227</v>
      </c>
      <c r="C788" s="13">
        <f t="shared" ca="1" si="78"/>
        <v>1</v>
      </c>
      <c r="D788" s="9">
        <f ca="1">D787+C788*(Prices!C788-Prices!C787)/Prices!C787</f>
        <v>0.36598287316556638</v>
      </c>
      <c r="E788" s="9">
        <f t="shared" ca="1" si="79"/>
        <v>9.4228901285858258E-3</v>
      </c>
      <c r="F788" s="9">
        <f t="shared" ca="1" si="80"/>
        <v>0.37540576329415221</v>
      </c>
      <c r="G788" s="13">
        <f ca="1">IF((Prices!C788-Prices!C787)*C788&gt;0,1,0)</f>
        <v>1</v>
      </c>
      <c r="H788" s="9">
        <f>ABS(Prices!C788-Prices!C787)/Prices!C787</f>
        <v>4.336863338376123E-3</v>
      </c>
      <c r="I788" s="13"/>
      <c r="J788" s="1">
        <f t="shared" ca="1" si="81"/>
        <v>3.4015475584870975E-4</v>
      </c>
      <c r="K788" s="9"/>
      <c r="L788" s="9">
        <f ca="1">L787-O788*Prices!C788</f>
        <v>0.50029476493300418</v>
      </c>
      <c r="M788" s="1">
        <f t="shared" ca="1" si="82"/>
        <v>1.5307445570337457E-2</v>
      </c>
      <c r="N788" s="9">
        <f ca="1">IF(Prices!D787&gt;OFFSET(Prices!D787,-$N$3,0),1,IF(Prices!D787&lt;OFFSET(Prices!D787,-$N$3,0),-1,0))</f>
        <v>1</v>
      </c>
      <c r="O788" s="1">
        <f ca="1">IF(N788=1,O$3*L787/Prices!C787,O$3*M787*N788)</f>
        <v>5.6091887717845117E-4</v>
      </c>
      <c r="P788" s="14"/>
      <c r="Q788" s="9">
        <f ca="1">Q787-T788*Prices!C788</f>
        <v>0.95295055592338729</v>
      </c>
      <c r="R788" s="1">
        <f t="shared" ca="1" si="83"/>
        <v>1.0817441945157331E-2</v>
      </c>
      <c r="S788" s="9">
        <f ca="1">IF(Prices!C787&lt;OFFSET(Prices!C787,-S$3,0),1,IF(Prices!C787&gt;OFFSET(Prices!C787,-S$3,0),-1,0))</f>
        <v>-1</v>
      </c>
      <c r="T788" s="1">
        <f ca="1">IF(S788=1,T$3*Q787/Prices!C787,T$3*R787*S788)</f>
        <v>-2.2076412132974145E-4</v>
      </c>
    </row>
    <row r="789" spans="1:20" x14ac:dyDescent="0.2">
      <c r="A789" s="4">
        <v>34611</v>
      </c>
      <c r="B789" s="9">
        <f ca="1">Prices!C788*(1+J789/(50*(ABS(O789)+ABS(T789)+0.0001)))</f>
        <v>100.2758248608035</v>
      </c>
      <c r="C789" s="13">
        <f t="shared" ca="1" si="78"/>
        <v>1</v>
      </c>
      <c r="D789" s="9">
        <f ca="1">D788+C789*(Prices!C789-Prices!C788)/Prices!C788</f>
        <v>0.36678624733708676</v>
      </c>
      <c r="E789" s="9">
        <f t="shared" ca="1" si="79"/>
        <v>8.6195159570654489E-3</v>
      </c>
      <c r="F789" s="9">
        <f t="shared" ca="1" si="80"/>
        <v>0.37540576329415221</v>
      </c>
      <c r="G789" s="13">
        <f ca="1">IF((Prices!C789-Prices!C788)*C789&gt;0,1,0)</f>
        <v>1</v>
      </c>
      <c r="H789" s="9">
        <f>ABS(Prices!C789-Prices!C788)/Prices!C788</f>
        <v>8.0337417152036847E-4</v>
      </c>
      <c r="I789" s="13"/>
      <c r="J789" s="1">
        <f t="shared" ca="1" si="81"/>
        <v>2.8605602646440134E-4</v>
      </c>
      <c r="K789" s="9"/>
      <c r="L789" s="9">
        <f ca="1">L788-O789*Prices!C789</f>
        <v>0.45022509605047434</v>
      </c>
      <c r="M789" s="1">
        <f t="shared" ca="1" si="82"/>
        <v>1.5809850435705004E-2</v>
      </c>
      <c r="N789" s="9">
        <f ca="1">IF(Prices!D788&gt;OFFSET(Prices!D788,-$N$3,0),1,IF(Prices!D788&lt;OFFSET(Prices!D788,-$N$3,0),-1,0))</f>
        <v>1</v>
      </c>
      <c r="O789" s="1">
        <f ca="1">IF(N789=1,O$3*L788/Prices!C788,O$3*M788*N789)</f>
        <v>5.0240486536754793E-4</v>
      </c>
      <c r="P789" s="14"/>
      <c r="Q789" s="9">
        <f ca="1">Q788-T789*Prices!C789</f>
        <v>0.97451188120847487</v>
      </c>
      <c r="R789" s="1">
        <f t="shared" ca="1" si="83"/>
        <v>1.0601093106254185E-2</v>
      </c>
      <c r="S789" s="9">
        <f ca="1">IF(Prices!C788&lt;OFFSET(Prices!C788,-S$3,0),1,IF(Prices!C788&gt;OFFSET(Prices!C788,-S$3,0),-1,0))</f>
        <v>-1</v>
      </c>
      <c r="T789" s="1">
        <f ca="1">IF(S789=1,T$3*Q788/Prices!C788,T$3*R788*S789)</f>
        <v>-2.1634883890314663E-4</v>
      </c>
    </row>
    <row r="790" spans="1:20" x14ac:dyDescent="0.2">
      <c r="A790" s="4">
        <v>34612</v>
      </c>
      <c r="B790" s="9">
        <f ca="1">Prices!C789*(1+J790/(50*(ABS(O790)+ABS(T790)+0.0001)))</f>
        <v>100.28563352468549</v>
      </c>
      <c r="C790" s="13">
        <f t="shared" ca="1" si="78"/>
        <v>1</v>
      </c>
      <c r="D790" s="9">
        <f ca="1">D789+C790*(Prices!C790-Prices!C789)/Prices!C789</f>
        <v>0.36628454153736772</v>
      </c>
      <c r="E790" s="9">
        <f t="shared" ca="1" si="79"/>
        <v>9.1212217567844811E-3</v>
      </c>
      <c r="F790" s="9">
        <f t="shared" ca="1" si="80"/>
        <v>0.37540576329415221</v>
      </c>
      <c r="G790" s="13">
        <f ca="1">IF((Prices!C790-Prices!C789)*C790&gt;0,1,0)</f>
        <v>0</v>
      </c>
      <c r="H790" s="9">
        <f>ABS(Prices!C790-Prices!C789)/Prices!C789</f>
        <v>5.0170579971901624E-4</v>
      </c>
      <c r="I790" s="13"/>
      <c r="J790" s="1">
        <f t="shared" ca="1" si="81"/>
        <v>2.3973922161009027E-4</v>
      </c>
      <c r="K790" s="9"/>
      <c r="L790" s="9">
        <f ca="1">L789-O790*Prices!C790</f>
        <v>0.40522517449961365</v>
      </c>
      <c r="M790" s="1">
        <f t="shared" ca="1" si="82"/>
        <v>1.6261611519440177E-2</v>
      </c>
      <c r="N790" s="9">
        <f ca="1">IF(Prices!D789&gt;OFFSET(Prices!D789,-$N$3,0),1,IF(Prices!D789&lt;OFFSET(Prices!D789,-$N$3,0),-1,0))</f>
        <v>1</v>
      </c>
      <c r="O790" s="1">
        <f ca="1">IF(N790=1,O$3*L789/Prices!C789,O$3*M789*N790)</f>
        <v>4.5176108373517397E-4</v>
      </c>
      <c r="P790" s="14"/>
      <c r="Q790" s="9">
        <f ca="1">Q789-T790*Prices!C790</f>
        <v>0.9956313788947545</v>
      </c>
      <c r="R790" s="1">
        <f t="shared" ca="1" si="83"/>
        <v>1.0389071244129102E-2</v>
      </c>
      <c r="S790" s="9">
        <f ca="1">IF(Prices!C789&lt;OFFSET(Prices!C789,-S$3,0),1,IF(Prices!C789&gt;OFFSET(Prices!C789,-S$3,0),-1,0))</f>
        <v>-1</v>
      </c>
      <c r="T790" s="1">
        <f ca="1">IF(S790=1,T$3*Q789/Prices!C789,T$3*R789*S790)</f>
        <v>-2.1202186212508371E-4</v>
      </c>
    </row>
    <row r="791" spans="1:20" x14ac:dyDescent="0.2">
      <c r="A791" s="4">
        <v>34613</v>
      </c>
      <c r="B791" s="9">
        <f ca="1">Prices!C790*(1+J791/(50*(ABS(O791)+ABS(T791)+0.0001)))</f>
        <v>100.16487263757162</v>
      </c>
      <c r="C791" s="13">
        <f t="shared" ca="1" si="78"/>
        <v>1</v>
      </c>
      <c r="D791" s="9">
        <f ca="1">D790+C791*(Prices!C791-Prices!C790)/Prices!C790</f>
        <v>0.36889472123820105</v>
      </c>
      <c r="E791" s="9">
        <f t="shared" ca="1" si="79"/>
        <v>6.511042055951155E-3</v>
      </c>
      <c r="F791" s="9">
        <f t="shared" ca="1" si="80"/>
        <v>0.37540576329415221</v>
      </c>
      <c r="G791" s="13">
        <f ca="1">IF((Prices!C791-Prices!C790)*C791&gt;0,1,0)</f>
        <v>1</v>
      </c>
      <c r="H791" s="9">
        <f>ABS(Prices!C791-Prices!C790)/Prices!C790</f>
        <v>2.6101797008333009E-3</v>
      </c>
      <c r="I791" s="13"/>
      <c r="J791" s="1">
        <f t="shared" ca="1" si="81"/>
        <v>1.9903031540414992E-4</v>
      </c>
      <c r="K791" s="9"/>
      <c r="L791" s="9">
        <f ca="1">L790-O791*Prices!C791</f>
        <v>0.36459688599717771</v>
      </c>
      <c r="M791" s="1">
        <f t="shared" ca="1" si="82"/>
        <v>1.6668423259726908E-2</v>
      </c>
      <c r="N791" s="9">
        <f ca="1">IF(Prices!D790&gt;OFFSET(Prices!D790,-$N$3,0),1,IF(Prices!D790&lt;OFFSET(Prices!D790,-$N$3,0),-1,0))</f>
        <v>1</v>
      </c>
      <c r="O791" s="1">
        <f ca="1">IF(N791=1,O$3*L790/Prices!C790,O$3*M790*N791)</f>
        <v>4.0681174028673196E-4</v>
      </c>
      <c r="P791" s="14"/>
      <c r="Q791" s="9">
        <f ca="1">Q790-T791*Prices!C791</f>
        <v>1.0163825097977779</v>
      </c>
      <c r="R791" s="1">
        <f t="shared" ca="1" si="83"/>
        <v>1.0181289819246519E-2</v>
      </c>
      <c r="S791" s="9">
        <f ca="1">IF(Prices!C790&lt;OFFSET(Prices!C790,-S$3,0),1,IF(Prices!C790&gt;OFFSET(Prices!C790,-S$3,0),-1,0))</f>
        <v>-1</v>
      </c>
      <c r="T791" s="1">
        <f ca="1">IF(S791=1,T$3*Q790/Prices!C790,T$3*R790*S791)</f>
        <v>-2.0778142488258203E-4</v>
      </c>
    </row>
    <row r="792" spans="1:20" x14ac:dyDescent="0.2">
      <c r="A792" s="4">
        <v>34614</v>
      </c>
      <c r="B792" s="9">
        <f ca="1">Prices!C791*(1+J792/(50*(ABS(O792)+ABS(T792)+0.0001)))</f>
        <v>100.35223855278633</v>
      </c>
      <c r="C792" s="13">
        <f t="shared" ca="1" si="78"/>
        <v>1</v>
      </c>
      <c r="D792" s="9">
        <f ca="1">D791+C792*(Prices!C792-Prices!C791)/Prices!C791</f>
        <v>0.37670487443735995</v>
      </c>
      <c r="E792" s="9">
        <f t="shared" ca="1" si="79"/>
        <v>0</v>
      </c>
      <c r="F792" s="9">
        <f t="shared" ca="1" si="80"/>
        <v>0.37670487443735995</v>
      </c>
      <c r="G792" s="13">
        <f ca="1">IF((Prices!C792-Prices!C791)*C792&gt;0,1,0)</f>
        <v>1</v>
      </c>
      <c r="H792" s="9">
        <f>ABS(Prices!C792-Prices!C791)/Prices!C791</f>
        <v>7.8101531991589179E-3</v>
      </c>
      <c r="I792" s="13"/>
      <c r="J792" s="1">
        <f t="shared" ca="1" si="81"/>
        <v>1.6144568253484304E-4</v>
      </c>
      <c r="K792" s="9"/>
      <c r="L792" s="9">
        <f ca="1">L791-O792*Prices!C792</f>
        <v>0.32785244164390254</v>
      </c>
      <c r="M792" s="1">
        <f t="shared" ca="1" si="82"/>
        <v>1.7033494738646682E-2</v>
      </c>
      <c r="N792" s="9">
        <f ca="1">IF(Prices!D791&gt;OFFSET(Prices!D791,-$N$3,0),1,IF(Prices!D791&lt;OFFSET(Prices!D791,-$N$3,0),-1,0))</f>
        <v>1</v>
      </c>
      <c r="O792" s="1">
        <f ca="1">IF(N792=1,O$3*L791/Prices!C791,O$3*M791*N792)</f>
        <v>3.6507147891977343E-4</v>
      </c>
      <c r="P792" s="14"/>
      <c r="Q792" s="9">
        <f ca="1">Q791-T792*Prices!C792</f>
        <v>1.0368774462039212</v>
      </c>
      <c r="R792" s="1">
        <f t="shared" ca="1" si="83"/>
        <v>9.9776640228615883E-3</v>
      </c>
      <c r="S792" s="9">
        <f ca="1">IF(Prices!C791&lt;OFFSET(Prices!C791,-S$3,0),1,IF(Prices!C791&gt;OFFSET(Prices!C791,-S$3,0),-1,0))</f>
        <v>-1</v>
      </c>
      <c r="T792" s="1">
        <f ca="1">IF(S792=1,T$3*Q791/Prices!C791,T$3*R791*S792)</f>
        <v>-2.0362579638493039E-4</v>
      </c>
    </row>
    <row r="793" spans="1:20" x14ac:dyDescent="0.2">
      <c r="A793" s="4">
        <v>34617</v>
      </c>
      <c r="B793" s="9">
        <f ca="1">Prices!C792*(1+J793/(50*(ABS(O793)+ABS(T793)+0.0001)))</f>
        <v>98.737504130600271</v>
      </c>
      <c r="C793" s="13">
        <f t="shared" ca="1" si="78"/>
        <v>-1</v>
      </c>
      <c r="D793" s="9">
        <f ca="1">D792+C793*(Prices!C793-Prices!C792)/Prices!C792</f>
        <v>0.38018227135737992</v>
      </c>
      <c r="E793" s="9">
        <f t="shared" ca="1" si="79"/>
        <v>0</v>
      </c>
      <c r="F793" s="9">
        <f t="shared" ca="1" si="80"/>
        <v>0.38018227135737992</v>
      </c>
      <c r="G793" s="13">
        <f ca="1">IF((Prices!C793-Prices!C792)*C793&gt;0,1,0)</f>
        <v>1</v>
      </c>
      <c r="H793" s="9">
        <f>ABS(Prices!C793-Prices!C792)/Prices!C792</f>
        <v>3.4773969200199554E-3</v>
      </c>
      <c r="I793" s="13"/>
      <c r="J793" s="1">
        <f t="shared" ca="1" si="81"/>
        <v>-1.9029027543219E-3</v>
      </c>
      <c r="K793" s="9"/>
      <c r="L793" s="9">
        <f ca="1">L792-O793*Prices!C793</f>
        <v>0.49869839387252879</v>
      </c>
      <c r="M793" s="1">
        <f t="shared" ca="1" si="82"/>
        <v>1.5330145264782014E-2</v>
      </c>
      <c r="N793" s="9">
        <f ca="1">IF(Prices!D792&gt;OFFSET(Prices!D792,-$N$3,0),1,IF(Prices!D792&lt;OFFSET(Prices!D792,-$N$3,0),-1,0))</f>
        <v>-1</v>
      </c>
      <c r="O793" s="1">
        <f ca="1">IF(N793=1,O$3*L792/Prices!C792,O$3*M792*N793)</f>
        <v>-1.7033494738646683E-3</v>
      </c>
      <c r="P793" s="14"/>
      <c r="Q793" s="9">
        <f ca="1">Q792-T793*Prices!C793</f>
        <v>1.0568926402337815</v>
      </c>
      <c r="R793" s="1">
        <f t="shared" ca="1" si="83"/>
        <v>9.7781107424043563E-3</v>
      </c>
      <c r="S793" s="9">
        <f ca="1">IF(Prices!C792&lt;OFFSET(Prices!C792,-S$3,0),1,IF(Prices!C792&gt;OFFSET(Prices!C792,-S$3,0),-1,0))</f>
        <v>-1</v>
      </c>
      <c r="T793" s="1">
        <f ca="1">IF(S793=1,T$3*Q792/Prices!C792,T$3*R792*S793)</f>
        <v>-1.9955328045723176E-4</v>
      </c>
    </row>
    <row r="794" spans="1:20" x14ac:dyDescent="0.2">
      <c r="A794" s="4">
        <v>34618</v>
      </c>
      <c r="B794" s="9">
        <f ca="1">Prices!C793*(1+J794/(50*(ABS(O794)+ABS(T794)+0.0001)))</f>
        <v>98.403702806268058</v>
      </c>
      <c r="C794" s="13">
        <f t="shared" ca="1" si="78"/>
        <v>-1</v>
      </c>
      <c r="D794" s="9">
        <f ca="1">D793+C794*(Prices!C794-Prices!C793)/Prices!C793</f>
        <v>0.38117928033046061</v>
      </c>
      <c r="E794" s="9">
        <f t="shared" ca="1" si="79"/>
        <v>0</v>
      </c>
      <c r="F794" s="9">
        <f t="shared" ca="1" si="80"/>
        <v>0.38117928033046061</v>
      </c>
      <c r="G794" s="13">
        <f ca="1">IF((Prices!C794-Prices!C793)*C794&gt;0,1,0)</f>
        <v>1</v>
      </c>
      <c r="H794" s="9">
        <f>ABS(Prices!C794-Prices!C793)/Prices!C793</f>
        <v>9.9700897308070105E-4</v>
      </c>
      <c r="I794" s="13"/>
      <c r="J794" s="1">
        <f t="shared" ca="1" si="81"/>
        <v>-1.7285767413262884E-3</v>
      </c>
      <c r="K794" s="9"/>
      <c r="L794" s="9">
        <f ca="1">L793-O794*Prices!C794</f>
        <v>0.65230644942564453</v>
      </c>
      <c r="M794" s="1">
        <f t="shared" ca="1" si="82"/>
        <v>1.3797130738303812E-2</v>
      </c>
      <c r="N794" s="9">
        <f ca="1">IF(Prices!D793&gt;OFFSET(Prices!D793,-$N$3,0),1,IF(Prices!D793&lt;OFFSET(Prices!D793,-$N$3,0),-1,0))</f>
        <v>-1</v>
      </c>
      <c r="O794" s="1">
        <f ca="1">IF(N794=1,O$3*L793/Prices!C793,O$3*M793*N794)</f>
        <v>-1.5330145264782014E-3</v>
      </c>
      <c r="P794" s="14"/>
      <c r="Q794" s="9">
        <f ca="1">Q793-T794*Prices!C794</f>
        <v>1.0764879741615598</v>
      </c>
      <c r="R794" s="1">
        <f t="shared" ca="1" si="83"/>
        <v>9.5825485275562693E-3</v>
      </c>
      <c r="S794" s="9">
        <f ca="1">IF(Prices!C793&lt;OFFSET(Prices!C793,-S$3,0),1,IF(Prices!C793&gt;OFFSET(Prices!C793,-S$3,0),-1,0))</f>
        <v>-1</v>
      </c>
      <c r="T794" s="1">
        <f ca="1">IF(S794=1,T$3*Q793/Prices!C793,T$3*R793*S794)</f>
        <v>-1.9556221484808714E-4</v>
      </c>
    </row>
    <row r="795" spans="1:20" x14ac:dyDescent="0.2">
      <c r="A795" s="4">
        <v>34619</v>
      </c>
      <c r="B795" s="9">
        <f ca="1">Prices!C794*(1+J795/(50*(ABS(O795)+ABS(T795)+0.0001)))</f>
        <v>98.31590206482764</v>
      </c>
      <c r="C795" s="13">
        <f t="shared" ca="1" si="78"/>
        <v>-1</v>
      </c>
      <c r="D795" s="9">
        <f ca="1">D794+C795*(Prices!C795-Prices!C794)/Prices!C794</f>
        <v>0.38616930029054047</v>
      </c>
      <c r="E795" s="9">
        <f t="shared" ca="1" si="79"/>
        <v>0</v>
      </c>
      <c r="F795" s="9">
        <f t="shared" ca="1" si="80"/>
        <v>0.38616930029054047</v>
      </c>
      <c r="G795" s="13">
        <f ca="1">IF((Prices!C795-Prices!C794)*C795&gt;0,1,0)</f>
        <v>1</v>
      </c>
      <c r="H795" s="9">
        <f>ABS(Prices!C795-Prices!C794)/Prices!C794</f>
        <v>4.9900199600798403E-3</v>
      </c>
      <c r="I795" s="13"/>
      <c r="J795" s="1">
        <f t="shared" ca="1" si="81"/>
        <v>-1.5713640443815067E-3</v>
      </c>
      <c r="K795" s="9"/>
      <c r="L795" s="9">
        <f ca="1">L794-O795*Prices!C795</f>
        <v>0.78986384288653355</v>
      </c>
      <c r="M795" s="1">
        <f t="shared" ca="1" si="82"/>
        <v>1.2417417664473431E-2</v>
      </c>
      <c r="N795" s="9">
        <f ca="1">IF(Prices!D794&gt;OFFSET(Prices!D794,-$N$3,0),1,IF(Prices!D794&lt;OFFSET(Prices!D794,-$N$3,0),-1,0))</f>
        <v>-1</v>
      </c>
      <c r="O795" s="1">
        <f ca="1">IF(N795=1,O$3*L794/Prices!C794,O$3*M794*N795)</f>
        <v>-1.3797130738303813E-3</v>
      </c>
      <c r="P795" s="14"/>
      <c r="Q795" s="9">
        <f ca="1">Q794-T795*Prices!C795</f>
        <v>1.0955955759255069</v>
      </c>
      <c r="R795" s="1">
        <f t="shared" ca="1" si="83"/>
        <v>9.3908975570051439E-3</v>
      </c>
      <c r="S795" s="9">
        <f ca="1">IF(Prices!C794&lt;OFFSET(Prices!C794,-S$3,0),1,IF(Prices!C794&gt;OFFSET(Prices!C794,-S$3,0),-1,0))</f>
        <v>-1</v>
      </c>
      <c r="T795" s="1">
        <f ca="1">IF(S795=1,T$3*Q794/Prices!C794,T$3*R794*S795)</f>
        <v>-1.9165097055112539E-4</v>
      </c>
    </row>
    <row r="796" spans="1:20" x14ac:dyDescent="0.2">
      <c r="A796" s="4">
        <v>34620</v>
      </c>
      <c r="B796" s="9">
        <f ca="1">Prices!C795*(1+J796/(50*(ABS(O796)+ABS(T796)+0.0001)))</f>
        <v>98.39499297558784</v>
      </c>
      <c r="C796" s="13">
        <f t="shared" ca="1" si="78"/>
        <v>-1</v>
      </c>
      <c r="D796" s="9">
        <f ca="1">D795+C796*(Prices!C796-Prices!C795)/Prices!C795</f>
        <v>0.3896798318853249</v>
      </c>
      <c r="E796" s="9">
        <f t="shared" ca="1" si="79"/>
        <v>0</v>
      </c>
      <c r="F796" s="9">
        <f t="shared" ca="1" si="80"/>
        <v>0.3896798318853249</v>
      </c>
      <c r="G796" s="13">
        <f ca="1">IF((Prices!C796-Prices!C795)*C796&gt;0,1,0)</f>
        <v>1</v>
      </c>
      <c r="H796" s="9">
        <f>ABS(Prices!C796-Prices!C795)/Prices!C795</f>
        <v>3.5105315947844386E-3</v>
      </c>
      <c r="I796" s="13"/>
      <c r="J796" s="1">
        <f t="shared" ca="1" si="81"/>
        <v>-1.0219633159106317E-3</v>
      </c>
      <c r="K796" s="9"/>
      <c r="L796" s="9">
        <f ca="1">L795-O796*Prices!C796</f>
        <v>0.91323088738307712</v>
      </c>
      <c r="M796" s="1">
        <f t="shared" ca="1" si="82"/>
        <v>1.1175675898026087E-2</v>
      </c>
      <c r="N796" s="9">
        <f ca="1">IF(Prices!D795&gt;OFFSET(Prices!D795,-$N$3,0),1,IF(Prices!D795&lt;OFFSET(Prices!D795,-$N$3,0),-1,0))</f>
        <v>-1</v>
      </c>
      <c r="O796" s="1">
        <f ca="1">IF(N796=1,O$3*L795/Prices!C795,O$3*M795*N796)</f>
        <v>-1.2417417664473433E-3</v>
      </c>
      <c r="P796" s="14"/>
      <c r="Q796" s="9">
        <f ca="1">Q795-T796*Prices!C796</f>
        <v>1.0737605868646847</v>
      </c>
      <c r="R796" s="1">
        <f t="shared" ca="1" si="83"/>
        <v>9.6106760075418546E-3</v>
      </c>
      <c r="S796" s="9">
        <f ca="1">IF(Prices!C795&lt;OFFSET(Prices!C795,-S$3,0),1,IF(Prices!C795&gt;OFFSET(Prices!C795,-S$3,0),-1,0))</f>
        <v>1</v>
      </c>
      <c r="T796" s="1">
        <f ca="1">IF(S796=1,T$3*Q795/Prices!C795,T$3*R795*S796)</f>
        <v>2.1977845053671154E-4</v>
      </c>
    </row>
    <row r="797" spans="1:20" x14ac:dyDescent="0.2">
      <c r="A797" s="4">
        <v>34621</v>
      </c>
      <c r="B797" s="9">
        <f ca="1">Prices!C796*(1+J797/(50*(ABS(O797)+ABS(T797)+0.0001)))</f>
        <v>100.70851506124482</v>
      </c>
      <c r="C797" s="13">
        <f t="shared" ca="1" si="78"/>
        <v>1</v>
      </c>
      <c r="D797" s="9">
        <f ca="1">D796+C797*(Prices!C797-Prices!C796)/Prices!C796</f>
        <v>0.37860786409468583</v>
      </c>
      <c r="E797" s="9">
        <f t="shared" ca="1" si="79"/>
        <v>1.107196779063907E-2</v>
      </c>
      <c r="F797" s="9">
        <f t="shared" ca="1" si="80"/>
        <v>0.3896798318853249</v>
      </c>
      <c r="G797" s="13">
        <f ca="1">IF((Prices!C797-Prices!C796)*C797&gt;0,1,0)</f>
        <v>0</v>
      </c>
      <c r="H797" s="9">
        <f>ABS(Prices!C797-Prices!C796)/Prices!C796</f>
        <v>1.1071967790639098E-2</v>
      </c>
      <c r="I797" s="13"/>
      <c r="J797" s="1">
        <f t="shared" ca="1" si="81"/>
        <v>2.1615713877497426E-4</v>
      </c>
      <c r="K797" s="9"/>
      <c r="L797" s="9">
        <f ca="1">L796-O797*Prices!C797</f>
        <v>0.91323088738307712</v>
      </c>
      <c r="M797" s="1">
        <f t="shared" ca="1" si="82"/>
        <v>1.1175675898026087E-2</v>
      </c>
      <c r="N797" s="9">
        <f ca="1">IF(Prices!D796&gt;OFFSET(Prices!D796,-$N$3,0),1,IF(Prices!D796&lt;OFFSET(Prices!D796,-$N$3,0),-1,0))</f>
        <v>0</v>
      </c>
      <c r="O797" s="1">
        <f ca="1">IF(N797=1,O$3*L796/Prices!C796,O$3*M796*N797)</f>
        <v>0</v>
      </c>
      <c r="P797" s="14"/>
      <c r="Q797" s="9">
        <f ca="1">Q796-T797*Prices!C797</f>
        <v>1.0525231479800434</v>
      </c>
      <c r="R797" s="1">
        <f t="shared" ca="1" si="83"/>
        <v>9.8268331463168285E-3</v>
      </c>
      <c r="S797" s="9">
        <f ca="1">IF(Prices!C796&lt;OFFSET(Prices!C796,-S$3,0),1,IF(Prices!C796&gt;OFFSET(Prices!C796,-S$3,0),-1,0))</f>
        <v>1</v>
      </c>
      <c r="T797" s="1">
        <f ca="1">IF(S797=1,T$3*Q796/Prices!C796,T$3*R796*S797)</f>
        <v>2.1615713877497426E-4</v>
      </c>
    </row>
    <row r="798" spans="1:20" x14ac:dyDescent="0.2">
      <c r="A798" s="4">
        <v>34624</v>
      </c>
      <c r="B798" s="9">
        <f ca="1">Prices!C797*(1+J798/(50*(ABS(O798)+ABS(T798)+0.0001)))</f>
        <v>97.010312755940532</v>
      </c>
      <c r="C798" s="13">
        <f t="shared" ca="1" si="78"/>
        <v>-1</v>
      </c>
      <c r="D798" s="9">
        <f ca="1">D797+C798*(Prices!C798-Prices!C797)/Prices!C797</f>
        <v>0.38400226613030924</v>
      </c>
      <c r="E798" s="9">
        <f t="shared" ca="1" si="79"/>
        <v>5.6775657550156566E-3</v>
      </c>
      <c r="F798" s="9">
        <f t="shared" ca="1" si="80"/>
        <v>0.3896798318853249</v>
      </c>
      <c r="G798" s="13">
        <f ca="1">IF((Prices!C798-Prices!C797)*C798&gt;0,1,0)</f>
        <v>1</v>
      </c>
      <c r="H798" s="9">
        <f>ABS(Prices!C798-Prices!C797)/Prices!C797</f>
        <v>5.3944020356234213E-3</v>
      </c>
      <c r="I798" s="13"/>
      <c r="J798" s="1">
        <f t="shared" ca="1" si="81"/>
        <v>-9.0331351387791796E-4</v>
      </c>
      <c r="K798" s="9"/>
      <c r="L798" s="9">
        <f ca="1">L797-O798*Prices!C798</f>
        <v>1.022439592258588</v>
      </c>
      <c r="M798" s="1">
        <f t="shared" ca="1" si="82"/>
        <v>1.0058108308223478E-2</v>
      </c>
      <c r="N798" s="9">
        <f ca="1">IF(Prices!D797&gt;OFFSET(Prices!D797,-$N$3,0),1,IF(Prices!D797&lt;OFFSET(Prices!D797,-$N$3,0),-1,0))</f>
        <v>-1</v>
      </c>
      <c r="O798" s="1">
        <f ca="1">IF(N798=1,O$3*L797/Prices!C797,O$3*M797*N798)</f>
        <v>-1.1175675898026087E-3</v>
      </c>
      <c r="P798" s="14"/>
      <c r="Q798" s="9">
        <f ca="1">Q797-T798*Prices!C798</f>
        <v>1.0315862396806827</v>
      </c>
      <c r="R798" s="1">
        <f t="shared" ca="1" si="83"/>
        <v>1.0041087222241519E-2</v>
      </c>
      <c r="S798" s="9">
        <f ca="1">IF(Prices!C797&lt;OFFSET(Prices!C797,-S$3,0),1,IF(Prices!C797&gt;OFFSET(Prices!C797,-S$3,0),-1,0))</f>
        <v>1</v>
      </c>
      <c r="T798" s="1">
        <f ca="1">IF(S798=1,T$3*Q797/Prices!C797,T$3*R797*S798)</f>
        <v>2.1425407592469078E-4</v>
      </c>
    </row>
    <row r="799" spans="1:20" x14ac:dyDescent="0.2">
      <c r="A799" s="4">
        <v>34625</v>
      </c>
      <c r="B799" s="9">
        <f ca="1">Prices!C798*(1+J799/(50*(ABS(O799)+ABS(T799)+0.0001)))</f>
        <v>96.540660021866287</v>
      </c>
      <c r="C799" s="13">
        <f t="shared" ca="1" si="78"/>
        <v>-1</v>
      </c>
      <c r="D799" s="9">
        <f ca="1">D798+C799*(Prices!C799-Prices!C798)/Prices!C798</f>
        <v>0.38369526653964203</v>
      </c>
      <c r="E799" s="9">
        <f t="shared" ca="1" si="79"/>
        <v>5.9845653456828685E-3</v>
      </c>
      <c r="F799" s="9">
        <f t="shared" ca="1" si="80"/>
        <v>0.3896798318853249</v>
      </c>
      <c r="G799" s="13">
        <f ca="1">IF((Prices!C799-Prices!C798)*C799&gt;0,1,0)</f>
        <v>0</v>
      </c>
      <c r="H799" s="9">
        <f>ABS(Prices!C799-Prices!C798)/Prices!C798</f>
        <v>3.0699959066722408E-4</v>
      </c>
      <c r="I799" s="13"/>
      <c r="J799" s="1">
        <f t="shared" ca="1" si="81"/>
        <v>-7.9467979527574875E-4</v>
      </c>
      <c r="K799" s="9"/>
      <c r="L799" s="9">
        <f ca="1">L798-O799*Prices!C799</f>
        <v>1.1207576009714726</v>
      </c>
      <c r="M799" s="1">
        <f t="shared" ca="1" si="82"/>
        <v>9.0522974774011299E-3</v>
      </c>
      <c r="N799" s="9">
        <f ca="1">IF(Prices!D798&gt;OFFSET(Prices!D798,-$N$3,0),1,IF(Prices!D798&lt;OFFSET(Prices!D798,-$N$3,0),-1,0))</f>
        <v>-1</v>
      </c>
      <c r="O799" s="1">
        <f ca="1">IF(N799=1,O$3*L798/Prices!C798,O$3*M798*N799)</f>
        <v>-1.0058108308223478E-3</v>
      </c>
      <c r="P799" s="14"/>
      <c r="Q799" s="9">
        <f ca="1">Q798-T799*Prices!C799</f>
        <v>1.0109481809560026</v>
      </c>
      <c r="R799" s="1">
        <f t="shared" ca="1" si="83"/>
        <v>1.0252218257788118E-2</v>
      </c>
      <c r="S799" s="9">
        <f ca="1">IF(Prices!C798&lt;OFFSET(Prices!C798,-S$3,0),1,IF(Prices!C798&gt;OFFSET(Prices!C798,-S$3,0),-1,0))</f>
        <v>1</v>
      </c>
      <c r="T799" s="1">
        <f ca="1">IF(S799=1,T$3*Q798/Prices!C798,T$3*R798*S799)</f>
        <v>2.1113103554659901E-4</v>
      </c>
    </row>
    <row r="800" spans="1:20" x14ac:dyDescent="0.2">
      <c r="A800" s="4">
        <v>34626</v>
      </c>
      <c r="B800" s="9">
        <f ca="1">Prices!C799*(1+J800/(50*(ABS(O800)+ABS(T800)+0.0001)))</f>
        <v>99.570487702093629</v>
      </c>
      <c r="C800" s="13">
        <f t="shared" ca="1" si="78"/>
        <v>1</v>
      </c>
      <c r="D800" s="9">
        <f ca="1">D799+C800*(Prices!C800-Prices!C799)/Prices!C799</f>
        <v>0.38011470387979557</v>
      </c>
      <c r="E800" s="9">
        <f t="shared" ca="1" si="79"/>
        <v>9.5651280055293331E-3</v>
      </c>
      <c r="F800" s="9">
        <f t="shared" ca="1" si="80"/>
        <v>0.3896798318853249</v>
      </c>
      <c r="G800" s="13">
        <f ca="1">IF((Prices!C800-Prices!C799)*C800&gt;0,1,0)</f>
        <v>0</v>
      </c>
      <c r="H800" s="9">
        <f>ABS(Prices!C800-Prices!C799)/Prices!C799</f>
        <v>3.5805626598464893E-3</v>
      </c>
      <c r="I800" s="13"/>
      <c r="J800" s="1">
        <f t="shared" ca="1" si="81"/>
        <v>1.3533987080948061E-3</v>
      </c>
      <c r="K800" s="9"/>
      <c r="L800" s="9">
        <f ca="1">L799-O800*Prices!C800</f>
        <v>1.009083135156003</v>
      </c>
      <c r="M800" s="1">
        <f t="shared" ca="1" si="82"/>
        <v>1.019885256790903E-2</v>
      </c>
      <c r="N800" s="9">
        <f ca="1">IF(Prices!D799&gt;OFFSET(Prices!D799,-$N$3,0),1,IF(Prices!D799&lt;OFFSET(Prices!D799,-$N$3,0),-1,0))</f>
        <v>1</v>
      </c>
      <c r="O800" s="1">
        <f ca="1">IF(N800=1,O$3*L799/Prices!C799,O$3*M799*N800)</f>
        <v>1.1465550905079003E-3</v>
      </c>
      <c r="P800" s="14"/>
      <c r="Q800" s="9">
        <f ca="1">Q799-T800*Prices!C800</f>
        <v>0.9908016126030379</v>
      </c>
      <c r="R800" s="1">
        <f t="shared" ca="1" si="83"/>
        <v>1.0459061875375023E-2</v>
      </c>
      <c r="S800" s="9">
        <f ca="1">IF(Prices!C799&lt;OFFSET(Prices!C799,-S$3,0),1,IF(Prices!C799&gt;OFFSET(Prices!C799,-S$3,0),-1,0))</f>
        <v>1</v>
      </c>
      <c r="T800" s="1">
        <f ca="1">IF(S800=1,T$3*Q799/Prices!C799,T$3*R799*S800)</f>
        <v>2.0684361758690592E-4</v>
      </c>
    </row>
    <row r="801" spans="1:20" x14ac:dyDescent="0.2">
      <c r="A801" s="4">
        <v>34627</v>
      </c>
      <c r="B801" s="9">
        <f ca="1">Prices!C800*(1+J801/(50*(ABS(O801)+ABS(T801)+0.0001)))</f>
        <v>99.202569308661637</v>
      </c>
      <c r="C801" s="13">
        <f t="shared" ca="1" si="78"/>
        <v>1</v>
      </c>
      <c r="D801" s="9">
        <f ca="1">D800+C801*(Prices!C801-Prices!C800)/Prices!C800</f>
        <v>0.37631593591264972</v>
      </c>
      <c r="E801" s="9">
        <f t="shared" ca="1" si="79"/>
        <v>1.3363895972675177E-2</v>
      </c>
      <c r="F801" s="9">
        <f t="shared" ca="1" si="80"/>
        <v>0.3896798318853249</v>
      </c>
      <c r="G801" s="13">
        <f ca="1">IF((Prices!C801-Prices!C800)*C801&gt;0,1,0)</f>
        <v>0</v>
      </c>
      <c r="H801" s="9">
        <f>ABS(Prices!C801-Prices!C800)/Prices!C800</f>
        <v>3.7987679671458371E-3</v>
      </c>
      <c r="I801" s="13"/>
      <c r="J801" s="1">
        <f t="shared" ca="1" si="81"/>
        <v>1.2394696690724953E-3</v>
      </c>
      <c r="K801" s="9"/>
      <c r="L801" s="9">
        <f ca="1">L800-O801*Prices!C801</f>
        <v>0.90855814890940445</v>
      </c>
      <c r="M801" s="1">
        <f t="shared" ca="1" si="82"/>
        <v>1.1234872213859753E-2</v>
      </c>
      <c r="N801" s="9">
        <f ca="1">IF(Prices!D800&gt;OFFSET(Prices!D800,-$N$3,0),1,IF(Prices!D800&lt;OFFSET(Prices!D800,-$N$3,0),-1,0))</f>
        <v>1</v>
      </c>
      <c r="O801" s="1">
        <f ca="1">IF(N801=1,O$3*L800/Prices!C800,O$3*M800*N801)</f>
        <v>1.0360196459507217E-3</v>
      </c>
      <c r="P801" s="14"/>
      <c r="Q801" s="9">
        <f ca="1">Q800-T801*Prices!C801</f>
        <v>0.97106085685953225</v>
      </c>
      <c r="R801" s="1">
        <f t="shared" ca="1" si="83"/>
        <v>1.0662511898496797E-2</v>
      </c>
      <c r="S801" s="9">
        <f ca="1">IF(Prices!C800&lt;OFFSET(Prices!C800,-S$3,0),1,IF(Prices!C800&gt;OFFSET(Prices!C800,-S$3,0),-1,0))</f>
        <v>1</v>
      </c>
      <c r="T801" s="1">
        <f ca="1">IF(S801=1,T$3*Q800/Prices!C800,T$3*R800*S801)</f>
        <v>2.0345002312177369E-4</v>
      </c>
    </row>
    <row r="802" spans="1:20" x14ac:dyDescent="0.2">
      <c r="A802" s="4">
        <v>34628</v>
      </c>
      <c r="B802" s="9">
        <f ca="1">Prices!C801*(1+J802/(50*(ABS(O802)+ABS(T802)+0.0001)))</f>
        <v>98.813660203588</v>
      </c>
      <c r="C802" s="13">
        <f t="shared" ca="1" si="78"/>
        <v>1</v>
      </c>
      <c r="D802" s="9">
        <f ca="1">D801+C802*(Prices!C802-Prices!C801)/Prices!C801</f>
        <v>0.37837715409259409</v>
      </c>
      <c r="E802" s="9">
        <f t="shared" ca="1" si="79"/>
        <v>1.1302677792730809E-2</v>
      </c>
      <c r="F802" s="9">
        <f t="shared" ca="1" si="80"/>
        <v>0.3896798318853249</v>
      </c>
      <c r="G802" s="13">
        <f ca="1">IF((Prices!C802-Prices!C801)*C802&gt;0,1,0)</f>
        <v>1</v>
      </c>
      <c r="H802" s="9">
        <f>ABS(Prices!C802-Prices!C801)/Prices!C801</f>
        <v>2.0612181799443763E-3</v>
      </c>
      <c r="I802" s="13"/>
      <c r="J802" s="1">
        <f t="shared" ca="1" si="81"/>
        <v>1.1365251162334443E-3</v>
      </c>
      <c r="K802" s="9"/>
      <c r="L802" s="9">
        <f ca="1">L801-O802*Prices!C802</f>
        <v>0.81751506036105714</v>
      </c>
      <c r="M802" s="1">
        <f t="shared" ca="1" si="82"/>
        <v>1.2171240500894076E-2</v>
      </c>
      <c r="N802" s="9">
        <f ca="1">IF(Prices!D801&gt;OFFSET(Prices!D801,-$N$3,0),1,IF(Prices!D801&lt;OFFSET(Prices!D801,-$N$3,0),-1,0))</f>
        <v>1</v>
      </c>
      <c r="O802" s="1">
        <f ca="1">IF(N802=1,O$3*L801/Prices!C801,O$3*M801*N802)</f>
        <v>9.3636828703432397E-4</v>
      </c>
      <c r="P802" s="14"/>
      <c r="Q802" s="9">
        <f ca="1">Q801-T802*Prices!C802</f>
        <v>0.95159960835650181</v>
      </c>
      <c r="R802" s="1">
        <f t="shared" ca="1" si="83"/>
        <v>1.0862668727695918E-2</v>
      </c>
      <c r="S802" s="9">
        <f ca="1">IF(Prices!C801&lt;OFFSET(Prices!C801,-S$3,0),1,IF(Prices!C801&gt;OFFSET(Prices!C801,-S$3,0),-1,0))</f>
        <v>1</v>
      </c>
      <c r="T802" s="1">
        <f ca="1">IF(S802=1,T$3*Q801/Prices!C801,T$3*R801*S802)</f>
        <v>2.0015682919912034E-4</v>
      </c>
    </row>
    <row r="803" spans="1:20" x14ac:dyDescent="0.2">
      <c r="A803" s="4">
        <v>34631</v>
      </c>
      <c r="B803" s="9">
        <f ca="1">Prices!C802*(1+J803/(50*(ABS(O803)+ABS(T803)+0.0001)))</f>
        <v>99.003502859945613</v>
      </c>
      <c r="C803" s="13">
        <f t="shared" ca="1" si="78"/>
        <v>1</v>
      </c>
      <c r="D803" s="9">
        <f ca="1">D802+C803*(Prices!C803-Prices!C802)/Prices!C802</f>
        <v>0.37734866494315455</v>
      </c>
      <c r="E803" s="9">
        <f t="shared" ca="1" si="79"/>
        <v>1.2331166942170346E-2</v>
      </c>
      <c r="F803" s="9">
        <f t="shared" ca="1" si="80"/>
        <v>0.3896798318853249</v>
      </c>
      <c r="G803" s="13">
        <f ca="1">IF((Prices!C803-Prices!C802)*C803&gt;0,1,0)</f>
        <v>0</v>
      </c>
      <c r="H803" s="9">
        <f>ABS(Prices!C803-Prices!C802)/Prices!C802</f>
        <v>1.028489149439561E-3</v>
      </c>
      <c r="I803" s="13"/>
      <c r="J803" s="1">
        <f t="shared" ca="1" si="81"/>
        <v>1.0365473434458064E-3</v>
      </c>
      <c r="K803" s="9"/>
      <c r="L803" s="9">
        <f ca="1">L802-O803*Prices!C803</f>
        <v>0.73584763486185989</v>
      </c>
      <c r="M803" s="1">
        <f t="shared" ca="1" si="82"/>
        <v>1.301204586997878E-2</v>
      </c>
      <c r="N803" s="9">
        <f ca="1">IF(Prices!D802&gt;OFFSET(Prices!D802,-$N$3,0),1,IF(Prices!D802&lt;OFFSET(Prices!D802,-$N$3,0),-1,0))</f>
        <v>1</v>
      </c>
      <c r="O803" s="1">
        <f ca="1">IF(N803=1,O$3*L802/Prices!C802,O$3*M802*N803)</f>
        <v>8.4080536908470347E-4</v>
      </c>
      <c r="P803" s="14"/>
      <c r="Q803" s="9">
        <f ca="1">Q802-T803*Prices!C803</f>
        <v>0.93258719038680793</v>
      </c>
      <c r="R803" s="1">
        <f t="shared" ca="1" si="83"/>
        <v>1.1058410702057021E-2</v>
      </c>
      <c r="S803" s="9">
        <f ca="1">IF(Prices!C802&lt;OFFSET(Prices!C802,-S$3,0),1,IF(Prices!C802&gt;OFFSET(Prices!C802,-S$3,0),-1,0))</f>
        <v>1</v>
      </c>
      <c r="T803" s="1">
        <f ca="1">IF(S803=1,T$3*Q802/Prices!C802,T$3*R802*S803)</f>
        <v>1.957419743611029E-4</v>
      </c>
    </row>
    <row r="804" spans="1:20" x14ac:dyDescent="0.2">
      <c r="A804" s="4">
        <v>34632</v>
      </c>
      <c r="B804" s="9">
        <f ca="1">Prices!C803*(1+J804/(50*(ABS(O804)+ABS(T804)+0.0001)))</f>
        <v>98.887523344890695</v>
      </c>
      <c r="C804" s="13">
        <f t="shared" ca="1" si="78"/>
        <v>1</v>
      </c>
      <c r="D804" s="9">
        <f ca="1">D803+C804*(Prices!C804-Prices!C803)/Prices!C803</f>
        <v>0.37415706605506638</v>
      </c>
      <c r="E804" s="9">
        <f t="shared" ca="1" si="79"/>
        <v>1.5522765830258523E-2</v>
      </c>
      <c r="F804" s="9">
        <f t="shared" ca="1" si="80"/>
        <v>0.3896798318853249</v>
      </c>
      <c r="G804" s="13">
        <f ca="1">IF((Prices!C804-Prices!C803)*C804&gt;0,1,0)</f>
        <v>0</v>
      </c>
      <c r="H804" s="9">
        <f>ABS(Prices!C804-Prices!C803)/Prices!C803</f>
        <v>3.1915988880881528E-3</v>
      </c>
      <c r="I804" s="13"/>
      <c r="J804" s="1">
        <f t="shared" ca="1" si="81"/>
        <v>9.4961914232391802E-4</v>
      </c>
      <c r="K804" s="9"/>
      <c r="L804" s="9">
        <f ca="1">L803-O804*Prices!C804</f>
        <v>0.66249772442499666</v>
      </c>
      <c r="M804" s="1">
        <f t="shared" ca="1" si="82"/>
        <v>1.3769636351665036E-2</v>
      </c>
      <c r="N804" s="9">
        <f ca="1">IF(Prices!D803&gt;OFFSET(Prices!D803,-$N$3,0),1,IF(Prices!D803&lt;OFFSET(Prices!D803,-$N$3,0),-1,0))</f>
        <v>1</v>
      </c>
      <c r="O804" s="1">
        <f ca="1">IF(N804=1,O$3*L803/Prices!C803,O$3*M803*N804)</f>
        <v>7.5759048168625549E-4</v>
      </c>
      <c r="P804" s="14"/>
      <c r="Q804" s="9">
        <f ca="1">Q803-T804*Prices!C804</f>
        <v>0.91399497546386943</v>
      </c>
      <c r="R804" s="1">
        <f t="shared" ca="1" si="83"/>
        <v>1.1250439362694684E-2</v>
      </c>
      <c r="S804" s="9">
        <f ca="1">IF(Prices!C803&lt;OFFSET(Prices!C803,-S$3,0),1,IF(Prices!C803&gt;OFFSET(Prices!C803,-S$3,0),-1,0))</f>
        <v>1</v>
      </c>
      <c r="T804" s="1">
        <f ca="1">IF(S804=1,T$3*Q803/Prices!C803,T$3*R803*S804)</f>
        <v>1.9202866063766251E-4</v>
      </c>
    </row>
    <row r="805" spans="1:20" x14ac:dyDescent="0.2">
      <c r="A805" s="4">
        <v>34633</v>
      </c>
      <c r="B805" s="9">
        <f ca="1">Prices!C804*(1+J805/(50*(ABS(O805)+ABS(T805)+0.0001)))</f>
        <v>98.557398916465502</v>
      </c>
      <c r="C805" s="13">
        <f t="shared" ca="1" si="78"/>
        <v>1</v>
      </c>
      <c r="D805" s="9">
        <f ca="1">D804+C805*(Prices!C805-Prices!C804)/Prices!C804</f>
        <v>0.37426035050042894</v>
      </c>
      <c r="E805" s="9">
        <f t="shared" ca="1" si="79"/>
        <v>1.5419481384895961E-2</v>
      </c>
      <c r="F805" s="9">
        <f t="shared" ca="1" si="80"/>
        <v>0.3896798318853249</v>
      </c>
      <c r="G805" s="13">
        <f ca="1">IF((Prices!C805-Prices!C804)*C805&gt;0,1,0)</f>
        <v>1</v>
      </c>
      <c r="H805" s="9">
        <f>ABS(Prices!C805-Prices!C804)/Prices!C804</f>
        <v>1.0328444536258126E-4</v>
      </c>
      <c r="I805" s="13"/>
      <c r="J805" s="1">
        <f t="shared" ca="1" si="81"/>
        <v>8.7306002842157688E-4</v>
      </c>
      <c r="K805" s="9"/>
      <c r="L805" s="9">
        <f ca="1">L804-O805*Prices!C805</f>
        <v>0.59624110941149489</v>
      </c>
      <c r="M805" s="1">
        <f t="shared" ca="1" si="82"/>
        <v>1.4453893451876766E-2</v>
      </c>
      <c r="N805" s="9">
        <f ca="1">IF(Prices!D804&gt;OFFSET(Prices!D804,-$N$3,0),1,IF(Prices!D804&lt;OFFSET(Prices!D804,-$N$3,0),-1,0))</f>
        <v>1</v>
      </c>
      <c r="O805" s="1">
        <f ca="1">IF(N805=1,O$3*L804/Prices!C804,O$3*M804*N805)</f>
        <v>6.8425710021172983E-4</v>
      </c>
      <c r="P805" s="14"/>
      <c r="Q805" s="9">
        <f ca="1">Q804-T805*Prices!C805</f>
        <v>0.89571318792530996</v>
      </c>
      <c r="R805" s="1">
        <f t="shared" ca="1" si="83"/>
        <v>1.1439242290904532E-2</v>
      </c>
      <c r="S805" s="9">
        <f ca="1">IF(Prices!C804&lt;OFFSET(Prices!C804,-S$3,0),1,IF(Prices!C804&gt;OFFSET(Prices!C804,-S$3,0),-1,0))</f>
        <v>1</v>
      </c>
      <c r="T805" s="1">
        <f ca="1">IF(S805=1,T$3*Q804/Prices!C804,T$3*R804*S805)</f>
        <v>1.8880292820984705E-4</v>
      </c>
    </row>
    <row r="806" spans="1:20" x14ac:dyDescent="0.2">
      <c r="A806" s="4">
        <v>34634</v>
      </c>
      <c r="B806" s="9">
        <f ca="1">Prices!C805*(1+J806/(50*(ABS(O806)+ABS(T806)+0.0001)))</f>
        <v>98.551605706862887</v>
      </c>
      <c r="C806" s="13">
        <f t="shared" ca="1" si="78"/>
        <v>1</v>
      </c>
      <c r="D806" s="9">
        <f ca="1">D805+C806*(Prices!C806-Prices!C805)/Prices!C805</f>
        <v>0.37632582607618026</v>
      </c>
      <c r="E806" s="9">
        <f t="shared" ca="1" si="79"/>
        <v>1.3354005809144642E-2</v>
      </c>
      <c r="F806" s="9">
        <f t="shared" ca="1" si="80"/>
        <v>0.3896798318853249</v>
      </c>
      <c r="G806" s="13">
        <f ca="1">IF((Prices!C806-Prices!C805)*C806&gt;0,1,0)</f>
        <v>1</v>
      </c>
      <c r="H806" s="9">
        <f>ABS(Prices!C806-Prices!C805)/Prices!C805</f>
        <v>2.0654755757513461E-3</v>
      </c>
      <c r="I806" s="13"/>
      <c r="J806" s="1">
        <f t="shared" ca="1" si="81"/>
        <v>8.0076809562796333E-4</v>
      </c>
      <c r="K806" s="9"/>
      <c r="L806" s="9">
        <f ca="1">L805-O806*Prices!C806</f>
        <v>0.53649384632547059</v>
      </c>
      <c r="M806" s="1">
        <f t="shared" ca="1" si="82"/>
        <v>1.5069654176250922E-2</v>
      </c>
      <c r="N806" s="9">
        <f ca="1">IF(Prices!D805&gt;OFFSET(Prices!D805,-$N$3,0),1,IF(Prices!D805&lt;OFFSET(Prices!D805,-$N$3,0),-1,0))</f>
        <v>1</v>
      </c>
      <c r="O806" s="1">
        <f ca="1">IF(N806=1,O$3*L805/Prices!C805,O$3*M805*N806)</f>
        <v>6.1576072437415563E-4</v>
      </c>
      <c r="P806" s="14"/>
      <c r="Q806" s="9">
        <f ca="1">Q805-T806*Prices!C806</f>
        <v>0.87776192269255304</v>
      </c>
      <c r="R806" s="1">
        <f t="shared" ca="1" si="83"/>
        <v>1.162424966215834E-2</v>
      </c>
      <c r="S806" s="9">
        <f ca="1">IF(Prices!C805&lt;OFFSET(Prices!C805,-S$3,0),1,IF(Prices!C805&gt;OFFSET(Prices!C805,-S$3,0),-1,0))</f>
        <v>1</v>
      </c>
      <c r="T806" s="1">
        <f ca="1">IF(S806=1,T$3*Q805/Prices!C805,T$3*R805*S806)</f>
        <v>1.850073712538077E-4</v>
      </c>
    </row>
    <row r="807" spans="1:20" x14ac:dyDescent="0.2">
      <c r="A807" s="4">
        <v>34635</v>
      </c>
      <c r="B807" s="9">
        <f ca="1">Prices!C806*(1+J807/(50*(ABS(O807)+ABS(T807)+0.0001)))</f>
        <v>98.279812815351988</v>
      </c>
      <c r="C807" s="13">
        <f t="shared" ca="1" si="78"/>
        <v>1</v>
      </c>
      <c r="D807" s="9">
        <f ca="1">D806+C807*(Prices!C807-Prices!C806)/Prices!C806</f>
        <v>0.37890234880111068</v>
      </c>
      <c r="E807" s="9">
        <f t="shared" ca="1" si="79"/>
        <v>1.0777483084214223E-2</v>
      </c>
      <c r="F807" s="9">
        <f t="shared" ca="1" si="80"/>
        <v>0.3896798318853249</v>
      </c>
      <c r="G807" s="13">
        <f ca="1">IF((Prices!C807-Prices!C806)*C807&gt;0,1,0)</f>
        <v>1</v>
      </c>
      <c r="H807" s="9">
        <f>ABS(Prices!C807-Prices!C806)/Prices!C806</f>
        <v>2.5765227249304338E-3</v>
      </c>
      <c r="I807" s="13"/>
      <c r="J807" s="1">
        <f t="shared" ca="1" si="81"/>
        <v>1.809258832716795E-4</v>
      </c>
      <c r="K807" s="9"/>
      <c r="L807" s="9">
        <f ca="1">L806-O807*Prices!C807</f>
        <v>0.53649384632547059</v>
      </c>
      <c r="M807" s="1">
        <f t="shared" ca="1" si="82"/>
        <v>1.5069654176250922E-2</v>
      </c>
      <c r="N807" s="9">
        <f ca="1">IF(Prices!D806&gt;OFFSET(Prices!D806,-$N$3,0),1,IF(Prices!D806&lt;OFFSET(Prices!D806,-$N$3,0),-1,0))</f>
        <v>0</v>
      </c>
      <c r="O807" s="1">
        <f ca="1">IF(N807=1,O$3*L806/Prices!C806,O$3*M806*N807)</f>
        <v>0</v>
      </c>
      <c r="P807" s="14"/>
      <c r="Q807" s="9">
        <f ca="1">Q806-T807*Prices!C807</f>
        <v>0.86016145276788403</v>
      </c>
      <c r="R807" s="1">
        <f t="shared" ca="1" si="83"/>
        <v>1.180517554543002E-2</v>
      </c>
      <c r="S807" s="9">
        <f ca="1">IF(Prices!C806&lt;OFFSET(Prices!C806,-S$3,0),1,IF(Prices!C806&gt;OFFSET(Prices!C806,-S$3,0),-1,0))</f>
        <v>1</v>
      </c>
      <c r="T807" s="1">
        <f ca="1">IF(S807=1,T$3*Q806/Prices!C806,T$3*R806*S807)</f>
        <v>1.809258832716795E-4</v>
      </c>
    </row>
    <row r="808" spans="1:20" x14ac:dyDescent="0.2">
      <c r="A808" s="4">
        <v>34638</v>
      </c>
      <c r="B808" s="9">
        <f ca="1">Prices!C807*(1+J808/(50*(ABS(O808)+ABS(T808)+0.0001)))</f>
        <v>95.439963062231641</v>
      </c>
      <c r="C808" s="13">
        <f t="shared" ca="1" si="78"/>
        <v>-1</v>
      </c>
      <c r="D808" s="9">
        <f ca="1">D807+C808*(Prices!C808-Prices!C807)/Prices!C807</f>
        <v>0.3821918224853213</v>
      </c>
      <c r="E808" s="9">
        <f t="shared" ca="1" si="79"/>
        <v>7.4880094000036035E-3</v>
      </c>
      <c r="F808" s="9">
        <f t="shared" ca="1" si="80"/>
        <v>0.3896798318853249</v>
      </c>
      <c r="G808" s="13">
        <f ca="1">IF((Prices!C808-Prices!C807)*C808&gt;0,1,0)</f>
        <v>1</v>
      </c>
      <c r="H808" s="9">
        <f>ABS(Prices!C808-Prices!C807)/Prices!C807</f>
        <v>3.289473684210602E-3</v>
      </c>
      <c r="I808" s="13"/>
      <c r="J808" s="1">
        <f t="shared" ca="1" si="81"/>
        <v>-1.7430689285336928E-3</v>
      </c>
      <c r="K808" s="9"/>
      <c r="L808" s="9">
        <f ca="1">L807-O808*Prices!C808</f>
        <v>0.68260921321839951</v>
      </c>
      <c r="M808" s="1">
        <f t="shared" ca="1" si="82"/>
        <v>1.3562688758625829E-2</v>
      </c>
      <c r="N808" s="9">
        <f ca="1">IF(Prices!D807&gt;OFFSET(Prices!D807,-$N$3,0),1,IF(Prices!D807&lt;OFFSET(Prices!D807,-$N$3,0),-1,0))</f>
        <v>-1</v>
      </c>
      <c r="O808" s="1">
        <f ca="1">IF(N808=1,O$3*L807/Prices!C807,O$3*M807*N808)</f>
        <v>-1.5069654176250924E-3</v>
      </c>
      <c r="P808" s="14"/>
      <c r="Q808" s="9">
        <f ca="1">Q807-T808*Prices!C808</f>
        <v>0.88305404918558195</v>
      </c>
      <c r="R808" s="1">
        <f t="shared" ca="1" si="83"/>
        <v>1.156907203452142E-2</v>
      </c>
      <c r="S808" s="9">
        <f ca="1">IF(Prices!C807&lt;OFFSET(Prices!C807,-S$3,0),1,IF(Prices!C807&gt;OFFSET(Prices!C807,-S$3,0),-1,0))</f>
        <v>-1</v>
      </c>
      <c r="T808" s="1">
        <f ca="1">IF(S808=1,T$3*Q807/Prices!C807,T$3*R807*S808)</f>
        <v>-2.3610351090860041E-4</v>
      </c>
    </row>
    <row r="809" spans="1:20" x14ac:dyDescent="0.2">
      <c r="A809" s="4">
        <v>34639</v>
      </c>
      <c r="B809" s="9">
        <f ca="1">Prices!C808*(1+J809/(50*(ABS(O809)+ABS(T809)+0.0001)))</f>
        <v>95.135705320194575</v>
      </c>
      <c r="C809" s="13">
        <f t="shared" ca="1" si="78"/>
        <v>-1</v>
      </c>
      <c r="D809" s="9">
        <f ca="1">D808+C809*(Prices!C809-Prices!C808)/Prices!C808</f>
        <v>0.38580155845891861</v>
      </c>
      <c r="E809" s="9">
        <f t="shared" ca="1" si="79"/>
        <v>3.8782734264062868E-3</v>
      </c>
      <c r="F809" s="9">
        <f t="shared" ca="1" si="80"/>
        <v>0.3896798318853249</v>
      </c>
      <c r="G809" s="13">
        <f ca="1">IF((Prices!C809-Prices!C808)*C809&gt;0,1,0)</f>
        <v>1</v>
      </c>
      <c r="H809" s="9">
        <f>ABS(Prices!C809-Prices!C808)/Prices!C808</f>
        <v>3.6097359735973015E-3</v>
      </c>
      <c r="I809" s="13"/>
      <c r="J809" s="1">
        <f t="shared" ca="1" si="81"/>
        <v>-1.5876503165530114E-3</v>
      </c>
      <c r="K809" s="9"/>
      <c r="L809" s="9">
        <f ca="1">L808-O809*Prices!C809</f>
        <v>0.81363834931548362</v>
      </c>
      <c r="M809" s="1">
        <f t="shared" ca="1" si="82"/>
        <v>1.2206419882763246E-2</v>
      </c>
      <c r="N809" s="9">
        <f ca="1">IF(Prices!D808&gt;OFFSET(Prices!D808,-$N$3,0),1,IF(Prices!D808&lt;OFFSET(Prices!D808,-$N$3,0),-1,0))</f>
        <v>-1</v>
      </c>
      <c r="O809" s="1">
        <f ca="1">IF(N809=1,O$3*L808/Prices!C808,O$3*M808*N809)</f>
        <v>-1.3562688758625829E-3</v>
      </c>
      <c r="P809" s="14"/>
      <c r="Q809" s="9">
        <f ca="1">Q808-T809*Prices!C809</f>
        <v>0.90540781017068428</v>
      </c>
      <c r="R809" s="1">
        <f t="shared" ca="1" si="83"/>
        <v>1.1337690593830992E-2</v>
      </c>
      <c r="S809" s="9">
        <f ca="1">IF(Prices!C808&lt;OFFSET(Prices!C808,-S$3,0),1,IF(Prices!C808&gt;OFFSET(Prices!C808,-S$3,0),-1,0))</f>
        <v>-1</v>
      </c>
      <c r="T809" s="1">
        <f ca="1">IF(S809=1,T$3*Q808/Prices!C808,T$3*R808*S809)</f>
        <v>-2.3138144069042842E-4</v>
      </c>
    </row>
    <row r="810" spans="1:20" x14ac:dyDescent="0.2">
      <c r="A810" s="4">
        <v>34640</v>
      </c>
      <c r="B810" s="9">
        <f ca="1">Prices!C809*(1+J810/(50*(ABS(O810)+ABS(T810)+0.0001)))</f>
        <v>98.371151960302143</v>
      </c>
      <c r="C810" s="13">
        <f t="shared" ca="1" si="78"/>
        <v>1</v>
      </c>
      <c r="D810" s="9">
        <f ca="1">D809+C810*(Prices!C810-Prices!C809)/Prices!C809</f>
        <v>0.39532438218317079</v>
      </c>
      <c r="E810" s="9">
        <f t="shared" ca="1" si="79"/>
        <v>0</v>
      </c>
      <c r="F810" s="9">
        <f t="shared" ca="1" si="80"/>
        <v>0.39532438218317079</v>
      </c>
      <c r="G810" s="13">
        <f ca="1">IF((Prices!C810-Prices!C809)*C810&gt;0,1,0)</f>
        <v>1</v>
      </c>
      <c r="H810" s="9">
        <f>ABS(Prices!C810-Prices!C809)/Prices!C809</f>
        <v>9.5228237242521649E-3</v>
      </c>
      <c r="I810" s="13"/>
      <c r="J810" s="1">
        <f t="shared" ca="1" si="81"/>
        <v>1.0296241707376261E-3</v>
      </c>
      <c r="K810" s="9"/>
      <c r="L810" s="9">
        <f ca="1">L809-O810*Prices!C810</f>
        <v>0.73149970092635297</v>
      </c>
      <c r="M810" s="1">
        <f t="shared" ca="1" si="82"/>
        <v>1.3048608423613555E-2</v>
      </c>
      <c r="N810" s="9">
        <f ca="1">IF(Prices!D809&gt;OFFSET(Prices!D809,-$N$3,0),1,IF(Prices!D809&lt;OFFSET(Prices!D809,-$N$3,0),-1,0))</f>
        <v>1</v>
      </c>
      <c r="O810" s="1">
        <f ca="1">IF(N810=1,O$3*L809/Prices!C809,O$3*M809*N810)</f>
        <v>8.421885408503091E-4</v>
      </c>
      <c r="P810" s="14"/>
      <c r="Q810" s="9">
        <f ca="1">Q809-T810*Prices!C810</f>
        <v>0.88712721318777421</v>
      </c>
      <c r="R810" s="1">
        <f t="shared" ca="1" si="83"/>
        <v>1.152512622371831E-2</v>
      </c>
      <c r="S810" s="9">
        <f ca="1">IF(Prices!C809&lt;OFFSET(Prices!C809,-S$3,0),1,IF(Prices!C809&gt;OFFSET(Prices!C809,-S$3,0),-1,0))</f>
        <v>1</v>
      </c>
      <c r="T810" s="1">
        <f ca="1">IF(S810=1,T$3*Q809/Prices!C809,T$3*R809*S810)</f>
        <v>1.874356298873169E-4</v>
      </c>
    </row>
    <row r="811" spans="1:20" x14ac:dyDescent="0.2">
      <c r="A811" s="4">
        <v>34641</v>
      </c>
      <c r="B811" s="9">
        <f ca="1">Prices!C810*(1+J811/(50*(ABS(O811)+ABS(T811)+0.0001)))</f>
        <v>98.46785752649312</v>
      </c>
      <c r="C811" s="13">
        <f t="shared" ca="1" si="78"/>
        <v>1</v>
      </c>
      <c r="D811" s="9">
        <f ca="1">D810+C811*(Prices!C811-Prices!C810)/Prices!C810</f>
        <v>0.39634970772402994</v>
      </c>
      <c r="E811" s="9">
        <f t="shared" ca="1" si="79"/>
        <v>0</v>
      </c>
      <c r="F811" s="9">
        <f t="shared" ca="1" si="80"/>
        <v>0.39634970772402994</v>
      </c>
      <c r="G811" s="13">
        <f ca="1">IF((Prices!C811-Prices!C810)*C811&gt;0,1,0)</f>
        <v>1</v>
      </c>
      <c r="H811" s="9">
        <f>ABS(Prices!C811-Prices!C810)/Prices!C810</f>
        <v>1.0253255408591644E-3</v>
      </c>
      <c r="I811" s="13"/>
      <c r="J811" s="1">
        <f t="shared" ca="1" si="81"/>
        <v>5.1952280201630636E-4</v>
      </c>
      <c r="K811" s="9"/>
      <c r="L811" s="9">
        <f ca="1">L810-O811*Prices!C811</f>
        <v>0.65827472830106859</v>
      </c>
      <c r="M811" s="1">
        <f t="shared" ca="1" si="82"/>
        <v>1.3798633750104228E-2</v>
      </c>
      <c r="N811" s="9">
        <f ca="1">IF(Prices!D810&gt;OFFSET(Prices!D810,-$N$3,0),1,IF(Prices!D810&lt;OFFSET(Prices!D810,-$N$3,0),-1,0))</f>
        <v>1</v>
      </c>
      <c r="O811" s="1">
        <f ca="1">IF(N811=1,O$3*L810/Prices!C810,O$3*M810*N811)</f>
        <v>7.5002532649067258E-4</v>
      </c>
      <c r="P811" s="14"/>
      <c r="Q811" s="9">
        <f ca="1">Q810-T811*Prices!C811</f>
        <v>0.90963117465220655</v>
      </c>
      <c r="R811" s="1">
        <f t="shared" ca="1" si="83"/>
        <v>1.1294623699243944E-2</v>
      </c>
      <c r="S811" s="9">
        <f ca="1">IF(Prices!C810&lt;OFFSET(Prices!C810,-S$3,0),1,IF(Prices!C810&gt;OFFSET(Prices!C810,-S$3,0),-1,0))</f>
        <v>-1</v>
      </c>
      <c r="T811" s="1">
        <f ca="1">IF(S811=1,T$3*Q810/Prices!C810,T$3*R810*S811)</f>
        <v>-2.305025244743662E-4</v>
      </c>
    </row>
    <row r="812" spans="1:20" x14ac:dyDescent="0.2">
      <c r="A812" s="4">
        <v>34642</v>
      </c>
      <c r="B812" s="9">
        <f ca="1">Prices!C811*(1+J812/(50*(ABS(O812)+ABS(T812)+0.0001)))</f>
        <v>98.505343105483234</v>
      </c>
      <c r="C812" s="13">
        <f t="shared" ca="1" si="78"/>
        <v>1</v>
      </c>
      <c r="D812" s="9">
        <f ca="1">D811+C812*(Prices!C812-Prices!C811)/Prices!C811</f>
        <v>0.39450601213865666</v>
      </c>
      <c r="E812" s="9">
        <f t="shared" ca="1" si="79"/>
        <v>1.8436955853732839E-3</v>
      </c>
      <c r="F812" s="9">
        <f t="shared" ca="1" si="80"/>
        <v>0.39634970772402994</v>
      </c>
      <c r="G812" s="13">
        <f ca="1">IF((Prices!C812-Prices!C811)*C812&gt;0,1,0)</f>
        <v>0</v>
      </c>
      <c r="H812" s="9">
        <f>ABS(Prices!C812-Prices!C811)/Prices!C811</f>
        <v>1.8436955853732727E-3</v>
      </c>
      <c r="I812" s="13"/>
      <c r="J812" s="1">
        <f t="shared" ca="1" si="81"/>
        <v>4.4836208742152141E-4</v>
      </c>
      <c r="K812" s="9"/>
      <c r="L812" s="9">
        <f ca="1">L811-O812*Prices!C812</f>
        <v>0.59256862129201493</v>
      </c>
      <c r="M812" s="1">
        <f t="shared" ca="1" si="82"/>
        <v>1.4472888311510628E-2</v>
      </c>
      <c r="N812" s="9">
        <f ca="1">IF(Prices!D811&gt;OFFSET(Prices!D811,-$N$3,0),1,IF(Prices!D811&lt;OFFSET(Prices!D811,-$N$3,0),-1,0))</f>
        <v>1</v>
      </c>
      <c r="O812" s="1">
        <f ca="1">IF(N812=1,O$3*L811/Prices!C811,O$3*M811*N812)</f>
        <v>6.7425456140640032E-4</v>
      </c>
      <c r="P812" s="14"/>
      <c r="Q812" s="9">
        <f ca="1">Q811-T812*Prices!C812</f>
        <v>0.93164439624203299</v>
      </c>
      <c r="R812" s="1">
        <f t="shared" ca="1" si="83"/>
        <v>1.1068731225259065E-2</v>
      </c>
      <c r="S812" s="9">
        <f ca="1">IF(Prices!C811&lt;OFFSET(Prices!C811,-S$3,0),1,IF(Prices!C811&gt;OFFSET(Prices!C811,-S$3,0),-1,0))</f>
        <v>-1</v>
      </c>
      <c r="T812" s="1">
        <f ca="1">IF(S812=1,T$3*Q811/Prices!C811,T$3*R811*S812)</f>
        <v>-2.2589247398487888E-4</v>
      </c>
    </row>
    <row r="813" spans="1:20" x14ac:dyDescent="0.2">
      <c r="A813" s="4">
        <v>34645</v>
      </c>
      <c r="B813" s="9">
        <f ca="1">Prices!C812*(1+J813/(50*(ABS(O813)+ABS(T813)+0.0001)))</f>
        <v>98.260886859800422</v>
      </c>
      <c r="C813" s="13">
        <f t="shared" ca="1" si="78"/>
        <v>1</v>
      </c>
      <c r="D813" s="9">
        <f ca="1">D812+C813*(Prices!C813-Prices!C812)/Prices!C812</f>
        <v>0.39378769505297162</v>
      </c>
      <c r="E813" s="9">
        <f t="shared" ca="1" si="79"/>
        <v>2.5620126710583224E-3</v>
      </c>
      <c r="F813" s="9">
        <f t="shared" ca="1" si="80"/>
        <v>0.39634970772402994</v>
      </c>
      <c r="G813" s="13">
        <f ca="1">IF((Prices!C813-Prices!C812)*C813&gt;0,1,0)</f>
        <v>0</v>
      </c>
      <c r="H813" s="9">
        <f>ABS(Prices!C813-Prices!C812)/Prices!C812</f>
        <v>7.183170856850425E-4</v>
      </c>
      <c r="I813" s="13"/>
      <c r="J813" s="1">
        <f t="shared" ca="1" si="81"/>
        <v>3.8669989708744567E-4</v>
      </c>
      <c r="K813" s="9"/>
      <c r="L813" s="9">
        <f ca="1">L812-O813*Prices!C813</f>
        <v>0.53335432437932495</v>
      </c>
      <c r="M813" s="1">
        <f t="shared" ca="1" si="82"/>
        <v>1.5080962833103255E-2</v>
      </c>
      <c r="N813" s="9">
        <f ca="1">IF(Prices!D812&gt;OFFSET(Prices!D812,-$N$3,0),1,IF(Prices!D812&lt;OFFSET(Prices!D812,-$N$3,0),-1,0))</f>
        <v>1</v>
      </c>
      <c r="O813" s="1">
        <f ca="1">IF(N813=1,O$3*L812/Prices!C812,O$3*M812*N813)</f>
        <v>6.0807452159262695E-4</v>
      </c>
      <c r="P813" s="14"/>
      <c r="Q813" s="9">
        <f ca="1">Q812-T813*Prices!C813</f>
        <v>0.95320185717634753</v>
      </c>
      <c r="R813" s="1">
        <f t="shared" ca="1" si="83"/>
        <v>1.0847356600753883E-2</v>
      </c>
      <c r="S813" s="9">
        <f ca="1">IF(Prices!C812&lt;OFFSET(Prices!C812,-S$3,0),1,IF(Prices!C812&gt;OFFSET(Prices!C812,-S$3,0),-1,0))</f>
        <v>-1</v>
      </c>
      <c r="T813" s="1">
        <f ca="1">IF(S813=1,T$3*Q812/Prices!C812,T$3*R812*S813)</f>
        <v>-2.213746245051813E-4</v>
      </c>
    </row>
    <row r="814" spans="1:20" x14ac:dyDescent="0.2">
      <c r="A814" s="4">
        <v>34646</v>
      </c>
      <c r="B814" s="9">
        <f ca="1">Prices!C813*(1+J814/(50*(ABS(O814)+ABS(T814)+0.0001)))</f>
        <v>98.125019882772492</v>
      </c>
      <c r="C814" s="13">
        <f t="shared" ca="1" si="78"/>
        <v>1</v>
      </c>
      <c r="D814" s="9">
        <f ca="1">D813+C814*(Prices!C814-Prices!C813)/Prices!C813</f>
        <v>0.3909123613088763</v>
      </c>
      <c r="E814" s="9">
        <f t="shared" ca="1" si="79"/>
        <v>5.4373464151536433E-3</v>
      </c>
      <c r="F814" s="9">
        <f t="shared" ca="1" si="80"/>
        <v>0.39634970772402994</v>
      </c>
      <c r="G814" s="13">
        <f ca="1">IF((Prices!C814-Prices!C813)*C814&gt;0,1,0)</f>
        <v>0</v>
      </c>
      <c r="H814" s="9">
        <f>ABS(Prices!C814-Prices!C813)/Prices!C813</f>
        <v>2.8753337440953087E-3</v>
      </c>
      <c r="I814" s="13"/>
      <c r="J814" s="1">
        <f t="shared" ca="1" si="81"/>
        <v>3.3075704171600163E-4</v>
      </c>
      <c r="K814" s="9"/>
      <c r="L814" s="9">
        <f ca="1">L813-O814*Prices!C814</f>
        <v>0.48017224911003714</v>
      </c>
      <c r="M814" s="1">
        <f t="shared" ca="1" si="82"/>
        <v>1.5628667006834334E-2</v>
      </c>
      <c r="N814" s="9">
        <f ca="1">IF(Prices!D813&gt;OFFSET(Prices!D813,-$N$3,0),1,IF(Prices!D813&lt;OFFSET(Prices!D813,-$N$3,0),-1,0))</f>
        <v>1</v>
      </c>
      <c r="O814" s="1">
        <f ca="1">IF(N814=1,O$3*L813/Prices!C813,O$3*M813*N814)</f>
        <v>5.4770417373107931E-4</v>
      </c>
      <c r="P814" s="14"/>
      <c r="Q814" s="9">
        <f ca="1">Q813-T814*Prices!C814</f>
        <v>0.97426742369501163</v>
      </c>
      <c r="R814" s="1">
        <f t="shared" ca="1" si="83"/>
        <v>1.0630409468738805E-2</v>
      </c>
      <c r="S814" s="9">
        <f ca="1">IF(Prices!C813&lt;OFFSET(Prices!C813,-S$3,0),1,IF(Prices!C813&gt;OFFSET(Prices!C813,-S$3,0),-1,0))</f>
        <v>-1</v>
      </c>
      <c r="T814" s="1">
        <f ca="1">IF(S814=1,T$3*Q813/Prices!C813,T$3*R813*S814)</f>
        <v>-2.1694713201507766E-4</v>
      </c>
    </row>
    <row r="815" spans="1:20" x14ac:dyDescent="0.2">
      <c r="A815" s="4">
        <v>34647</v>
      </c>
      <c r="B815" s="9">
        <f ca="1">Prices!C814*(1+J815/(50*(ABS(O815)+ABS(T815)+0.0001)))</f>
        <v>95.680454089742895</v>
      </c>
      <c r="C815" s="13">
        <f t="shared" ca="1" si="78"/>
        <v>-1</v>
      </c>
      <c r="D815" s="9">
        <f ca="1">D814+C815*(Prices!C815-Prices!C814)/Prices!C814</f>
        <v>0.38329135204008113</v>
      </c>
      <c r="E815" s="9">
        <f t="shared" ca="1" si="79"/>
        <v>1.3058355683948808E-2</v>
      </c>
      <c r="F815" s="9">
        <f t="shared" ca="1" si="80"/>
        <v>0.39634970772402994</v>
      </c>
      <c r="G815" s="13">
        <f ca="1">IF((Prices!C815-Prices!C814)*C815&gt;0,1,0)</f>
        <v>0</v>
      </c>
      <c r="H815" s="9">
        <f>ABS(Prices!C815-Prices!C814)/Prices!C814</f>
        <v>7.6210092687951508E-3</v>
      </c>
      <c r="I815" s="13"/>
      <c r="J815" s="1">
        <f t="shared" ca="1" si="81"/>
        <v>-1.362193698892494E-3</v>
      </c>
      <c r="K815" s="9"/>
      <c r="L815" s="9">
        <f ca="1">L814-O815*Prices!C815</f>
        <v>0.63308312710490422</v>
      </c>
      <c r="M815" s="1">
        <f t="shared" ca="1" si="82"/>
        <v>1.40658003061509E-2</v>
      </c>
      <c r="N815" s="9">
        <f ca="1">IF(Prices!D814&gt;OFFSET(Prices!D814,-$N$3,0),1,IF(Prices!D814&lt;OFFSET(Prices!D814,-$N$3,0),-1,0))</f>
        <v>-1</v>
      </c>
      <c r="O815" s="1">
        <f ca="1">IF(N815=1,O$3*L814/Prices!C814,O$3*M814*N815)</f>
        <v>-1.5628667006834336E-3</v>
      </c>
      <c r="P815" s="14"/>
      <c r="Q815" s="9">
        <f ca="1">Q814-T815*Prices!C815</f>
        <v>0.95463357719978614</v>
      </c>
      <c r="R815" s="1">
        <f t="shared" ca="1" si="83"/>
        <v>1.0831082470529744E-2</v>
      </c>
      <c r="S815" s="9">
        <f ca="1">IF(Prices!C814&lt;OFFSET(Prices!C814,-S$3,0),1,IF(Prices!C814&gt;OFFSET(Prices!C814,-S$3,0),-1,0))</f>
        <v>1</v>
      </c>
      <c r="T815" s="1">
        <f ca="1">IF(S815=1,T$3*Q814/Prices!C814,T$3*R814*S815)</f>
        <v>2.0067300179093961E-4</v>
      </c>
    </row>
    <row r="816" spans="1:20" x14ac:dyDescent="0.2">
      <c r="A816" s="4">
        <v>34648</v>
      </c>
      <c r="B816" s="9">
        <f ca="1">Prices!C815*(1+J816/(50*(ABS(O816)+ABS(T816)+0.0001)))</f>
        <v>95.996756063848025</v>
      </c>
      <c r="C816" s="13">
        <f t="shared" ca="1" si="78"/>
        <v>-1</v>
      </c>
      <c r="D816" s="9">
        <f ca="1">D815+C816*(Prices!C816-Prices!C815)/Prices!C815</f>
        <v>0.38462005195831506</v>
      </c>
      <c r="E816" s="9">
        <f t="shared" ca="1" si="79"/>
        <v>1.1729655765714886E-2</v>
      </c>
      <c r="F816" s="9">
        <f t="shared" ca="1" si="80"/>
        <v>0.39634970772402994</v>
      </c>
      <c r="G816" s="13">
        <f ca="1">IF((Prices!C816-Prices!C815)*C816&gt;0,1,0)</f>
        <v>1</v>
      </c>
      <c r="H816" s="9">
        <f>ABS(Prices!C816-Prices!C815)/Prices!C815</f>
        <v>1.3286999182339498E-3</v>
      </c>
      <c r="I816" s="13"/>
      <c r="J816" s="1">
        <f t="shared" ca="1" si="81"/>
        <v>-1.623201680025685E-3</v>
      </c>
      <c r="K816" s="9"/>
      <c r="L816" s="9">
        <f ca="1">L815-O816*Prices!C816</f>
        <v>0.77052006189630462</v>
      </c>
      <c r="M816" s="1">
        <f t="shared" ca="1" si="82"/>
        <v>1.265922027553581E-2</v>
      </c>
      <c r="N816" s="9">
        <f ca="1">IF(Prices!D815&gt;OFFSET(Prices!D815,-$N$3,0),1,IF(Prices!D815&lt;OFFSET(Prices!D815,-$N$3,0),-1,0))</f>
        <v>-1</v>
      </c>
      <c r="O816" s="1">
        <f ca="1">IF(N816=1,O$3*L815/Prices!C815,O$3*M815*N816)</f>
        <v>-1.40658003061509E-3</v>
      </c>
      <c r="P816" s="14"/>
      <c r="Q816" s="9">
        <f ca="1">Q815-T816*Prices!C816</f>
        <v>0.97579967856369532</v>
      </c>
      <c r="R816" s="1">
        <f t="shared" ca="1" si="83"/>
        <v>1.0614460821119149E-2</v>
      </c>
      <c r="S816" s="9">
        <f ca="1">IF(Prices!C815&lt;OFFSET(Prices!C815,-S$3,0),1,IF(Prices!C815&gt;OFFSET(Prices!C815,-S$3,0),-1,0))</f>
        <v>-1</v>
      </c>
      <c r="T816" s="1">
        <f ca="1">IF(S816=1,T$3*Q815/Prices!C815,T$3*R815*S816)</f>
        <v>-2.1662164941059489E-4</v>
      </c>
    </row>
    <row r="817" spans="1:20" x14ac:dyDescent="0.2">
      <c r="A817" s="4">
        <v>34649</v>
      </c>
      <c r="B817" s="9">
        <f ca="1">Prices!C816*(1+J817/(50*(ABS(O817)+ABS(T817)+0.0001)))</f>
        <v>95.879623728126319</v>
      </c>
      <c r="C817" s="13">
        <f t="shared" ca="1" si="78"/>
        <v>-1</v>
      </c>
      <c r="D817" s="9">
        <f ca="1">D816+C817*(Prices!C817-Prices!C816)/Prices!C816</f>
        <v>0.38441536461822695</v>
      </c>
      <c r="E817" s="9">
        <f t="shared" ca="1" si="79"/>
        <v>1.1934343105802991E-2</v>
      </c>
      <c r="F817" s="9">
        <f t="shared" ca="1" si="80"/>
        <v>0.39634970772402994</v>
      </c>
      <c r="G817" s="13">
        <f ca="1">IF((Prices!C817-Prices!C816)*C817&gt;0,1,0)</f>
        <v>0</v>
      </c>
      <c r="H817" s="9">
        <f>ABS(Prices!C817-Prices!C816)/Prices!C816</f>
        <v>2.0468734008812029E-4</v>
      </c>
      <c r="I817" s="13"/>
      <c r="J817" s="1">
        <f t="shared" ca="1" si="81"/>
        <v>-1.4782112439759641E-3</v>
      </c>
      <c r="K817" s="9"/>
      <c r="L817" s="9">
        <f ca="1">L816-O817*Prices!C817</f>
        <v>0.89423862164911605</v>
      </c>
      <c r="M817" s="1">
        <f t="shared" ca="1" si="82"/>
        <v>1.1393298247982228E-2</v>
      </c>
      <c r="N817" s="9">
        <f ca="1">IF(Prices!D816&gt;OFFSET(Prices!D816,-$N$3,0),1,IF(Prices!D816&lt;OFFSET(Prices!D816,-$N$3,0),-1,0))</f>
        <v>-1</v>
      </c>
      <c r="O817" s="1">
        <f ca="1">IF(N817=1,O$3*L816/Prices!C816,O$3*M816*N817)</f>
        <v>-1.265922027553581E-3</v>
      </c>
      <c r="P817" s="14"/>
      <c r="Q817" s="9">
        <f ca="1">Q816-T817*Prices!C817</f>
        <v>0.99654670368465481</v>
      </c>
      <c r="R817" s="1">
        <f t="shared" ca="1" si="83"/>
        <v>1.0402171604696767E-2</v>
      </c>
      <c r="S817" s="9">
        <f ca="1">IF(Prices!C816&lt;OFFSET(Prices!C816,-S$3,0),1,IF(Prices!C816&gt;OFFSET(Prices!C816,-S$3,0),-1,0))</f>
        <v>-1</v>
      </c>
      <c r="T817" s="1">
        <f ca="1">IF(S817=1,T$3*Q816/Prices!C816,T$3*R816*S817)</f>
        <v>-2.12289216422383E-4</v>
      </c>
    </row>
    <row r="818" spans="1:20" x14ac:dyDescent="0.2">
      <c r="A818" s="4">
        <v>34652</v>
      </c>
      <c r="B818" s="9">
        <f ca="1">Prices!C817*(1+J818/(50*(ABS(O818)+ABS(T818)+0.0001)))</f>
        <v>98.859824967309379</v>
      </c>
      <c r="C818" s="13">
        <f t="shared" ca="1" si="78"/>
        <v>1</v>
      </c>
      <c r="D818" s="9">
        <f ca="1">D817+C818*(Prices!C818-Prices!C817)/Prices!C817</f>
        <v>0.39055472817087195</v>
      </c>
      <c r="E818" s="9">
        <f t="shared" ca="1" si="79"/>
        <v>5.7949795531579973E-3</v>
      </c>
      <c r="F818" s="9">
        <f t="shared" ca="1" si="80"/>
        <v>0.39634970772402994</v>
      </c>
      <c r="G818" s="13">
        <f ca="1">IF((Prices!C818-Prices!C817)*C818&gt;0,1,0)</f>
        <v>1</v>
      </c>
      <c r="H818" s="9">
        <f>ABS(Prices!C818-Prices!C817)/Prices!C817</f>
        <v>6.1393635526449837E-3</v>
      </c>
      <c r="I818" s="13"/>
      <c r="J818" s="1">
        <f t="shared" ca="1" si="81"/>
        <v>7.0696590142608519E-4</v>
      </c>
      <c r="K818" s="9"/>
      <c r="L818" s="9">
        <f ca="1">L817-O818*Prices!C818</f>
        <v>0.80426575388409249</v>
      </c>
      <c r="M818" s="1">
        <f t="shared" ca="1" si="82"/>
        <v>1.2308307581502248E-2</v>
      </c>
      <c r="N818" s="9">
        <f ca="1">IF(Prices!D817&gt;OFFSET(Prices!D817,-$N$3,0),1,IF(Prices!D817&lt;OFFSET(Prices!D817,-$N$3,0),-1,0))</f>
        <v>1</v>
      </c>
      <c r="O818" s="1">
        <f ca="1">IF(N818=1,O$3*L817/Prices!C817,O$3*M817*N818)</f>
        <v>9.1500933352002046E-4</v>
      </c>
      <c r="P818" s="14"/>
      <c r="Q818" s="9">
        <f ca="1">Q817-T818*Prices!C818</f>
        <v>1.0170036143624515</v>
      </c>
      <c r="R818" s="1">
        <f t="shared" ca="1" si="83"/>
        <v>1.0194128172602832E-2</v>
      </c>
      <c r="S818" s="9">
        <f ca="1">IF(Prices!C817&lt;OFFSET(Prices!C817,-S$3,0),1,IF(Prices!C817&gt;OFFSET(Prices!C817,-S$3,0),-1,0))</f>
        <v>-1</v>
      </c>
      <c r="T818" s="1">
        <f ca="1">IF(S818=1,T$3*Q817/Prices!C817,T$3*R817*S818)</f>
        <v>-2.0804343209393533E-4</v>
      </c>
    </row>
    <row r="819" spans="1:20" x14ac:dyDescent="0.2">
      <c r="A819" s="4">
        <v>34653</v>
      </c>
      <c r="B819" s="9">
        <f ca="1">Prices!C818*(1+J819/(50*(ABS(O819)+ABS(T819)+0.0001)))</f>
        <v>96.491541195643421</v>
      </c>
      <c r="C819" s="13">
        <f t="shared" ca="1" si="78"/>
        <v>-1</v>
      </c>
      <c r="D819" s="9">
        <f ca="1">D818+C819*(Prices!C819-Prices!C818)/Prices!C818</f>
        <v>0.38628339693930475</v>
      </c>
      <c r="E819" s="9">
        <f t="shared" ca="1" si="79"/>
        <v>1.0066310784725196E-2</v>
      </c>
      <c r="F819" s="9">
        <f t="shared" ca="1" si="80"/>
        <v>0.39634970772402994</v>
      </c>
      <c r="G819" s="13">
        <f ca="1">IF((Prices!C819-Prices!C818)*C819&gt;0,1,0)</f>
        <v>0</v>
      </c>
      <c r="H819" s="9">
        <f>ABS(Prices!C819-Prices!C818)/Prices!C818</f>
        <v>4.2713312315671888E-3</v>
      </c>
      <c r="I819" s="13"/>
      <c r="J819" s="1">
        <f t="shared" ca="1" si="81"/>
        <v>-1.4347133216022815E-3</v>
      </c>
      <c r="K819" s="9"/>
      <c r="L819" s="9">
        <f ca="1">L818-O819*Prices!C819</f>
        <v>0.92581029125142722</v>
      </c>
      <c r="M819" s="1">
        <f t="shared" ca="1" si="82"/>
        <v>1.1077476823352023E-2</v>
      </c>
      <c r="N819" s="9">
        <f ca="1">IF(Prices!D818&gt;OFFSET(Prices!D818,-$N$3,0),1,IF(Prices!D818&lt;OFFSET(Prices!D818,-$N$3,0),-1,0))</f>
        <v>-1</v>
      </c>
      <c r="O819" s="1">
        <f ca="1">IF(N819=1,O$3*L818/Prices!C818,O$3*M818*N819)</f>
        <v>-1.2308307581502249E-3</v>
      </c>
      <c r="P819" s="14"/>
      <c r="Q819" s="9">
        <f ca="1">Q818-T819*Prices!C819</f>
        <v>1.0371370175033421</v>
      </c>
      <c r="R819" s="1">
        <f t="shared" ca="1" si="83"/>
        <v>9.990245609150775E-3</v>
      </c>
      <c r="S819" s="9">
        <f ca="1">IF(Prices!C818&lt;OFFSET(Prices!C818,-S$3,0),1,IF(Prices!C818&gt;OFFSET(Prices!C818,-S$3,0),-1,0))</f>
        <v>-1</v>
      </c>
      <c r="T819" s="1">
        <f ca="1">IF(S819=1,T$3*Q818/Prices!C818,T$3*R818*S819)</f>
        <v>-2.0388256345205664E-4</v>
      </c>
    </row>
    <row r="820" spans="1:20" x14ac:dyDescent="0.2">
      <c r="A820" s="4">
        <v>34654</v>
      </c>
      <c r="B820" s="9">
        <f ca="1">Prices!C819*(1+J820/(50*(ABS(O820)+ABS(T820)+0.0001)))</f>
        <v>96.91531447263084</v>
      </c>
      <c r="C820" s="13">
        <f t="shared" ca="1" si="78"/>
        <v>-1</v>
      </c>
      <c r="D820" s="9">
        <f ca="1">D819+C820*(Prices!C820-Prices!C819)/Prices!C819</f>
        <v>0.39013149820512749</v>
      </c>
      <c r="E820" s="9">
        <f t="shared" ca="1" si="79"/>
        <v>6.2182095189024511E-3</v>
      </c>
      <c r="F820" s="9">
        <f t="shared" ca="1" si="80"/>
        <v>0.39634970772402994</v>
      </c>
      <c r="G820" s="13">
        <f ca="1">IF((Prices!C820-Prices!C819)*C820&gt;0,1,0)</f>
        <v>1</v>
      </c>
      <c r="H820" s="9">
        <f>ABS(Prices!C820-Prices!C819)/Prices!C819</f>
        <v>3.8481012658227389E-3</v>
      </c>
      <c r="I820" s="13"/>
      <c r="J820" s="1">
        <f t="shared" ca="1" si="81"/>
        <v>-1.3075525945182179E-3</v>
      </c>
      <c r="K820" s="9"/>
      <c r="L820" s="9">
        <f ca="1">L819-O820*Prices!C820</f>
        <v>1.0347794307627411</v>
      </c>
      <c r="M820" s="1">
        <f t="shared" ca="1" si="82"/>
        <v>9.9697291410168198E-3</v>
      </c>
      <c r="N820" s="9">
        <f ca="1">IF(Prices!D819&gt;OFFSET(Prices!D819,-$N$3,0),1,IF(Prices!D819&lt;OFFSET(Prices!D819,-$N$3,0),-1,0))</f>
        <v>-1</v>
      </c>
      <c r="O820" s="1">
        <f ca="1">IF(N820=1,O$3*L819/Prices!C819,O$3*M819*N820)</f>
        <v>-1.1077476823352023E-3</v>
      </c>
      <c r="P820" s="14"/>
      <c r="Q820" s="9">
        <f ca="1">Q819-T820*Prices!C820</f>
        <v>1.0567918267147853</v>
      </c>
      <c r="R820" s="1">
        <f t="shared" ca="1" si="83"/>
        <v>9.7904406969677588E-3</v>
      </c>
      <c r="S820" s="9">
        <f ca="1">IF(Prices!C819&lt;OFFSET(Prices!C819,-S$3,0),1,IF(Prices!C819&gt;OFFSET(Prices!C819,-S$3,0),-1,0))</f>
        <v>-1</v>
      </c>
      <c r="T820" s="1">
        <f ca="1">IF(S820=1,T$3*Q819/Prices!C819,T$3*R819*S820)</f>
        <v>-1.998049121830155E-4</v>
      </c>
    </row>
    <row r="821" spans="1:20" x14ac:dyDescent="0.2">
      <c r="A821" s="4">
        <v>34655</v>
      </c>
      <c r="B821" s="9">
        <f ca="1">Prices!C820*(1+J821/(50*(ABS(O821)+ABS(T821)+0.0001)))</f>
        <v>99.61974498428431</v>
      </c>
      <c r="C821" s="13">
        <f t="shared" ca="1" si="78"/>
        <v>1</v>
      </c>
      <c r="D821" s="9">
        <f ca="1">D820+C821*(Prices!C821-Prices!C820)/Prices!C820</f>
        <v>0.38972487016812429</v>
      </c>
      <c r="E821" s="9">
        <f t="shared" ca="1" si="79"/>
        <v>6.6248375559056494E-3</v>
      </c>
      <c r="F821" s="9">
        <f t="shared" ca="1" si="80"/>
        <v>0.39634970772402994</v>
      </c>
      <c r="G821" s="13">
        <f ca="1">IF((Prices!C821-Prices!C820)*C821&gt;0,1,0)</f>
        <v>0</v>
      </c>
      <c r="H821" s="9">
        <f>ABS(Prices!C821-Prices!C820)/Prices!C820</f>
        <v>4.0662803700321492E-4</v>
      </c>
      <c r="I821" s="13"/>
      <c r="J821" s="1">
        <f t="shared" ca="1" si="81"/>
        <v>8.561170077163744E-4</v>
      </c>
      <c r="K821" s="9"/>
      <c r="L821" s="9">
        <f ca="1">L820-O821*Prices!C821</f>
        <v>0.93134356471933322</v>
      </c>
      <c r="M821" s="1">
        <f t="shared" ca="1" si="82"/>
        <v>1.102165496267255E-2</v>
      </c>
      <c r="N821" s="9">
        <f ca="1">IF(Prices!D820&gt;OFFSET(Prices!D820,-$N$3,0),1,IF(Prices!D820&lt;OFFSET(Prices!D820,-$N$3,0),-1,0))</f>
        <v>1</v>
      </c>
      <c r="O821" s="1">
        <f ca="1">IF(N821=1,O$3*L820/Prices!C820,O$3*M820*N821)</f>
        <v>1.0519258216557296E-3</v>
      </c>
      <c r="P821" s="14"/>
      <c r="Q821" s="9">
        <f ca="1">Q820-T821*Prices!C821</f>
        <v>1.0760457073894421</v>
      </c>
      <c r="R821" s="1">
        <f t="shared" ca="1" si="83"/>
        <v>9.5946318830284032E-3</v>
      </c>
      <c r="S821" s="9">
        <f ca="1">IF(Prices!C820&lt;OFFSET(Prices!C820,-S$3,0),1,IF(Prices!C820&gt;OFFSET(Prices!C820,-S$3,0),-1,0))</f>
        <v>-1</v>
      </c>
      <c r="T821" s="1">
        <f ca="1">IF(S821=1,T$3*Q820/Prices!C820,T$3*R820*S821)</f>
        <v>-1.9580881393935518E-4</v>
      </c>
    </row>
    <row r="822" spans="1:20" x14ac:dyDescent="0.2">
      <c r="A822" s="4">
        <v>34656</v>
      </c>
      <c r="B822" s="9">
        <f ca="1">Prices!C821*(1+J822/(50*(ABS(O822)+ABS(T822)+0.0001)))</f>
        <v>99.528746233444295</v>
      </c>
      <c r="C822" s="13">
        <f t="shared" ca="1" si="78"/>
        <v>1</v>
      </c>
      <c r="D822" s="9">
        <f ca="1">D821+C822*(Prices!C822-Prices!C821)/Prices!C821</f>
        <v>0.39236902759718972</v>
      </c>
      <c r="E822" s="9">
        <f t="shared" ca="1" si="79"/>
        <v>3.9806801268402192E-3</v>
      </c>
      <c r="F822" s="9">
        <f t="shared" ca="1" si="80"/>
        <v>0.39634970772402994</v>
      </c>
      <c r="G822" s="13">
        <f ca="1">IF((Prices!C822-Prices!C821)*C822&gt;0,1,0)</f>
        <v>1</v>
      </c>
      <c r="H822" s="9">
        <f>ABS(Prices!C822-Prices!C821)/Prices!C821</f>
        <v>2.644157429065444E-3</v>
      </c>
      <c r="I822" s="13"/>
      <c r="J822" s="1">
        <f t="shared" ca="1" si="81"/>
        <v>7.5526851836438193E-4</v>
      </c>
      <c r="K822" s="9"/>
      <c r="L822" s="9">
        <f ca="1">L821-O822*Prices!C822</f>
        <v>0.83796294634683344</v>
      </c>
      <c r="M822" s="1">
        <f t="shared" ca="1" si="82"/>
        <v>1.19688161186975E-2</v>
      </c>
      <c r="N822" s="9">
        <f ca="1">IF(Prices!D821&gt;OFFSET(Prices!D821,-$N$3,0),1,IF(Prices!D821&lt;OFFSET(Prices!D821,-$N$3,0),-1,0))</f>
        <v>1</v>
      </c>
      <c r="O822" s="1">
        <f ca="1">IF(N822=1,O$3*L821/Prices!C821,O$3*M821*N822)</f>
        <v>9.4716115602494998E-4</v>
      </c>
      <c r="P822" s="14"/>
      <c r="Q822" s="9">
        <f ca="1">Q821-T822*Prices!C822</f>
        <v>1.0949644025363974</v>
      </c>
      <c r="R822" s="1">
        <f t="shared" ca="1" si="83"/>
        <v>9.4027392453678357E-3</v>
      </c>
      <c r="S822" s="9">
        <f ca="1">IF(Prices!C821&lt;OFFSET(Prices!C821,-S$3,0),1,IF(Prices!C821&gt;OFFSET(Prices!C821,-S$3,0),-1,0))</f>
        <v>-1</v>
      </c>
      <c r="T822" s="1">
        <f ca="1">IF(S822=1,T$3*Q821/Prices!C821,T$3*R821*S822)</f>
        <v>-1.9189263766056808E-4</v>
      </c>
    </row>
    <row r="823" spans="1:20" x14ac:dyDescent="0.2">
      <c r="A823" s="4">
        <v>34659</v>
      </c>
      <c r="B823" s="9">
        <f ca="1">Prices!C822*(1+J823/(50*(ABS(O823)+ABS(T823)+0.0001)))</f>
        <v>99.736851660147124</v>
      </c>
      <c r="C823" s="13">
        <f t="shared" ca="1" si="78"/>
        <v>1</v>
      </c>
      <c r="D823" s="9">
        <f ca="1">D822+C823*(Prices!C823-Prices!C822)/Prices!C822</f>
        <v>0.38912326230659222</v>
      </c>
      <c r="E823" s="9">
        <f t="shared" ca="1" si="79"/>
        <v>7.2264454174377213E-3</v>
      </c>
      <c r="F823" s="9">
        <f t="shared" ca="1" si="80"/>
        <v>0.39634970772402994</v>
      </c>
      <c r="G823" s="13">
        <f ca="1">IF((Prices!C823-Prices!C822)*C823&gt;0,1,0)</f>
        <v>0</v>
      </c>
      <c r="H823" s="9">
        <f>ABS(Prices!C823-Prices!C822)/Prices!C822</f>
        <v>3.2457652905974986E-3</v>
      </c>
      <c r="I823" s="13"/>
      <c r="J823" s="1">
        <f t="shared" ca="1" si="81"/>
        <v>6.618924169861757E-4</v>
      </c>
      <c r="K823" s="9"/>
      <c r="L823" s="9">
        <f ca="1">L822-O823*Prices!C823</f>
        <v>0.75443863481675599</v>
      </c>
      <c r="M823" s="1">
        <f t="shared" ca="1" si="82"/>
        <v>1.2818763320591032E-2</v>
      </c>
      <c r="N823" s="9">
        <f ca="1">IF(Prices!D822&gt;OFFSET(Prices!D822,-$N$3,0),1,IF(Prices!D822&lt;OFFSET(Prices!D822,-$N$3,0),-1,0))</f>
        <v>1</v>
      </c>
      <c r="O823" s="1">
        <f ca="1">IF(N823=1,O$3*L822/Prices!C822,O$3*M822*N823)</f>
        <v>8.4994720189353237E-4</v>
      </c>
      <c r="P823" s="14"/>
      <c r="Q823" s="9">
        <f ca="1">Q822-T823*Prices!C823</f>
        <v>1.1134445462492433</v>
      </c>
      <c r="R823" s="1">
        <f t="shared" ca="1" si="83"/>
        <v>9.2146844604604795E-3</v>
      </c>
      <c r="S823" s="9">
        <f ca="1">IF(Prices!C822&lt;OFFSET(Prices!C822,-S$3,0),1,IF(Prices!C822&gt;OFFSET(Prices!C822,-S$3,0),-1,0))</f>
        <v>-1</v>
      </c>
      <c r="T823" s="1">
        <f ca="1">IF(S823=1,T$3*Q822/Prices!C822,T$3*R822*S823)</f>
        <v>-1.8805478490735672E-4</v>
      </c>
    </row>
    <row r="824" spans="1:20" x14ac:dyDescent="0.2">
      <c r="A824" s="4">
        <v>34660</v>
      </c>
      <c r="B824" s="9">
        <f ca="1">Prices!C823*(1+J824/(50*(ABS(O824)+ABS(T824)+0.0001)))</f>
        <v>100.05580143287881</v>
      </c>
      <c r="C824" s="13">
        <f t="shared" ca="1" si="78"/>
        <v>1</v>
      </c>
      <c r="D824" s="9">
        <f ca="1">D823+C824*(Prices!C824-Prices!C823)/Prices!C823</f>
        <v>0.38851269957127116</v>
      </c>
      <c r="E824" s="9">
        <f t="shared" ca="1" si="79"/>
        <v>7.8370081527587843E-3</v>
      </c>
      <c r="F824" s="9">
        <f t="shared" ca="1" si="80"/>
        <v>0.39634970772402994</v>
      </c>
      <c r="G824" s="13">
        <f ca="1">IF((Prices!C824-Prices!C823)*C824&gt;0,1,0)</f>
        <v>0</v>
      </c>
      <c r="H824" s="9">
        <f>ABS(Prices!C824-Prices!C823)/Prices!C823</f>
        <v>6.105627353210774E-4</v>
      </c>
      <c r="I824" s="13"/>
      <c r="J824" s="1">
        <f t="shared" ca="1" si="81"/>
        <v>9.9432944343808352E-4</v>
      </c>
      <c r="K824" s="9"/>
      <c r="L824" s="9">
        <f ca="1">L823-O824*Prices!C824</f>
        <v>0.67904083454673092</v>
      </c>
      <c r="M824" s="1">
        <f t="shared" ca="1" si="82"/>
        <v>1.3586483514767033E-2</v>
      </c>
      <c r="N824" s="9">
        <f ca="1">IF(Prices!D823&gt;OFFSET(Prices!D823,-$N$3,0),1,IF(Prices!D823&lt;OFFSET(Prices!D823,-$N$3,0),-1,0))</f>
        <v>1</v>
      </c>
      <c r="O824" s="1">
        <f ca="1">IF(N824=1,O$3*L823/Prices!C823,O$3*M823*N824)</f>
        <v>7.6772019417600086E-4</v>
      </c>
      <c r="P824" s="14"/>
      <c r="Q824" s="9">
        <f ca="1">Q823-T824*Prices!C824</f>
        <v>1.0911892518792141</v>
      </c>
      <c r="R824" s="1">
        <f t="shared" ca="1" si="83"/>
        <v>9.4412937097225619E-3</v>
      </c>
      <c r="S824" s="9">
        <f ca="1">IF(Prices!C823&lt;OFFSET(Prices!C823,-S$3,0),1,IF(Prices!C823&gt;OFFSET(Prices!C823,-S$3,0),-1,0))</f>
        <v>1</v>
      </c>
      <c r="T824" s="1">
        <f ca="1">IF(S824=1,T$3*Q823/Prices!C823,T$3*R823*S824)</f>
        <v>2.2660924926208269E-4</v>
      </c>
    </row>
    <row r="825" spans="1:20" x14ac:dyDescent="0.2">
      <c r="A825" s="4">
        <v>34661</v>
      </c>
      <c r="B825" s="9">
        <f ca="1">Prices!C824*(1+J825/(50*(ABS(O825)+ABS(T825)+0.0001)))</f>
        <v>96.882003459009667</v>
      </c>
      <c r="C825" s="13">
        <f t="shared" ca="1" si="78"/>
        <v>-1</v>
      </c>
      <c r="D825" s="9">
        <f ca="1">D824+C825*(Prices!C825-Prices!C824)/Prices!C824</f>
        <v>0.38617077919656384</v>
      </c>
      <c r="E825" s="9">
        <f t="shared" ca="1" si="79"/>
        <v>1.0178928527466102E-2</v>
      </c>
      <c r="F825" s="9">
        <f t="shared" ca="1" si="80"/>
        <v>0.39634970772402994</v>
      </c>
      <c r="G825" s="13">
        <f ca="1">IF((Prices!C825-Prices!C824)*C825&gt;0,1,0)</f>
        <v>0</v>
      </c>
      <c r="H825" s="9">
        <f>ABS(Prices!C825-Prices!C824)/Prices!C824</f>
        <v>2.3419203747073007E-3</v>
      </c>
      <c r="I825" s="13"/>
      <c r="J825" s="1">
        <f t="shared" ca="1" si="81"/>
        <v>-1.1364328435082248E-3</v>
      </c>
      <c r="K825" s="9"/>
      <c r="L825" s="9">
        <f ca="1">L824-O825*Prices!C825</f>
        <v>0.81278617826609756</v>
      </c>
      <c r="M825" s="1">
        <f t="shared" ca="1" si="82"/>
        <v>1.2227835163290329E-2</v>
      </c>
      <c r="N825" s="9">
        <f ca="1">IF(Prices!D824&gt;OFFSET(Prices!D824,-$N$3,0),1,IF(Prices!D824&lt;OFFSET(Prices!D824,-$N$3,0),-1,0))</f>
        <v>-1</v>
      </c>
      <c r="O825" s="1">
        <f ca="1">IF(N825=1,O$3*L824/Prices!C824,O$3*M824*N825)</f>
        <v>-1.3586483514767033E-3</v>
      </c>
      <c r="P825" s="14"/>
      <c r="Q825" s="9">
        <f ca="1">Q824-T825*Prices!C825</f>
        <v>1.0693143572747972</v>
      </c>
      <c r="R825" s="1">
        <f t="shared" ca="1" si="83"/>
        <v>9.6635092176910412E-3</v>
      </c>
      <c r="S825" s="9">
        <f ca="1">IF(Prices!C824&lt;OFFSET(Prices!C824,-S$3,0),1,IF(Prices!C824&gt;OFFSET(Prices!C824,-S$3,0),-1,0))</f>
        <v>1</v>
      </c>
      <c r="T825" s="1">
        <f ca="1">IF(S825=1,T$3*Q824/Prices!C824,T$3*R824*S825)</f>
        <v>2.2221550796847859E-4</v>
      </c>
    </row>
    <row r="826" spans="1:20" x14ac:dyDescent="0.2">
      <c r="A826" s="4">
        <v>34662</v>
      </c>
      <c r="B826" s="9">
        <f ca="1">Prices!C825*(1+J826/(50*(ABS(O826)+ABS(T826)+0.0001)))</f>
        <v>96.601063473774914</v>
      </c>
      <c r="C826" s="13">
        <f t="shared" ca="1" si="78"/>
        <v>-1</v>
      </c>
      <c r="D826" s="9">
        <f ca="1">D825+C826*(Prices!C826-Prices!C825)/Prices!C825</f>
        <v>0.38586602503159023</v>
      </c>
      <c r="E826" s="9">
        <f t="shared" ca="1" si="79"/>
        <v>1.0483682692439711E-2</v>
      </c>
      <c r="F826" s="9">
        <f t="shared" ca="1" si="80"/>
        <v>0.39634970772402994</v>
      </c>
      <c r="G826" s="13">
        <f ca="1">IF((Prices!C826-Prices!C825)*C826&gt;0,1,0)</f>
        <v>0</v>
      </c>
      <c r="H826" s="9">
        <f>ABS(Prices!C826-Prices!C825)/Prices!C825</f>
        <v>3.0475416497359952E-4</v>
      </c>
      <c r="I826" s="13"/>
      <c r="J826" s="1">
        <f t="shared" ca="1" si="81"/>
        <v>-1.4160537006828538E-3</v>
      </c>
      <c r="K826" s="9"/>
      <c r="L826" s="9">
        <f ca="1">L825-O826*Prices!C826</f>
        <v>0.93319367111901741</v>
      </c>
      <c r="M826" s="1">
        <f t="shared" ca="1" si="82"/>
        <v>1.1005051646961295E-2</v>
      </c>
      <c r="N826" s="9">
        <f ca="1">IF(Prices!D825&gt;OFFSET(Prices!D825,-$N$3,0),1,IF(Prices!D825&lt;OFFSET(Prices!D825,-$N$3,0),-1,0))</f>
        <v>-1</v>
      </c>
      <c r="O826" s="1">
        <f ca="1">IF(N826=1,O$3*L825/Prices!C825,O$3*M825*N826)</f>
        <v>-1.222783516329033E-3</v>
      </c>
      <c r="P826" s="14"/>
      <c r="Q826" s="9">
        <f ca="1">Q825-T826*Prices!C826</f>
        <v>1.088345672328118</v>
      </c>
      <c r="R826" s="1">
        <f t="shared" ca="1" si="83"/>
        <v>9.4702390333372202E-3</v>
      </c>
      <c r="S826" s="9">
        <f ca="1">IF(Prices!C825&lt;OFFSET(Prices!C825,-S$3,0),1,IF(Prices!C825&gt;OFFSET(Prices!C825,-S$3,0),-1,0))</f>
        <v>-1</v>
      </c>
      <c r="T826" s="1">
        <f ca="1">IF(S826=1,T$3*Q825/Prices!C825,T$3*R825*S826)</f>
        <v>-1.9327018435382084E-4</v>
      </c>
    </row>
    <row r="827" spans="1:20" x14ac:dyDescent="0.2">
      <c r="A827" s="4">
        <v>34663</v>
      </c>
      <c r="B827" s="9">
        <f ca="1">Prices!C826*(1+J827/(50*(ABS(O827)+ABS(T827)+0.0001)))</f>
        <v>97.251619481732121</v>
      </c>
      <c r="C827" s="13">
        <f t="shared" ca="1" si="78"/>
        <v>-1</v>
      </c>
      <c r="D827" s="9">
        <f ca="1">D826+C827*(Prices!C827-Prices!C826)/Prices!C826</f>
        <v>0.38271785807718783</v>
      </c>
      <c r="E827" s="9">
        <f t="shared" ca="1" si="79"/>
        <v>1.3631849646842109E-2</v>
      </c>
      <c r="F827" s="9">
        <f t="shared" ca="1" si="80"/>
        <v>0.39634970772402994</v>
      </c>
      <c r="G827" s="13">
        <f ca="1">IF((Prices!C827-Prices!C826)*C827&gt;0,1,0)</f>
        <v>0</v>
      </c>
      <c r="H827" s="9">
        <f>ABS(Prices!C827-Prices!C826)/Prices!C826</f>
        <v>3.1481669544023792E-3</v>
      </c>
      <c r="I827" s="13"/>
      <c r="J827" s="1">
        <f t="shared" ca="1" si="81"/>
        <v>-8.7945394659353639E-4</v>
      </c>
      <c r="K827" s="9"/>
      <c r="L827" s="9">
        <f ca="1">L826-O827*Prices!C827</f>
        <v>1.0419015712877011</v>
      </c>
      <c r="M827" s="1">
        <f t="shared" ca="1" si="82"/>
        <v>9.9045464822651655E-3</v>
      </c>
      <c r="N827" s="9">
        <f ca="1">IF(Prices!D826&gt;OFFSET(Prices!D826,-$N$3,0),1,IF(Prices!D826&lt;OFFSET(Prices!D826,-$N$3,0),-1,0))</f>
        <v>-1</v>
      </c>
      <c r="O827" s="1">
        <f ca="1">IF(N827=1,O$3*L826/Prices!C826,O$3*M826*N827)</f>
        <v>-1.1005051646961297E-3</v>
      </c>
      <c r="P827" s="14"/>
      <c r="Q827" s="9">
        <f ca="1">Q826-T827*Prices!C827</f>
        <v>1.0665102330039438</v>
      </c>
      <c r="R827" s="1">
        <f t="shared" ca="1" si="83"/>
        <v>9.6912902514398134E-3</v>
      </c>
      <c r="S827" s="9">
        <f ca="1">IF(Prices!C826&lt;OFFSET(Prices!C826,-S$3,0),1,IF(Prices!C826&gt;OFFSET(Prices!C826,-S$3,0),-1,0))</f>
        <v>1</v>
      </c>
      <c r="T827" s="1">
        <f ca="1">IF(S827=1,T$3*Q826/Prices!C826,T$3*R826*S827)</f>
        <v>2.2105121810259327E-4</v>
      </c>
    </row>
    <row r="828" spans="1:20" x14ac:dyDescent="0.2">
      <c r="A828" s="4">
        <v>34666</v>
      </c>
      <c r="B828" s="9">
        <f ca="1">Prices!C827*(1+J828/(50*(ABS(O828)+ABS(T828)+0.0001)))</f>
        <v>96.958229328710289</v>
      </c>
      <c r="C828" s="13">
        <f t="shared" ca="1" si="78"/>
        <v>-1</v>
      </c>
      <c r="D828" s="9">
        <f ca="1">D827+C828*(Prices!C828-Prices!C827)/Prices!C827</f>
        <v>0.38312279834849788</v>
      </c>
      <c r="E828" s="9">
        <f t="shared" ca="1" si="79"/>
        <v>1.3226909375532059E-2</v>
      </c>
      <c r="F828" s="9">
        <f t="shared" ca="1" si="80"/>
        <v>0.39634970772402994</v>
      </c>
      <c r="G828" s="13">
        <f ca="1">IF((Prices!C828-Prices!C827)*C828&gt;0,1,0)</f>
        <v>1</v>
      </c>
      <c r="H828" s="9">
        <f>ABS(Prices!C828-Prices!C827)/Prices!C827</f>
        <v>4.0494027131004508E-4</v>
      </c>
      <c r="I828" s="13"/>
      <c r="J828" s="1">
        <f t="shared" ca="1" si="81"/>
        <v>-1.1842804532553129E-3</v>
      </c>
      <c r="K828" s="9"/>
      <c r="L828" s="9">
        <f ca="1">L827-O828*Prices!C828</f>
        <v>1.1396990632535873</v>
      </c>
      <c r="M828" s="1">
        <f t="shared" ca="1" si="82"/>
        <v>8.9140918340386496E-3</v>
      </c>
      <c r="N828" s="9">
        <f ca="1">IF(Prices!D827&gt;OFFSET(Prices!D827,-$N$3,0),1,IF(Prices!D827&lt;OFFSET(Prices!D827,-$N$3,0),-1,0))</f>
        <v>-1</v>
      </c>
      <c r="O828" s="1">
        <f ca="1">IF(N828=1,O$3*L827/Prices!C827,O$3*M827*N828)</f>
        <v>-9.9045464822651651E-4</v>
      </c>
      <c r="P828" s="14"/>
      <c r="Q828" s="9">
        <f ca="1">Q827-T828*Prices!C828</f>
        <v>1.0856485929924871</v>
      </c>
      <c r="R828" s="1">
        <f t="shared" ca="1" si="83"/>
        <v>9.4974644464110164E-3</v>
      </c>
      <c r="S828" s="9">
        <f ca="1">IF(Prices!C827&lt;OFFSET(Prices!C827,-S$3,0),1,IF(Prices!C827&gt;OFFSET(Prices!C827,-S$3,0),-1,0))</f>
        <v>-1</v>
      </c>
      <c r="T828" s="1">
        <f ca="1">IF(S828=1,T$3*Q827/Prices!C827,T$3*R827*S828)</f>
        <v>-1.9382580502879626E-4</v>
      </c>
    </row>
    <row r="829" spans="1:20" x14ac:dyDescent="0.2">
      <c r="A829" s="4">
        <v>34667</v>
      </c>
      <c r="B829" s="9">
        <f ca="1">Prices!C828*(1+J829/(50*(ABS(O829)+ABS(T829)+0.0001)))</f>
        <v>100.05858265660217</v>
      </c>
      <c r="C829" s="13">
        <f t="shared" ca="1" si="78"/>
        <v>1</v>
      </c>
      <c r="D829" s="9">
        <f ca="1">D828+C829*(Prices!C829-Prices!C828)/Prices!C828</f>
        <v>0.38535087207748309</v>
      </c>
      <c r="E829" s="9">
        <f t="shared" ca="1" si="79"/>
        <v>1.0998835646546856E-2</v>
      </c>
      <c r="F829" s="9">
        <f t="shared" ca="1" si="80"/>
        <v>0.39634970772402994</v>
      </c>
      <c r="G829" s="13">
        <f ca="1">IF((Prices!C829-Prices!C828)*C829&gt;0,1,0)</f>
        <v>1</v>
      </c>
      <c r="H829" s="9">
        <f>ABS(Prices!C829-Prices!C828)/Prices!C828</f>
        <v>2.2280737289852022E-3</v>
      </c>
      <c r="I829" s="13"/>
      <c r="J829" s="1">
        <f t="shared" ca="1" si="81"/>
        <v>9.6429323006467756E-4</v>
      </c>
      <c r="K829" s="9"/>
      <c r="L829" s="9">
        <f ca="1">L828-O829*Prices!C829</f>
        <v>1.0254752235740501</v>
      </c>
      <c r="M829" s="1">
        <f t="shared" ca="1" si="82"/>
        <v>1.0068334353031547E-2</v>
      </c>
      <c r="N829" s="9">
        <f ca="1">IF(Prices!D828&gt;OFFSET(Prices!D828,-$N$3,0),1,IF(Prices!D828&lt;OFFSET(Prices!D828,-$N$3,0),-1,0))</f>
        <v>1</v>
      </c>
      <c r="O829" s="1">
        <f ca="1">IF(N829=1,O$3*L828/Prices!C828,O$3*M828*N829)</f>
        <v>1.1542425189928979E-3</v>
      </c>
      <c r="P829" s="14"/>
      <c r="Q829" s="9">
        <f ca="1">Q828-T829*Prices!C829</f>
        <v>1.1044459746248236</v>
      </c>
      <c r="R829" s="1">
        <f t="shared" ca="1" si="83"/>
        <v>9.3075151574827965E-3</v>
      </c>
      <c r="S829" s="9">
        <f ca="1">IF(Prices!C828&lt;OFFSET(Prices!C828,-S$3,0),1,IF(Prices!C828&gt;OFFSET(Prices!C828,-S$3,0),-1,0))</f>
        <v>-1</v>
      </c>
      <c r="T829" s="1">
        <f ca="1">IF(S829=1,T$3*Q828/Prices!C828,T$3*R828*S829)</f>
        <v>-1.8994928892822035E-4</v>
      </c>
    </row>
    <row r="830" spans="1:20" x14ac:dyDescent="0.2">
      <c r="A830" s="4">
        <v>34668</v>
      </c>
      <c r="B830" s="9">
        <f ca="1">Prices!C829*(1+J830/(50*(ABS(O830)+ABS(T830)+0.0001)))</f>
        <v>100.23232193180311</v>
      </c>
      <c r="C830" s="13">
        <f t="shared" ca="1" si="78"/>
        <v>1</v>
      </c>
      <c r="D830" s="9">
        <f ca="1">D829+C830*(Prices!C830-Prices!C829)/Prices!C829</f>
        <v>0.38555297393682031</v>
      </c>
      <c r="E830" s="9">
        <f t="shared" ca="1" si="79"/>
        <v>1.0796733787209634E-2</v>
      </c>
      <c r="F830" s="9">
        <f t="shared" ca="1" si="80"/>
        <v>0.39634970772402994</v>
      </c>
      <c r="G830" s="13">
        <f ca="1">IF((Prices!C830-Prices!C829)*C830&gt;0,1,0)</f>
        <v>1</v>
      </c>
      <c r="H830" s="9">
        <f>ABS(Prices!C830-Prices!C829)/Prices!C829</f>
        <v>2.021018593372093E-4</v>
      </c>
      <c r="I830" s="13"/>
      <c r="J830" s="1">
        <f t="shared" ca="1" si="81"/>
        <v>8.5010194379259358E-4</v>
      </c>
      <c r="K830" s="9"/>
      <c r="L830" s="9">
        <f ca="1">L829-O830*Prices!C830</f>
        <v>0.92290697617170625</v>
      </c>
      <c r="M830" s="1">
        <f t="shared" ca="1" si="82"/>
        <v>1.1104586599973796E-2</v>
      </c>
      <c r="N830" s="9">
        <f ca="1">IF(Prices!D829&gt;OFFSET(Prices!D829,-$N$3,0),1,IF(Prices!D829&lt;OFFSET(Prices!D829,-$N$3,0),-1,0))</f>
        <v>1</v>
      </c>
      <c r="O830" s="1">
        <f ca="1">IF(N830=1,O$3*L829/Prices!C829,O$3*M829*N830)</f>
        <v>1.0362522469422495E-3</v>
      </c>
      <c r="P830" s="14"/>
      <c r="Q830" s="9">
        <f ca="1">Q829-T830*Prices!C830</f>
        <v>1.1228711316305766</v>
      </c>
      <c r="R830" s="1">
        <f t="shared" ca="1" si="83"/>
        <v>9.1213648543331406E-3</v>
      </c>
      <c r="S830" s="9">
        <f ca="1">IF(Prices!C829&lt;OFFSET(Prices!C829,-S$3,0),1,IF(Prices!C829&gt;OFFSET(Prices!C829,-S$3,0),-1,0))</f>
        <v>-1</v>
      </c>
      <c r="T830" s="1">
        <f ca="1">IF(S830=1,T$3*Q829/Prices!C829,T$3*R829*S830)</f>
        <v>-1.8615030314965593E-4</v>
      </c>
    </row>
    <row r="831" spans="1:20" x14ac:dyDescent="0.2">
      <c r="A831" s="4">
        <v>34669</v>
      </c>
      <c r="B831" s="9">
        <f ca="1">Prices!C830*(1+J831/(50*(ABS(O831)+ABS(T831)+0.0001)))</f>
        <v>100.20211554291599</v>
      </c>
      <c r="C831" s="13">
        <f t="shared" ca="1" si="78"/>
        <v>1</v>
      </c>
      <c r="D831" s="9">
        <f ca="1">D830+C831*(Prices!C831-Prices!C830)/Prices!C830</f>
        <v>0.38959419438539566</v>
      </c>
      <c r="E831" s="9">
        <f t="shared" ca="1" si="79"/>
        <v>6.7555133386342781E-3</v>
      </c>
      <c r="F831" s="9">
        <f t="shared" ca="1" si="80"/>
        <v>0.39634970772402994</v>
      </c>
      <c r="G831" s="13">
        <f ca="1">IF((Prices!C831-Prices!C830)*C831&gt;0,1,0)</f>
        <v>1</v>
      </c>
      <c r="H831" s="9">
        <f>ABS(Prices!C831-Prices!C830)/Prices!C830</f>
        <v>4.0412204485753833E-3</v>
      </c>
      <c r="I831" s="13"/>
      <c r="J831" s="1">
        <f t="shared" ca="1" si="81"/>
        <v>7.4999033897285051E-4</v>
      </c>
      <c r="K831" s="9"/>
      <c r="L831" s="9">
        <f ca="1">L830-O831*Prices!C831</f>
        <v>0.83024331150011177</v>
      </c>
      <c r="M831" s="1">
        <f t="shared" ca="1" si="82"/>
        <v>1.203700423603331E-2</v>
      </c>
      <c r="N831" s="9">
        <f ca="1">IF(Prices!D830&gt;OFFSET(Prices!D830,-$N$3,0),1,IF(Prices!D830&lt;OFFSET(Prices!D830,-$N$3,0),-1,0))</f>
        <v>1</v>
      </c>
      <c r="O831" s="1">
        <f ca="1">IF(N831=1,O$3*L830/Prices!C830,O$3*M830*N831)</f>
        <v>9.3241763605951327E-4</v>
      </c>
      <c r="P831" s="14"/>
      <c r="Q831" s="9">
        <f ca="1">Q830-T831*Prices!C831</f>
        <v>1.1410007564150491</v>
      </c>
      <c r="R831" s="1">
        <f t="shared" ca="1" si="83"/>
        <v>8.9389375572464774E-3</v>
      </c>
      <c r="S831" s="9">
        <f ca="1">IF(Prices!C830&lt;OFFSET(Prices!C830,-S$3,0),1,IF(Prices!C830&gt;OFFSET(Prices!C830,-S$3,0),-1,0))</f>
        <v>-1</v>
      </c>
      <c r="T831" s="1">
        <f ca="1">IF(S831=1,T$3*Q830/Prices!C830,T$3*R830*S831)</f>
        <v>-1.8242729708666281E-4</v>
      </c>
    </row>
    <row r="832" spans="1:20" x14ac:dyDescent="0.2">
      <c r="A832" s="4">
        <v>34670</v>
      </c>
      <c r="B832" s="9">
        <f ca="1">Prices!C831*(1+J832/(50*(ABS(O832)+ABS(T832)+0.0001)))</f>
        <v>97.526472709678202</v>
      </c>
      <c r="C832" s="13">
        <f t="shared" ca="1" si="78"/>
        <v>-1</v>
      </c>
      <c r="D832" s="9">
        <f ca="1">D831+C832*(Prices!C832-Prices!C831)/Prices!C831</f>
        <v>0.37691558701972849</v>
      </c>
      <c r="E832" s="9">
        <f t="shared" ca="1" si="79"/>
        <v>1.943412070430145E-2</v>
      </c>
      <c r="F832" s="9">
        <f t="shared" ca="1" si="80"/>
        <v>0.39634970772402994</v>
      </c>
      <c r="G832" s="13">
        <f ca="1">IF((Prices!C832-Prices!C831)*C832&gt;0,1,0)</f>
        <v>0</v>
      </c>
      <c r="H832" s="9">
        <f>ABS(Prices!C832-Prices!C831)/Prices!C831</f>
        <v>1.2678607365667189E-2</v>
      </c>
      <c r="I832" s="13"/>
      <c r="J832" s="1">
        <f t="shared" ca="1" si="81"/>
        <v>-1.3824791747482606E-3</v>
      </c>
      <c r="K832" s="9"/>
      <c r="L832" s="9">
        <f ca="1">L831-O832*Prices!C832</f>
        <v>0.95138372213155098</v>
      </c>
      <c r="M832" s="1">
        <f t="shared" ca="1" si="82"/>
        <v>1.0833303812429978E-2</v>
      </c>
      <c r="N832" s="9">
        <f ca="1">IF(Prices!D831&gt;OFFSET(Prices!D831,-$N$3,0),1,IF(Prices!D831&lt;OFFSET(Prices!D831,-$N$3,0),-1,0))</f>
        <v>-1</v>
      </c>
      <c r="O832" s="1">
        <f ca="1">IF(N832=1,O$3*L831/Prices!C831,O$3*M831*N832)</f>
        <v>-1.2037004236033311E-3</v>
      </c>
      <c r="P832" s="14"/>
      <c r="Q832" s="9">
        <f ca="1">Q831-T832*Prices!C832</f>
        <v>1.1589930499302747</v>
      </c>
      <c r="R832" s="1">
        <f t="shared" ca="1" si="83"/>
        <v>8.7601588061015472E-3</v>
      </c>
      <c r="S832" s="9">
        <f ca="1">IF(Prices!C831&lt;OFFSET(Prices!C831,-S$3,0),1,IF(Prices!C831&gt;OFFSET(Prices!C831,-S$3,0),-1,0))</f>
        <v>-1</v>
      </c>
      <c r="T832" s="1">
        <f ca="1">IF(S832=1,T$3*Q831/Prices!C831,T$3*R831*S832)</f>
        <v>-1.7877875114492956E-4</v>
      </c>
    </row>
    <row r="833" spans="1:20" x14ac:dyDescent="0.2">
      <c r="A833" s="4">
        <v>34673</v>
      </c>
      <c r="B833" s="9">
        <f ca="1">Prices!C832*(1+J833/(50*(ABS(O833)+ABS(T833)+0.0001)))</f>
        <v>98.775359755722491</v>
      </c>
      <c r="C833" s="13">
        <f t="shared" ca="1" si="78"/>
        <v>-1</v>
      </c>
      <c r="D833" s="9">
        <f ca="1">D832+C833*(Prices!C833-Prices!C832)/Prices!C832</f>
        <v>0.37999587318824996</v>
      </c>
      <c r="E833" s="9">
        <f t="shared" ca="1" si="79"/>
        <v>1.6353834535779987E-2</v>
      </c>
      <c r="F833" s="9">
        <f t="shared" ca="1" si="80"/>
        <v>0.39634970772402994</v>
      </c>
      <c r="G833" s="13">
        <f ca="1">IF((Prices!C833-Prices!C832)*C833&gt;0,1,0)</f>
        <v>1</v>
      </c>
      <c r="H833" s="9">
        <f>ABS(Prices!C833-Prices!C832)/Prices!C832</f>
        <v>3.0802861685214852E-3</v>
      </c>
      <c r="I833" s="13"/>
      <c r="J833" s="1">
        <f t="shared" ca="1" si="81"/>
        <v>-1.2585335573650287E-3</v>
      </c>
      <c r="K833" s="9"/>
      <c r="L833" s="9">
        <f ca="1">L832-O833*Prices!C833</f>
        <v>1.060074259281661</v>
      </c>
      <c r="M833" s="1">
        <f t="shared" ca="1" si="82"/>
        <v>9.7499734311869805E-3</v>
      </c>
      <c r="N833" s="9">
        <f ca="1">IF(Prices!D832&gt;OFFSET(Prices!D832,-$N$3,0),1,IF(Prices!D832&lt;OFFSET(Prices!D832,-$N$3,0),-1,0))</f>
        <v>-1</v>
      </c>
      <c r="O833" s="1">
        <f ca="1">IF(N833=1,O$3*L832/Prices!C832,O$3*M832*N833)</f>
        <v>-1.0833303812429979E-3</v>
      </c>
      <c r="P833" s="14"/>
      <c r="Q833" s="9">
        <f ca="1">Q832-T833*Prices!C833</f>
        <v>1.1765711845905982</v>
      </c>
      <c r="R833" s="1">
        <f t="shared" ca="1" si="83"/>
        <v>8.5849556299795165E-3</v>
      </c>
      <c r="S833" s="9">
        <f ca="1">IF(Prices!C832&lt;OFFSET(Prices!C832,-S$3,0),1,IF(Prices!C832&gt;OFFSET(Prices!C832,-S$3,0),-1,0))</f>
        <v>-1</v>
      </c>
      <c r="T833" s="1">
        <f ca="1">IF(S833=1,T$3*Q832/Prices!C832,T$3*R832*S833)</f>
        <v>-1.7520317612203094E-4</v>
      </c>
    </row>
    <row r="834" spans="1:20" x14ac:dyDescent="0.2">
      <c r="A834" s="4">
        <v>34674</v>
      </c>
      <c r="B834" s="9">
        <f ca="1">Prices!C833*(1+J834/(50*(ABS(O834)+ABS(T834)+0.0001)))</f>
        <v>98.484353373276718</v>
      </c>
      <c r="C834" s="13">
        <f t="shared" ca="1" si="78"/>
        <v>-1</v>
      </c>
      <c r="D834" s="9">
        <f ca="1">D833+C834*(Prices!C834-Prices!C833)/Prices!C833</f>
        <v>0.3820889659820304</v>
      </c>
      <c r="E834" s="9">
        <f t="shared" ca="1" si="79"/>
        <v>1.4260741741999539E-2</v>
      </c>
      <c r="F834" s="9">
        <f t="shared" ca="1" si="80"/>
        <v>0.39634970772402994</v>
      </c>
      <c r="G834" s="13">
        <f ca="1">IF((Prices!C834-Prices!C833)*C834&gt;0,1,0)</f>
        <v>1</v>
      </c>
      <c r="H834" s="9">
        <f>ABS(Prices!C834-Prices!C833)/Prices!C833</f>
        <v>2.0930927937804619E-3</v>
      </c>
      <c r="I834" s="13"/>
      <c r="J834" s="1">
        <f t="shared" ca="1" si="81"/>
        <v>-1.1466964557182884E-3</v>
      </c>
      <c r="K834" s="9"/>
      <c r="L834" s="9">
        <f ca="1">L833-O834*Prices!C834</f>
        <v>1.157690993274705</v>
      </c>
      <c r="M834" s="1">
        <f t="shared" ca="1" si="82"/>
        <v>8.7749760880682821E-3</v>
      </c>
      <c r="N834" s="9">
        <f ca="1">IF(Prices!D833&gt;OFFSET(Prices!D833,-$N$3,0),1,IF(Prices!D833&lt;OFFSET(Prices!D833,-$N$3,0),-1,0))</f>
        <v>-1</v>
      </c>
      <c r="O834" s="1">
        <f ca="1">IF(N834=1,O$3*L833/Prices!C833,O$3*M833*N834)</f>
        <v>-9.7499734311869808E-4</v>
      </c>
      <c r="P834" s="14"/>
      <c r="Q834" s="9">
        <f ca="1">Q833-T834*Prices!C834</f>
        <v>1.1937616997440692</v>
      </c>
      <c r="R834" s="1">
        <f t="shared" ca="1" si="83"/>
        <v>8.4132565173799263E-3</v>
      </c>
      <c r="S834" s="9">
        <f ca="1">IF(Prices!C833&lt;OFFSET(Prices!C833,-S$3,0),1,IF(Prices!C833&gt;OFFSET(Prices!C833,-S$3,0),-1,0))</f>
        <v>-1</v>
      </c>
      <c r="T834" s="1">
        <f ca="1">IF(S834=1,T$3*Q833/Prices!C833,T$3*R833*S834)</f>
        <v>-1.7169911259959033E-4</v>
      </c>
    </row>
    <row r="835" spans="1:20" x14ac:dyDescent="0.2">
      <c r="A835" s="4">
        <v>34675</v>
      </c>
      <c r="B835" s="9">
        <f ca="1">Prices!C834*(1+J835/(50*(ABS(O835)+ABS(T835)+0.0001)))</f>
        <v>98.292365676310766</v>
      </c>
      <c r="C835" s="13">
        <f t="shared" ca="1" si="78"/>
        <v>-1</v>
      </c>
      <c r="D835" s="9">
        <f ca="1">D834+C835*(Prices!C835-Prices!C834)/Prices!C834</f>
        <v>0.38408656885857856</v>
      </c>
      <c r="E835" s="9">
        <f t="shared" ca="1" si="79"/>
        <v>1.2263138865451384E-2</v>
      </c>
      <c r="F835" s="9">
        <f t="shared" ca="1" si="80"/>
        <v>0.39634970772402994</v>
      </c>
      <c r="G835" s="13">
        <f ca="1">IF((Prices!C835-Prices!C834)*C835&gt;0,1,0)</f>
        <v>1</v>
      </c>
      <c r="H835" s="9">
        <f>ABS(Prices!C835-Prices!C834)/Prices!C834</f>
        <v>1.9976028765481707E-3</v>
      </c>
      <c r="I835" s="13"/>
      <c r="J835" s="1">
        <f t="shared" ca="1" si="81"/>
        <v>-1.0457627391544269E-3</v>
      </c>
      <c r="K835" s="9"/>
      <c r="L835" s="9">
        <f ca="1">L834-O835*Prices!C835</f>
        <v>1.2453705543466833</v>
      </c>
      <c r="M835" s="1">
        <f t="shared" ca="1" si="82"/>
        <v>7.8974784792614546E-3</v>
      </c>
      <c r="N835" s="9">
        <f ca="1">IF(Prices!D834&gt;OFFSET(Prices!D834,-$N$3,0),1,IF(Prices!D834&lt;OFFSET(Prices!D834,-$N$3,0),-1,0))</f>
        <v>-1</v>
      </c>
      <c r="O835" s="1">
        <f ca="1">IF(N835=1,O$3*L834/Prices!C834,O$3*M834*N835)</f>
        <v>-8.7749760880682828E-4</v>
      </c>
      <c r="P835" s="14"/>
      <c r="Q835" s="9">
        <f ca="1">Q834-T835*Prices!C835</f>
        <v>1.2105747515684013</v>
      </c>
      <c r="R835" s="1">
        <f t="shared" ca="1" si="83"/>
        <v>8.2449913870323282E-3</v>
      </c>
      <c r="S835" s="9">
        <f ca="1">IF(Prices!C834&lt;OFFSET(Prices!C834,-S$3,0),1,IF(Prices!C834&gt;OFFSET(Prices!C834,-S$3,0),-1,0))</f>
        <v>-1</v>
      </c>
      <c r="T835" s="1">
        <f ca="1">IF(S835=1,T$3*Q834/Prices!C834,T$3*R834*S835)</f>
        <v>-1.6826513034759853E-4</v>
      </c>
    </row>
    <row r="836" spans="1:20" x14ac:dyDescent="0.2">
      <c r="A836" s="4">
        <v>34676</v>
      </c>
      <c r="B836" s="9">
        <f ca="1">Prices!C835*(1+J836/(50*(ABS(O836)+ABS(T836)+0.0001)))</f>
        <v>98.111085080762777</v>
      </c>
      <c r="C836" s="13">
        <f t="shared" ca="1" si="78"/>
        <v>-1</v>
      </c>
      <c r="D836" s="9">
        <f ca="1">D835+C836*(Prices!C836-Prices!C835)/Prices!C835</f>
        <v>0.37768144475929916</v>
      </c>
      <c r="E836" s="9">
        <f t="shared" ca="1" si="79"/>
        <v>1.8668262964730786E-2</v>
      </c>
      <c r="F836" s="9">
        <f t="shared" ca="1" si="80"/>
        <v>0.39634970772402994</v>
      </c>
      <c r="G836" s="13">
        <f ca="1">IF((Prices!C836-Prices!C835)*C836&gt;0,1,0)</f>
        <v>0</v>
      </c>
      <c r="H836" s="9">
        <f>ABS(Prices!C836-Prices!C835)/Prices!C835</f>
        <v>6.4051240992794292E-3</v>
      </c>
      <c r="I836" s="13"/>
      <c r="J836" s="1">
        <f t="shared" ca="1" si="81"/>
        <v>-9.5464767566679203E-4</v>
      </c>
      <c r="K836" s="9"/>
      <c r="L836" s="9">
        <f ca="1">L835-O836*Prices!C836</f>
        <v>1.3247875979341366</v>
      </c>
      <c r="M836" s="1">
        <f t="shared" ca="1" si="82"/>
        <v>7.1077306313353092E-3</v>
      </c>
      <c r="N836" s="9">
        <f ca="1">IF(Prices!D835&gt;OFFSET(Prices!D835,-$N$3,0),1,IF(Prices!D835&lt;OFFSET(Prices!D835,-$N$3,0),-1,0))</f>
        <v>-1</v>
      </c>
      <c r="O836" s="1">
        <f ca="1">IF(N836=1,O$3*L835/Prices!C835,O$3*M835*N836)</f>
        <v>-7.8974784792614546E-4</v>
      </c>
      <c r="P836" s="14"/>
      <c r="Q836" s="9">
        <f ca="1">Q835-T836*Prices!C836</f>
        <v>1.2271570782460008</v>
      </c>
      <c r="R836" s="1">
        <f t="shared" ca="1" si="83"/>
        <v>8.0800915592916817E-3</v>
      </c>
      <c r="S836" s="9">
        <f ca="1">IF(Prices!C835&lt;OFFSET(Prices!C835,-S$3,0),1,IF(Prices!C835&gt;OFFSET(Prices!C835,-S$3,0),-1,0))</f>
        <v>-1</v>
      </c>
      <c r="T836" s="1">
        <f ca="1">IF(S836=1,T$3*Q835/Prices!C835,T$3*R835*S836)</f>
        <v>-1.6489982774064657E-4</v>
      </c>
    </row>
    <row r="837" spans="1:20" x14ac:dyDescent="0.2">
      <c r="A837" s="4">
        <v>34677</v>
      </c>
      <c r="B837" s="9">
        <f ca="1">Prices!C836*(1+J837/(50*(ABS(O837)+ABS(T837)+0.0001)))</f>
        <v>102.45015091430061</v>
      </c>
      <c r="C837" s="13">
        <f t="shared" ca="1" si="78"/>
        <v>1</v>
      </c>
      <c r="D837" s="9">
        <f ca="1">D836+C837*(Prices!C837-Prices!C836)/Prices!C836</f>
        <v>0.37320650442517023</v>
      </c>
      <c r="E837" s="9">
        <f t="shared" ca="1" si="79"/>
        <v>2.3143203298859716E-2</v>
      </c>
      <c r="F837" s="9">
        <f t="shared" ca="1" si="80"/>
        <v>0.39634970772402994</v>
      </c>
      <c r="G837" s="13">
        <f ca="1">IF((Prices!C837-Prices!C836)*C837&gt;0,1,0)</f>
        <v>0</v>
      </c>
      <c r="H837" s="9">
        <f>ABS(Prices!C837-Prices!C836)/Prices!C836</f>
        <v>4.4749403341289061E-3</v>
      </c>
      <c r="I837" s="13"/>
      <c r="J837" s="1">
        <f t="shared" ca="1" si="81"/>
        <v>1.5614747549555857E-3</v>
      </c>
      <c r="K837" s="9"/>
      <c r="L837" s="9">
        <f ca="1">L836-O837*Prices!C837</f>
        <v>1.1929016726863377</v>
      </c>
      <c r="M837" s="1">
        <f t="shared" ca="1" si="82"/>
        <v>8.4251407327017927E-3</v>
      </c>
      <c r="N837" s="9">
        <f ca="1">IF(Prices!D836&gt;OFFSET(Prices!D836,-$N$3,0),1,IF(Prices!D836&lt;OFFSET(Prices!D836,-$N$3,0),-1,0))</f>
        <v>1</v>
      </c>
      <c r="O837" s="1">
        <f ca="1">IF(N837=1,O$3*L836/Prices!C836,O$3*M836*N837)</f>
        <v>1.3174101013664844E-3</v>
      </c>
      <c r="P837" s="14"/>
      <c r="Q837" s="9">
        <f ca="1">Q836-T837*Prices!C837</f>
        <v>1.2027237657751959</v>
      </c>
      <c r="R837" s="1">
        <f t="shared" ca="1" si="83"/>
        <v>8.3241562128807834E-3</v>
      </c>
      <c r="S837" s="9">
        <f ca="1">IF(Prices!C836&lt;OFFSET(Prices!C836,-S$3,0),1,IF(Prices!C836&gt;OFFSET(Prices!C836,-S$3,0),-1,0))</f>
        <v>1</v>
      </c>
      <c r="T837" s="1">
        <f ca="1">IF(S837=1,T$3*Q836/Prices!C836,T$3*R836*S837)</f>
        <v>2.4406465358910122E-4</v>
      </c>
    </row>
    <row r="838" spans="1:20" x14ac:dyDescent="0.2">
      <c r="A838" s="4">
        <v>34680</v>
      </c>
      <c r="B838" s="9">
        <f ca="1">Prices!C837*(1+J838/(50*(ABS(O838)+ABS(T838)+0.0001)))</f>
        <v>99.090556510106666</v>
      </c>
      <c r="C838" s="13">
        <f t="shared" ca="1" si="78"/>
        <v>-1</v>
      </c>
      <c r="D838" s="9">
        <f ca="1">D837+C838*(Prices!C838-Prices!C837)/Prices!C837</f>
        <v>0.37430529575470772</v>
      </c>
      <c r="E838" s="9">
        <f t="shared" ca="1" si="79"/>
        <v>2.204441196932222E-2</v>
      </c>
      <c r="F838" s="9">
        <f t="shared" ca="1" si="80"/>
        <v>0.39634970772402994</v>
      </c>
      <c r="G838" s="13">
        <f ca="1">IF((Prices!C838-Prices!C837)*C838&gt;0,1,0)</f>
        <v>1</v>
      </c>
      <c r="H838" s="9">
        <f>ABS(Prices!C838-Prices!C837)/Prices!C837</f>
        <v>1.098791329537503E-3</v>
      </c>
      <c r="I838" s="13"/>
      <c r="J838" s="1">
        <f t="shared" ca="1" si="81"/>
        <v>-6.0223362860427267E-4</v>
      </c>
      <c r="K838" s="9"/>
      <c r="L838" s="9">
        <f ca="1">L837-O838*Prices!C838</f>
        <v>1.2771530800133557</v>
      </c>
      <c r="M838" s="1">
        <f t="shared" ca="1" si="82"/>
        <v>7.5826266594316138E-3</v>
      </c>
      <c r="N838" s="9">
        <f ca="1">IF(Prices!D837&gt;OFFSET(Prices!D837,-$N$3,0),1,IF(Prices!D837&lt;OFFSET(Prices!D837,-$N$3,0),-1,0))</f>
        <v>-1</v>
      </c>
      <c r="O838" s="1">
        <f ca="1">IF(N838=1,O$3*L837/Prices!C837,O$3*M837*N838)</f>
        <v>-8.4251407327017936E-4</v>
      </c>
      <c r="P838" s="14"/>
      <c r="Q838" s="9">
        <f ca="1">Q837-T838*Prices!C838</f>
        <v>1.1786957213086053</v>
      </c>
      <c r="R838" s="1">
        <f t="shared" ca="1" si="83"/>
        <v>8.5644366575466906E-3</v>
      </c>
      <c r="S838" s="9">
        <f ca="1">IF(Prices!C837&lt;OFFSET(Prices!C837,-S$3,0),1,IF(Prices!C837&gt;OFFSET(Prices!C837,-S$3,0),-1,0))</f>
        <v>1</v>
      </c>
      <c r="T838" s="1">
        <f ca="1">IF(S838=1,T$3*Q837/Prices!C837,T$3*R837*S838)</f>
        <v>2.4028044466590671E-4</v>
      </c>
    </row>
    <row r="839" spans="1:20" x14ac:dyDescent="0.2">
      <c r="A839" s="4">
        <v>34681</v>
      </c>
      <c r="B839" s="9">
        <f ca="1">Prices!C838*(1+J839/(50*(ABS(O839)+ABS(T839)+0.0001)))</f>
        <v>101.87599915419649</v>
      </c>
      <c r="C839" s="13">
        <f t="shared" ca="1" si="78"/>
        <v>1</v>
      </c>
      <c r="D839" s="9">
        <f ca="1">D838+C839*(Prices!C839-Prices!C838)/Prices!C838</f>
        <v>0.37710529575470775</v>
      </c>
      <c r="E839" s="9">
        <f t="shared" ca="1" si="79"/>
        <v>1.9244411969322195E-2</v>
      </c>
      <c r="F839" s="9">
        <f t="shared" ca="1" si="80"/>
        <v>0.39634970772402994</v>
      </c>
      <c r="G839" s="13">
        <f ca="1">IF((Prices!C839-Prices!C838)*C839&gt;0,1,0)</f>
        <v>1</v>
      </c>
      <c r="H839" s="9">
        <f>ABS(Prices!C839-Prices!C838)/Prices!C838</f>
        <v>2.8000000000000112E-3</v>
      </c>
      <c r="I839" s="13"/>
      <c r="J839" s="1">
        <f t="shared" ca="1" si="81"/>
        <v>1.5128922242750769E-3</v>
      </c>
      <c r="K839" s="9"/>
      <c r="L839" s="9">
        <f ca="1">L838-O839*Prices!C839</f>
        <v>1.1490801691496164</v>
      </c>
      <c r="M839" s="1">
        <f t="shared" ca="1" si="82"/>
        <v>8.8597797394449687E-3</v>
      </c>
      <c r="N839" s="9">
        <f ca="1">IF(Prices!D838&gt;OFFSET(Prices!D838,-$N$3,0),1,IF(Prices!D838&lt;OFFSET(Prices!D838,-$N$3,0),-1,0))</f>
        <v>1</v>
      </c>
      <c r="O839" s="1">
        <f ca="1">IF(N839=1,O$3*L838/Prices!C838,O$3*M838*N839)</f>
        <v>1.2771530800133558E-3</v>
      </c>
      <c r="P839" s="14"/>
      <c r="Q839" s="9">
        <f ca="1">Q838-T839*Prices!C839</f>
        <v>1.1550557999220399</v>
      </c>
      <c r="R839" s="1">
        <f t="shared" ca="1" si="83"/>
        <v>8.8001758018084117E-3</v>
      </c>
      <c r="S839" s="9">
        <f ca="1">IF(Prices!C838&lt;OFFSET(Prices!C838,-S$3,0),1,IF(Prices!C838&gt;OFFSET(Prices!C838,-S$3,0),-1,0))</f>
        <v>1</v>
      </c>
      <c r="T839" s="1">
        <f ca="1">IF(S839=1,T$3*Q838/Prices!C838,T$3*R838*S839)</f>
        <v>2.3573914426172106E-4</v>
      </c>
    </row>
    <row r="840" spans="1:20" x14ac:dyDescent="0.2">
      <c r="A840" s="4">
        <v>34682</v>
      </c>
      <c r="B840" s="9">
        <f ca="1">Prices!C839*(1+J840/(50*(ABS(O840)+ABS(T840)+0.0001)))</f>
        <v>101.64802978620749</v>
      </c>
      <c r="C840" s="13">
        <f t="shared" ca="1" si="78"/>
        <v>1</v>
      </c>
      <c r="D840" s="9">
        <f ca="1">D839+C840*(Prices!C840-Prices!C839)/Prices!C839</f>
        <v>0.37730473731832959</v>
      </c>
      <c r="E840" s="9">
        <f t="shared" ca="1" si="79"/>
        <v>1.9044970405700357E-2</v>
      </c>
      <c r="F840" s="9">
        <f t="shared" ca="1" si="80"/>
        <v>0.39634970772402994</v>
      </c>
      <c r="G840" s="13">
        <f ca="1">IF((Prices!C840-Prices!C839)*C840&gt;0,1,0)</f>
        <v>1</v>
      </c>
      <c r="H840" s="9">
        <f>ABS(Prices!C840-Prices!C839)/Prices!C839</f>
        <v>1.994415636218191E-4</v>
      </c>
      <c r="I840" s="13"/>
      <c r="J840" s="1">
        <f t="shared" ca="1" si="81"/>
        <v>9.6986821227417928E-4</v>
      </c>
      <c r="K840" s="9"/>
      <c r="L840" s="9">
        <f ca="1">L839-O840*Prices!C840</f>
        <v>1.0341492348000885</v>
      </c>
      <c r="M840" s="1">
        <f t="shared" ca="1" si="82"/>
        <v>1.0005651467755316E-2</v>
      </c>
      <c r="N840" s="9">
        <f ca="1">IF(Prices!D839&gt;OFFSET(Prices!D839,-$N$3,0),1,IF(Prices!D839&lt;OFFSET(Prices!D839,-$N$3,0),-1,0))</f>
        <v>1</v>
      </c>
      <c r="O840" s="1">
        <f ca="1">IF(N840=1,O$3*L839/Prices!C839,O$3*M839*N840)</f>
        <v>1.1458717283103475E-3</v>
      </c>
      <c r="P840" s="14"/>
      <c r="Q840" s="9">
        <f ca="1">Q839-T840*Prices!C840</f>
        <v>1.1727089525804675</v>
      </c>
      <c r="R840" s="1">
        <f t="shared" ca="1" si="83"/>
        <v>8.6241722857722438E-3</v>
      </c>
      <c r="S840" s="9">
        <f ca="1">IF(Prices!C839&lt;OFFSET(Prices!C839,-S$3,0),1,IF(Prices!C839&gt;OFFSET(Prices!C839,-S$3,0),-1,0))</f>
        <v>-1</v>
      </c>
      <c r="T840" s="1">
        <f ca="1">IF(S840=1,T$3*Q839/Prices!C839,T$3*R839*S840)</f>
        <v>-1.7600351603616824E-4</v>
      </c>
    </row>
    <row r="841" spans="1:20" x14ac:dyDescent="0.2">
      <c r="A841" s="4">
        <v>34683</v>
      </c>
      <c r="B841" s="9">
        <f ca="1">Prices!C840*(1+J841/(50*(ABS(O841)+ABS(T841)+0.0001)))</f>
        <v>99.147389193417823</v>
      </c>
      <c r="C841" s="13">
        <f t="shared" ca="1" si="78"/>
        <v>-1</v>
      </c>
      <c r="D841" s="9">
        <f ca="1">D840+C841*(Prices!C841-Prices!C840)/Prices!C840</f>
        <v>0.37720503642102143</v>
      </c>
      <c r="E841" s="9">
        <f t="shared" ca="1" si="79"/>
        <v>1.9144671303008509E-2</v>
      </c>
      <c r="F841" s="9">
        <f t="shared" ca="1" si="80"/>
        <v>0.39634970772402994</v>
      </c>
      <c r="G841" s="13">
        <f ca="1">IF((Prices!C841-Prices!C840)*C841&gt;0,1,0)</f>
        <v>0</v>
      </c>
      <c r="H841" s="9">
        <f>ABS(Prices!C841-Prices!C840)/Prices!C840</f>
        <v>9.9700897308126779E-5</v>
      </c>
      <c r="I841" s="13"/>
      <c r="J841" s="1">
        <f t="shared" ca="1" si="81"/>
        <v>-7.6672487706855915E-4</v>
      </c>
      <c r="K841" s="9"/>
      <c r="L841" s="9">
        <f ca="1">L840-O841*Prices!C841</f>
        <v>1.134515924673142</v>
      </c>
      <c r="M841" s="1">
        <f t="shared" ca="1" si="82"/>
        <v>9.0050863209797851E-3</v>
      </c>
      <c r="N841" s="9">
        <f ca="1">IF(Prices!D840&gt;OFFSET(Prices!D840,-$N$3,0),1,IF(Prices!D840&lt;OFFSET(Prices!D840,-$N$3,0),-1,0))</f>
        <v>-1</v>
      </c>
      <c r="O841" s="1">
        <f ca="1">IF(N841=1,O$3*L840/Prices!C840,O$3*M840*N841)</f>
        <v>-1.0005651467755318E-3</v>
      </c>
      <c r="P841" s="14"/>
      <c r="Q841" s="9">
        <f ca="1">Q840-T841*Prices!C841</f>
        <v>1.149252435126161</v>
      </c>
      <c r="R841" s="1">
        <f t="shared" ca="1" si="83"/>
        <v>8.8580125554792166E-3</v>
      </c>
      <c r="S841" s="9">
        <f ca="1">IF(Prices!C840&lt;OFFSET(Prices!C840,-S$3,0),1,IF(Prices!C840&gt;OFFSET(Prices!C840,-S$3,0),-1,0))</f>
        <v>1</v>
      </c>
      <c r="T841" s="1">
        <f ca="1">IF(S841=1,T$3*Q840/Prices!C840,T$3*R840*S841)</f>
        <v>2.338402697069726E-4</v>
      </c>
    </row>
    <row r="842" spans="1:20" x14ac:dyDescent="0.2">
      <c r="A842" s="4">
        <v>34684</v>
      </c>
      <c r="B842" s="9">
        <f ca="1">Prices!C841*(1+J842/(50*(ABS(O842)+ABS(T842)+0.0001)))</f>
        <v>98.474153486332753</v>
      </c>
      <c r="C842" s="13">
        <f t="shared" ca="1" si="78"/>
        <v>-1</v>
      </c>
      <c r="D842" s="9">
        <f ca="1">D841+C842*(Prices!C842-Prices!C841)/Prices!C841</f>
        <v>0.37780318216920211</v>
      </c>
      <c r="E842" s="9">
        <f t="shared" ca="1" si="79"/>
        <v>1.8546525554827831E-2</v>
      </c>
      <c r="F842" s="9">
        <f t="shared" ca="1" si="80"/>
        <v>0.39634970772402994</v>
      </c>
      <c r="G842" s="13">
        <f ca="1">IF((Prices!C842-Prices!C841)*C842&gt;0,1,0)</f>
        <v>1</v>
      </c>
      <c r="H842" s="9">
        <f>ABS(Prices!C842-Prices!C841)/Prices!C841</f>
        <v>5.9814574818066262E-4</v>
      </c>
      <c r="I842" s="13"/>
      <c r="J842" s="1">
        <f t="shared" ca="1" si="81"/>
        <v>-1.0776688832075628E-3</v>
      </c>
      <c r="K842" s="9"/>
      <c r="L842" s="9">
        <f ca="1">L841-O842*Prices!C842</f>
        <v>1.2247919150409643</v>
      </c>
      <c r="M842" s="1">
        <f t="shared" ca="1" si="82"/>
        <v>8.1045776888818075E-3</v>
      </c>
      <c r="N842" s="9">
        <f ca="1">IF(Prices!D841&gt;OFFSET(Prices!D841,-$N$3,0),1,IF(Prices!D841&lt;OFFSET(Prices!D841,-$N$3,0),-1,0))</f>
        <v>-1</v>
      </c>
      <c r="O842" s="1">
        <f ca="1">IF(N842=1,O$3*L841/Prices!C841,O$3*M841*N842)</f>
        <v>-9.0050863209797851E-4</v>
      </c>
      <c r="P842" s="14"/>
      <c r="Q842" s="9">
        <f ca="1">Q841-T842*Prices!C842</f>
        <v>1.1670127502998968</v>
      </c>
      <c r="R842" s="1">
        <f t="shared" ca="1" si="83"/>
        <v>8.680852304369633E-3</v>
      </c>
      <c r="S842" s="9">
        <f ca="1">IF(Prices!C841&lt;OFFSET(Prices!C841,-S$3,0),1,IF(Prices!C841&gt;OFFSET(Prices!C841,-S$3,0),-1,0))</f>
        <v>-1</v>
      </c>
      <c r="T842" s="1">
        <f ca="1">IF(S842=1,T$3*Q841/Prices!C841,T$3*R841*S842)</f>
        <v>-1.7716025110958434E-4</v>
      </c>
    </row>
    <row r="843" spans="1:20" x14ac:dyDescent="0.2">
      <c r="A843" s="4">
        <v>34687</v>
      </c>
      <c r="B843" s="9">
        <f ca="1">Prices!C842*(1+J843/(50*(ABS(O843)+ABS(T843)+0.0001)))</f>
        <v>101.65533999661622</v>
      </c>
      <c r="C843" s="13">
        <f t="shared" ca="1" si="78"/>
        <v>1</v>
      </c>
      <c r="D843" s="9">
        <f ca="1">D842+C843*(Prices!C843-Prices!C842)/Prices!C842</f>
        <v>0.3766061746879053</v>
      </c>
      <c r="E843" s="9">
        <f t="shared" ca="1" si="79"/>
        <v>1.9743533036124639E-2</v>
      </c>
      <c r="F843" s="9">
        <f t="shared" ca="1" si="80"/>
        <v>0.39634970772402994</v>
      </c>
      <c r="G843" s="13">
        <f ca="1">IF((Prices!C843-Prices!C842)*C843&gt;0,1,0)</f>
        <v>0</v>
      </c>
      <c r="H843" s="9">
        <f>ABS(Prices!C843-Prices!C842)/Prices!C842</f>
        <v>1.1970074812968036E-3</v>
      </c>
      <c r="I843" s="13"/>
      <c r="J843" s="1">
        <f t="shared" ca="1" si="81"/>
        <v>1.0481205250257887E-3</v>
      </c>
      <c r="K843" s="9"/>
      <c r="L843" s="9">
        <f ca="1">L842-O843*Prices!C843</f>
        <v>1.1024593320454015</v>
      </c>
      <c r="M843" s="1">
        <f t="shared" ca="1" si="82"/>
        <v>9.326315259994989E-3</v>
      </c>
      <c r="N843" s="9">
        <f ca="1">IF(Prices!D842&gt;OFFSET(Prices!D842,-$N$3,0),1,IF(Prices!D842&lt;OFFSET(Prices!D842,-$N$3,0),-1,0))</f>
        <v>1</v>
      </c>
      <c r="O843" s="1">
        <f ca="1">IF(N843=1,O$3*L842/Prices!C842,O$3*M842*N843)</f>
        <v>1.2217375711131814E-3</v>
      </c>
      <c r="P843" s="14"/>
      <c r="Q843" s="9">
        <f ca="1">Q842-T843*Prices!C843</f>
        <v>1.1843970251246274</v>
      </c>
      <c r="R843" s="1">
        <f t="shared" ca="1" si="83"/>
        <v>8.5072352582822395E-3</v>
      </c>
      <c r="S843" s="9">
        <f ca="1">IF(Prices!C842&lt;OFFSET(Prices!C842,-S$3,0),1,IF(Prices!C842&gt;OFFSET(Prices!C842,-S$3,0),-1,0))</f>
        <v>-1</v>
      </c>
      <c r="T843" s="1">
        <f ca="1">IF(S843=1,T$3*Q842/Prices!C842,T$3*R842*S843)</f>
        <v>-1.7361704608739265E-4</v>
      </c>
    </row>
    <row r="844" spans="1:20" x14ac:dyDescent="0.2">
      <c r="A844" s="4">
        <v>34688</v>
      </c>
      <c r="B844" s="9">
        <f ca="1">Prices!C843*(1+J844/(50*(ABS(O844)+ABS(T844)+0.0001)))</f>
        <v>101.99329837236751</v>
      </c>
      <c r="C844" s="13">
        <f t="shared" ca="1" si="78"/>
        <v>1</v>
      </c>
      <c r="D844" s="9">
        <f ca="1">D843+C844*(Prices!C844-Prices!C843)/Prices!C843</f>
        <v>0.37760487637571122</v>
      </c>
      <c r="E844" s="9">
        <f t="shared" ca="1" si="79"/>
        <v>1.8744831348318725E-2</v>
      </c>
      <c r="F844" s="9">
        <f t="shared" ca="1" si="80"/>
        <v>0.39634970772402994</v>
      </c>
      <c r="G844" s="13">
        <f ca="1">IF((Prices!C844-Prices!C843)*C844&gt;0,1,0)</f>
        <v>1</v>
      </c>
      <c r="H844" s="9">
        <f>ABS(Prices!C844-Prices!C843)/Prices!C843</f>
        <v>9.987016878059377E-4</v>
      </c>
      <c r="I844" s="13"/>
      <c r="J844" s="1">
        <f t="shared" ca="1" si="81"/>
        <v>1.3375998572558944E-3</v>
      </c>
      <c r="K844" s="9"/>
      <c r="L844" s="9">
        <f ca="1">L843-O844*Prices!C844</f>
        <v>0.99210329604129621</v>
      </c>
      <c r="M844" s="1">
        <f t="shared" ca="1" si="82"/>
        <v>1.0427343255646045E-2</v>
      </c>
      <c r="N844" s="9">
        <f ca="1">IF(Prices!D843&gt;OFFSET(Prices!D843,-$N$3,0),1,IF(Prices!D843&lt;OFFSET(Prices!D843,-$N$3,0),-1,0))</f>
        <v>1</v>
      </c>
      <c r="O844" s="1">
        <f ca="1">IF(N844=1,O$3*L843/Prices!C843,O$3*M843*N844)</f>
        <v>1.1010279956510552E-3</v>
      </c>
      <c r="P844" s="14"/>
      <c r="Q844" s="9">
        <f ca="1">Q843-T844*Prices!C844</f>
        <v>1.1606854274359744</v>
      </c>
      <c r="R844" s="1">
        <f t="shared" ca="1" si="83"/>
        <v>8.7438071198870787E-3</v>
      </c>
      <c r="S844" s="9">
        <f ca="1">IF(Prices!C843&lt;OFFSET(Prices!C843,-S$3,0),1,IF(Prices!C843&gt;OFFSET(Prices!C843,-S$3,0),-1,0))</f>
        <v>1</v>
      </c>
      <c r="T844" s="1">
        <f ca="1">IF(S844=1,T$3*Q843/Prices!C843,T$3*R843*S844)</f>
        <v>2.3657186160483921E-4</v>
      </c>
    </row>
    <row r="845" spans="1:20" x14ac:dyDescent="0.2">
      <c r="A845" s="4">
        <v>34689</v>
      </c>
      <c r="B845" s="9">
        <f ca="1">Prices!C844*(1+J845/(50*(ABS(O845)+ABS(T845)+0.0001)))</f>
        <v>101.63008449057317</v>
      </c>
      <c r="C845" s="13">
        <f t="shared" ca="1" si="78"/>
        <v>1</v>
      </c>
      <c r="D845" s="9">
        <f ca="1">D844+C845*(Prices!C845-Prices!C844)/Prices!C844</f>
        <v>0.38139615643158264</v>
      </c>
      <c r="E845" s="9">
        <f t="shared" ca="1" si="79"/>
        <v>1.4953551292447298E-2</v>
      </c>
      <c r="F845" s="9">
        <f t="shared" ca="1" si="80"/>
        <v>0.39634970772402994</v>
      </c>
      <c r="G845" s="13">
        <f ca="1">IF((Prices!C845-Prices!C844)*C845&gt;0,1,0)</f>
        <v>1</v>
      </c>
      <c r="H845" s="9">
        <f>ABS(Prices!C845-Prices!C844)/Prices!C844</f>
        <v>3.79128005587145E-3</v>
      </c>
      <c r="I845" s="13"/>
      <c r="J845" s="1">
        <f t="shared" ca="1" si="81"/>
        <v>2.3160439537782586E-4</v>
      </c>
      <c r="K845" s="9"/>
      <c r="L845" s="9">
        <f ca="1">L844-O845*Prices!C845</f>
        <v>0.99210329604129621</v>
      </c>
      <c r="M845" s="1">
        <f t="shared" ca="1" si="82"/>
        <v>1.0427343255646045E-2</v>
      </c>
      <c r="N845" s="9">
        <f ca="1">IF(Prices!D844&gt;OFFSET(Prices!D844,-$N$3,0),1,IF(Prices!D844&lt;OFFSET(Prices!D844,-$N$3,0),-1,0))</f>
        <v>0</v>
      </c>
      <c r="O845" s="1">
        <f ca="1">IF(N845=1,O$3*L844/Prices!C844,O$3*M844*N845)</f>
        <v>0</v>
      </c>
      <c r="P845" s="14"/>
      <c r="Q845" s="9">
        <f ca="1">Q844-T845*Prices!C845</f>
        <v>1.1373837092170114</v>
      </c>
      <c r="R845" s="1">
        <f t="shared" ca="1" si="83"/>
        <v>8.9754115152649045E-3</v>
      </c>
      <c r="S845" s="9">
        <f ca="1">IF(Prices!C844&lt;OFFSET(Prices!C844,-S$3,0),1,IF(Prices!C844&gt;OFFSET(Prices!C844,-S$3,0),-1,0))</f>
        <v>1</v>
      </c>
      <c r="T845" s="1">
        <f ca="1">IF(S845=1,T$3*Q844/Prices!C844,T$3*R844*S845)</f>
        <v>2.3160439537782586E-4</v>
      </c>
    </row>
    <row r="846" spans="1:20" x14ac:dyDescent="0.2">
      <c r="A846" s="4">
        <v>34690</v>
      </c>
      <c r="B846" s="9">
        <f ca="1">Prices!C845*(1+J846/(50*(ABS(O846)+ABS(T846)+0.0001)))</f>
        <v>98.749980852980954</v>
      </c>
      <c r="C846" s="13">
        <f t="shared" ca="1" si="78"/>
        <v>-1</v>
      </c>
      <c r="D846" s="9">
        <f ca="1">D845+C846*(Prices!C846-Prices!C845)/Prices!C845</f>
        <v>0.38596826655980043</v>
      </c>
      <c r="E846" s="9">
        <f t="shared" ca="1" si="79"/>
        <v>1.038144116422951E-2</v>
      </c>
      <c r="F846" s="9">
        <f t="shared" ca="1" si="80"/>
        <v>0.39634970772402994</v>
      </c>
      <c r="G846" s="13">
        <f ca="1">IF((Prices!C846-Prices!C845)*C846&gt;0,1,0)</f>
        <v>1</v>
      </c>
      <c r="H846" s="9">
        <f>ABS(Prices!C846-Prices!C845)/Prices!C845</f>
        <v>4.5721101282178087E-3</v>
      </c>
      <c r="I846" s="13"/>
      <c r="J846" s="1">
        <f t="shared" ca="1" si="81"/>
        <v>-1.2222425558699027E-3</v>
      </c>
      <c r="K846" s="9"/>
      <c r="L846" s="9">
        <f ca="1">L845-O846*Prices!C846</f>
        <v>1.0965331387465913</v>
      </c>
      <c r="M846" s="1">
        <f t="shared" ca="1" si="82"/>
        <v>9.3846089300814398E-3</v>
      </c>
      <c r="N846" s="9">
        <f ca="1">IF(Prices!D845&gt;OFFSET(Prices!D845,-$N$3,0),1,IF(Prices!D845&lt;OFFSET(Prices!D845,-$N$3,0),-1,0))</f>
        <v>-1</v>
      </c>
      <c r="O846" s="1">
        <f ca="1">IF(N846=1,O$3*L845/Prices!C845,O$3*M845*N846)</f>
        <v>-1.0427343255646046E-3</v>
      </c>
      <c r="P846" s="14"/>
      <c r="Q846" s="9">
        <f ca="1">Q845-T846*Prices!C846</f>
        <v>1.155361458482087</v>
      </c>
      <c r="R846" s="1">
        <f t="shared" ca="1" si="83"/>
        <v>8.795903284959607E-3</v>
      </c>
      <c r="S846" s="9">
        <f ca="1">IF(Prices!C845&lt;OFFSET(Prices!C845,-S$3,0),1,IF(Prices!C845&gt;OFFSET(Prices!C845,-S$3,0),-1,0))</f>
        <v>-1</v>
      </c>
      <c r="T846" s="1">
        <f ca="1">IF(S846=1,T$3*Q845/Prices!C845,T$3*R845*S846)</f>
        <v>-1.795082303052981E-4</v>
      </c>
    </row>
    <row r="847" spans="1:20" x14ac:dyDescent="0.2">
      <c r="A847" s="4">
        <v>34691</v>
      </c>
      <c r="B847" s="9">
        <f ca="1">Prices!C846*(1+J847/(50*(ABS(O847)+ABS(T847)+0.0001)))</f>
        <v>102.01249943125922</v>
      </c>
      <c r="C847" s="13">
        <f t="shared" ca="1" si="78"/>
        <v>1</v>
      </c>
      <c r="D847" s="9">
        <f ca="1">D846+C847*(Prices!C847-Prices!C846)/Prices!C846</f>
        <v>0.38566871588581142</v>
      </c>
      <c r="E847" s="9">
        <f t="shared" ca="1" si="79"/>
        <v>1.0680991838218523E-2</v>
      </c>
      <c r="F847" s="9">
        <f t="shared" ca="1" si="80"/>
        <v>0.39634970772402994</v>
      </c>
      <c r="G847" s="13">
        <f ca="1">IF((Prices!C847-Prices!C846)*C847&gt;0,1,0)</f>
        <v>0</v>
      </c>
      <c r="H847" s="9">
        <f>ABS(Prices!C847-Prices!C846)/Prices!C846</f>
        <v>2.9955067398902783E-4</v>
      </c>
      <c r="I847" s="13"/>
      <c r="J847" s="1">
        <f t="shared" ca="1" si="81"/>
        <v>1.3256170049356052E-3</v>
      </c>
      <c r="K847" s="9"/>
      <c r="L847" s="9">
        <f ca="1">L846-O847*Prices!C847</f>
        <v>0.98691267159600848</v>
      </c>
      <c r="M847" s="1">
        <f t="shared" ca="1" si="82"/>
        <v>1.0479499732624216E-2</v>
      </c>
      <c r="N847" s="9">
        <f ca="1">IF(Prices!D846&gt;OFFSET(Prices!D846,-$N$3,0),1,IF(Prices!D846&lt;OFFSET(Prices!D846,-$N$3,0),-1,0))</f>
        <v>1</v>
      </c>
      <c r="O847" s="1">
        <f ca="1">IF(N847=1,O$3*L846/Prices!C846,O$3*M846*N847)</f>
        <v>1.0948908025427771E-3</v>
      </c>
      <c r="P847" s="14"/>
      <c r="Q847" s="9">
        <f ca="1">Q846-T847*Prices!C847</f>
        <v>1.132261151098517</v>
      </c>
      <c r="R847" s="1">
        <f t="shared" ca="1" si="83"/>
        <v>9.0266294873524357E-3</v>
      </c>
      <c r="S847" s="9">
        <f ca="1">IF(Prices!C846&lt;OFFSET(Prices!C846,-S$3,0),1,IF(Prices!C846&gt;OFFSET(Prices!C846,-S$3,0),-1,0))</f>
        <v>1</v>
      </c>
      <c r="T847" s="1">
        <f ca="1">IF(S847=1,T$3*Q846/Prices!C846,T$3*R846*S847)</f>
        <v>2.3072620239282816E-4</v>
      </c>
    </row>
    <row r="848" spans="1:20" x14ac:dyDescent="0.2">
      <c r="A848" s="4">
        <v>34694</v>
      </c>
      <c r="B848" s="9">
        <f ca="1">Prices!C847*(1+J848/(50*(ABS(O848)+ABS(T848)+0.0001)))</f>
        <v>101.96976764943177</v>
      </c>
      <c r="C848" s="13">
        <f t="shared" ca="1" si="78"/>
        <v>1</v>
      </c>
      <c r="D848" s="9">
        <f ca="1">D847+C848*(Prices!C848-Prices!C847)/Prices!C847</f>
        <v>0.38756643861853213</v>
      </c>
      <c r="E848" s="9">
        <f t="shared" ca="1" si="79"/>
        <v>8.7832691054978151E-3</v>
      </c>
      <c r="F848" s="9">
        <f t="shared" ca="1" si="80"/>
        <v>0.39634970772402994</v>
      </c>
      <c r="G848" s="13">
        <f ca="1">IF((Prices!C848-Prices!C847)*C848&gt;0,1,0)</f>
        <v>1</v>
      </c>
      <c r="H848" s="9">
        <f>ABS(Prices!C848-Prices!C847)/Prices!C847</f>
        <v>1.8977227327207124E-3</v>
      </c>
      <c r="I848" s="13"/>
      <c r="J848" s="1">
        <f t="shared" ca="1" si="81"/>
        <v>1.2119106090848102E-3</v>
      </c>
      <c r="K848" s="9"/>
      <c r="L848" s="9">
        <f ca="1">L847-O848*Prices!C848</f>
        <v>0.88803411577519786</v>
      </c>
      <c r="M848" s="1">
        <f t="shared" ca="1" si="82"/>
        <v>1.1465229528465216E-2</v>
      </c>
      <c r="N848" s="9">
        <f ca="1">IF(Prices!D847&gt;OFFSET(Prices!D847,-$N$3,0),1,IF(Prices!D847&lt;OFFSET(Prices!D847,-$N$3,0),-1,0))</f>
        <v>1</v>
      </c>
      <c r="O848" s="1">
        <f ca="1">IF(N848=1,O$3*L847/Prices!C847,O$3*M847*N848)</f>
        <v>9.857297958409993E-4</v>
      </c>
      <c r="P848" s="14"/>
      <c r="Q848" s="9">
        <f ca="1">Q847-T848*Prices!C848</f>
        <v>1.1095729537220302</v>
      </c>
      <c r="R848" s="1">
        <f t="shared" ca="1" si="83"/>
        <v>9.252810300596246E-3</v>
      </c>
      <c r="S848" s="9">
        <f ca="1">IF(Prices!C847&lt;OFFSET(Prices!C847,-S$3,0),1,IF(Prices!C847&gt;OFFSET(Prices!C847,-S$3,0),-1,0))</f>
        <v>1</v>
      </c>
      <c r="T848" s="1">
        <f ca="1">IF(S848=1,T$3*Q847/Prices!C847,T$3*R847*S848)</f>
        <v>2.2618081324381084E-4</v>
      </c>
    </row>
    <row r="849" spans="1:20" x14ac:dyDescent="0.2">
      <c r="A849" s="4">
        <v>34695</v>
      </c>
      <c r="B849" s="9">
        <f ca="1">Prices!C848*(1+J849/(50*(ABS(O849)+ABS(T849)+0.0001)))</f>
        <v>99.007591027063654</v>
      </c>
      <c r="C849" s="13">
        <f t="shared" ca="1" si="78"/>
        <v>-1</v>
      </c>
      <c r="D849" s="9">
        <f ca="1">D848+C849*(Prices!C849-Prices!C848)/Prices!C848</f>
        <v>0.38686860191232147</v>
      </c>
      <c r="E849" s="9">
        <f t="shared" ca="1" si="79"/>
        <v>9.4811058117084679E-3</v>
      </c>
      <c r="F849" s="9">
        <f t="shared" ca="1" si="80"/>
        <v>0.39634970772402994</v>
      </c>
      <c r="G849" s="13">
        <f ca="1">IF((Prices!C849-Prices!C848)*C849&gt;0,1,0)</f>
        <v>0</v>
      </c>
      <c r="H849" s="9">
        <f>ABS(Prices!C849-Prices!C848)/Prices!C848</f>
        <v>6.9783670621067866E-4</v>
      </c>
      <c r="I849" s="13"/>
      <c r="J849" s="1">
        <f t="shared" ca="1" si="81"/>
        <v>-1.8505620601192492E-4</v>
      </c>
      <c r="K849" s="9"/>
      <c r="L849" s="9">
        <f ca="1">L848-O849*Prices!C849</f>
        <v>0.88803411577519786</v>
      </c>
      <c r="M849" s="1">
        <f t="shared" ca="1" si="82"/>
        <v>1.1465229528465216E-2</v>
      </c>
      <c r="N849" s="9">
        <f ca="1">IF(Prices!D848&gt;OFFSET(Prices!D848,-$N$3,0),1,IF(Prices!D848&lt;OFFSET(Prices!D848,-$N$3,0),-1,0))</f>
        <v>0</v>
      </c>
      <c r="O849" s="1">
        <f ca="1">IF(N849=1,O$3*L848/Prices!C848,O$3*M848*N849)</f>
        <v>0</v>
      </c>
      <c r="P849" s="14"/>
      <c r="Q849" s="9">
        <f ca="1">Q848-T849*Prices!C849</f>
        <v>1.1281488956815073</v>
      </c>
      <c r="R849" s="1">
        <f t="shared" ca="1" si="83"/>
        <v>9.0677540945843203E-3</v>
      </c>
      <c r="S849" s="9">
        <f ca="1">IF(Prices!C848&lt;OFFSET(Prices!C848,-S$3,0),1,IF(Prices!C848&gt;OFFSET(Prices!C848,-S$3,0),-1,0))</f>
        <v>-1</v>
      </c>
      <c r="T849" s="1">
        <f ca="1">IF(S849=1,T$3*Q848/Prices!C848,T$3*R848*S849)</f>
        <v>-1.8505620601192492E-4</v>
      </c>
    </row>
    <row r="850" spans="1:20" x14ac:dyDescent="0.2">
      <c r="A850" s="4">
        <v>34696</v>
      </c>
      <c r="B850" s="9">
        <f ca="1">Prices!C849*(1+J850/(50*(ABS(O850)+ABS(T850)+0.0001)))</f>
        <v>99.122267585075178</v>
      </c>
      <c r="C850" s="13">
        <f t="shared" ref="C850:C913" ca="1" si="84">IF(J850&gt;0,1,IF(J850&lt;0,-1,0))</f>
        <v>-1</v>
      </c>
      <c r="D850" s="9">
        <f ca="1">D849+C850*(Prices!C850-Prices!C849)/Prices!C849</f>
        <v>0.3976277172739473</v>
      </c>
      <c r="E850" s="9">
        <f t="shared" ref="E850:E913" ca="1" si="85">F850-D850</f>
        <v>0</v>
      </c>
      <c r="F850" s="9">
        <f t="shared" ref="F850:F913" ca="1" si="86">MAX(F849,D850)</f>
        <v>0.3976277172739473</v>
      </c>
      <c r="G850" s="13">
        <f ca="1">IF((Prices!C850-Prices!C849)*C850&gt;0,1,0)</f>
        <v>1</v>
      </c>
      <c r="H850" s="9">
        <f>ABS(Prices!C850-Prices!C849)/Prices!C849</f>
        <v>1.0759115361625805E-2</v>
      </c>
      <c r="I850" s="13"/>
      <c r="J850" s="1">
        <f t="shared" ref="J850:J913" ca="1" si="87">O850+T850</f>
        <v>-9.2174732111081578E-4</v>
      </c>
      <c r="K850" s="9"/>
      <c r="L850" s="9">
        <f ca="1">L849-O850*Prices!C850</f>
        <v>1.0018838449928575</v>
      </c>
      <c r="M850" s="1">
        <f t="shared" ref="M850:M913" ca="1" si="88">M849+O850</f>
        <v>1.0318706575618695E-2</v>
      </c>
      <c r="N850" s="9">
        <f ca="1">IF(Prices!D849&gt;OFFSET(Prices!D849,-$N$3,0),1,IF(Prices!D849&lt;OFFSET(Prices!D849,-$N$3,0),-1,0))</f>
        <v>-1</v>
      </c>
      <c r="O850" s="1">
        <f ca="1">IF(N850=1,O$3*L849/Prices!C849,O$3*M849*N850)</f>
        <v>-1.1465229528465216E-3</v>
      </c>
      <c r="P850" s="14"/>
      <c r="Q850" s="9">
        <f ca="1">Q849-T850*Prices!C850</f>
        <v>1.1058286754501518</v>
      </c>
      <c r="R850" s="1">
        <f t="shared" ref="R850:R913" ca="1" si="89">R849+T850</f>
        <v>9.2925297263200257E-3</v>
      </c>
      <c r="S850" s="9">
        <f ca="1">IF(Prices!C849&lt;OFFSET(Prices!C849,-S$3,0),1,IF(Prices!C849&gt;OFFSET(Prices!C849,-S$3,0),-1,0))</f>
        <v>1</v>
      </c>
      <c r="T850" s="1">
        <f ca="1">IF(S850=1,T$3*Q849/Prices!C849,T$3*R849*S850)</f>
        <v>2.2477563173570582E-4</v>
      </c>
    </row>
    <row r="851" spans="1:20" x14ac:dyDescent="0.2">
      <c r="A851" s="4">
        <v>34697</v>
      </c>
      <c r="B851" s="9">
        <f ca="1">Prices!C850*(1+J851/(50*(ABS(O851)+ABS(T851)+0.0001)))</f>
        <v>98.113694792503978</v>
      </c>
      <c r="C851" s="13">
        <f t="shared" ca="1" si="84"/>
        <v>-1</v>
      </c>
      <c r="D851" s="9">
        <f ca="1">D850+C851*(Prices!C851-Prices!C850)/Prices!C850</f>
        <v>0.39430445443406814</v>
      </c>
      <c r="E851" s="9">
        <f t="shared" ca="1" si="85"/>
        <v>3.3232628398791597E-3</v>
      </c>
      <c r="F851" s="9">
        <f t="shared" ca="1" si="86"/>
        <v>0.3976277172739473</v>
      </c>
      <c r="G851" s="13">
        <f ca="1">IF((Prices!C851-Prices!C850)*C851&gt;0,1,0)</f>
        <v>0</v>
      </c>
      <c r="H851" s="9">
        <f>ABS(Prices!C851-Prices!C850)/Prices!C850</f>
        <v>3.3232628398791372E-3</v>
      </c>
      <c r="I851" s="13"/>
      <c r="J851" s="1">
        <f t="shared" ca="1" si="87"/>
        <v>-8.0914584881058014E-4</v>
      </c>
      <c r="K851" s="9"/>
      <c r="L851" s="9">
        <f ca="1">L850-O851*Prices!C851</f>
        <v>1.1046891186057466</v>
      </c>
      <c r="M851" s="1">
        <f t="shared" ca="1" si="88"/>
        <v>9.2868359180568252E-3</v>
      </c>
      <c r="N851" s="9">
        <f ca="1">IF(Prices!D850&gt;OFFSET(Prices!D850,-$N$3,0),1,IF(Prices!D850&lt;OFFSET(Prices!D850,-$N$3,0),-1,0))</f>
        <v>-1</v>
      </c>
      <c r="O851" s="1">
        <f ca="1">IF(N851=1,O$3*L850/Prices!C850,O$3*M850*N851)</f>
        <v>-1.0318706575618696E-3</v>
      </c>
      <c r="P851" s="14"/>
      <c r="Q851" s="9">
        <f ca="1">Q850-T851*Prices!C851</f>
        <v>1.0836386027542608</v>
      </c>
      <c r="R851" s="1">
        <f t="shared" ca="1" si="89"/>
        <v>9.5152545350713144E-3</v>
      </c>
      <c r="S851" s="9">
        <f ca="1">IF(Prices!C850&lt;OFFSET(Prices!C850,-S$3,0),1,IF(Prices!C850&gt;OFFSET(Prices!C850,-S$3,0),-1,0))</f>
        <v>1</v>
      </c>
      <c r="T851" s="1">
        <f ca="1">IF(S851=1,T$3*Q850/Prices!C850,T$3*R850*S851)</f>
        <v>2.2272480875128943E-4</v>
      </c>
    </row>
    <row r="852" spans="1:20" x14ac:dyDescent="0.2">
      <c r="A852" s="4">
        <v>34698</v>
      </c>
      <c r="B852" s="9">
        <f ca="1">Prices!C851*(1+J852/(50*(ABS(O852)+ABS(T852)+0.0001)))</f>
        <v>101.48289824455482</v>
      </c>
      <c r="C852" s="13">
        <f t="shared" ca="1" si="84"/>
        <v>1</v>
      </c>
      <c r="D852" s="9">
        <f ca="1">D851+C852*(Prices!C852-Prices!C851)/Prices!C851</f>
        <v>0.39380259756364761</v>
      </c>
      <c r="E852" s="9">
        <f t="shared" ca="1" si="85"/>
        <v>3.8251197102996959E-3</v>
      </c>
      <c r="F852" s="9">
        <f t="shared" ca="1" si="86"/>
        <v>0.3976277172739473</v>
      </c>
      <c r="G852" s="13">
        <f ca="1">IF((Prices!C852-Prices!C851)*C852&gt;0,1,0)</f>
        <v>0</v>
      </c>
      <c r="H852" s="9">
        <f>ABS(Prices!C852-Prices!C851)/Prices!C851</f>
        <v>5.0185687042052761E-4</v>
      </c>
      <c r="I852" s="13"/>
      <c r="J852" s="1">
        <f t="shared" ca="1" si="87"/>
        <v>1.326324238840308E-3</v>
      </c>
      <c r="K852" s="9"/>
      <c r="L852" s="9">
        <f ca="1">L851-O852*Prices!C852</f>
        <v>0.99427564632755705</v>
      </c>
      <c r="M852" s="1">
        <f t="shared" ca="1" si="88"/>
        <v>1.0395627565759071E-2</v>
      </c>
      <c r="N852" s="9">
        <f ca="1">IF(Prices!D851&gt;OFFSET(Prices!D851,-$N$3,0),1,IF(Prices!D851&lt;OFFSET(Prices!D851,-$N$3,0),-1,0))</f>
        <v>1</v>
      </c>
      <c r="O852" s="1">
        <f ca="1">IF(N852=1,O$3*L851/Prices!C851,O$3*M851*N852)</f>
        <v>1.1087916477022449E-3</v>
      </c>
      <c r="P852" s="14"/>
      <c r="Q852" s="9">
        <f ca="1">Q851-T852*Prices!C852</f>
        <v>1.0619767073287325</v>
      </c>
      <c r="R852" s="1">
        <f t="shared" ca="1" si="89"/>
        <v>9.7327871262093777E-3</v>
      </c>
      <c r="S852" s="9">
        <f ca="1">IF(Prices!C851&lt;OFFSET(Prices!C851,-S$3,0),1,IF(Prices!C851&gt;OFFSET(Prices!C851,-S$3,0),-1,0))</f>
        <v>1</v>
      </c>
      <c r="T852" s="1">
        <f ca="1">IF(S852=1,T$3*Q851/Prices!C851,T$3*R851*S852)</f>
        <v>2.1753259113806302E-4</v>
      </c>
    </row>
    <row r="853" spans="1:20" x14ac:dyDescent="0.2">
      <c r="A853" s="4">
        <v>34701</v>
      </c>
      <c r="B853" s="9">
        <f ca="1">Prices!C852*(1+J853/(50*(ABS(O853)+ABS(T853)+0.0001)))</f>
        <v>101.4197734905058</v>
      </c>
      <c r="C853" s="13">
        <f t="shared" ca="1" si="84"/>
        <v>1</v>
      </c>
      <c r="D853" s="9">
        <f ca="1">D852+C853*(Prices!C853-Prices!C852)/Prices!C852</f>
        <v>0.40002874739293065</v>
      </c>
      <c r="E853" s="9">
        <f t="shared" ca="1" si="85"/>
        <v>0</v>
      </c>
      <c r="F853" s="9">
        <f t="shared" ca="1" si="86"/>
        <v>0.40002874739293065</v>
      </c>
      <c r="G853" s="13">
        <f ca="1">IF((Prices!C853-Prices!C852)*C853&gt;0,1,0)</f>
        <v>1</v>
      </c>
      <c r="H853" s="9">
        <f>ABS(Prices!C853-Prices!C852)/Prices!C852</f>
        <v>6.226149829283034E-3</v>
      </c>
      <c r="I853" s="13"/>
      <c r="J853" s="1">
        <f t="shared" ca="1" si="87"/>
        <v>1.2117603813951632E-3</v>
      </c>
      <c r="K853" s="9"/>
      <c r="L853" s="9">
        <f ca="1">L852-O853*Prices!C853</f>
        <v>0.89422903078023708</v>
      </c>
      <c r="M853" s="1">
        <f t="shared" ca="1" si="88"/>
        <v>1.1394096782798192E-2</v>
      </c>
      <c r="N853" s="9">
        <f ca="1">IF(Prices!D852&gt;OFFSET(Prices!D852,-$N$3,0),1,IF(Prices!D852&lt;OFFSET(Prices!D852,-$N$3,0),-1,0))</f>
        <v>1</v>
      </c>
      <c r="O853" s="1">
        <f ca="1">IF(N853=1,O$3*L852/Prices!C852,O$3*M852*N853)</f>
        <v>9.9846921703912136E-4</v>
      </c>
      <c r="P853" s="14"/>
      <c r="Q853" s="9">
        <f ca="1">Q852-T853*Prices!C853</f>
        <v>1.0406049326602571</v>
      </c>
      <c r="R853" s="1">
        <f t="shared" ca="1" si="89"/>
        <v>9.9460782905654195E-3</v>
      </c>
      <c r="S853" s="9">
        <f ca="1">IF(Prices!C852&lt;OFFSET(Prices!C852,-S$3,0),1,IF(Prices!C852&gt;OFFSET(Prices!C852,-S$3,0),-1,0))</f>
        <v>1</v>
      </c>
      <c r="T853" s="1">
        <f ca="1">IF(S853=1,T$3*Q852/Prices!C852,T$3*R852*S853)</f>
        <v>2.1329116435604188E-4</v>
      </c>
    </row>
    <row r="854" spans="1:20" x14ac:dyDescent="0.2">
      <c r="A854" s="4">
        <v>34702</v>
      </c>
      <c r="B854" s="9">
        <f ca="1">Prices!C853*(1+J854/(50*(ABS(O854)+ABS(T854)+0.0001)))</f>
        <v>102.03702083313857</v>
      </c>
      <c r="C854" s="13">
        <f t="shared" ca="1" si="84"/>
        <v>1</v>
      </c>
      <c r="D854" s="9">
        <f ca="1">D853+C854*(Prices!C854-Prices!C853)/Prices!C853</f>
        <v>0.40471936615540571</v>
      </c>
      <c r="E854" s="9">
        <f t="shared" ca="1" si="85"/>
        <v>0</v>
      </c>
      <c r="F854" s="9">
        <f t="shared" ca="1" si="86"/>
        <v>0.40471936615540571</v>
      </c>
      <c r="G854" s="13">
        <f ca="1">IF((Prices!C854-Prices!C853)*C854&gt;0,1,0)</f>
        <v>1</v>
      </c>
      <c r="H854" s="9">
        <f>ABS(Prices!C854-Prices!C853)/Prices!C853</f>
        <v>4.6906187624750385E-3</v>
      </c>
      <c r="I854" s="13"/>
      <c r="J854" s="1">
        <f t="shared" ca="1" si="87"/>
        <v>1.1001497178765355E-3</v>
      </c>
      <c r="K854" s="9"/>
      <c r="L854" s="9">
        <f ca="1">L853-O854*Prices!C854</f>
        <v>0.80438667895524063</v>
      </c>
      <c r="M854" s="1">
        <f t="shared" ca="1" si="88"/>
        <v>1.2286540925293438E-2</v>
      </c>
      <c r="N854" s="9">
        <f ca="1">IF(Prices!D853&gt;OFFSET(Prices!D853,-$N$3,0),1,IF(Prices!D853&lt;OFFSET(Prices!D853,-$N$3,0),-1,0))</f>
        <v>1</v>
      </c>
      <c r="O854" s="1">
        <f ca="1">IF(N854=1,O$3*L853/Prices!C853,O$3*M853*N854)</f>
        <v>8.9244414249524655E-4</v>
      </c>
      <c r="P854" s="14"/>
      <c r="Q854" s="9">
        <f ca="1">Q853-T854*Prices!C854</f>
        <v>1.0196952123866228</v>
      </c>
      <c r="R854" s="1">
        <f t="shared" ca="1" si="89"/>
        <v>1.0153783865946708E-2</v>
      </c>
      <c r="S854" s="9">
        <f ca="1">IF(Prices!C853&lt;OFFSET(Prices!C853,-S$3,0),1,IF(Prices!C853&gt;OFFSET(Prices!C853,-S$3,0),-1,0))</f>
        <v>1</v>
      </c>
      <c r="T854" s="1">
        <f ca="1">IF(S854=1,T$3*Q853/Prices!C853,T$3*R853*S854)</f>
        <v>2.0770557538128884E-4</v>
      </c>
    </row>
    <row r="855" spans="1:20" x14ac:dyDescent="0.2">
      <c r="A855" s="4">
        <v>34703</v>
      </c>
      <c r="B855" s="9">
        <f ca="1">Prices!C854*(1+J855/(50*(ABS(O855)+ABS(T855)+0.0001)))</f>
        <v>101.75873166791256</v>
      </c>
      <c r="C855" s="13">
        <f t="shared" ca="1" si="84"/>
        <v>1</v>
      </c>
      <c r="D855" s="9">
        <f ca="1">D854+C855*(Prices!C855-Prices!C854)/Prices!C854</f>
        <v>0.41147410937582879</v>
      </c>
      <c r="E855" s="9">
        <f t="shared" ca="1" si="85"/>
        <v>0</v>
      </c>
      <c r="F855" s="9">
        <f t="shared" ca="1" si="86"/>
        <v>0.41147410937582879</v>
      </c>
      <c r="G855" s="13">
        <f ca="1">IF((Prices!C855-Prices!C854)*C855&gt;0,1,0)</f>
        <v>1</v>
      </c>
      <c r="H855" s="9">
        <f>ABS(Prices!C855-Prices!C854)/Prices!C854</f>
        <v>6.7547432204230909E-3</v>
      </c>
      <c r="I855" s="13"/>
      <c r="J855" s="1">
        <f t="shared" ca="1" si="87"/>
        <v>5.9595747948571528E-4</v>
      </c>
      <c r="K855" s="9"/>
      <c r="L855" s="9">
        <f ca="1">L854-O855*Prices!C855</f>
        <v>0.72340466851308938</v>
      </c>
      <c r="M855" s="1">
        <f t="shared" ca="1" si="88"/>
        <v>1.3085574082098088E-2</v>
      </c>
      <c r="N855" s="9">
        <f ca="1">IF(Prices!D854&gt;OFFSET(Prices!D854,-$N$3,0),1,IF(Prices!D854&lt;OFFSET(Prices!D854,-$N$3,0),-1,0))</f>
        <v>1</v>
      </c>
      <c r="O855" s="1">
        <f ca="1">IF(N855=1,O$3*L854/Prices!C854,O$3*M854*N855)</f>
        <v>7.9903315680464944E-4</v>
      </c>
      <c r="P855" s="14"/>
      <c r="Q855" s="9">
        <f ca="1">Q854-T855*Prices!C855</f>
        <v>1.0402769322828966</v>
      </c>
      <c r="R855" s="1">
        <f t="shared" ca="1" si="89"/>
        <v>9.9507081886277739E-3</v>
      </c>
      <c r="S855" s="9">
        <f ca="1">IF(Prices!C854&lt;OFFSET(Prices!C854,-S$3,0),1,IF(Prices!C854&gt;OFFSET(Prices!C854,-S$3,0),-1,0))</f>
        <v>-1</v>
      </c>
      <c r="T855" s="1">
        <f ca="1">IF(S855=1,T$3*Q854/Prices!C854,T$3*R854*S855)</f>
        <v>-2.0307567731893416E-4</v>
      </c>
    </row>
    <row r="856" spans="1:20" x14ac:dyDescent="0.2">
      <c r="A856" s="4">
        <v>34704</v>
      </c>
      <c r="B856" s="9">
        <f ca="1">Prices!C855*(1+J856/(50*(ABS(O856)+ABS(T856)+0.0001)))</f>
        <v>99.449090808977189</v>
      </c>
      <c r="C856" s="13">
        <f t="shared" ca="1" si="84"/>
        <v>-1</v>
      </c>
      <c r="D856" s="9">
        <f ca="1">D855+C856*(Prices!C856-Prices!C855)/Prices!C855</f>
        <v>0.41611150454109763</v>
      </c>
      <c r="E856" s="9">
        <f t="shared" ca="1" si="85"/>
        <v>0</v>
      </c>
      <c r="F856" s="9">
        <f t="shared" ca="1" si="86"/>
        <v>0.41611150454109763</v>
      </c>
      <c r="G856" s="13">
        <f ca="1">IF((Prices!C856-Prices!C855)*C856&gt;0,1,0)</f>
        <v>1</v>
      </c>
      <c r="H856" s="9">
        <f>ABS(Prices!C856-Prices!C855)/Prices!C855</f>
        <v>4.6373951652688592E-3</v>
      </c>
      <c r="I856" s="13"/>
      <c r="J856" s="1">
        <f t="shared" ca="1" si="87"/>
        <v>-1.5075715719823643E-3</v>
      </c>
      <c r="K856" s="9"/>
      <c r="L856" s="9">
        <f ca="1">L855-O856*Prices!C856</f>
        <v>0.85541193985329489</v>
      </c>
      <c r="M856" s="1">
        <f t="shared" ca="1" si="88"/>
        <v>1.177701667388828E-2</v>
      </c>
      <c r="N856" s="9">
        <f ca="1">IF(Prices!D855&gt;OFFSET(Prices!D855,-$N$3,0),1,IF(Prices!D855&lt;OFFSET(Prices!D855,-$N$3,0),-1,0))</f>
        <v>-1</v>
      </c>
      <c r="O856" s="1">
        <f ca="1">IF(N856=1,O$3*L855/Prices!C855,O$3*M855*N856)</f>
        <v>-1.308557408209809E-3</v>
      </c>
      <c r="P856" s="14"/>
      <c r="Q856" s="9">
        <f ca="1">Q855-T856*Prices!C856</f>
        <v>1.0603534811242721</v>
      </c>
      <c r="R856" s="1">
        <f t="shared" ca="1" si="89"/>
        <v>9.7516940248552186E-3</v>
      </c>
      <c r="S856" s="9">
        <f ca="1">IF(Prices!C855&lt;OFFSET(Prices!C855,-S$3,0),1,IF(Prices!C855&gt;OFFSET(Prices!C855,-S$3,0),-1,0))</f>
        <v>-1</v>
      </c>
      <c r="T856" s="1">
        <f ca="1">IF(S856=1,T$3*Q855/Prices!C855,T$3*R855*S856)</f>
        <v>-1.9901416377255548E-4</v>
      </c>
    </row>
    <row r="857" spans="1:20" x14ac:dyDescent="0.2">
      <c r="A857" s="4">
        <v>34705</v>
      </c>
      <c r="B857" s="9">
        <f ca="1">Prices!C856*(1+J857/(50*(ABS(O857)+ABS(T857)+0.0001)))</f>
        <v>98.999396761088306</v>
      </c>
      <c r="C857" s="13">
        <f t="shared" ca="1" si="84"/>
        <v>-1</v>
      </c>
      <c r="D857" s="9">
        <f ca="1">D856+C857*(Prices!C857-Prices!C856)/Prices!C856</f>
        <v>0.4112542483951816</v>
      </c>
      <c r="E857" s="9">
        <f t="shared" ca="1" si="85"/>
        <v>4.8572561459160335E-3</v>
      </c>
      <c r="F857" s="9">
        <f t="shared" ca="1" si="86"/>
        <v>0.41611150454109763</v>
      </c>
      <c r="G857" s="13">
        <f ca="1">IF((Prices!C857-Prices!C856)*C857&gt;0,1,0)</f>
        <v>0</v>
      </c>
      <c r="H857" s="9">
        <f>ABS(Prices!C857-Prices!C856)/Prices!C856</f>
        <v>4.85725614591603E-3</v>
      </c>
      <c r="I857" s="13"/>
      <c r="J857" s="1">
        <f t="shared" ca="1" si="87"/>
        <v>-1.3727355478859323E-3</v>
      </c>
      <c r="K857" s="9"/>
      <c r="L857" s="9">
        <f ca="1">L856-O857*Prices!C857</f>
        <v>0.97479555787650041</v>
      </c>
      <c r="M857" s="1">
        <f t="shared" ca="1" si="88"/>
        <v>1.0599315006499452E-2</v>
      </c>
      <c r="N857" s="9">
        <f ca="1">IF(Prices!D856&gt;OFFSET(Prices!D856,-$N$3,0),1,IF(Prices!D856&lt;OFFSET(Prices!D856,-$N$3,0),-1,0))</f>
        <v>-1</v>
      </c>
      <c r="O857" s="1">
        <f ca="1">IF(N857=1,O$3*L856/Prices!C856,O$3*M856*N857)</f>
        <v>-1.177701667388828E-3</v>
      </c>
      <c r="P857" s="14"/>
      <c r="Q857" s="9">
        <f ca="1">Q856-T857*Prices!C857</f>
        <v>1.0801240655902635</v>
      </c>
      <c r="R857" s="1">
        <f t="shared" ca="1" si="89"/>
        <v>9.5566601443581138E-3</v>
      </c>
      <c r="S857" s="9">
        <f ca="1">IF(Prices!C856&lt;OFFSET(Prices!C856,-S$3,0),1,IF(Prices!C856&gt;OFFSET(Prices!C856,-S$3,0),-1,0))</f>
        <v>-1</v>
      </c>
      <c r="T857" s="1">
        <f ca="1">IF(S857=1,T$3*Q856/Prices!C856,T$3*R856*S857)</f>
        <v>-1.9503388049710437E-4</v>
      </c>
    </row>
    <row r="858" spans="1:20" x14ac:dyDescent="0.2">
      <c r="A858" s="4">
        <v>34708</v>
      </c>
      <c r="B858" s="9">
        <f ca="1">Prices!C857*(1+J858/(50*(ABS(O858)+ABS(T858)+0.0001)))</f>
        <v>102.61692236184702</v>
      </c>
      <c r="C858" s="13">
        <f t="shared" ca="1" si="84"/>
        <v>1</v>
      </c>
      <c r="D858" s="9">
        <f ca="1">D857+C858*(Prices!C858-Prices!C857)/Prices!C857</f>
        <v>0.39803534733964246</v>
      </c>
      <c r="E858" s="9">
        <f t="shared" ca="1" si="85"/>
        <v>1.8076157201455167E-2</v>
      </c>
      <c r="F858" s="9">
        <f t="shared" ca="1" si="86"/>
        <v>0.41611150454109763</v>
      </c>
      <c r="G858" s="13">
        <f ca="1">IF((Prices!C858-Prices!C857)*C858&gt;0,1,0)</f>
        <v>0</v>
      </c>
      <c r="H858" s="9">
        <f>ABS(Prices!C858-Prices!C857)/Prices!C857</f>
        <v>1.3218901055539148E-2</v>
      </c>
      <c r="I858" s="13"/>
      <c r="J858" s="1">
        <f t="shared" ca="1" si="87"/>
        <v>7.7048814255675649E-4</v>
      </c>
      <c r="K858" s="9"/>
      <c r="L858" s="9">
        <f ca="1">L857-O858*Prices!C858</f>
        <v>0.87860457469174524</v>
      </c>
      <c r="M858" s="1">
        <f t="shared" ca="1" si="88"/>
        <v>1.1560936351943371E-2</v>
      </c>
      <c r="N858" s="9">
        <f ca="1">IF(Prices!D857&gt;OFFSET(Prices!D857,-$N$3,0),1,IF(Prices!D857&lt;OFFSET(Prices!D857,-$N$3,0),-1,0))</f>
        <v>1</v>
      </c>
      <c r="O858" s="1">
        <f ca="1">IF(N858=1,O$3*L857/Prices!C857,O$3*M857*N858)</f>
        <v>9.6162134544391876E-4</v>
      </c>
      <c r="P858" s="14"/>
      <c r="Q858" s="9">
        <f ca="1">Q857-T858*Prices!C858</f>
        <v>1.0992431198750663</v>
      </c>
      <c r="R858" s="1">
        <f t="shared" ca="1" si="89"/>
        <v>9.3655269414709523E-3</v>
      </c>
      <c r="S858" s="9">
        <f ca="1">IF(Prices!C857&lt;OFFSET(Prices!C857,-S$3,0),1,IF(Prices!C857&gt;OFFSET(Prices!C857,-S$3,0),-1,0))</f>
        <v>-1</v>
      </c>
      <c r="T858" s="1">
        <f ca="1">IF(S858=1,T$3*Q857/Prices!C857,T$3*R857*S858)</f>
        <v>-1.9113320288716227E-4</v>
      </c>
    </row>
    <row r="859" spans="1:20" x14ac:dyDescent="0.2">
      <c r="A859" s="4">
        <v>34709</v>
      </c>
      <c r="B859" s="9">
        <f ca="1">Prices!C858*(1+J859/(50*(ABS(O859)+ABS(T859)+0.0001)))</f>
        <v>101.86362225828229</v>
      </c>
      <c r="C859" s="13">
        <f t="shared" ca="1" si="84"/>
        <v>1</v>
      </c>
      <c r="D859" s="9">
        <f ca="1">D858+C859*(Prices!C859-Prices!C858)/Prices!C858</f>
        <v>0.39803534733964246</v>
      </c>
      <c r="E859" s="9">
        <f t="shared" ca="1" si="85"/>
        <v>1.8076157201455167E-2</v>
      </c>
      <c r="F859" s="9">
        <f t="shared" ca="1" si="86"/>
        <v>0.41611150454109763</v>
      </c>
      <c r="G859" s="13">
        <f ca="1">IF((Prices!C859-Prices!C858)*C859&gt;0,1,0)</f>
        <v>0</v>
      </c>
      <c r="H859" s="9">
        <f>ABS(Prices!C859-Prices!C858)/Prices!C858</f>
        <v>0</v>
      </c>
      <c r="I859" s="13"/>
      <c r="J859" s="1">
        <f t="shared" ca="1" si="87"/>
        <v>1.0981237615382972E-3</v>
      </c>
      <c r="K859" s="9"/>
      <c r="L859" s="9">
        <f ca="1">L858-O859*Prices!C859</f>
        <v>0.79074411722257065</v>
      </c>
      <c r="M859" s="1">
        <f t="shared" ca="1" si="88"/>
        <v>1.2439277424313406E-2</v>
      </c>
      <c r="N859" s="9">
        <f ca="1">IF(Prices!D858&gt;OFFSET(Prices!D858,-$N$3,0),1,IF(Prices!D858&lt;OFFSET(Prices!D858,-$N$3,0),-1,0))</f>
        <v>1</v>
      </c>
      <c r="O859" s="1">
        <f ca="1">IF(N859=1,O$3*L858/Prices!C858,O$3*M858*N859)</f>
        <v>8.7834107237003438E-4</v>
      </c>
      <c r="P859" s="14"/>
      <c r="Q859" s="9">
        <f ca="1">Q858-T859*Prices!C859</f>
        <v>1.0772582574775649</v>
      </c>
      <c r="R859" s="1">
        <f t="shared" ca="1" si="89"/>
        <v>9.5853096306392147E-3</v>
      </c>
      <c r="S859" s="9">
        <f ca="1">IF(Prices!C858&lt;OFFSET(Prices!C858,-S$3,0),1,IF(Prices!C858&gt;OFFSET(Prices!C858,-S$3,0),-1,0))</f>
        <v>1</v>
      </c>
      <c r="T859" s="1">
        <f ca="1">IF(S859=1,T$3*Q858/Prices!C858,T$3*R858*S859)</f>
        <v>2.1978268916826279E-4</v>
      </c>
    </row>
    <row r="860" spans="1:20" x14ac:dyDescent="0.2">
      <c r="A860" s="4">
        <v>34710</v>
      </c>
      <c r="B860" s="9">
        <f ca="1">Prices!C859*(1+J860/(50*(ABS(O860)+ABS(T860)+0.0001)))</f>
        <v>98.710382840083867</v>
      </c>
      <c r="C860" s="13">
        <f t="shared" ca="1" si="84"/>
        <v>-1</v>
      </c>
      <c r="D860" s="9">
        <f ca="1">D859+C860*(Prices!C860-Prices!C859)/Prices!C859</f>
        <v>0.39743552728565862</v>
      </c>
      <c r="E860" s="9">
        <f t="shared" ca="1" si="85"/>
        <v>1.8675977255439014E-2</v>
      </c>
      <c r="F860" s="9">
        <f t="shared" ca="1" si="86"/>
        <v>0.41611150454109763</v>
      </c>
      <c r="G860" s="13">
        <f ca="1">IF((Prices!C860-Prices!C859)*C860&gt;0,1,0)</f>
        <v>0</v>
      </c>
      <c r="H860" s="9">
        <f>ABS(Prices!C860-Prices!C859)/Prices!C859</f>
        <v>5.9982005398382754E-4</v>
      </c>
      <c r="I860" s="13"/>
      <c r="J860" s="1">
        <f t="shared" ca="1" si="87"/>
        <v>-1.0285407070464432E-3</v>
      </c>
      <c r="K860" s="9"/>
      <c r="L860" s="9">
        <f ca="1">L859-O860*Prices!C860</f>
        <v>0.91524884496252357</v>
      </c>
      <c r="M860" s="1">
        <f t="shared" ca="1" si="88"/>
        <v>1.1195349681882065E-2</v>
      </c>
      <c r="N860" s="9">
        <f ca="1">IF(Prices!D859&gt;OFFSET(Prices!D859,-$N$3,0),1,IF(Prices!D859&lt;OFFSET(Prices!D859,-$N$3,0),-1,0))</f>
        <v>-1</v>
      </c>
      <c r="O860" s="1">
        <f ca="1">IF(N860=1,O$3*L859/Prices!C859,O$3*M859*N860)</f>
        <v>-1.2439277424313407E-3</v>
      </c>
      <c r="P860" s="14"/>
      <c r="Q860" s="9">
        <f ca="1">Q859-T860*Prices!C860</f>
        <v>1.0557001691058905</v>
      </c>
      <c r="R860" s="1">
        <f t="shared" ca="1" si="89"/>
        <v>9.800696666024112E-3</v>
      </c>
      <c r="S860" s="9">
        <f ca="1">IF(Prices!C859&lt;OFFSET(Prices!C859,-S$3,0),1,IF(Prices!C859&gt;OFFSET(Prices!C859,-S$3,0),-1,0))</f>
        <v>1</v>
      </c>
      <c r="T860" s="1">
        <f ca="1">IF(S860=1,T$3*Q859/Prices!C859,T$3*R859*S860)</f>
        <v>2.153870353848975E-4</v>
      </c>
    </row>
    <row r="861" spans="1:20" x14ac:dyDescent="0.2">
      <c r="A861" s="4">
        <v>34711</v>
      </c>
      <c r="B861" s="9">
        <f ca="1">Prices!C860*(1+J861/(50*(ABS(O861)+ABS(T861)+0.0001)))</f>
        <v>98.818539729557017</v>
      </c>
      <c r="C861" s="13">
        <f t="shared" ca="1" si="84"/>
        <v>-1</v>
      </c>
      <c r="D861" s="9">
        <f ca="1">D860+C861*(Prices!C861-Prices!C860)/Prices!C860</f>
        <v>0.41162275877731613</v>
      </c>
      <c r="E861" s="9">
        <f t="shared" ca="1" si="85"/>
        <v>4.4887457637814987E-3</v>
      </c>
      <c r="F861" s="9">
        <f t="shared" ca="1" si="86"/>
        <v>0.41611150454109763</v>
      </c>
      <c r="G861" s="13">
        <f ca="1">IF((Prices!C861-Prices!C860)*C861&gt;0,1,0)</f>
        <v>1</v>
      </c>
      <c r="H861" s="9">
        <f>ABS(Prices!C861-Prices!C860)/Prices!C860</f>
        <v>1.4187231491657525E-2</v>
      </c>
      <c r="I861" s="13"/>
      <c r="J861" s="1">
        <f t="shared" ca="1" si="87"/>
        <v>-9.0858478952782293E-4</v>
      </c>
      <c r="K861" s="9"/>
      <c r="L861" s="9">
        <f ca="1">L860-O861*Prices!C861</f>
        <v>1.0257133602736539</v>
      </c>
      <c r="M861" s="1">
        <f t="shared" ca="1" si="88"/>
        <v>1.0075814713693858E-2</v>
      </c>
      <c r="N861" s="9">
        <f ca="1">IF(Prices!D860&gt;OFFSET(Prices!D860,-$N$3,0),1,IF(Prices!D860&lt;OFFSET(Prices!D860,-$N$3,0),-1,0))</f>
        <v>-1</v>
      </c>
      <c r="O861" s="1">
        <f ca="1">IF(N861=1,O$3*L860/Prices!C860,O$3*M860*N861)</f>
        <v>-1.1195349681882066E-3</v>
      </c>
      <c r="P861" s="14"/>
      <c r="Q861" s="9">
        <f ca="1">Q860-T861*Prices!C861</f>
        <v>1.0348857149774704</v>
      </c>
      <c r="R861" s="1">
        <f t="shared" ca="1" si="89"/>
        <v>1.0011646844684495E-2</v>
      </c>
      <c r="S861" s="9">
        <f ca="1">IF(Prices!C860&lt;OFFSET(Prices!C860,-S$3,0),1,IF(Prices!C860&gt;OFFSET(Prices!C860,-S$3,0),-1,0))</f>
        <v>1</v>
      </c>
      <c r="T861" s="1">
        <f ca="1">IF(S861=1,T$3*Q860/Prices!C860,T$3*R860*S861)</f>
        <v>2.1095017866038375E-4</v>
      </c>
    </row>
    <row r="862" spans="1:20" x14ac:dyDescent="0.2">
      <c r="A862" s="4">
        <v>34712</v>
      </c>
      <c r="B862" s="9">
        <f ca="1">Prices!C861*(1+J862/(50*(ABS(O862)+ABS(T862)+0.0001)))</f>
        <v>97.474866768044748</v>
      </c>
      <c r="C862" s="13">
        <f t="shared" ca="1" si="84"/>
        <v>-1</v>
      </c>
      <c r="D862" s="9">
        <f ca="1">D861+C862*(Prices!C862-Prices!C861)/Prices!C861</f>
        <v>0.41435915281805796</v>
      </c>
      <c r="E862" s="9">
        <f t="shared" ca="1" si="85"/>
        <v>1.752351723039669E-3</v>
      </c>
      <c r="F862" s="9">
        <f t="shared" ca="1" si="86"/>
        <v>0.41611150454109763</v>
      </c>
      <c r="G862" s="13">
        <f ca="1">IF((Prices!C862-Prices!C861)*C862&gt;0,1,0)</f>
        <v>1</v>
      </c>
      <c r="H862" s="9">
        <f>ABS(Prices!C862-Prices!C861)/Prices!C861</f>
        <v>2.7363940407418266E-3</v>
      </c>
      <c r="I862" s="13"/>
      <c r="J862" s="1">
        <f t="shared" ca="1" si="87"/>
        <v>-7.9781442667951647E-4</v>
      </c>
      <c r="K862" s="9"/>
      <c r="L862" s="9">
        <f ca="1">L861-O862*Prices!C862</f>
        <v>1.1248593770564015</v>
      </c>
      <c r="M862" s="1">
        <f t="shared" ca="1" si="88"/>
        <v>9.0682332423244714E-3</v>
      </c>
      <c r="N862" s="9">
        <f ca="1">IF(Prices!D861&gt;OFFSET(Prices!D861,-$N$3,0),1,IF(Prices!D861&lt;OFFSET(Prices!D861,-$N$3,0),-1,0))</f>
        <v>-1</v>
      </c>
      <c r="O862" s="1">
        <f ca="1">IF(N862=1,O$3*L861/Prices!C861,O$3*M861*N862)</f>
        <v>-1.0075814713693858E-3</v>
      </c>
      <c r="P862" s="14"/>
      <c r="Q862" s="9">
        <f ca="1">Q861-T862*Prices!C862</f>
        <v>1.0142446377799872</v>
      </c>
      <c r="R862" s="1">
        <f t="shared" ca="1" si="89"/>
        <v>1.0221413889374364E-2</v>
      </c>
      <c r="S862" s="9">
        <f ca="1">IF(Prices!C861&lt;OFFSET(Prices!C861,-S$3,0),1,IF(Prices!C861&gt;OFFSET(Prices!C861,-S$3,0),-1,0))</f>
        <v>1</v>
      </c>
      <c r="T862" s="1">
        <f ca="1">IF(S862=1,T$3*Q861/Prices!C861,T$3*R861*S862)</f>
        <v>2.0976704468986934E-4</v>
      </c>
    </row>
    <row r="863" spans="1:20" x14ac:dyDescent="0.2">
      <c r="A863" s="4">
        <v>34715</v>
      </c>
      <c r="B863" s="9">
        <f ca="1">Prices!C862*(1+J863/(50*(ABS(O863)+ABS(T863)+0.0001)))</f>
        <v>97.263179010684098</v>
      </c>
      <c r="C863" s="13">
        <f t="shared" ca="1" si="84"/>
        <v>-1</v>
      </c>
      <c r="D863" s="9">
        <f ca="1">D862+C863*(Prices!C863-Prices!C862)/Prices!C862</f>
        <v>0.41415590078553766</v>
      </c>
      <c r="E863" s="9">
        <f t="shared" ca="1" si="85"/>
        <v>1.9556037555599759E-3</v>
      </c>
      <c r="F863" s="9">
        <f t="shared" ca="1" si="86"/>
        <v>0.41611150454109763</v>
      </c>
      <c r="G863" s="13">
        <f ca="1">IF((Prices!C863-Prices!C862)*C863&gt;0,1,0)</f>
        <v>0</v>
      </c>
      <c r="H863" s="9">
        <f>ABS(Prices!C863-Prices!C862)/Prices!C862</f>
        <v>2.0325203252028476E-4</v>
      </c>
      <c r="I863" s="13"/>
      <c r="J863" s="1">
        <f t="shared" ca="1" si="87"/>
        <v>-7.006760401308237E-4</v>
      </c>
      <c r="K863" s="9"/>
      <c r="L863" s="9">
        <f ca="1">L862-O863*Prices!C863</f>
        <v>1.214108928627359</v>
      </c>
      <c r="M863" s="1">
        <f t="shared" ca="1" si="88"/>
        <v>8.161409918092024E-3</v>
      </c>
      <c r="N863" s="9">
        <f ca="1">IF(Prices!D862&gt;OFFSET(Prices!D862,-$N$3,0),1,IF(Prices!D862&lt;OFFSET(Prices!D862,-$N$3,0),-1,0))</f>
        <v>-1</v>
      </c>
      <c r="O863" s="1">
        <f ca="1">IF(N863=1,O$3*L862/Prices!C862,O$3*M862*N863)</f>
        <v>-9.0682332423244717E-4</v>
      </c>
      <c r="P863" s="14"/>
      <c r="Q863" s="9">
        <f ca="1">Q862-T863*Prices!C863</f>
        <v>0.99395562207870536</v>
      </c>
      <c r="R863" s="1">
        <f t="shared" ca="1" si="89"/>
        <v>1.0427561173475987E-2</v>
      </c>
      <c r="S863" s="9">
        <f ca="1">IF(Prices!C862&lt;OFFSET(Prices!C862,-S$3,0),1,IF(Prices!C862&gt;OFFSET(Prices!C862,-S$3,0),-1,0))</f>
        <v>1</v>
      </c>
      <c r="T863" s="1">
        <f ca="1">IF(S863=1,T$3*Q862/Prices!C862,T$3*R862*S863)</f>
        <v>2.0614728410162342E-4</v>
      </c>
    </row>
    <row r="864" spans="1:20" x14ac:dyDescent="0.2">
      <c r="A864" s="4">
        <v>34716</v>
      </c>
      <c r="B864" s="9">
        <f ca="1">Prices!C863*(1+J864/(50*(ABS(O864)+ABS(T864)+0.0001)))</f>
        <v>97.338804814030937</v>
      </c>
      <c r="C864" s="13">
        <f t="shared" ca="1" si="84"/>
        <v>-1</v>
      </c>
      <c r="D864" s="9">
        <f ca="1">D863+C864*(Prices!C864-Prices!C863)/Prices!C863</f>
        <v>0.4071451306168728</v>
      </c>
      <c r="E864" s="9">
        <f t="shared" ca="1" si="85"/>
        <v>8.9663739242248353E-3</v>
      </c>
      <c r="F864" s="9">
        <f t="shared" ca="1" si="86"/>
        <v>0.41611150454109763</v>
      </c>
      <c r="G864" s="13">
        <f ca="1">IF((Prices!C864-Prices!C863)*C864&gt;0,1,0)</f>
        <v>0</v>
      </c>
      <c r="H864" s="9">
        <f>ABS(Prices!C864-Prices!C863)/Prices!C863</f>
        <v>7.0107701686648819E-3</v>
      </c>
      <c r="I864" s="13"/>
      <c r="J864" s="1">
        <f t="shared" ca="1" si="87"/>
        <v>-6.1415854472960372E-4</v>
      </c>
      <c r="K864" s="9"/>
      <c r="L864" s="9">
        <f ca="1">L863-O864*Prices!C864</f>
        <v>1.2949966623255691</v>
      </c>
      <c r="M864" s="1">
        <f t="shared" ca="1" si="88"/>
        <v>7.3452689262828216E-3</v>
      </c>
      <c r="N864" s="9">
        <f ca="1">IF(Prices!D863&gt;OFFSET(Prices!D863,-$N$3,0),1,IF(Prices!D863&lt;OFFSET(Prices!D863,-$N$3,0),-1,0))</f>
        <v>-1</v>
      </c>
      <c r="O864" s="1">
        <f ca="1">IF(N864=1,O$3*L863/Prices!C863,O$3*M863*N864)</f>
        <v>-8.161409918092024E-4</v>
      </c>
      <c r="P864" s="14"/>
      <c r="Q864" s="9">
        <f ca="1">Q863-T864*Prices!C864</f>
        <v>0.97393714174864632</v>
      </c>
      <c r="R864" s="1">
        <f t="shared" ca="1" si="89"/>
        <v>1.0629543620555586E-2</v>
      </c>
      <c r="S864" s="9">
        <f ca="1">IF(Prices!C863&lt;OFFSET(Prices!C863,-S$3,0),1,IF(Prices!C863&gt;OFFSET(Prices!C863,-S$3,0),-1,0))</f>
        <v>1</v>
      </c>
      <c r="T864" s="1">
        <f ca="1">IF(S864=1,T$3*Q863/Prices!C863,T$3*R863*S864)</f>
        <v>2.0198244707959873E-4</v>
      </c>
    </row>
    <row r="865" spans="1:20" x14ac:dyDescent="0.2">
      <c r="A865" s="4">
        <v>34717</v>
      </c>
      <c r="B865" s="9">
        <f ca="1">Prices!C864*(1+J865/(50*(ABS(O865)+ABS(T865)+0.0001)))</f>
        <v>100.96855686786617</v>
      </c>
      <c r="C865" s="13">
        <f t="shared" ca="1" si="84"/>
        <v>1</v>
      </c>
      <c r="D865" s="9">
        <f ca="1">D864+C865*(Prices!C865-Prices!C864)/Prices!C864</f>
        <v>0.41138284628633098</v>
      </c>
      <c r="E865" s="9">
        <f t="shared" ca="1" si="85"/>
        <v>4.7286582547666489E-3</v>
      </c>
      <c r="F865" s="9">
        <f t="shared" ca="1" si="86"/>
        <v>0.41611150454109763</v>
      </c>
      <c r="G865" s="13">
        <f ca="1">IF((Prices!C865-Prices!C864)*C865&gt;0,1,0)</f>
        <v>1</v>
      </c>
      <c r="H865" s="9">
        <f>ABS(Prices!C865-Prices!C864)/Prices!C864</f>
        <v>4.237715669458195E-3</v>
      </c>
      <c r="I865" s="13"/>
      <c r="J865" s="1">
        <f t="shared" ca="1" si="87"/>
        <v>1.5031622345629083E-3</v>
      </c>
      <c r="K865" s="9"/>
      <c r="L865" s="9">
        <f ca="1">L864-O865*Prices!C865</f>
        <v>1.164948213328229</v>
      </c>
      <c r="M865" s="1">
        <f t="shared" ca="1" si="88"/>
        <v>8.6518945567192751E-3</v>
      </c>
      <c r="N865" s="9">
        <f ca="1">IF(Prices!D864&gt;OFFSET(Prices!D864,-$N$3,0),1,IF(Prices!D864&lt;OFFSET(Prices!D864,-$N$3,0),-1,0))</f>
        <v>1</v>
      </c>
      <c r="O865" s="1">
        <f ca="1">IF(N865=1,O$3*L864/Prices!C864,O$3*M864*N865)</f>
        <v>1.3066256304364535E-3</v>
      </c>
      <c r="P865" s="14"/>
      <c r="Q865" s="9">
        <f ca="1">Q864-T865*Prices!C865</f>
        <v>0.95437585353994026</v>
      </c>
      <c r="R865" s="1">
        <f t="shared" ca="1" si="89"/>
        <v>1.082608022468204E-2</v>
      </c>
      <c r="S865" s="9">
        <f ca="1">IF(Prices!C864&lt;OFFSET(Prices!C864,-S$3,0),1,IF(Prices!C864&gt;OFFSET(Prices!C864,-S$3,0),-1,0))</f>
        <v>1</v>
      </c>
      <c r="T865" s="1">
        <f ca="1">IF(S865=1,T$3*Q864/Prices!C864,T$3*R864*S865)</f>
        <v>1.9653660412645473E-4</v>
      </c>
    </row>
    <row r="866" spans="1:20" x14ac:dyDescent="0.2">
      <c r="A866" s="4">
        <v>34718</v>
      </c>
      <c r="B866" s="9">
        <f ca="1">Prices!C865*(1+J866/(50*(ABS(O866)+ABS(T866)+0.0001)))</f>
        <v>100.80701791802899</v>
      </c>
      <c r="C866" s="13">
        <f t="shared" ca="1" si="84"/>
        <v>1</v>
      </c>
      <c r="D866" s="9">
        <f ca="1">D865+C866*(Prices!C866-Prices!C865)/Prices!C865</f>
        <v>0.40736395750907783</v>
      </c>
      <c r="E866" s="9">
        <f t="shared" ca="1" si="85"/>
        <v>8.7475470320197979E-3</v>
      </c>
      <c r="F866" s="9">
        <f t="shared" ca="1" si="86"/>
        <v>0.41611150454109763</v>
      </c>
      <c r="G866" s="13">
        <f ca="1">IF((Prices!C866-Prices!C865)*C866&gt;0,1,0)</f>
        <v>0</v>
      </c>
      <c r="H866" s="9">
        <f>ABS(Prices!C866-Prices!C865)/Prices!C865</f>
        <v>4.0188887772531464E-3</v>
      </c>
      <c r="I866" s="13"/>
      <c r="J866" s="1">
        <f t="shared" ca="1" si="87"/>
        <v>9.5392772066282372E-4</v>
      </c>
      <c r="K866" s="9"/>
      <c r="L866" s="9">
        <f ca="1">L865-O866*Prices!C866</f>
        <v>1.0489215717254687</v>
      </c>
      <c r="M866" s="1">
        <f t="shared" ca="1" si="88"/>
        <v>9.8223438818757398E-3</v>
      </c>
      <c r="N866" s="9">
        <f ca="1">IF(Prices!D865&gt;OFFSET(Prices!D865,-$N$3,0),1,IF(Prices!D865&lt;OFFSET(Prices!D865,-$N$3,0),-1,0))</f>
        <v>1</v>
      </c>
      <c r="O866" s="1">
        <f ca="1">IF(N866=1,O$3*L865/Prices!C865,O$3*M865*N866)</f>
        <v>1.1704493251564645E-3</v>
      </c>
      <c r="P866" s="14"/>
      <c r="Q866" s="9">
        <f ca="1">Q865-T866*Prices!C866</f>
        <v>0.97583964019339486</v>
      </c>
      <c r="R866" s="1">
        <f t="shared" ca="1" si="89"/>
        <v>1.0609558620188399E-2</v>
      </c>
      <c r="S866" s="9">
        <f ca="1">IF(Prices!C865&lt;OFFSET(Prices!C865,-S$3,0),1,IF(Prices!C865&gt;OFFSET(Prices!C865,-S$3,0),-1,0))</f>
        <v>-1</v>
      </c>
      <c r="T866" s="1">
        <f ca="1">IF(S866=1,T$3*Q865/Prices!C865,T$3*R865*S866)</f>
        <v>-2.1652160449364081E-4</v>
      </c>
    </row>
    <row r="867" spans="1:20" x14ac:dyDescent="0.2">
      <c r="A867" s="4">
        <v>34719</v>
      </c>
      <c r="B867" s="9">
        <f ca="1">Prices!C866*(1+J867/(50*(ABS(O867)+ABS(T867)+0.0001)))</f>
        <v>100.3539147208884</v>
      </c>
      <c r="C867" s="13">
        <f t="shared" ca="1" si="84"/>
        <v>1</v>
      </c>
      <c r="D867" s="9">
        <f ca="1">D866+C867*(Prices!C867-Prices!C866)/Prices!C866</f>
        <v>0.41008765366564004</v>
      </c>
      <c r="E867" s="9">
        <f t="shared" ca="1" si="85"/>
        <v>6.0238508754575926E-3</v>
      </c>
      <c r="F867" s="9">
        <f t="shared" ca="1" si="86"/>
        <v>0.41611150454109763</v>
      </c>
      <c r="G867" s="13">
        <f ca="1">IF((Prices!C867-Prices!C866)*C867&gt;0,1,0)</f>
        <v>1</v>
      </c>
      <c r="H867" s="9">
        <f>ABS(Prices!C867-Prices!C866)/Prices!C866</f>
        <v>2.7236961565621936E-3</v>
      </c>
      <c r="I867" s="13"/>
      <c r="J867" s="1">
        <f t="shared" ca="1" si="87"/>
        <v>8.4593610664946404E-4</v>
      </c>
      <c r="K867" s="9"/>
      <c r="L867" s="9">
        <f ca="1">L866-O867*Prices!C867</f>
        <v>0.94374372018757746</v>
      </c>
      <c r="M867" s="1">
        <f t="shared" ca="1" si="88"/>
        <v>1.0880471160928972E-2</v>
      </c>
      <c r="N867" s="9">
        <f ca="1">IF(Prices!D866&gt;OFFSET(Prices!D866,-$N$3,0),1,IF(Prices!D866&lt;OFFSET(Prices!D866,-$N$3,0),-1,0))</f>
        <v>1</v>
      </c>
      <c r="O867" s="1">
        <f ca="1">IF(N867=1,O$3*L866/Prices!C866,O$3*M866*N867)</f>
        <v>1.058127279053232E-3</v>
      </c>
      <c r="P867" s="14"/>
      <c r="Q867" s="9">
        <f ca="1">Q866-T867*Prices!C867</f>
        <v>0.99693144273032941</v>
      </c>
      <c r="R867" s="1">
        <f t="shared" ca="1" si="89"/>
        <v>1.039736744778463E-2</v>
      </c>
      <c r="S867" s="9">
        <f ca="1">IF(Prices!C866&lt;OFFSET(Prices!C866,-S$3,0),1,IF(Prices!C866&gt;OFFSET(Prices!C866,-S$3,0),-1,0))</f>
        <v>-1</v>
      </c>
      <c r="T867" s="1">
        <f ca="1">IF(S867=1,T$3*Q866/Prices!C866,T$3*R866*S867)</f>
        <v>-2.1219117240376797E-4</v>
      </c>
    </row>
    <row r="868" spans="1:20" x14ac:dyDescent="0.2">
      <c r="A868" s="4">
        <v>34722</v>
      </c>
      <c r="B868" s="9">
        <f ca="1">Prices!C867*(1+J868/(50*(ABS(O868)+ABS(T868)+0.0001)))</f>
        <v>100.57234175058602</v>
      </c>
      <c r="C868" s="13">
        <f t="shared" ca="1" si="84"/>
        <v>1</v>
      </c>
      <c r="D868" s="9">
        <f ca="1">D867+C868*(Prices!C868-Prices!C867)/Prices!C867</f>
        <v>0.41411179853485525</v>
      </c>
      <c r="E868" s="9">
        <f t="shared" ca="1" si="85"/>
        <v>1.9997060062423855E-3</v>
      </c>
      <c r="F868" s="9">
        <f t="shared" ca="1" si="86"/>
        <v>0.41611150454109763</v>
      </c>
      <c r="G868" s="13">
        <f ca="1">IF((Prices!C868-Prices!C867)*C868&gt;0,1,0)</f>
        <v>1</v>
      </c>
      <c r="H868" s="9">
        <f>ABS(Prices!C868-Prices!C867)/Prices!C867</f>
        <v>4.0241448692152054E-3</v>
      </c>
      <c r="I868" s="13"/>
      <c r="J868" s="1">
        <f t="shared" ca="1" si="87"/>
        <v>7.4149301340605542E-4</v>
      </c>
      <c r="K868" s="9"/>
      <c r="L868" s="9">
        <f ca="1">L867-O868*Prices!C868</f>
        <v>0.84898957202387504</v>
      </c>
      <c r="M868" s="1">
        <f t="shared" ca="1" si="88"/>
        <v>1.182991152329072E-2</v>
      </c>
      <c r="N868" s="9">
        <f ca="1">IF(Prices!D867&gt;OFFSET(Prices!D867,-$N$3,0),1,IF(Prices!D867&lt;OFFSET(Prices!D867,-$N$3,0),-1,0))</f>
        <v>1</v>
      </c>
      <c r="O868" s="1">
        <f ca="1">IF(N868=1,O$3*L867/Prices!C867,O$3*M867*N868)</f>
        <v>9.4944036236174799E-4</v>
      </c>
      <c r="P868" s="14"/>
      <c r="Q868" s="9">
        <f ca="1">Q867-T868*Prices!C868</f>
        <v>1.0176845881561076</v>
      </c>
      <c r="R868" s="1">
        <f t="shared" ca="1" si="89"/>
        <v>1.0189420098828937E-2</v>
      </c>
      <c r="S868" s="9">
        <f ca="1">IF(Prices!C867&lt;OFFSET(Prices!C867,-S$3,0),1,IF(Prices!C867&gt;OFFSET(Prices!C867,-S$3,0),-1,0))</f>
        <v>-1</v>
      </c>
      <c r="T868" s="1">
        <f ca="1">IF(S868=1,T$3*Q867/Prices!C867,T$3*R867*S868)</f>
        <v>-2.079473489556926E-4</v>
      </c>
    </row>
    <row r="869" spans="1:20" x14ac:dyDescent="0.2">
      <c r="A869" s="4">
        <v>34723</v>
      </c>
      <c r="B869" s="9">
        <f ca="1">Prices!C868*(1+J869/(50*(ABS(O869)+ABS(T869)+0.0001)))</f>
        <v>100.91844138840109</v>
      </c>
      <c r="C869" s="13">
        <f t="shared" ca="1" si="84"/>
        <v>1</v>
      </c>
      <c r="D869" s="9">
        <f ca="1">D868+C869*(Prices!C869-Prices!C868)/Prices!C868</f>
        <v>0.4130095941260376</v>
      </c>
      <c r="E869" s="9">
        <f t="shared" ca="1" si="85"/>
        <v>3.1019104150600274E-3</v>
      </c>
      <c r="F869" s="9">
        <f t="shared" ca="1" si="86"/>
        <v>0.41611150454109763</v>
      </c>
      <c r="G869" s="13">
        <f ca="1">IF((Prices!C869-Prices!C868)*C869&gt;0,1,0)</f>
        <v>0</v>
      </c>
      <c r="H869" s="9">
        <f>ABS(Prices!C869-Prices!C868)/Prices!C868</f>
        <v>1.1022044088176296E-3</v>
      </c>
      <c r="I869" s="13"/>
      <c r="J869" s="1">
        <f t="shared" ca="1" si="87"/>
        <v>6.4690255195515984E-4</v>
      </c>
      <c r="K869" s="9"/>
      <c r="L869" s="9">
        <f ca="1">L868-O869*Prices!C869</f>
        <v>0.76418419082641997</v>
      </c>
      <c r="M869" s="1">
        <f t="shared" ca="1" si="88"/>
        <v>1.2680602477222459E-2</v>
      </c>
      <c r="N869" s="9">
        <f ca="1">IF(Prices!D868&gt;OFFSET(Prices!D868,-$N$3,0),1,IF(Prices!D868&lt;OFFSET(Prices!D868,-$N$3,0),-1,0))</f>
        <v>1</v>
      </c>
      <c r="O869" s="1">
        <f ca="1">IF(N869=1,O$3*L868/Prices!C868,O$3*M868*N869)</f>
        <v>8.5069095393173859E-4</v>
      </c>
      <c r="P869" s="14"/>
      <c r="Q869" s="9">
        <f ca="1">Q868-T869*Prices!C869</f>
        <v>1.0380002539491529</v>
      </c>
      <c r="R869" s="1">
        <f t="shared" ca="1" si="89"/>
        <v>9.9856316968523588E-3</v>
      </c>
      <c r="S869" s="9">
        <f ca="1">IF(Prices!C868&lt;OFFSET(Prices!C868,-S$3,0),1,IF(Prices!C868&gt;OFFSET(Prices!C868,-S$3,0),-1,0))</f>
        <v>-1</v>
      </c>
      <c r="T869" s="1">
        <f ca="1">IF(S869=1,T$3*Q868/Prices!C868,T$3*R868*S869)</f>
        <v>-2.0378840197657875E-4</v>
      </c>
    </row>
    <row r="870" spans="1:20" x14ac:dyDescent="0.2">
      <c r="A870" s="4">
        <v>34724</v>
      </c>
      <c r="B870" s="9">
        <f ca="1">Prices!C869*(1+J870/(50*(ABS(O870)+ABS(T870)+0.0001)))</f>
        <v>100.74993602011281</v>
      </c>
      <c r="C870" s="13">
        <f t="shared" ca="1" si="84"/>
        <v>1</v>
      </c>
      <c r="D870" s="9">
        <f ca="1">D869+C870*(Prices!C870-Prices!C869)/Prices!C869</f>
        <v>0.41140461870222383</v>
      </c>
      <c r="E870" s="9">
        <f t="shared" ca="1" si="85"/>
        <v>4.7068858388737977E-3</v>
      </c>
      <c r="F870" s="9">
        <f t="shared" ca="1" si="86"/>
        <v>0.41611150454109763</v>
      </c>
      <c r="G870" s="13">
        <f ca="1">IF((Prices!C870-Prices!C869)*C870&gt;0,1,0)</f>
        <v>0</v>
      </c>
      <c r="H870" s="9">
        <f>ABS(Prices!C870-Prices!C869)/Prices!C869</f>
        <v>1.6049754238137888E-3</v>
      </c>
      <c r="I870" s="13"/>
      <c r="J870" s="1">
        <f t="shared" ca="1" si="87"/>
        <v>5.6684789452761332E-4</v>
      </c>
      <c r="K870" s="9"/>
      <c r="L870" s="9">
        <f ca="1">L869-O870*Prices!C870</f>
        <v>0.68788842142833229</v>
      </c>
      <c r="M870" s="1">
        <f t="shared" ca="1" si="88"/>
        <v>1.3447163005687119E-2</v>
      </c>
      <c r="N870" s="9">
        <f ca="1">IF(Prices!D869&gt;OFFSET(Prices!D869,-$N$3,0),1,IF(Prices!D869&lt;OFFSET(Prices!D869,-$N$3,0),-1,0))</f>
        <v>1</v>
      </c>
      <c r="O870" s="1">
        <f ca="1">IF(N870=1,O$3*L869/Prices!C869,O$3*M869*N870)</f>
        <v>7.6656052846466049E-4</v>
      </c>
      <c r="P870" s="14"/>
      <c r="Q870" s="9">
        <f ca="1">Q869-T870*Prices!C870</f>
        <v>1.0578776524049072</v>
      </c>
      <c r="R870" s="1">
        <f t="shared" ca="1" si="89"/>
        <v>9.7859190629153124E-3</v>
      </c>
      <c r="S870" s="9">
        <f ca="1">IF(Prices!C869&lt;OFFSET(Prices!C869,-S$3,0),1,IF(Prices!C869&gt;OFFSET(Prices!C869,-S$3,0),-1,0))</f>
        <v>-1</v>
      </c>
      <c r="T870" s="1">
        <f ca="1">IF(S870=1,T$3*Q869/Prices!C869,T$3*R869*S870)</f>
        <v>-1.9971263393704717E-4</v>
      </c>
    </row>
    <row r="871" spans="1:20" x14ac:dyDescent="0.2">
      <c r="A871" s="4">
        <v>34725</v>
      </c>
      <c r="B871" s="9">
        <f ca="1">Prices!C870*(1+J871/(50*(ABS(O871)+ABS(T871)+0.0001)))</f>
        <v>97.660745886066181</v>
      </c>
      <c r="C871" s="13">
        <f t="shared" ca="1" si="84"/>
        <v>-1</v>
      </c>
      <c r="D871" s="9">
        <f ca="1">D870+C871*(Prices!C871-Prices!C870)/Prices!C870</f>
        <v>0.41240934089653702</v>
      </c>
      <c r="E871" s="9">
        <f t="shared" ca="1" si="85"/>
        <v>3.7021636445606076E-3</v>
      </c>
      <c r="F871" s="9">
        <f t="shared" ca="1" si="86"/>
        <v>0.41611150454109763</v>
      </c>
      <c r="G871" s="13">
        <f ca="1">IF((Prices!C871-Prices!C870)*C871&gt;0,1,0)</f>
        <v>1</v>
      </c>
      <c r="H871" s="9">
        <f>ABS(Prices!C871-Prices!C870)/Prices!C870</f>
        <v>1.0047221943132153E-3</v>
      </c>
      <c r="I871" s="13"/>
      <c r="J871" s="1">
        <f t="shared" ca="1" si="87"/>
        <v>-1.5404346818270183E-3</v>
      </c>
      <c r="K871" s="9"/>
      <c r="L871" s="9">
        <f ca="1">L870-O871*Prices!C871</f>
        <v>0.82159356319387933</v>
      </c>
      <c r="M871" s="1">
        <f t="shared" ca="1" si="88"/>
        <v>1.2102446705118407E-2</v>
      </c>
      <c r="N871" s="9">
        <f ca="1">IF(Prices!D870&gt;OFFSET(Prices!D870,-$N$3,0),1,IF(Prices!D870&lt;OFFSET(Prices!D870,-$N$3,0),-1,0))</f>
        <v>-1</v>
      </c>
      <c r="O871" s="1">
        <f ca="1">IF(N871=1,O$3*L870/Prices!C870,O$3*M870*N871)</f>
        <v>-1.344716300568712E-3</v>
      </c>
      <c r="P871" s="14"/>
      <c r="Q871" s="9">
        <f ca="1">Q870-T871*Prices!C871</f>
        <v>1.0773379310534206</v>
      </c>
      <c r="R871" s="1">
        <f t="shared" ca="1" si="89"/>
        <v>9.590200681657007E-3</v>
      </c>
      <c r="S871" s="9">
        <f ca="1">IF(Prices!C870&lt;OFFSET(Prices!C870,-S$3,0),1,IF(Prices!C870&gt;OFFSET(Prices!C870,-S$3,0),-1,0))</f>
        <v>-1</v>
      </c>
      <c r="T871" s="1">
        <f ca="1">IF(S871=1,T$3*Q870/Prices!C870,T$3*R870*S871)</f>
        <v>-1.9571838125830626E-4</v>
      </c>
    </row>
    <row r="872" spans="1:20" x14ac:dyDescent="0.2">
      <c r="A872" s="4">
        <v>34726</v>
      </c>
      <c r="B872" s="9">
        <f ca="1">Prices!C871*(1+J872/(50*(ABS(O872)+ABS(T872)+0.0001)))</f>
        <v>97.573792513038427</v>
      </c>
      <c r="C872" s="13">
        <f t="shared" ca="1" si="84"/>
        <v>-1</v>
      </c>
      <c r="D872" s="9">
        <f ca="1">D871+C872*(Prices!C872-Prices!C871)/Prices!C871</f>
        <v>0.41271106069941343</v>
      </c>
      <c r="E872" s="9">
        <f t="shared" ca="1" si="85"/>
        <v>3.4004438416841976E-3</v>
      </c>
      <c r="F872" s="9">
        <f t="shared" ca="1" si="86"/>
        <v>0.41611150454109763</v>
      </c>
      <c r="G872" s="13">
        <f ca="1">IF((Prices!C872-Prices!C871)*C872&gt;0,1,0)</f>
        <v>1</v>
      </c>
      <c r="H872" s="9">
        <f>ABS(Prices!C872-Prices!C871)/Prices!C871</f>
        <v>3.0171980287640689E-4</v>
      </c>
      <c r="I872" s="13"/>
      <c r="J872" s="1">
        <f t="shared" ca="1" si="87"/>
        <v>-1.402048684144981E-3</v>
      </c>
      <c r="K872" s="9"/>
      <c r="L872" s="9">
        <f ca="1">L871-O872*Prices!C872</f>
        <v>0.94189188344275632</v>
      </c>
      <c r="M872" s="1">
        <f t="shared" ca="1" si="88"/>
        <v>1.0892202034606566E-2</v>
      </c>
      <c r="N872" s="9">
        <f ca="1">IF(Prices!D871&gt;OFFSET(Prices!D871,-$N$3,0),1,IF(Prices!D871&lt;OFFSET(Prices!D871,-$N$3,0),-1,0))</f>
        <v>-1</v>
      </c>
      <c r="O872" s="1">
        <f ca="1">IF(N872=1,O$3*L871/Prices!C871,O$3*M871*N872)</f>
        <v>-1.2102446705118408E-3</v>
      </c>
      <c r="P872" s="14"/>
      <c r="Q872" s="9">
        <f ca="1">Q871-T872*Prices!C872</f>
        <v>1.0964032500085548</v>
      </c>
      <c r="R872" s="1">
        <f t="shared" ca="1" si="89"/>
        <v>9.398396668023867E-3</v>
      </c>
      <c r="S872" s="9">
        <f ca="1">IF(Prices!C871&lt;OFFSET(Prices!C871,-S$3,0),1,IF(Prices!C871&gt;OFFSET(Prices!C871,-S$3,0),-1,0))</f>
        <v>-1</v>
      </c>
      <c r="T872" s="1">
        <f ca="1">IF(S872=1,T$3*Q871/Prices!C871,T$3*R871*S872)</f>
        <v>-1.9180401363314014E-4</v>
      </c>
    </row>
    <row r="873" spans="1:20" x14ac:dyDescent="0.2">
      <c r="A873" s="4">
        <v>34729</v>
      </c>
      <c r="B873" s="9">
        <f ca="1">Prices!C872*(1+J873/(50*(ABS(O873)+ABS(T873)+0.0001)))</f>
        <v>98.175160674214752</v>
      </c>
      <c r="C873" s="13">
        <f t="shared" ca="1" si="84"/>
        <v>-1</v>
      </c>
      <c r="D873" s="9">
        <f ca="1">D872+C873*(Prices!C873-Prices!C872)/Prices!C872</f>
        <v>0.42257021562899094</v>
      </c>
      <c r="E873" s="9">
        <f t="shared" ca="1" si="85"/>
        <v>0</v>
      </c>
      <c r="F873" s="9">
        <f t="shared" ca="1" si="86"/>
        <v>0.42257021562899094</v>
      </c>
      <c r="G873" s="13">
        <f ca="1">IF((Prices!C873-Prices!C872)*C873&gt;0,1,0)</f>
        <v>1</v>
      </c>
      <c r="H873" s="9">
        <f>ABS(Prices!C873-Prices!C872)/Prices!C872</f>
        <v>9.8591549295775037E-3</v>
      </c>
      <c r="I873" s="13"/>
      <c r="J873" s="1">
        <f t="shared" ca="1" si="87"/>
        <v>-8.6861592780501185E-4</v>
      </c>
      <c r="K873" s="9"/>
      <c r="L873" s="9">
        <f ca="1">L872-O873*Prices!C873</f>
        <v>1.0490929358673542</v>
      </c>
      <c r="M873" s="1">
        <f t="shared" ca="1" si="88"/>
        <v>9.8029818311459096E-3</v>
      </c>
      <c r="N873" s="9">
        <f ca="1">IF(Prices!D872&gt;OFFSET(Prices!D872,-$N$3,0),1,IF(Prices!D872&lt;OFFSET(Prices!D872,-$N$3,0),-1,0))</f>
        <v>-1</v>
      </c>
      <c r="O873" s="1">
        <f ca="1">IF(N873=1,O$3*L872/Prices!C872,O$3*M872*N873)</f>
        <v>-1.0892202034606566E-3</v>
      </c>
      <c r="P873" s="14"/>
      <c r="Q873" s="9">
        <f ca="1">Q872-T873*Prices!C873</f>
        <v>1.0746913771985263</v>
      </c>
      <c r="R873" s="1">
        <f t="shared" ca="1" si="89"/>
        <v>9.6190009436795121E-3</v>
      </c>
      <c r="S873" s="9">
        <f ca="1">IF(Prices!C872&lt;OFFSET(Prices!C872,-S$3,0),1,IF(Prices!C872&gt;OFFSET(Prices!C872,-S$3,0),-1,0))</f>
        <v>1</v>
      </c>
      <c r="T873" s="1">
        <f ca="1">IF(S873=1,T$3*Q872/Prices!C872,T$3*R872*S873)</f>
        <v>2.2060427565564483E-4</v>
      </c>
    </row>
    <row r="874" spans="1:20" x14ac:dyDescent="0.2">
      <c r="A874" s="4">
        <v>34730</v>
      </c>
      <c r="B874" s="9">
        <f ca="1">Prices!C873*(1+J874/(50*(ABS(O874)+ABS(T874)+0.0001)))</f>
        <v>97.265185644747632</v>
      </c>
      <c r="C874" s="13">
        <f t="shared" ca="1" si="84"/>
        <v>-1</v>
      </c>
      <c r="D874" s="9">
        <f ca="1">D873+C874*(Prices!C874-Prices!C873)/Prices!C873</f>
        <v>0.41108880941074266</v>
      </c>
      <c r="E874" s="9">
        <f t="shared" ca="1" si="85"/>
        <v>1.148140621824828E-2</v>
      </c>
      <c r="F874" s="9">
        <f t="shared" ca="1" si="86"/>
        <v>0.42257021562899094</v>
      </c>
      <c r="G874" s="13">
        <f ca="1">IF((Prices!C874-Prices!C873)*C874&gt;0,1,0)</f>
        <v>0</v>
      </c>
      <c r="H874" s="9">
        <f>ABS(Prices!C874-Prices!C873)/Prices!C873</f>
        <v>1.1481406218248277E-2</v>
      </c>
      <c r="I874" s="13"/>
      <c r="J874" s="1">
        <f t="shared" ca="1" si="87"/>
        <v>-7.6190936433821917E-4</v>
      </c>
      <c r="K874" s="9"/>
      <c r="L874" s="9">
        <f ca="1">L873-O874*Prices!C874</f>
        <v>1.1466816199964118</v>
      </c>
      <c r="M874" s="1">
        <f t="shared" ca="1" si="88"/>
        <v>8.8226836480313191E-3</v>
      </c>
      <c r="N874" s="9">
        <f ca="1">IF(Prices!D873&gt;OFFSET(Prices!D873,-$N$3,0),1,IF(Prices!D873&lt;OFFSET(Prices!D873,-$N$3,0),-1,0))</f>
        <v>-1</v>
      </c>
      <c r="O874" s="1">
        <f ca="1">IF(N874=1,O$3*L873/Prices!C873,O$3*M873*N874)</f>
        <v>-9.8029818311459109E-4</v>
      </c>
      <c r="P874" s="14"/>
      <c r="Q874" s="9">
        <f ca="1">Q873-T874*Prices!C874</f>
        <v>1.0529507702893384</v>
      </c>
      <c r="R874" s="1">
        <f t="shared" ca="1" si="89"/>
        <v>9.8373897624558834E-3</v>
      </c>
      <c r="S874" s="9">
        <f ca="1">IF(Prices!C873&lt;OFFSET(Prices!C873,-S$3,0),1,IF(Prices!C873&gt;OFFSET(Prices!C873,-S$3,0),-1,0))</f>
        <v>1</v>
      </c>
      <c r="T874" s="1">
        <f ca="1">IF(S874=1,T$3*Q873/Prices!C873,T$3*R873*S874)</f>
        <v>2.1838881877637192E-4</v>
      </c>
    </row>
    <row r="875" spans="1:20" x14ac:dyDescent="0.2">
      <c r="A875" s="4">
        <v>34731</v>
      </c>
      <c r="B875" s="9">
        <f ca="1">Prices!C874*(1+J875/(50*(ABS(O875)+ABS(T875)+0.0001)))</f>
        <v>97.727869610736434</v>
      </c>
      <c r="C875" s="13">
        <f t="shared" ca="1" si="84"/>
        <v>-1</v>
      </c>
      <c r="D875" s="9">
        <f ca="1">D874+C875*(Prices!C875-Prices!C874)/Prices!C874</f>
        <v>0.41470508264027556</v>
      </c>
      <c r="E875" s="9">
        <f t="shared" ca="1" si="85"/>
        <v>7.8651329887153842E-3</v>
      </c>
      <c r="F875" s="9">
        <f t="shared" ca="1" si="86"/>
        <v>0.42257021562899094</v>
      </c>
      <c r="G875" s="13">
        <f ca="1">IF((Prices!C875-Prices!C874)*C875&gt;0,1,0)</f>
        <v>1</v>
      </c>
      <c r="H875" s="9">
        <f>ABS(Prices!C875-Prices!C874)/Prices!C874</f>
        <v>3.6162732295328924E-3</v>
      </c>
      <c r="I875" s="13"/>
      <c r="J875" s="1">
        <f t="shared" ca="1" si="87"/>
        <v>-1.0790161600522496E-3</v>
      </c>
      <c r="K875" s="9"/>
      <c r="L875" s="9">
        <f ca="1">L874-O875*Prices!C875</f>
        <v>1.2341938191012345</v>
      </c>
      <c r="M875" s="1">
        <f t="shared" ca="1" si="88"/>
        <v>7.9404152832281867E-3</v>
      </c>
      <c r="N875" s="9">
        <f ca="1">IF(Prices!D874&gt;OFFSET(Prices!D874,-$N$3,0),1,IF(Prices!D874&lt;OFFSET(Prices!D874,-$N$3,0),-1,0))</f>
        <v>-1</v>
      </c>
      <c r="O875" s="1">
        <f ca="1">IF(N875=1,O$3*L874/Prices!C874,O$3*M874*N875)</f>
        <v>-8.82268364803132E-4</v>
      </c>
      <c r="P875" s="14"/>
      <c r="Q875" s="9">
        <f ca="1">Q874-T875*Prices!C875</f>
        <v>1.0724661841000984</v>
      </c>
      <c r="R875" s="1">
        <f t="shared" ca="1" si="89"/>
        <v>9.6406419672067662E-3</v>
      </c>
      <c r="S875" s="9">
        <f ca="1">IF(Prices!C874&lt;OFFSET(Prices!C874,-S$3,0),1,IF(Prices!C874&gt;OFFSET(Prices!C874,-S$3,0),-1,0))</f>
        <v>-1</v>
      </c>
      <c r="T875" s="1">
        <f ca="1">IF(S875=1,T$3*Q874/Prices!C874,T$3*R874*S875)</f>
        <v>-1.9674779524911766E-4</v>
      </c>
    </row>
    <row r="876" spans="1:20" x14ac:dyDescent="0.2">
      <c r="A876" s="4">
        <v>34732</v>
      </c>
      <c r="B876" s="9">
        <f ca="1">Prices!C875*(1+J876/(50*(ABS(O876)+ABS(T876)+0.0001)))</f>
        <v>101.0466754837167</v>
      </c>
      <c r="C876" s="13">
        <f t="shared" ca="1" si="84"/>
        <v>1</v>
      </c>
      <c r="D876" s="9">
        <f ca="1">D875+C876*(Prices!C876-Prices!C875)/Prices!C875</f>
        <v>0.41692304816099335</v>
      </c>
      <c r="E876" s="9">
        <f t="shared" ca="1" si="85"/>
        <v>5.6471674679975936E-3</v>
      </c>
      <c r="F876" s="9">
        <f t="shared" ca="1" si="86"/>
        <v>0.42257021562899094</v>
      </c>
      <c r="G876" s="13">
        <f ca="1">IF((Prices!C876-Prices!C875)*C876&gt;0,1,0)</f>
        <v>1</v>
      </c>
      <c r="H876" s="9">
        <f>ABS(Prices!C876-Prices!C875)/Prices!C875</f>
        <v>2.2179655207178028E-3</v>
      </c>
      <c r="I876" s="13"/>
      <c r="J876" s="1">
        <f t="shared" ca="1" si="87"/>
        <v>1.460517245610701E-3</v>
      </c>
      <c r="K876" s="9"/>
      <c r="L876" s="9">
        <f ca="1">L875-O876*Prices!C876</f>
        <v>1.110500697257446</v>
      </c>
      <c r="M876" s="1">
        <f t="shared" ca="1" si="88"/>
        <v>9.1846877089779948E-3</v>
      </c>
      <c r="N876" s="9">
        <f ca="1">IF(Prices!D875&gt;OFFSET(Prices!D875,-$N$3,0),1,IF(Prices!D875&lt;OFFSET(Prices!D875,-$N$3,0),-1,0))</f>
        <v>1</v>
      </c>
      <c r="O876" s="1">
        <f ca="1">IF(N876=1,O$3*L875/Prices!C875,O$3*M875*N876)</f>
        <v>1.2442724257498081E-3</v>
      </c>
      <c r="P876" s="14"/>
      <c r="Q876" s="9">
        <f ca="1">Q875-T876*Prices!C876</f>
        <v>1.0509692865577271</v>
      </c>
      <c r="R876" s="1">
        <f t="shared" ca="1" si="89"/>
        <v>9.8568867870676598E-3</v>
      </c>
      <c r="S876" s="9">
        <f ca="1">IF(Prices!C875&lt;OFFSET(Prices!C875,-S$3,0),1,IF(Prices!C875&gt;OFFSET(Prices!C875,-S$3,0),-1,0))</f>
        <v>1</v>
      </c>
      <c r="T876" s="1">
        <f ca="1">IF(S876=1,T$3*Q875/Prices!C875,T$3*R875*S876)</f>
        <v>2.1624481986089292E-4</v>
      </c>
    </row>
    <row r="877" spans="1:20" x14ac:dyDescent="0.2">
      <c r="A877" s="4">
        <v>34733</v>
      </c>
      <c r="B877" s="9">
        <f ca="1">Prices!C876*(1+J877/(50*(ABS(O877)+ABS(T877)+0.0001)))</f>
        <v>100.70332080953514</v>
      </c>
      <c r="C877" s="13">
        <f t="shared" ca="1" si="84"/>
        <v>1</v>
      </c>
      <c r="D877" s="9">
        <f ca="1">D876+C877*(Prices!C877-Prices!C876)/Prices!C876</f>
        <v>0.42134916223402419</v>
      </c>
      <c r="E877" s="9">
        <f t="shared" ca="1" si="85"/>
        <v>1.2210533949667535E-3</v>
      </c>
      <c r="F877" s="9">
        <f t="shared" ca="1" si="86"/>
        <v>0.42257021562899094</v>
      </c>
      <c r="G877" s="13">
        <f ca="1">IF((Prices!C877-Prices!C876)*C877&gt;0,1,0)</f>
        <v>1</v>
      </c>
      <c r="H877" s="9">
        <f>ABS(Prices!C877-Prices!C876)/Prices!C876</f>
        <v>4.4261140730308592E-3</v>
      </c>
      <c r="I877" s="13"/>
      <c r="J877" s="1">
        <f t="shared" ca="1" si="87"/>
        <v>9.1995380158632623E-4</v>
      </c>
      <c r="K877" s="9"/>
      <c r="L877" s="9">
        <f ca="1">L876-O877*Prices!C877</f>
        <v>0.99895910725527726</v>
      </c>
      <c r="M877" s="1">
        <f t="shared" ca="1" si="88"/>
        <v>1.0301779246305674E-2</v>
      </c>
      <c r="N877" s="9">
        <f ca="1">IF(Prices!D876&gt;OFFSET(Prices!D876,-$N$3,0),1,IF(Prices!D876&lt;OFFSET(Prices!D876,-$N$3,0),-1,0))</f>
        <v>1</v>
      </c>
      <c r="O877" s="1">
        <f ca="1">IF(N877=1,O$3*L876/Prices!C876,O$3*M876*N877)</f>
        <v>1.1170915373276795E-3</v>
      </c>
      <c r="P877" s="14"/>
      <c r="Q877" s="9">
        <f ca="1">Q876-T877*Prices!C877</f>
        <v>1.0706534894715012</v>
      </c>
      <c r="R877" s="1">
        <f t="shared" ca="1" si="89"/>
        <v>9.6597490513263065E-3</v>
      </c>
      <c r="S877" s="9">
        <f ca="1">IF(Prices!C876&lt;OFFSET(Prices!C876,-S$3,0),1,IF(Prices!C876&gt;OFFSET(Prices!C876,-S$3,0),-1,0))</f>
        <v>-1</v>
      </c>
      <c r="T877" s="1">
        <f ca="1">IF(S877=1,T$3*Q876/Prices!C876,T$3*R876*S877)</f>
        <v>-1.9713773574135321E-4</v>
      </c>
    </row>
    <row r="878" spans="1:20" x14ac:dyDescent="0.2">
      <c r="A878" s="4">
        <v>34736</v>
      </c>
      <c r="B878" s="9">
        <f ca="1">Prices!C877*(1+J878/(50*(ABS(O878)+ABS(T878)+0.0001)))</f>
        <v>98.003902288498068</v>
      </c>
      <c r="C878" s="13">
        <f t="shared" ca="1" si="84"/>
        <v>-1</v>
      </c>
      <c r="D878" s="9">
        <f ca="1">D877+C878*(Prices!C878-Prices!C877)/Prices!C877</f>
        <v>0.4262565232755865</v>
      </c>
      <c r="E878" s="9">
        <f t="shared" ca="1" si="85"/>
        <v>0</v>
      </c>
      <c r="F878" s="9">
        <f t="shared" ca="1" si="86"/>
        <v>0.4262565232755865</v>
      </c>
      <c r="G878" s="13">
        <f ca="1">IF((Prices!C878-Prices!C877)*C878&gt;0,1,0)</f>
        <v>1</v>
      </c>
      <c r="H878" s="9">
        <f>ABS(Prices!C878-Prices!C877)/Prices!C877</f>
        <v>4.9073610415622925E-3</v>
      </c>
      <c r="I878" s="13"/>
      <c r="J878" s="1">
        <f t="shared" ca="1" si="87"/>
        <v>-1.2233729056570935E-3</v>
      </c>
      <c r="K878" s="9"/>
      <c r="L878" s="9">
        <f ca="1">L877-O878*Prices!C878</f>
        <v>1.1013175858465705</v>
      </c>
      <c r="M878" s="1">
        <f t="shared" ca="1" si="88"/>
        <v>9.2716013216751075E-3</v>
      </c>
      <c r="N878" s="9">
        <f ca="1">IF(Prices!D877&gt;OFFSET(Prices!D877,-$N$3,0),1,IF(Prices!D877&lt;OFFSET(Prices!D877,-$N$3,0),-1,0))</f>
        <v>-1</v>
      </c>
      <c r="O878" s="1">
        <f ca="1">IF(N878=1,O$3*L877/Prices!C877,O$3*M877*N878)</f>
        <v>-1.0301779246305674E-3</v>
      </c>
      <c r="P878" s="14"/>
      <c r="Q878" s="9">
        <f ca="1">Q877-T878*Prices!C878</f>
        <v>1.0898493427862967</v>
      </c>
      <c r="R878" s="1">
        <f t="shared" ca="1" si="89"/>
        <v>9.4665540702997802E-3</v>
      </c>
      <c r="S878" s="9">
        <f ca="1">IF(Prices!C877&lt;OFFSET(Prices!C877,-S$3,0),1,IF(Prices!C877&gt;OFFSET(Prices!C877,-S$3,0),-1,0))</f>
        <v>-1</v>
      </c>
      <c r="T878" s="1">
        <f ca="1">IF(S878=1,T$3*Q877/Prices!C877,T$3*R877*S878)</f>
        <v>-1.9319498102652612E-4</v>
      </c>
    </row>
    <row r="879" spans="1:20" x14ac:dyDescent="0.2">
      <c r="A879" s="4">
        <v>34737</v>
      </c>
      <c r="B879" s="9">
        <f ca="1">Prices!C878*(1+J879/(50*(ABS(O879)+ABS(T879)+0.0001)))</f>
        <v>98.231661033767097</v>
      </c>
      <c r="C879" s="13">
        <f t="shared" ca="1" si="84"/>
        <v>-1</v>
      </c>
      <c r="D879" s="9">
        <f ca="1">D878+C879*(Prices!C879-Prices!C878)/Prices!C878</f>
        <v>0.42525008205175402</v>
      </c>
      <c r="E879" s="9">
        <f t="shared" ca="1" si="85"/>
        <v>1.0064412238324771E-3</v>
      </c>
      <c r="F879" s="9">
        <f t="shared" ca="1" si="86"/>
        <v>0.4262565232755865</v>
      </c>
      <c r="G879" s="13">
        <f ca="1">IF((Prices!C879-Prices!C878)*C879&gt;0,1,0)</f>
        <v>0</v>
      </c>
      <c r="H879" s="9">
        <f>ABS(Prices!C879-Prices!C878)/Prices!C878</f>
        <v>1.0064412238324711E-3</v>
      </c>
      <c r="I879" s="13"/>
      <c r="J879" s="1">
        <f t="shared" ca="1" si="87"/>
        <v>-7.0778627089812735E-4</v>
      </c>
      <c r="K879" s="9"/>
      <c r="L879" s="9">
        <f ca="1">L878-O879*Prices!C879</f>
        <v>1.193532932591951</v>
      </c>
      <c r="M879" s="1">
        <f t="shared" ca="1" si="88"/>
        <v>8.3444411895075964E-3</v>
      </c>
      <c r="N879" s="9">
        <f ca="1">IF(Prices!D878&gt;OFFSET(Prices!D878,-$N$3,0),1,IF(Prices!D878&lt;OFFSET(Prices!D878,-$N$3,0),-1,0))</f>
        <v>-1</v>
      </c>
      <c r="O879" s="1">
        <f ca="1">IF(N879=1,O$3*L878/Prices!C878,O$3*M878*N879)</f>
        <v>-9.2716013216751077E-4</v>
      </c>
      <c r="P879" s="14"/>
      <c r="Q879" s="9">
        <f ca="1">Q878-T879*Prices!C879</f>
        <v>1.0680304185444438</v>
      </c>
      <c r="R879" s="1">
        <f t="shared" ca="1" si="89"/>
        <v>9.6859279315691642E-3</v>
      </c>
      <c r="S879" s="9">
        <f ca="1">IF(Prices!C878&lt;OFFSET(Prices!C878,-S$3,0),1,IF(Prices!C878&gt;OFFSET(Prices!C878,-S$3,0),-1,0))</f>
        <v>1</v>
      </c>
      <c r="T879" s="1">
        <f ca="1">IF(S879=1,T$3*Q878/Prices!C878,T$3*R878*S879)</f>
        <v>2.193738612693834E-4</v>
      </c>
    </row>
    <row r="880" spans="1:20" x14ac:dyDescent="0.2">
      <c r="A880" s="4">
        <v>34738</v>
      </c>
      <c r="B880" s="9">
        <f ca="1">Prices!C879*(1+J880/(50*(ABS(O880)+ABS(T880)+0.0001)))</f>
        <v>100.80008074812763</v>
      </c>
      <c r="C880" s="13">
        <f t="shared" ca="1" si="84"/>
        <v>1</v>
      </c>
      <c r="D880" s="9">
        <f ca="1">D879+C880*(Prices!C880-Prices!C879)/Prices!C879</f>
        <v>0.41992130666466387</v>
      </c>
      <c r="E880" s="9">
        <f t="shared" ca="1" si="85"/>
        <v>6.3352166109226227E-3</v>
      </c>
      <c r="F880" s="9">
        <f t="shared" ca="1" si="86"/>
        <v>0.4262565232755865</v>
      </c>
      <c r="G880" s="13">
        <f ca="1">IF((Prices!C880-Prices!C879)*C880&gt;0,1,0)</f>
        <v>0</v>
      </c>
      <c r="H880" s="9">
        <f>ABS(Prices!C880-Prices!C879)/Prices!C879</f>
        <v>5.3287753870901568E-3</v>
      </c>
      <c r="I880" s="13"/>
      <c r="J880" s="1">
        <f t="shared" ca="1" si="87"/>
        <v>1.0062944441757262E-3</v>
      </c>
      <c r="K880" s="9"/>
      <c r="L880" s="9">
        <f ca="1">L879-O880*Prices!C880</f>
        <v>1.0748156462242437</v>
      </c>
      <c r="M880" s="1">
        <f t="shared" ca="1" si="88"/>
        <v>9.5444541923147067E-3</v>
      </c>
      <c r="N880" s="9">
        <f ca="1">IF(Prices!D879&gt;OFFSET(Prices!D879,-$N$3,0),1,IF(Prices!D879&lt;OFFSET(Prices!D879,-$N$3,0),-1,0))</f>
        <v>1</v>
      </c>
      <c r="O880" s="1">
        <f ca="1">IF(N880=1,O$3*L879/Prices!C879,O$3*M879*N880)</f>
        <v>1.2000130028071096E-3</v>
      </c>
      <c r="P880" s="14"/>
      <c r="Q880" s="9">
        <f ca="1">Q879-T880*Prices!C880</f>
        <v>1.0871949955498466</v>
      </c>
      <c r="R880" s="1">
        <f t="shared" ca="1" si="89"/>
        <v>9.4922093729377811E-3</v>
      </c>
      <c r="S880" s="9">
        <f ca="1">IF(Prices!C879&lt;OFFSET(Prices!C879,-S$3,0),1,IF(Prices!C879&gt;OFFSET(Prices!C879,-S$3,0),-1,0))</f>
        <v>-1</v>
      </c>
      <c r="T880" s="1">
        <f ca="1">IF(S880=1,T$3*Q879/Prices!C879,T$3*R879*S880)</f>
        <v>-1.9371855863138329E-4</v>
      </c>
    </row>
    <row r="881" spans="1:20" x14ac:dyDescent="0.2">
      <c r="A881" s="4">
        <v>34739</v>
      </c>
      <c r="B881" s="9">
        <f ca="1">Prices!C880*(1+J881/(50*(ABS(O881)+ABS(T881)+0.0001)))</f>
        <v>100.76789768657491</v>
      </c>
      <c r="C881" s="13">
        <f t="shared" ca="1" si="84"/>
        <v>1</v>
      </c>
      <c r="D881" s="9">
        <f ca="1">D880+C881*(Prices!C881-Prices!C880)/Prices!C880</f>
        <v>0.41971914351900524</v>
      </c>
      <c r="E881" s="9">
        <f t="shared" ca="1" si="85"/>
        <v>6.5373797565812519E-3</v>
      </c>
      <c r="F881" s="9">
        <f t="shared" ca="1" si="86"/>
        <v>0.4262565232755865</v>
      </c>
      <c r="G881" s="13">
        <f ca="1">IF((Prices!C881-Prices!C880)*C881&gt;0,1,0)</f>
        <v>0</v>
      </c>
      <c r="H881" s="9">
        <f>ABS(Prices!C881-Prices!C880)/Prices!C880</f>
        <v>2.0216314565864985E-4</v>
      </c>
      <c r="I881" s="13"/>
      <c r="J881" s="1">
        <f t="shared" ca="1" si="87"/>
        <v>1.306231320463169E-3</v>
      </c>
      <c r="K881" s="9"/>
      <c r="L881" s="9">
        <f ca="1">L880-O881*Prices!C881</f>
        <v>0.96735581041302376</v>
      </c>
      <c r="M881" s="1">
        <f t="shared" ca="1" si="88"/>
        <v>1.0630894752533289E-2</v>
      </c>
      <c r="N881" s="9">
        <f ca="1">IF(Prices!D880&gt;OFFSET(Prices!D880,-$N$3,0),1,IF(Prices!D880&lt;OFFSET(Prices!D880,-$N$3,0),-1,0))</f>
        <v>1</v>
      </c>
      <c r="O881" s="1">
        <f ca="1">IF(N881=1,O$3*L880/Prices!C880,O$3*M880*N881)</f>
        <v>1.0864405602185826E-3</v>
      </c>
      <c r="P881" s="14"/>
      <c r="Q881" s="9">
        <f ca="1">Q880-T881*Prices!C881</f>
        <v>1.0654554914540546</v>
      </c>
      <c r="R881" s="1">
        <f t="shared" ca="1" si="89"/>
        <v>9.7120001331823681E-3</v>
      </c>
      <c r="S881" s="9">
        <f ca="1">IF(Prices!C880&lt;OFFSET(Prices!C880,-S$3,0),1,IF(Prices!C880&gt;OFFSET(Prices!C880,-S$3,0),-1,0))</f>
        <v>1</v>
      </c>
      <c r="T881" s="1">
        <f ca="1">IF(S881=1,T$3*Q880/Prices!C880,T$3*R880*S881)</f>
        <v>2.1979076024458637E-4</v>
      </c>
    </row>
    <row r="882" spans="1:20" x14ac:dyDescent="0.2">
      <c r="A882" s="4">
        <v>34740</v>
      </c>
      <c r="B882" s="9">
        <f ca="1">Prices!C881*(1+J882/(50*(ABS(O882)+ABS(T882)+0.0001)))</f>
        <v>100.73526084700144</v>
      </c>
      <c r="C882" s="13">
        <f t="shared" ca="1" si="84"/>
        <v>1</v>
      </c>
      <c r="D882" s="9">
        <f ca="1">D881+C882*(Prices!C882-Prices!C881)/Prices!C881</f>
        <v>0.41992134754286542</v>
      </c>
      <c r="E882" s="9">
        <f t="shared" ca="1" si="85"/>
        <v>6.3351757327210767E-3</v>
      </c>
      <c r="F882" s="9">
        <f t="shared" ca="1" si="86"/>
        <v>0.4262565232755865</v>
      </c>
      <c r="G882" s="13">
        <f ca="1">IF((Prices!C882-Prices!C881)*C882&gt;0,1,0)</f>
        <v>1</v>
      </c>
      <c r="H882" s="9">
        <f>ABS(Prices!C882-Prices!C881)/Prices!C881</f>
        <v>2.0220402386017826E-4</v>
      </c>
      <c r="I882" s="13"/>
      <c r="J882" s="1">
        <f t="shared" ca="1" si="87"/>
        <v>1.1934555744655087E-3</v>
      </c>
      <c r="K882" s="9"/>
      <c r="L882" s="9">
        <f ca="1">L881-O882*Prices!C882</f>
        <v>0.87060066904798439</v>
      </c>
      <c r="M882" s="1">
        <f t="shared" ca="1" si="88"/>
        <v>1.1608910939382974E-2</v>
      </c>
      <c r="N882" s="9">
        <f ca="1">IF(Prices!D881&gt;OFFSET(Prices!D881,-$N$3,0),1,IF(Prices!D881&lt;OFFSET(Prices!D881,-$N$3,0),-1,0))</f>
        <v>1</v>
      </c>
      <c r="O882" s="1">
        <f ca="1">IF(N882=1,O$3*L881/Prices!C881,O$3*M881*N882)</f>
        <v>9.7801618684968542E-4</v>
      </c>
      <c r="P882" s="14"/>
      <c r="Q882" s="9">
        <f ca="1">Q881-T882*Prices!C882</f>
        <v>1.0441420728372213</v>
      </c>
      <c r="R882" s="1">
        <f t="shared" ca="1" si="89"/>
        <v>9.9274395207981907E-3</v>
      </c>
      <c r="S882" s="9">
        <f ca="1">IF(Prices!C881&lt;OFFSET(Prices!C881,-S$3,0),1,IF(Prices!C881&gt;OFFSET(Prices!C881,-S$3,0),-1,0))</f>
        <v>1</v>
      </c>
      <c r="T882" s="1">
        <f ca="1">IF(S882=1,T$3*Q881/Prices!C881,T$3*R881*S882)</f>
        <v>2.1543938761582341E-4</v>
      </c>
    </row>
    <row r="883" spans="1:20" x14ac:dyDescent="0.2">
      <c r="A883" s="4">
        <v>34743</v>
      </c>
      <c r="B883" s="9">
        <f ca="1">Prices!C882*(1+J883/(50*(ABS(O883)+ABS(T883)+0.0001)))</f>
        <v>100.74248518769727</v>
      </c>
      <c r="C883" s="13">
        <f t="shared" ca="1" si="84"/>
        <v>1</v>
      </c>
      <c r="D883" s="9">
        <f ca="1">D882+C883*(Prices!C883-Prices!C882)/Prices!C882</f>
        <v>0.4178997160862799</v>
      </c>
      <c r="E883" s="9">
        <f t="shared" ca="1" si="85"/>
        <v>8.3568071893065921E-3</v>
      </c>
      <c r="F883" s="9">
        <f t="shared" ca="1" si="86"/>
        <v>0.4262565232755865</v>
      </c>
      <c r="G883" s="13">
        <f ca="1">IF((Prices!C883-Prices!C882)*C883&gt;0,1,0)</f>
        <v>0</v>
      </c>
      <c r="H883" s="9">
        <f>ABS(Prices!C883-Prices!C882)/Prices!C882</f>
        <v>2.0216314565854932E-3</v>
      </c>
      <c r="I883" s="13"/>
      <c r="J883" s="1">
        <f t="shared" ca="1" si="87"/>
        <v>1.0911038952950861E-3</v>
      </c>
      <c r="K883" s="9"/>
      <c r="L883" s="9">
        <f ca="1">L882-O883*Prices!C883</f>
        <v>0.78371660551305311</v>
      </c>
      <c r="M883" s="1">
        <f t="shared" ca="1" si="88"/>
        <v>1.2488927788718853E-2</v>
      </c>
      <c r="N883" s="9">
        <f ca="1">IF(Prices!D882&gt;OFFSET(Prices!D882,-$N$3,0),1,IF(Prices!D882&lt;OFFSET(Prices!D882,-$N$3,0),-1,0))</f>
        <v>1</v>
      </c>
      <c r="O883" s="1">
        <f ca="1">IF(N883=1,O$3*L882/Prices!C882,O$3*M882*N883)</f>
        <v>8.8001684933587839E-4</v>
      </c>
      <c r="P883" s="14"/>
      <c r="Q883" s="9">
        <f ca="1">Q882-T883*Prices!C883</f>
        <v>1.0233014487896688</v>
      </c>
      <c r="R883" s="1">
        <f t="shared" ca="1" si="89"/>
        <v>1.0138526566757398E-2</v>
      </c>
      <c r="S883" s="9">
        <f ca="1">IF(Prices!C882&lt;OFFSET(Prices!C882,-S$3,0),1,IF(Prices!C882&gt;OFFSET(Prices!C882,-S$3,0),-1,0))</f>
        <v>1</v>
      </c>
      <c r="T883" s="1">
        <f ca="1">IF(S883=1,T$3*Q882/Prices!C882,T$3*R882*S883)</f>
        <v>2.1108704595920776E-4</v>
      </c>
    </row>
    <row r="884" spans="1:20" x14ac:dyDescent="0.2">
      <c r="A884" s="4">
        <v>34744</v>
      </c>
      <c r="B884" s="9">
        <f ca="1">Prices!C883*(1+J884/(50*(ABS(O884)+ABS(T884)+0.0001)))</f>
        <v>100.52526873198205</v>
      </c>
      <c r="C884" s="13">
        <f t="shared" ca="1" si="84"/>
        <v>1</v>
      </c>
      <c r="D884" s="9">
        <f ca="1">D883+C884*(Prices!C884-Prices!C883)/Prices!C883</f>
        <v>0.41536755767444966</v>
      </c>
      <c r="E884" s="9">
        <f t="shared" ca="1" si="85"/>
        <v>1.0888965601136835E-2</v>
      </c>
      <c r="F884" s="9">
        <f t="shared" ca="1" si="86"/>
        <v>0.4262565232755865</v>
      </c>
      <c r="G884" s="13">
        <f ca="1">IF((Prices!C884-Prices!C883)*C884&gt;0,1,0)</f>
        <v>0</v>
      </c>
      <c r="H884" s="9">
        <f>ABS(Prices!C884-Prices!C883)/Prices!C883</f>
        <v>2.532158411830244E-3</v>
      </c>
      <c r="I884" s="13"/>
      <c r="J884" s="1">
        <f t="shared" ca="1" si="87"/>
        <v>1.0010907477676358E-3</v>
      </c>
      <c r="K884" s="9"/>
      <c r="L884" s="9">
        <f ca="1">L883-O884*Prices!C884</f>
        <v>0.7055433944212619</v>
      </c>
      <c r="M884" s="1">
        <f t="shared" ca="1" si="88"/>
        <v>1.3282725626775222E-2</v>
      </c>
      <c r="N884" s="9">
        <f ca="1">IF(Prices!D883&gt;OFFSET(Prices!D883,-$N$3,0),1,IF(Prices!D883&lt;OFFSET(Prices!D883,-$N$3,0),-1,0))</f>
        <v>1</v>
      </c>
      <c r="O884" s="1">
        <f ca="1">IF(N884=1,O$3*L883/Prices!C883,O$3*M883*N884)</f>
        <v>7.9379783805636904E-4</v>
      </c>
      <c r="P884" s="14"/>
      <c r="Q884" s="9">
        <f ca="1">Q883-T884*Prices!C884</f>
        <v>1.0028872430413032</v>
      </c>
      <c r="R884" s="1">
        <f t="shared" ca="1" si="89"/>
        <v>1.0345819476468666E-2</v>
      </c>
      <c r="S884" s="9">
        <f ca="1">IF(Prices!C883&lt;OFFSET(Prices!C883,-S$3,0),1,IF(Prices!C883&gt;OFFSET(Prices!C883,-S$3,0),-1,0))</f>
        <v>1</v>
      </c>
      <c r="T884" s="1">
        <f ca="1">IF(S884=1,T$3*Q883/Prices!C883,T$3*R883*S884)</f>
        <v>2.0729290971126685E-4</v>
      </c>
    </row>
    <row r="885" spans="1:20" x14ac:dyDescent="0.2">
      <c r="A885" s="4">
        <v>34745</v>
      </c>
      <c r="B885" s="9">
        <f ca="1">Prices!C884*(1+J885/(50*(ABS(O885)+ABS(T885)+0.0001)))</f>
        <v>97.122717986766858</v>
      </c>
      <c r="C885" s="13">
        <f t="shared" ca="1" si="84"/>
        <v>-1</v>
      </c>
      <c r="D885" s="9">
        <f ca="1">D884+C885*(Prices!C885-Prices!C884)/Prices!C884</f>
        <v>0.4167891661228656</v>
      </c>
      <c r="E885" s="9">
        <f t="shared" ca="1" si="85"/>
        <v>9.4673571527209011E-3</v>
      </c>
      <c r="F885" s="9">
        <f t="shared" ca="1" si="86"/>
        <v>0.4262565232755865</v>
      </c>
      <c r="G885" s="13">
        <f ca="1">IF((Prices!C885-Prices!C884)*C885&gt;0,1,0)</f>
        <v>1</v>
      </c>
      <c r="H885" s="9">
        <f>ABS(Prices!C885-Prices!C884)/Prices!C884</f>
        <v>1.4216084484159276E-3</v>
      </c>
      <c r="I885" s="13"/>
      <c r="J885" s="1">
        <f t="shared" ca="1" si="87"/>
        <v>-1.1245992801752268E-3</v>
      </c>
      <c r="K885" s="9"/>
      <c r="L885" s="9">
        <f ca="1">L884-O885*Prices!C885</f>
        <v>0.83616571823496944</v>
      </c>
      <c r="M885" s="1">
        <f t="shared" ca="1" si="88"/>
        <v>1.19544530640977E-2</v>
      </c>
      <c r="N885" s="9">
        <f ca="1">IF(Prices!D884&gt;OFFSET(Prices!D884,-$N$3,0),1,IF(Prices!D884&lt;OFFSET(Prices!D884,-$N$3,0),-1,0))</f>
        <v>-1</v>
      </c>
      <c r="O885" s="1">
        <f ca="1">IF(N885=1,O$3*L884/Prices!C884,O$3*M884*N885)</f>
        <v>-1.3282725626775223E-3</v>
      </c>
      <c r="P885" s="14"/>
      <c r="Q885" s="9">
        <f ca="1">Q884-T885*Prices!C885</f>
        <v>0.98285801244002746</v>
      </c>
      <c r="R885" s="1">
        <f t="shared" ca="1" si="89"/>
        <v>1.0549492758970961E-2</v>
      </c>
      <c r="S885" s="9">
        <f ca="1">IF(Prices!C884&lt;OFFSET(Prices!C884,-S$3,0),1,IF(Prices!C884&gt;OFFSET(Prices!C884,-S$3,0),-1,0))</f>
        <v>1</v>
      </c>
      <c r="T885" s="1">
        <f ca="1">IF(S885=1,T$3*Q884/Prices!C884,T$3*R884*S885)</f>
        <v>2.0367328250229551E-4</v>
      </c>
    </row>
    <row r="886" spans="1:20" x14ac:dyDescent="0.2">
      <c r="A886" s="4">
        <v>34746</v>
      </c>
      <c r="B886" s="9">
        <f ca="1">Prices!C885*(1+J886/(50*(ABS(O886)+ABS(T886)+0.0001)))</f>
        <v>97.03055528021406</v>
      </c>
      <c r="C886" s="13">
        <f t="shared" ca="1" si="84"/>
        <v>-1</v>
      </c>
      <c r="D886" s="9">
        <f ca="1">D885+C886*(Prices!C886-Prices!C885)/Prices!C885</f>
        <v>0.42533095989955871</v>
      </c>
      <c r="E886" s="9">
        <f t="shared" ca="1" si="85"/>
        <v>9.255633760277826E-4</v>
      </c>
      <c r="F886" s="9">
        <f t="shared" ca="1" si="86"/>
        <v>0.4262565232755865</v>
      </c>
      <c r="G886" s="13">
        <f ca="1">IF((Prices!C886-Prices!C885)*C886&gt;0,1,0)</f>
        <v>1</v>
      </c>
      <c r="H886" s="9">
        <f>ABS(Prices!C886-Prices!C885)/Prices!C885</f>
        <v>8.5417937766931393E-3</v>
      </c>
      <c r="I886" s="13"/>
      <c r="J886" s="1">
        <f t="shared" ca="1" si="87"/>
        <v>-9.955555336946943E-4</v>
      </c>
      <c r="K886" s="9"/>
      <c r="L886" s="9">
        <f ca="1">L885-O886*Prices!C886</f>
        <v>0.95272163560992196</v>
      </c>
      <c r="M886" s="1">
        <f t="shared" ca="1" si="88"/>
        <v>1.0759007757687929E-2</v>
      </c>
      <c r="N886" s="9">
        <f ca="1">IF(Prices!D885&gt;OFFSET(Prices!D885,-$N$3,0),1,IF(Prices!D885&lt;OFFSET(Prices!D885,-$N$3,0),-1,0))</f>
        <v>-1</v>
      </c>
      <c r="O886" s="1">
        <f ca="1">IF(N886=1,O$3*L885/Prices!C885,O$3*M885*N886)</f>
        <v>-1.19544530640977E-3</v>
      </c>
      <c r="P886" s="14"/>
      <c r="Q886" s="9">
        <f ca="1">Q885-T886*Prices!C886</f>
        <v>0.96336875960030754</v>
      </c>
      <c r="R886" s="1">
        <f t="shared" ca="1" si="89"/>
        <v>1.0749382531686037E-2</v>
      </c>
      <c r="S886" s="9">
        <f ca="1">IF(Prices!C885&lt;OFFSET(Prices!C885,-S$3,0),1,IF(Prices!C885&gt;OFFSET(Prices!C885,-S$3,0),-1,0))</f>
        <v>1</v>
      </c>
      <c r="T886" s="1">
        <f ca="1">IF(S886=1,T$3*Q885/Prices!C885,T$3*R885*S886)</f>
        <v>1.9988977271507573E-4</v>
      </c>
    </row>
    <row r="887" spans="1:20" x14ac:dyDescent="0.2">
      <c r="A887" s="4">
        <v>34747</v>
      </c>
      <c r="B887" s="9">
        <f ca="1">Prices!C886*(1+J887/(50*(ABS(O887)+ABS(T887)+0.0001)))</f>
        <v>96.253083032830176</v>
      </c>
      <c r="C887" s="13">
        <f t="shared" ca="1" si="84"/>
        <v>-1</v>
      </c>
      <c r="D887" s="9">
        <f ca="1">D886+C887*(Prices!C887-Prices!C886)/Prices!C886</f>
        <v>0.42635660092519967</v>
      </c>
      <c r="E887" s="9">
        <f t="shared" ca="1" si="85"/>
        <v>0</v>
      </c>
      <c r="F887" s="9">
        <f t="shared" ca="1" si="86"/>
        <v>0.42635660092519967</v>
      </c>
      <c r="G887" s="13">
        <f ca="1">IF((Prices!C887-Prices!C886)*C887&gt;0,1,0)</f>
        <v>1</v>
      </c>
      <c r="H887" s="9">
        <f>ABS(Prices!C887-Prices!C886)/Prices!C886</f>
        <v>1.0256410256409673E-3</v>
      </c>
      <c r="I887" s="13"/>
      <c r="J887" s="1">
        <f t="shared" ca="1" si="87"/>
        <v>-8.7828667123539662E-4</v>
      </c>
      <c r="K887" s="9"/>
      <c r="L887" s="9">
        <f ca="1">L886-O887*Prices!C887</f>
        <v>1.0575143711698023</v>
      </c>
      <c r="M887" s="1">
        <f t="shared" ca="1" si="88"/>
        <v>9.6831069819191366E-3</v>
      </c>
      <c r="N887" s="9">
        <f ca="1">IF(Prices!D886&gt;OFFSET(Prices!D886,-$N$3,0),1,IF(Prices!D886&lt;OFFSET(Prices!D886,-$N$3,0),-1,0))</f>
        <v>-1</v>
      </c>
      <c r="O887" s="1">
        <f ca="1">IF(N887=1,O$3*L886/Prices!C886,O$3*M886*N887)</f>
        <v>-1.075900775768793E-3</v>
      </c>
      <c r="P887" s="14"/>
      <c r="Q887" s="9">
        <f ca="1">Q886-T887*Prices!C887</f>
        <v>0.94412114581875473</v>
      </c>
      <c r="R887" s="1">
        <f t="shared" ca="1" si="89"/>
        <v>1.0946996636219434E-2</v>
      </c>
      <c r="S887" s="9">
        <f ca="1">IF(Prices!C886&lt;OFFSET(Prices!C886,-S$3,0),1,IF(Prices!C886&gt;OFFSET(Prices!C886,-S$3,0),-1,0))</f>
        <v>1</v>
      </c>
      <c r="T887" s="1">
        <f ca="1">IF(S887=1,T$3*Q886/Prices!C886,T$3*R886*S887)</f>
        <v>1.9761410453339641E-4</v>
      </c>
    </row>
    <row r="888" spans="1:20" x14ac:dyDescent="0.2">
      <c r="A888" s="4">
        <v>34750</v>
      </c>
      <c r="B888" s="9">
        <f ca="1">Prices!C887*(1+J888/(50*(ABS(O888)+ABS(T888)+0.0001)))</f>
        <v>96.204745544901044</v>
      </c>
      <c r="C888" s="13">
        <f t="shared" ca="1" si="84"/>
        <v>-1</v>
      </c>
      <c r="D888" s="9">
        <f ca="1">D887+C888*(Prices!C888-Prices!C887)/Prices!C887</f>
        <v>0.42748596437489167</v>
      </c>
      <c r="E888" s="9">
        <f t="shared" ca="1" si="85"/>
        <v>0</v>
      </c>
      <c r="F888" s="9">
        <f t="shared" ca="1" si="86"/>
        <v>0.42748596437489167</v>
      </c>
      <c r="G888" s="13">
        <f ca="1">IF((Prices!C888-Prices!C887)*C888&gt;0,1,0)</f>
        <v>1</v>
      </c>
      <c r="H888" s="9">
        <f>ABS(Prices!C888-Prices!C887)/Prices!C887</f>
        <v>1.1293634496919859E-3</v>
      </c>
      <c r="I888" s="13"/>
      <c r="J888" s="1">
        <f t="shared" ca="1" si="87"/>
        <v>-7.7444598652481834E-4</v>
      </c>
      <c r="K888" s="9"/>
      <c r="L888" s="9">
        <f ca="1">L887-O888*Prices!C888</f>
        <v>1.1517213189968936</v>
      </c>
      <c r="M888" s="1">
        <f t="shared" ca="1" si="88"/>
        <v>8.7147962837272226E-3</v>
      </c>
      <c r="N888" s="9">
        <f ca="1">IF(Prices!D887&gt;OFFSET(Prices!D887,-$N$3,0),1,IF(Prices!D887&lt;OFFSET(Prices!D887,-$N$3,0),-1,0))</f>
        <v>-1</v>
      </c>
      <c r="O888" s="1">
        <f ca="1">IF(N888=1,O$3*L887/Prices!C887,O$3*M887*N888)</f>
        <v>-9.6831069819191368E-4</v>
      </c>
      <c r="P888" s="14"/>
      <c r="Q888" s="9">
        <f ca="1">Q887-T888*Prices!C888</f>
        <v>0.92526004802066297</v>
      </c>
      <c r="R888" s="1">
        <f t="shared" ca="1" si="89"/>
        <v>1.1140861347886529E-2</v>
      </c>
      <c r="S888" s="9">
        <f ca="1">IF(Prices!C887&lt;OFFSET(Prices!C887,-S$3,0),1,IF(Prices!C887&gt;OFFSET(Prices!C887,-S$3,0),-1,0))</f>
        <v>1</v>
      </c>
      <c r="T888" s="1">
        <f ca="1">IF(S888=1,T$3*Q887/Prices!C887,T$3*R887*S888)</f>
        <v>1.938647116670954E-4</v>
      </c>
    </row>
    <row r="889" spans="1:20" x14ac:dyDescent="0.2">
      <c r="A889" s="4">
        <v>34751</v>
      </c>
      <c r="B889" s="9">
        <f ca="1">Prices!C888*(1+J889/(50*(ABS(O889)+ABS(T889)+0.0001)))</f>
        <v>99.103792662371006</v>
      </c>
      <c r="C889" s="13">
        <f t="shared" ca="1" si="84"/>
        <v>1</v>
      </c>
      <c r="D889" s="9">
        <f ca="1">D888+C889*(Prices!C889-Prices!C888)/Prices!C888</f>
        <v>0.42532746915441672</v>
      </c>
      <c r="E889" s="9">
        <f t="shared" ca="1" si="85"/>
        <v>2.1584952204749541E-3</v>
      </c>
      <c r="F889" s="9">
        <f t="shared" ca="1" si="86"/>
        <v>0.42748596437489167</v>
      </c>
      <c r="G889" s="13">
        <f ca="1">IF((Prices!C889-Prices!C888)*C889&gt;0,1,0)</f>
        <v>0</v>
      </c>
      <c r="H889" s="9">
        <f>ABS(Prices!C889-Prices!C888)/Prices!C888</f>
        <v>2.1584952204749507E-3</v>
      </c>
      <c r="I889" s="13"/>
      <c r="J889" s="1">
        <f t="shared" ca="1" si="87"/>
        <v>1.3740089717350459E-3</v>
      </c>
      <c r="K889" s="9"/>
      <c r="L889" s="9">
        <f ca="1">L888-O889*Prices!C889</f>
        <v>1.0367977855934416</v>
      </c>
      <c r="M889" s="1">
        <f t="shared" ca="1" si="88"/>
        <v>9.8985986467623691E-3</v>
      </c>
      <c r="N889" s="9">
        <f ca="1">IF(Prices!D888&gt;OFFSET(Prices!D888,-$N$3,0),1,IF(Prices!D888&lt;OFFSET(Prices!D888,-$N$3,0),-1,0))</f>
        <v>1</v>
      </c>
      <c r="O889" s="1">
        <f ca="1">IF(N889=1,O$3*L888/Prices!C888,O$3*M888*N889)</f>
        <v>1.1838023630351461E-3</v>
      </c>
      <c r="P889" s="14"/>
      <c r="Q889" s="9">
        <f ca="1">Q888-T889*Prices!C889</f>
        <v>0.90679479044807665</v>
      </c>
      <c r="R889" s="1">
        <f t="shared" ca="1" si="89"/>
        <v>1.1331067956586428E-2</v>
      </c>
      <c r="S889" s="9">
        <f ca="1">IF(Prices!C888&lt;OFFSET(Prices!C888,-S$3,0),1,IF(Prices!C888&gt;OFFSET(Prices!C888,-S$3,0),-1,0))</f>
        <v>1</v>
      </c>
      <c r="T889" s="1">
        <f ca="1">IF(S889=1,T$3*Q888/Prices!C888,T$3*R888*S889)</f>
        <v>1.9020660869989987E-4</v>
      </c>
    </row>
    <row r="890" spans="1:20" x14ac:dyDescent="0.2">
      <c r="A890" s="4">
        <v>34752</v>
      </c>
      <c r="B890" s="9">
        <f ca="1">Prices!C889*(1+J890/(50*(ABS(O890)+ABS(T890)+0.0001)))</f>
        <v>98.87828699653862</v>
      </c>
      <c r="C890" s="13">
        <f t="shared" ca="1" si="84"/>
        <v>1</v>
      </c>
      <c r="D890" s="9">
        <f ca="1">D889+C890*(Prices!C890-Prices!C889)/Prices!C889</f>
        <v>0.42501844566863178</v>
      </c>
      <c r="E890" s="9">
        <f t="shared" ca="1" si="85"/>
        <v>2.4675187062598858E-3</v>
      </c>
      <c r="F890" s="9">
        <f t="shared" ca="1" si="86"/>
        <v>0.42748596437489167</v>
      </c>
      <c r="G890" s="13">
        <f ca="1">IF((Prices!C890-Prices!C889)*C890&gt;0,1,0)</f>
        <v>0</v>
      </c>
      <c r="H890" s="9">
        <f>ABS(Prices!C890-Prices!C889)/Prices!C889</f>
        <v>3.0902348578493139E-4</v>
      </c>
      <c r="I890" s="13"/>
      <c r="J890" s="1">
        <f t="shared" ca="1" si="87"/>
        <v>1.2547968105511506E-3</v>
      </c>
      <c r="K890" s="9"/>
      <c r="L890" s="9">
        <f ca="1">L889-O890*Prices!C890</f>
        <v>0.93315004652067324</v>
      </c>
      <c r="M890" s="1">
        <f t="shared" ca="1" si="88"/>
        <v>1.096658153262294E-2</v>
      </c>
      <c r="N890" s="9">
        <f ca="1">IF(Prices!D889&gt;OFFSET(Prices!D889,-$N$3,0),1,IF(Prices!D889&lt;OFFSET(Prices!D889,-$N$3,0),-1,0))</f>
        <v>1</v>
      </c>
      <c r="O890" s="1">
        <f ca="1">IF(N890=1,O$3*L889/Prices!C889,O$3*M889*N890)</f>
        <v>1.0679828858605703E-3</v>
      </c>
      <c r="P890" s="14"/>
      <c r="Q890" s="9">
        <f ca="1">Q889-T890*Prices!C890</f>
        <v>0.88866449905685585</v>
      </c>
      <c r="R890" s="1">
        <f t="shared" ca="1" si="89"/>
        <v>1.1517881881277009E-2</v>
      </c>
      <c r="S890" s="9">
        <f ca="1">IF(Prices!C889&lt;OFFSET(Prices!C889,-S$3,0),1,IF(Prices!C889&gt;OFFSET(Prices!C889,-S$3,0),-1,0))</f>
        <v>1</v>
      </c>
      <c r="T890" s="1">
        <f ca="1">IF(S890=1,T$3*Q889/Prices!C889,T$3*R889*S890)</f>
        <v>1.8681392469058027E-4</v>
      </c>
    </row>
    <row r="891" spans="1:20" x14ac:dyDescent="0.2">
      <c r="A891" s="4">
        <v>34753</v>
      </c>
      <c r="B891" s="9">
        <f ca="1">Prices!C890*(1+J891/(50*(ABS(O891)+ABS(T891)+0.0001)))</f>
        <v>95.764918127089047</v>
      </c>
      <c r="C891" s="13">
        <f t="shared" ca="1" si="84"/>
        <v>-1</v>
      </c>
      <c r="D891" s="9">
        <f ca="1">D890+C891*(Prices!C891-Prices!C890)/Prices!C890</f>
        <v>0.42841875478764258</v>
      </c>
      <c r="E891" s="9">
        <f t="shared" ca="1" si="85"/>
        <v>0</v>
      </c>
      <c r="F891" s="9">
        <f t="shared" ca="1" si="86"/>
        <v>0.42841875478764258</v>
      </c>
      <c r="G891" s="13">
        <f ca="1">IF((Prices!C891-Prices!C890)*C891&gt;0,1,0)</f>
        <v>1</v>
      </c>
      <c r="H891" s="9">
        <f>ABS(Prices!C891-Prices!C890)/Prices!C890</f>
        <v>3.4003091190108019E-3</v>
      </c>
      <c r="I891" s="13"/>
      <c r="J891" s="1">
        <f t="shared" ca="1" si="87"/>
        <v>-9.1352275932991779E-4</v>
      </c>
      <c r="K891" s="9"/>
      <c r="L891" s="9">
        <f ca="1">L890-O891*Prices!C891</f>
        <v>1.0392188231042023</v>
      </c>
      <c r="M891" s="1">
        <f t="shared" ca="1" si="88"/>
        <v>9.8699233793606463E-3</v>
      </c>
      <c r="N891" s="9">
        <f ca="1">IF(Prices!D890&gt;OFFSET(Prices!D890,-$N$3,0),1,IF(Prices!D890&lt;OFFSET(Prices!D890,-$N$3,0),-1,0))</f>
        <v>-1</v>
      </c>
      <c r="O891" s="1">
        <f ca="1">IF(N891=1,O$3*L890/Prices!C890,O$3*M890*N891)</f>
        <v>-1.0966581532622941E-3</v>
      </c>
      <c r="P891" s="14"/>
      <c r="Q891" s="9">
        <f ca="1">Q890-T891*Prices!C891</f>
        <v>0.87095164375571643</v>
      </c>
      <c r="R891" s="1">
        <f t="shared" ca="1" si="89"/>
        <v>1.1701017275209384E-2</v>
      </c>
      <c r="S891" s="9">
        <f ca="1">IF(Prices!C890&lt;OFFSET(Prices!C890,-S$3,0),1,IF(Prices!C890&gt;OFFSET(Prices!C890,-S$3,0),-1,0))</f>
        <v>1</v>
      </c>
      <c r="T891" s="1">
        <f ca="1">IF(S891=1,T$3*Q890/Prices!C890,T$3*R890*S891)</f>
        <v>1.8313539393237629E-4</v>
      </c>
    </row>
    <row r="892" spans="1:20" x14ac:dyDescent="0.2">
      <c r="A892" s="4">
        <v>34754</v>
      </c>
      <c r="B892" s="9">
        <f ca="1">Prices!C891*(1+J892/(50*(ABS(O892)+ABS(T892)+0.0001)))</f>
        <v>95.488155784855067</v>
      </c>
      <c r="C892" s="13">
        <f t="shared" ca="1" si="84"/>
        <v>-1</v>
      </c>
      <c r="D892" s="9">
        <f ca="1">D891+C892*(Prices!C892-Prices!C891)/Prices!C891</f>
        <v>0.4265577126040197</v>
      </c>
      <c r="E892" s="9">
        <f t="shared" ca="1" si="85"/>
        <v>1.8610421836228741E-3</v>
      </c>
      <c r="F892" s="9">
        <f t="shared" ca="1" si="86"/>
        <v>0.42841875478764258</v>
      </c>
      <c r="G892" s="13">
        <f ca="1">IF((Prices!C892-Prices!C891)*C892&gt;0,1,0)</f>
        <v>0</v>
      </c>
      <c r="H892" s="9">
        <f>ABS(Prices!C892-Prices!C891)/Prices!C891</f>
        <v>1.8610421836228993E-3</v>
      </c>
      <c r="I892" s="13"/>
      <c r="J892" s="1">
        <f t="shared" ca="1" si="87"/>
        <v>-8.0689481027772789E-4</v>
      </c>
      <c r="K892" s="9"/>
      <c r="L892" s="9">
        <f ca="1">L891-O892*Prices!C892</f>
        <v>1.1348583806502071</v>
      </c>
      <c r="M892" s="1">
        <f t="shared" ca="1" si="88"/>
        <v>8.8829310414245809E-3</v>
      </c>
      <c r="N892" s="9">
        <f ca="1">IF(Prices!D891&gt;OFFSET(Prices!D891,-$N$3,0),1,IF(Prices!D891&lt;OFFSET(Prices!D891,-$N$3,0),-1,0))</f>
        <v>-1</v>
      </c>
      <c r="O892" s="1">
        <f ca="1">IF(N892=1,O$3*L891/Prices!C891,O$3*M891*N892)</f>
        <v>-9.8699233793606467E-4</v>
      </c>
      <c r="P892" s="14"/>
      <c r="Q892" s="9">
        <f ca="1">Q891-T892*Prices!C892</f>
        <v>0.85350019332562355</v>
      </c>
      <c r="R892" s="1">
        <f t="shared" ca="1" si="89"/>
        <v>1.188111480286772E-2</v>
      </c>
      <c r="S892" s="9">
        <f ca="1">IF(Prices!C891&lt;OFFSET(Prices!C891,-S$3,0),1,IF(Prices!C891&gt;OFFSET(Prices!C891,-S$3,0),-1,0))</f>
        <v>1</v>
      </c>
      <c r="T892" s="1">
        <f ca="1">IF(S892=1,T$3*Q891/Prices!C891,T$3*R891*S892)</f>
        <v>1.8009752765833675E-4</v>
      </c>
    </row>
    <row r="893" spans="1:20" x14ac:dyDescent="0.2">
      <c r="A893" s="4">
        <v>34757</v>
      </c>
      <c r="B893" s="9">
        <f ca="1">Prices!C892*(1+J893/(50*(ABS(O893)+ABS(T893)+0.0001)))</f>
        <v>98.704097848311491</v>
      </c>
      <c r="C893" s="13">
        <f t="shared" ca="1" si="84"/>
        <v>1</v>
      </c>
      <c r="D893" s="9">
        <f ca="1">D892+C893*(Prices!C893-Prices!C892)/Prices!C892</f>
        <v>0.42841529774333853</v>
      </c>
      <c r="E893" s="9">
        <f t="shared" ca="1" si="85"/>
        <v>3.4570443040449206E-6</v>
      </c>
      <c r="F893" s="9">
        <f t="shared" ca="1" si="86"/>
        <v>0.42841875478764258</v>
      </c>
      <c r="G893" s="13">
        <f ca="1">IF((Prices!C893-Prices!C892)*C893&gt;0,1,0)</f>
        <v>1</v>
      </c>
      <c r="H893" s="9">
        <f>ABS(Prices!C893-Prices!C892)/Prices!C892</f>
        <v>1.857585139318809E-3</v>
      </c>
      <c r="I893" s="13"/>
      <c r="J893" s="1">
        <f t="shared" ca="1" si="87"/>
        <v>1.3473255101293415E-3</v>
      </c>
      <c r="K893" s="9"/>
      <c r="L893" s="9">
        <f ca="1">L892-O893*Prices!C893</f>
        <v>1.0211617329788736</v>
      </c>
      <c r="M893" s="1">
        <f t="shared" ca="1" si="88"/>
        <v>1.0054095520939759E-2</v>
      </c>
      <c r="N893" s="9">
        <f ca="1">IF(Prices!D892&gt;OFFSET(Prices!D892,-$N$3,0),1,IF(Prices!D892&lt;OFFSET(Prices!D892,-$N$3,0),-1,0))</f>
        <v>1</v>
      </c>
      <c r="O893" s="1">
        <f ca="1">IF(N893=1,O$3*L892/Prices!C892,O$3*M892*N893)</f>
        <v>1.1711644795151777E-3</v>
      </c>
      <c r="P893" s="14"/>
      <c r="Q893" s="9">
        <f ca="1">Q892-T893*Prices!C893</f>
        <v>0.83639848047360055</v>
      </c>
      <c r="R893" s="1">
        <f t="shared" ca="1" si="89"/>
        <v>1.2057275833481883E-2</v>
      </c>
      <c r="S893" s="9">
        <f ca="1">IF(Prices!C892&lt;OFFSET(Prices!C892,-S$3,0),1,IF(Prices!C892&gt;OFFSET(Prices!C892,-S$3,0),-1,0))</f>
        <v>1</v>
      </c>
      <c r="T893" s="1">
        <f ca="1">IF(S893=1,T$3*Q892/Prices!C892,T$3*R892*S893)</f>
        <v>1.7616103061416377E-4</v>
      </c>
    </row>
    <row r="894" spans="1:20" x14ac:dyDescent="0.2">
      <c r="A894" s="4">
        <v>34758</v>
      </c>
      <c r="B894" s="9">
        <f ca="1">Prices!C893*(1+J894/(50*(ABS(O894)+ABS(T894)+0.0001)))</f>
        <v>95.314045306874903</v>
      </c>
      <c r="C894" s="13">
        <f t="shared" ca="1" si="84"/>
        <v>-1</v>
      </c>
      <c r="D894" s="9">
        <f ca="1">D893+C894*(Prices!C894-Prices!C893)/Prices!C893</f>
        <v>0.43243260305854248</v>
      </c>
      <c r="E894" s="9">
        <f t="shared" ca="1" si="85"/>
        <v>0</v>
      </c>
      <c r="F894" s="9">
        <f t="shared" ca="1" si="86"/>
        <v>0.43243260305854248</v>
      </c>
      <c r="G894" s="13">
        <f ca="1">IF((Prices!C894-Prices!C893)*C894&gt;0,1,0)</f>
        <v>1</v>
      </c>
      <c r="H894" s="9">
        <f>ABS(Prices!C894-Prices!C893)/Prices!C893</f>
        <v>4.0173053152039616E-3</v>
      </c>
      <c r="I894" s="13"/>
      <c r="J894" s="1">
        <f t="shared" ca="1" si="87"/>
        <v>-1.0054095520939759E-3</v>
      </c>
      <c r="K894" s="9"/>
      <c r="L894" s="9">
        <f ca="1">L893-O894*Prices!C894</f>
        <v>1.1183747825708401</v>
      </c>
      <c r="M894" s="1">
        <f t="shared" ca="1" si="88"/>
        <v>9.0486859688457839E-3</v>
      </c>
      <c r="N894" s="9">
        <f ca="1">IF(Prices!D893&gt;OFFSET(Prices!D893,-$N$3,0),1,IF(Prices!D893&lt;OFFSET(Prices!D893,-$N$3,0),-1,0))</f>
        <v>-1</v>
      </c>
      <c r="O894" s="1">
        <f ca="1">IF(N894=1,O$3*L893/Prices!C893,O$3*M893*N894)</f>
        <v>-1.0054095520939759E-3</v>
      </c>
      <c r="P894" s="14"/>
      <c r="Q894" s="9">
        <f ca="1">Q893-T894*Prices!C894</f>
        <v>0.83639848047360055</v>
      </c>
      <c r="R894" s="1">
        <f t="shared" ca="1" si="89"/>
        <v>1.2057275833481883E-2</v>
      </c>
      <c r="S894" s="9">
        <f ca="1">IF(Prices!C893&lt;OFFSET(Prices!C893,-S$3,0),1,IF(Prices!C893&gt;OFFSET(Prices!C893,-S$3,0),-1,0))</f>
        <v>0</v>
      </c>
      <c r="T894" s="1">
        <f ca="1">IF(S894=1,T$3*Q893/Prices!C893,T$3*R893*S894)</f>
        <v>0</v>
      </c>
    </row>
    <row r="895" spans="1:20" x14ac:dyDescent="0.2">
      <c r="A895" s="4">
        <v>34759</v>
      </c>
      <c r="B895" s="9">
        <f ca="1">Prices!C894*(1+J895/(50*(ABS(O895)+ABS(T895)+0.0001)))</f>
        <v>95.48844996889693</v>
      </c>
      <c r="C895" s="13">
        <f t="shared" ca="1" si="84"/>
        <v>-1</v>
      </c>
      <c r="D895" s="9">
        <f ca="1">D894+C895*(Prices!C895-Prices!C894)/Prices!C894</f>
        <v>0.431605216565627</v>
      </c>
      <c r="E895" s="9">
        <f t="shared" ca="1" si="85"/>
        <v>8.2738649291547173E-4</v>
      </c>
      <c r="F895" s="9">
        <f t="shared" ca="1" si="86"/>
        <v>0.43243260305854248</v>
      </c>
      <c r="G895" s="13">
        <f ca="1">IF((Prices!C895-Prices!C894)*C895&gt;0,1,0)</f>
        <v>0</v>
      </c>
      <c r="H895" s="9">
        <f>ABS(Prices!C895-Prices!C894)/Prices!C894</f>
        <v>8.273864929154855E-4</v>
      </c>
      <c r="I895" s="13"/>
      <c r="J895" s="1">
        <f t="shared" ca="1" si="87"/>
        <v>-7.3186239552485138E-4</v>
      </c>
      <c r="K895" s="9"/>
      <c r="L895" s="9">
        <f ca="1">L894-O895*Prices!C895</f>
        <v>1.2059389166913608</v>
      </c>
      <c r="M895" s="1">
        <f t="shared" ca="1" si="88"/>
        <v>8.143817371961206E-3</v>
      </c>
      <c r="N895" s="9">
        <f ca="1">IF(Prices!D894&gt;OFFSET(Prices!D894,-$N$3,0),1,IF(Prices!D894&lt;OFFSET(Prices!D894,-$N$3,0),-1,0))</f>
        <v>-1</v>
      </c>
      <c r="O895" s="1">
        <f ca="1">IF(N895=1,O$3*L894/Prices!C894,O$3*M894*N895)</f>
        <v>-9.0486859688457841E-4</v>
      </c>
      <c r="P895" s="14"/>
      <c r="Q895" s="9">
        <f ca="1">Q894-T895*Prices!C895</f>
        <v>0.81965667036801981</v>
      </c>
      <c r="R895" s="1">
        <f t="shared" ca="1" si="89"/>
        <v>1.2230282034841611E-2</v>
      </c>
      <c r="S895" s="9">
        <f ca="1">IF(Prices!C894&lt;OFFSET(Prices!C894,-S$3,0),1,IF(Prices!C894&gt;OFFSET(Prices!C894,-S$3,0),-1,0))</f>
        <v>1</v>
      </c>
      <c r="T895" s="1">
        <f ca="1">IF(S895=1,T$3*Q894/Prices!C894,T$3*R894*S895)</f>
        <v>1.7300620135972706E-4</v>
      </c>
    </row>
    <row r="896" spans="1:20" x14ac:dyDescent="0.2">
      <c r="A896" s="4">
        <v>34760</v>
      </c>
      <c r="B896" s="9">
        <f ca="1">Prices!C895*(1+J896/(50*(ABS(O896)+ABS(T896)+0.0001)))</f>
        <v>95.001590602047671</v>
      </c>
      <c r="C896" s="13">
        <f t="shared" ca="1" si="84"/>
        <v>-1</v>
      </c>
      <c r="D896" s="9">
        <f ca="1">D895+C896*(Prices!C896-Prices!C895)/Prices!C895</f>
        <v>0.44700255045009529</v>
      </c>
      <c r="E896" s="9">
        <f t="shared" ca="1" si="85"/>
        <v>0</v>
      </c>
      <c r="F896" s="9">
        <f t="shared" ca="1" si="86"/>
        <v>0.44700255045009529</v>
      </c>
      <c r="G896" s="13">
        <f ca="1">IF((Prices!C896-Prices!C895)*C896&gt;0,1,0)</f>
        <v>1</v>
      </c>
      <c r="H896" s="9">
        <f>ABS(Prices!C896-Prices!C895)/Prices!C895</f>
        <v>1.5397333884468276E-2</v>
      </c>
      <c r="I896" s="13"/>
      <c r="J896" s="1">
        <f t="shared" ca="1" si="87"/>
        <v>-1.058987377892953E-3</v>
      </c>
      <c r="K896" s="9"/>
      <c r="L896" s="9">
        <f ca="1">L895-O896*Prices!C896</f>
        <v>1.2835332086114071</v>
      </c>
      <c r="M896" s="1">
        <f t="shared" ca="1" si="88"/>
        <v>7.3294356347650856E-3</v>
      </c>
      <c r="N896" s="9">
        <f ca="1">IF(Prices!D895&gt;OFFSET(Prices!D895,-$N$3,0),1,IF(Prices!D895&lt;OFFSET(Prices!D895,-$N$3,0),-1,0))</f>
        <v>-1</v>
      </c>
      <c r="O896" s="1">
        <f ca="1">IF(N896=1,O$3*L895/Prices!C895,O$3*M895*N896)</f>
        <v>-8.1438173719612064E-4</v>
      </c>
      <c r="P896" s="14"/>
      <c r="Q896" s="9">
        <f ca="1">Q895-T896*Prices!C896</f>
        <v>0.84296269581361394</v>
      </c>
      <c r="R896" s="1">
        <f t="shared" ca="1" si="89"/>
        <v>1.1985676394144778E-2</v>
      </c>
      <c r="S896" s="9">
        <f ca="1">IF(Prices!C895&lt;OFFSET(Prices!C895,-S$3,0),1,IF(Prices!C895&gt;OFFSET(Prices!C895,-S$3,0),-1,0))</f>
        <v>-1</v>
      </c>
      <c r="T896" s="1">
        <f ca="1">IF(S896=1,T$3*Q895/Prices!C895,T$3*R895*S896)</f>
        <v>-2.4460564069683224E-4</v>
      </c>
    </row>
    <row r="897" spans="1:20" x14ac:dyDescent="0.2">
      <c r="A897" s="4">
        <v>34761</v>
      </c>
      <c r="B897" s="9">
        <f ca="1">Prices!C896*(1+J897/(50*(ABS(O897)+ABS(T897)+0.0001)))</f>
        <v>97.068264538204545</v>
      </c>
      <c r="C897" s="13">
        <f t="shared" ca="1" si="84"/>
        <v>1</v>
      </c>
      <c r="D897" s="9">
        <f ca="1">D896+C897*(Prices!C897-Prices!C896)/Prices!C896</f>
        <v>0.43503781493372251</v>
      </c>
      <c r="E897" s="9">
        <f t="shared" ca="1" si="85"/>
        <v>1.1964735516372782E-2</v>
      </c>
      <c r="F897" s="9">
        <f t="shared" ca="1" si="86"/>
        <v>0.44700255045009529</v>
      </c>
      <c r="G897" s="13">
        <f ca="1">IF((Prices!C897-Prices!C896)*C897&gt;0,1,0)</f>
        <v>0</v>
      </c>
      <c r="H897" s="9">
        <f>ABS(Prices!C897-Prices!C896)/Prices!C896</f>
        <v>1.1964735516372801E-2</v>
      </c>
      <c r="I897" s="13"/>
      <c r="J897" s="1">
        <f t="shared" ca="1" si="87"/>
        <v>1.5240614481256609E-3</v>
      </c>
      <c r="K897" s="9"/>
      <c r="L897" s="9">
        <f ca="1">L896-O897*Prices!C897</f>
        <v>1.1567156012870181</v>
      </c>
      <c r="M897" s="1">
        <f t="shared" ca="1" si="88"/>
        <v>8.676552772266562E-3</v>
      </c>
      <c r="N897" s="9">
        <f ca="1">IF(Prices!D896&gt;OFFSET(Prices!D896,-$N$3,0),1,IF(Prices!D896&lt;OFFSET(Prices!D896,-$N$3,0),-1,0))</f>
        <v>1</v>
      </c>
      <c r="O897" s="1">
        <f ca="1">IF(N897=1,O$3*L896/Prices!C896,O$3*M896*N897)</f>
        <v>1.3471171375014767E-3</v>
      </c>
      <c r="P897" s="14"/>
      <c r="Q897" s="9">
        <f ca="1">Q896-T897*Prices!C897</f>
        <v>0.82630515841145324</v>
      </c>
      <c r="R897" s="1">
        <f t="shared" ca="1" si="89"/>
        <v>1.2162620704768963E-2</v>
      </c>
      <c r="S897" s="9">
        <f ca="1">IF(Prices!C896&lt;OFFSET(Prices!C896,-S$3,0),1,IF(Prices!C896&gt;OFFSET(Prices!C896,-S$3,0),-1,0))</f>
        <v>1</v>
      </c>
      <c r="T897" s="1">
        <f ca="1">IF(S897=1,T$3*Q896/Prices!C896,T$3*R896*S897)</f>
        <v>1.7694431062418428E-4</v>
      </c>
    </row>
    <row r="898" spans="1:20" x14ac:dyDescent="0.2">
      <c r="A898" s="4">
        <v>34764</v>
      </c>
      <c r="B898" s="9">
        <f ca="1">Prices!C897*(1+J898/(50*(ABS(O898)+ABS(T898)+0.0001)))</f>
        <v>95.897636021360498</v>
      </c>
      <c r="C898" s="13">
        <f t="shared" ca="1" si="84"/>
        <v>1</v>
      </c>
      <c r="D898" s="9">
        <f ca="1">D897+C898*(Prices!C898-Prices!C897)/Prices!C897</f>
        <v>0.42154726893839645</v>
      </c>
      <c r="E898" s="9">
        <f t="shared" ca="1" si="85"/>
        <v>2.5455281511698846E-2</v>
      </c>
      <c r="F898" s="9">
        <f t="shared" ca="1" si="86"/>
        <v>0.44700255045009529</v>
      </c>
      <c r="G898" s="13">
        <f ca="1">IF((Prices!C898-Prices!C897)*C898&gt;0,1,0)</f>
        <v>0</v>
      </c>
      <c r="H898" s="9">
        <f>ABS(Prices!C898-Prices!C897)/Prices!C897</f>
        <v>1.3490545995326068E-2</v>
      </c>
      <c r="I898" s="13"/>
      <c r="J898" s="1">
        <f t="shared" ca="1" si="87"/>
        <v>1.4042666591983311E-3</v>
      </c>
      <c r="K898" s="9"/>
      <c r="L898" s="9">
        <f ca="1">L897-O898*Prices!C898</f>
        <v>1.0426045136605837</v>
      </c>
      <c r="M898" s="1">
        <f t="shared" ca="1" si="88"/>
        <v>9.9052712779889099E-3</v>
      </c>
      <c r="N898" s="9">
        <f ca="1">IF(Prices!D897&gt;OFFSET(Prices!D897,-$N$3,0),1,IF(Prices!D897&lt;OFFSET(Prices!D897,-$N$3,0),-1,0))</f>
        <v>1</v>
      </c>
      <c r="O898" s="1">
        <f ca="1">IF(N898=1,O$3*L897/Prices!C897,O$3*M897*N898)</f>
        <v>1.2287185057223479E-3</v>
      </c>
      <c r="P898" s="14"/>
      <c r="Q898" s="9">
        <f ca="1">Q897-T898*Prices!C898</f>
        <v>0.81000200139813872</v>
      </c>
      <c r="R898" s="1">
        <f t="shared" ca="1" si="89"/>
        <v>1.2338168858244946E-2</v>
      </c>
      <c r="S898" s="9">
        <f ca="1">IF(Prices!C897&lt;OFFSET(Prices!C897,-S$3,0),1,IF(Prices!C897&gt;OFFSET(Prices!C897,-S$3,0),-1,0))</f>
        <v>1</v>
      </c>
      <c r="T898" s="1">
        <f ca="1">IF(S898=1,T$3*Q897/Prices!C897,T$3*R897*S898)</f>
        <v>1.7554815347598329E-4</v>
      </c>
    </row>
    <row r="899" spans="1:20" x14ac:dyDescent="0.2">
      <c r="A899" s="4">
        <v>34765</v>
      </c>
      <c r="B899" s="9">
        <f ca="1">Prices!C898*(1+J899/(50*(ABS(O899)+ABS(T899)+0.0001)))</f>
        <v>94.594451966749673</v>
      </c>
      <c r="C899" s="13">
        <f t="shared" ca="1" si="84"/>
        <v>1</v>
      </c>
      <c r="D899" s="9">
        <f ca="1">D898+C899*(Prices!C899-Prices!C898)/Prices!C898</f>
        <v>0.39548933849799589</v>
      </c>
      <c r="E899" s="9">
        <f t="shared" ca="1" si="85"/>
        <v>5.1513211952099403E-2</v>
      </c>
      <c r="F899" s="9">
        <f t="shared" ca="1" si="86"/>
        <v>0.44700255045009529</v>
      </c>
      <c r="G899" s="13">
        <f ca="1">IF((Prices!C899-Prices!C898)*C899&gt;0,1,0)</f>
        <v>0</v>
      </c>
      <c r="H899" s="9">
        <f>ABS(Prices!C899-Prices!C898)/Prices!C898</f>
        <v>2.6057930440400577E-2</v>
      </c>
      <c r="I899" s="13"/>
      <c r="J899" s="1">
        <f t="shared" ca="1" si="87"/>
        <v>1.2970872337032535E-3</v>
      </c>
      <c r="K899" s="9"/>
      <c r="L899" s="9">
        <f ca="1">L898-O899*Prices!C899</f>
        <v>0.9410608738839068</v>
      </c>
      <c r="M899" s="1">
        <f t="shared" ca="1" si="88"/>
        <v>1.1027920695088709E-2</v>
      </c>
      <c r="N899" s="9">
        <f ca="1">IF(Prices!D898&gt;OFFSET(Prices!D898,-$N$3,0),1,IF(Prices!D898&lt;OFFSET(Prices!D898,-$N$3,0),-1,0))</f>
        <v>1</v>
      </c>
      <c r="O899" s="1">
        <f ca="1">IF(N899=1,O$3*L898/Prices!C898,O$3*M898*N899)</f>
        <v>1.1226494170997994E-3</v>
      </c>
      <c r="P899" s="14"/>
      <c r="Q899" s="9">
        <f ca="1">Q898-T899*Prices!C899</f>
        <v>0.79422410088635631</v>
      </c>
      <c r="R899" s="1">
        <f t="shared" ca="1" si="89"/>
        <v>1.25126066748484E-2</v>
      </c>
      <c r="S899" s="9">
        <f ca="1">IF(Prices!C898&lt;OFFSET(Prices!C898,-S$3,0),1,IF(Prices!C898&gt;OFFSET(Prices!C898,-S$3,0),-1,0))</f>
        <v>1</v>
      </c>
      <c r="T899" s="1">
        <f ca="1">IF(S899=1,T$3*Q898/Prices!C898,T$3*R898*S899)</f>
        <v>1.7443781660345399E-4</v>
      </c>
    </row>
    <row r="900" spans="1:20" x14ac:dyDescent="0.2">
      <c r="A900" s="4">
        <v>34766</v>
      </c>
      <c r="B900" s="9">
        <f ca="1">Prices!C899*(1+J900/(50*(ABS(O900)+ABS(T900)+0.0001)))</f>
        <v>92.121541884903536</v>
      </c>
      <c r="C900" s="13">
        <f t="shared" ca="1" si="84"/>
        <v>1</v>
      </c>
      <c r="D900" s="9">
        <f ca="1">D899+C900*(Prices!C900-Prices!C899)/Prices!C899</f>
        <v>0.40842466188108051</v>
      </c>
      <c r="E900" s="9">
        <f t="shared" ca="1" si="85"/>
        <v>3.8577888569014784E-2</v>
      </c>
      <c r="F900" s="9">
        <f t="shared" ca="1" si="86"/>
        <v>0.44700255045009529</v>
      </c>
      <c r="G900" s="13">
        <f ca="1">IF((Prices!C900-Prices!C899)*C900&gt;0,1,0)</f>
        <v>1</v>
      </c>
      <c r="H900" s="9">
        <f>ABS(Prices!C900-Prices!C899)/Prices!C899</f>
        <v>1.2935323383084596E-2</v>
      </c>
      <c r="I900" s="13"/>
      <c r="J900" s="1">
        <f t="shared" ca="1" si="87"/>
        <v>1.2160372515878143E-3</v>
      </c>
      <c r="K900" s="9"/>
      <c r="L900" s="9">
        <f ca="1">L899-O900*Prices!C900</f>
        <v>0.84573749382283048</v>
      </c>
      <c r="M900" s="1">
        <f t="shared" ca="1" si="88"/>
        <v>1.2068341782854222E-2</v>
      </c>
      <c r="N900" s="9">
        <f ca="1">IF(Prices!D899&gt;OFFSET(Prices!D899,-$N$3,0),1,IF(Prices!D899&lt;OFFSET(Prices!D899,-$N$3,0),-1,0))</f>
        <v>1</v>
      </c>
      <c r="O900" s="1">
        <f ca="1">IF(N900=1,O$3*L899/Prices!C899,O$3*M899*N900)</f>
        <v>1.0404210877655133E-3</v>
      </c>
      <c r="P900" s="14"/>
      <c r="Q900" s="9">
        <f ca="1">Q899-T900*Prices!C900</f>
        <v>0.77813414795695712</v>
      </c>
      <c r="R900" s="1">
        <f t="shared" ca="1" si="89"/>
        <v>1.2688222838670701E-2</v>
      </c>
      <c r="S900" s="9">
        <f ca="1">IF(Prices!C899&lt;OFFSET(Prices!C899,-S$3,0),1,IF(Prices!C899&gt;OFFSET(Prices!C899,-S$3,0),-1,0))</f>
        <v>1</v>
      </c>
      <c r="T900" s="1">
        <f ca="1">IF(S900=1,T$3*Q899/Prices!C899,T$3*R899*S900)</f>
        <v>1.7561616382230101E-4</v>
      </c>
    </row>
    <row r="901" spans="1:20" x14ac:dyDescent="0.2">
      <c r="A901" s="4">
        <v>34767</v>
      </c>
      <c r="B901" s="9">
        <f ca="1">Prices!C900*(1+J901/(50*(ABS(O901)+ABS(T901)+0.0001)))</f>
        <v>90.333242203066987</v>
      </c>
      <c r="C901" s="13">
        <f t="shared" ca="1" si="84"/>
        <v>-1</v>
      </c>
      <c r="D901" s="9">
        <f ca="1">D900+C901*(Prices!C901-Prices!C900)/Prices!C900</f>
        <v>0.41497345035521288</v>
      </c>
      <c r="E901" s="9">
        <f t="shared" ca="1" si="85"/>
        <v>3.2029100094882412E-2</v>
      </c>
      <c r="F901" s="9">
        <f t="shared" ca="1" si="86"/>
        <v>0.44700255045009529</v>
      </c>
      <c r="G901" s="13">
        <f ca="1">IF((Prices!C901-Prices!C900)*C901&gt;0,1,0)</f>
        <v>1</v>
      </c>
      <c r="H901" s="9">
        <f>ABS(Prices!C901-Prices!C900)/Prices!C900</f>
        <v>6.5487884741323782E-3</v>
      </c>
      <c r="I901" s="13"/>
      <c r="J901" s="1">
        <f t="shared" ca="1" si="87"/>
        <v>-1.0369729803031136E-3</v>
      </c>
      <c r="K901" s="9"/>
      <c r="L901" s="9">
        <f ca="1">L900-O901*Prices!C901</f>
        <v>0.95558354073036966</v>
      </c>
      <c r="M901" s="1">
        <f t="shared" ca="1" si="88"/>
        <v>1.0861507604568801E-2</v>
      </c>
      <c r="N901" s="9">
        <f ca="1">IF(Prices!D900&gt;OFFSET(Prices!D900,-$N$3,0),1,IF(Prices!D900&lt;OFFSET(Prices!D900,-$N$3,0),-1,0))</f>
        <v>-1</v>
      </c>
      <c r="O901" s="1">
        <f ca="1">IF(N901=1,O$3*L900/Prices!C900,O$3*M900*N901)</f>
        <v>-1.2068341782854224E-3</v>
      </c>
      <c r="P901" s="14"/>
      <c r="Q901" s="9">
        <f ca="1">Q900-T901*Prices!C901</f>
        <v>0.76267338171660737</v>
      </c>
      <c r="R901" s="1">
        <f t="shared" ca="1" si="89"/>
        <v>1.2858084036653011E-2</v>
      </c>
      <c r="S901" s="9">
        <f ca="1">IF(Prices!C900&lt;OFFSET(Prices!C900,-S$3,0),1,IF(Prices!C900&gt;OFFSET(Prices!C900,-S$3,0),-1,0))</f>
        <v>1</v>
      </c>
      <c r="T901" s="1">
        <f ca="1">IF(S901=1,T$3*Q900/Prices!C900,T$3*R900*S901)</f>
        <v>1.698611979823089E-4</v>
      </c>
    </row>
    <row r="902" spans="1:20" x14ac:dyDescent="0.2">
      <c r="A902" s="4">
        <v>34768</v>
      </c>
      <c r="B902" s="9">
        <f ca="1">Prices!C901*(1+J902/(50*(ABS(O902)+ABS(T902)+0.0001)))</f>
        <v>89.784780279640188</v>
      </c>
      <c r="C902" s="13">
        <f t="shared" ca="1" si="84"/>
        <v>-1</v>
      </c>
      <c r="D902" s="9">
        <f ca="1">D901+C902*(Prices!C902-Prices!C901)/Prices!C901</f>
        <v>0.41629184191750679</v>
      </c>
      <c r="E902" s="9">
        <f t="shared" ca="1" si="85"/>
        <v>3.0710708532588504E-2</v>
      </c>
      <c r="F902" s="9">
        <f t="shared" ca="1" si="86"/>
        <v>0.44700255045009529</v>
      </c>
      <c r="G902" s="13">
        <f ca="1">IF((Prices!C902-Prices!C901)*C902&gt;0,1,0)</f>
        <v>1</v>
      </c>
      <c r="H902" s="9">
        <f>ABS(Prices!C902-Prices!C901)/Prices!C901</f>
        <v>1.3183915622938952E-3</v>
      </c>
      <c r="I902" s="13"/>
      <c r="J902" s="1">
        <f t="shared" ca="1" si="87"/>
        <v>-9.1856706858331222E-4</v>
      </c>
      <c r="K902" s="9"/>
      <c r="L902" s="9">
        <f ca="1">L901-O902*Prices!C902</f>
        <v>1.0543146448559</v>
      </c>
      <c r="M902" s="1">
        <f t="shared" ca="1" si="88"/>
        <v>9.7753568441119199E-3</v>
      </c>
      <c r="N902" s="9">
        <f ca="1">IF(Prices!D901&gt;OFFSET(Prices!D901,-$N$3,0),1,IF(Prices!D901&lt;OFFSET(Prices!D901,-$N$3,0),-1,0))</f>
        <v>-1</v>
      </c>
      <c r="O902" s="1">
        <f ca="1">IF(N902=1,O$3*L901/Prices!C901,O$3*M901*N902)</f>
        <v>-1.0861507604568801E-3</v>
      </c>
      <c r="P902" s="14"/>
      <c r="Q902" s="9">
        <f ca="1">Q901-T902*Prices!C902</f>
        <v>0.74744002412530008</v>
      </c>
      <c r="R902" s="1">
        <f t="shared" ca="1" si="89"/>
        <v>1.3025667728526579E-2</v>
      </c>
      <c r="S902" s="9">
        <f ca="1">IF(Prices!C901&lt;OFFSET(Prices!C901,-S$3,0),1,IF(Prices!C901&gt;OFFSET(Prices!C901,-S$3,0),-1,0))</f>
        <v>1</v>
      </c>
      <c r="T902" s="1">
        <f ca="1">IF(S902=1,T$3*Q901/Prices!C901,T$3*R901*S902)</f>
        <v>1.6758369187356786E-4</v>
      </c>
    </row>
    <row r="903" spans="1:20" x14ac:dyDescent="0.2">
      <c r="A903" s="4">
        <v>34771</v>
      </c>
      <c r="B903" s="9">
        <f ca="1">Prices!C902*(1+J903/(50*(ABS(O903)+ABS(T903)+0.0001)))</f>
        <v>89.709825254556492</v>
      </c>
      <c r="C903" s="13">
        <f t="shared" ca="1" si="84"/>
        <v>-1</v>
      </c>
      <c r="D903" s="9">
        <f ca="1">D902+C903*(Prices!C903-Prices!C902)/Prices!C902</f>
        <v>0.41882209494280936</v>
      </c>
      <c r="E903" s="9">
        <f t="shared" ca="1" si="85"/>
        <v>2.8180455507285929E-2</v>
      </c>
      <c r="F903" s="9">
        <f t="shared" ca="1" si="86"/>
        <v>0.44700255045009529</v>
      </c>
      <c r="G903" s="13">
        <f ca="1">IF((Prices!C903-Prices!C902)*C903&gt;0,1,0)</f>
        <v>1</v>
      </c>
      <c r="H903" s="9">
        <f>ABS(Prices!C903-Prices!C902)/Prices!C902</f>
        <v>2.5302530253025739E-3</v>
      </c>
      <c r="I903" s="13"/>
      <c r="J903" s="1">
        <f t="shared" ca="1" si="87"/>
        <v>-8.1308243377856278E-4</v>
      </c>
      <c r="K903" s="9"/>
      <c r="L903" s="9">
        <f ca="1">L902-O903*Prices!C903</f>
        <v>1.1429478053614628</v>
      </c>
      <c r="M903" s="1">
        <f t="shared" ca="1" si="88"/>
        <v>8.7978211597007274E-3</v>
      </c>
      <c r="N903" s="9">
        <f ca="1">IF(Prices!D902&gt;OFFSET(Prices!D902,-$N$3,0),1,IF(Prices!D902&lt;OFFSET(Prices!D902,-$N$3,0),-1,0))</f>
        <v>-1</v>
      </c>
      <c r="O903" s="1">
        <f ca="1">IF(N903=1,O$3*L902/Prices!C902,O$3*M902*N903)</f>
        <v>-9.7753568441119208E-4</v>
      </c>
      <c r="P903" s="14"/>
      <c r="Q903" s="9">
        <f ca="1">Q902-T903*Prices!C903</f>
        <v>0.7325290478904396</v>
      </c>
      <c r="R903" s="1">
        <f t="shared" ca="1" si="89"/>
        <v>1.3190120979159208E-2</v>
      </c>
      <c r="S903" s="9">
        <f ca="1">IF(Prices!C902&lt;OFFSET(Prices!C902,-S$3,0),1,IF(Prices!C902&gt;OFFSET(Prices!C902,-S$3,0),-1,0))</f>
        <v>1</v>
      </c>
      <c r="T903" s="1">
        <f ca="1">IF(S903=1,T$3*Q902/Prices!C902,T$3*R902*S903)</f>
        <v>1.6445325063262927E-4</v>
      </c>
    </row>
    <row r="904" spans="1:20" x14ac:dyDescent="0.2">
      <c r="A904" s="4">
        <v>34772</v>
      </c>
      <c r="B904" s="9">
        <f ca="1">Prices!C903*(1+J904/(50*(ABS(O904)+ABS(T904)+0.0001)))</f>
        <v>89.002420404496533</v>
      </c>
      <c r="C904" s="13">
        <f t="shared" ca="1" si="84"/>
        <v>-1</v>
      </c>
      <c r="D904" s="9">
        <f ca="1">D903+C904*(Prices!C904-Prices!C903)/Prices!C903</f>
        <v>0.41771919431415605</v>
      </c>
      <c r="E904" s="9">
        <f t="shared" ca="1" si="85"/>
        <v>2.9283356135939242E-2</v>
      </c>
      <c r="F904" s="9">
        <f t="shared" ca="1" si="86"/>
        <v>0.44700255045009529</v>
      </c>
      <c r="G904" s="13">
        <f ca="1">IF((Prices!C904-Prices!C903)*C904&gt;0,1,0)</f>
        <v>0</v>
      </c>
      <c r="H904" s="9">
        <f>ABS(Prices!C904-Prices!C903)/Prices!C903</f>
        <v>1.1029006286532956E-3</v>
      </c>
      <c r="I904" s="13"/>
      <c r="J904" s="1">
        <f t="shared" ca="1" si="87"/>
        <v>-1.1435845355532569E-3</v>
      </c>
      <c r="K904" s="9"/>
      <c r="L904" s="9">
        <f ca="1">L903-O904*Prices!C904</f>
        <v>1.2228056280280664</v>
      </c>
      <c r="M904" s="1">
        <f t="shared" ca="1" si="88"/>
        <v>7.9180390437306545E-3</v>
      </c>
      <c r="N904" s="9">
        <f ca="1">IF(Prices!D903&gt;OFFSET(Prices!D903,-$N$3,0),1,IF(Prices!D903&lt;OFFSET(Prices!D903,-$N$3,0),-1,0))</f>
        <v>-1</v>
      </c>
      <c r="O904" s="1">
        <f ca="1">IF(N904=1,O$3*L903/Prices!C903,O$3*M903*N904)</f>
        <v>-8.7978211597007281E-4</v>
      </c>
      <c r="P904" s="14"/>
      <c r="Q904" s="9">
        <f ca="1">Q903-T904*Prices!C904</f>
        <v>0.75647439351600521</v>
      </c>
      <c r="R904" s="1">
        <f t="shared" ca="1" si="89"/>
        <v>1.2926318559576024E-2</v>
      </c>
      <c r="S904" s="9">
        <f ca="1">IF(Prices!C903&lt;OFFSET(Prices!C903,-S$3,0),1,IF(Prices!C903&gt;OFFSET(Prices!C903,-S$3,0),-1,0))</f>
        <v>-1</v>
      </c>
      <c r="T904" s="1">
        <f ca="1">IF(S904=1,T$3*Q903/Prices!C903,T$3*R903*S904)</f>
        <v>-2.6380241958318416E-4</v>
      </c>
    </row>
    <row r="905" spans="1:20" x14ac:dyDescent="0.2">
      <c r="A905" s="4">
        <v>34773</v>
      </c>
      <c r="B905" s="9">
        <f ca="1">Prices!C904*(1+J905/(50*(ABS(O905)+ABS(T905)+0.0001)))</f>
        <v>89.697851709254792</v>
      </c>
      <c r="C905" s="13">
        <f t="shared" ca="1" si="84"/>
        <v>-1</v>
      </c>
      <c r="D905" s="9">
        <f ca="1">D904+C905*(Prices!C905-Prices!C904)/Prices!C904</f>
        <v>0.43182076972453393</v>
      </c>
      <c r="E905" s="9">
        <f t="shared" ca="1" si="85"/>
        <v>1.5181780725561367E-2</v>
      </c>
      <c r="F905" s="9">
        <f t="shared" ca="1" si="86"/>
        <v>0.44700255045009529</v>
      </c>
      <c r="G905" s="13">
        <f ca="1">IF((Prices!C905-Prices!C904)*C905&gt;0,1,0)</f>
        <v>1</v>
      </c>
      <c r="H905" s="9">
        <f>ABS(Prices!C905-Prices!C904)/Prices!C904</f>
        <v>1.4101575410377891E-2</v>
      </c>
      <c r="I905" s="13"/>
      <c r="J905" s="1">
        <f t="shared" ca="1" si="87"/>
        <v>-6.2512451833891206E-4</v>
      </c>
      <c r="K905" s="9"/>
      <c r="L905" s="9">
        <f ca="1">L904-O905*Prices!C905</f>
        <v>1.2936641594304119</v>
      </c>
      <c r="M905" s="1">
        <f t="shared" ca="1" si="88"/>
        <v>7.1262351393575887E-3</v>
      </c>
      <c r="N905" s="9">
        <f ca="1">IF(Prices!D904&gt;OFFSET(Prices!D904,-$N$3,0),1,IF(Prices!D904&lt;OFFSET(Prices!D904,-$N$3,0),-1,0))</f>
        <v>-1</v>
      </c>
      <c r="O905" s="1">
        <f ca="1">IF(N905=1,O$3*L904/Prices!C904,O$3*M904*N905)</f>
        <v>-7.9180390437306547E-4</v>
      </c>
      <c r="P905" s="14"/>
      <c r="Q905" s="9">
        <f ca="1">Q904-T905*Prices!C905</f>
        <v>0.74155825525980879</v>
      </c>
      <c r="R905" s="1">
        <f t="shared" ca="1" si="89"/>
        <v>1.3092997945610177E-2</v>
      </c>
      <c r="S905" s="9">
        <f ca="1">IF(Prices!C904&lt;OFFSET(Prices!C904,-S$3,0),1,IF(Prices!C904&gt;OFFSET(Prices!C904,-S$3,0),-1,0))</f>
        <v>1</v>
      </c>
      <c r="T905" s="1">
        <f ca="1">IF(S905=1,T$3*Q904/Prices!C904,T$3*R904*S905)</f>
        <v>1.6667938603415341E-4</v>
      </c>
    </row>
    <row r="906" spans="1:20" x14ac:dyDescent="0.2">
      <c r="A906" s="4">
        <v>34774</v>
      </c>
      <c r="B906" s="9">
        <f ca="1">Prices!C905*(1+J906/(50*(ABS(O906)+ABS(T906)+0.0001)))</f>
        <v>88.489512558595493</v>
      </c>
      <c r="C906" s="13">
        <f t="shared" ca="1" si="84"/>
        <v>-1</v>
      </c>
      <c r="D906" s="9">
        <f ca="1">D905+C906*(Prices!C906-Prices!C905)/Prices!C905</f>
        <v>0.42265773474855889</v>
      </c>
      <c r="E906" s="9">
        <f t="shared" ca="1" si="85"/>
        <v>2.4344815701536404E-2</v>
      </c>
      <c r="F906" s="9">
        <f t="shared" ca="1" si="86"/>
        <v>0.44700255045009529</v>
      </c>
      <c r="G906" s="13">
        <f ca="1">IF((Prices!C906-Prices!C905)*C906&gt;0,1,0)</f>
        <v>0</v>
      </c>
      <c r="H906" s="9">
        <f>ABS(Prices!C906-Prices!C905)/Prices!C905</f>
        <v>9.163034975975053E-3</v>
      </c>
      <c r="I906" s="13"/>
      <c r="J906" s="1">
        <f t="shared" ca="1" si="87"/>
        <v>-5.4689365467554903E-4</v>
      </c>
      <c r="K906" s="9"/>
      <c r="L906" s="9">
        <f ca="1">L905-O906*Prices!C906</f>
        <v>1.3580211889739502</v>
      </c>
      <c r="M906" s="1">
        <f t="shared" ca="1" si="88"/>
        <v>6.4136116254218303E-3</v>
      </c>
      <c r="N906" s="9">
        <f ca="1">IF(Prices!D905&gt;OFFSET(Prices!D905,-$N$3,0),1,IF(Prices!D905&lt;OFFSET(Prices!D905,-$N$3,0),-1,0))</f>
        <v>-1</v>
      </c>
      <c r="O906" s="1">
        <f ca="1">IF(N906=1,O$3*L905/Prices!C905,O$3*M905*N906)</f>
        <v>-7.1262351393575887E-4</v>
      </c>
      <c r="P906" s="14"/>
      <c r="Q906" s="9">
        <f ca="1">Q905-T906*Prices!C906</f>
        <v>0.72659119167001929</v>
      </c>
      <c r="R906" s="1">
        <f t="shared" ca="1" si="89"/>
        <v>1.3258727804870387E-2</v>
      </c>
      <c r="S906" s="9">
        <f ca="1">IF(Prices!C905&lt;OFFSET(Prices!C905,-S$3,0),1,IF(Prices!C905&gt;OFFSET(Prices!C905,-S$3,0),-1,0))</f>
        <v>1</v>
      </c>
      <c r="T906" s="1">
        <f ca="1">IF(S906=1,T$3*Q905/Prices!C905,T$3*R905*S906)</f>
        <v>1.6572985926020982E-4</v>
      </c>
    </row>
    <row r="907" spans="1:20" x14ac:dyDescent="0.2">
      <c r="A907" s="4">
        <v>34775</v>
      </c>
      <c r="B907" s="9">
        <f ca="1">Prices!C906*(1+J907/(50*(ABS(O907)+ABS(T907)+0.0001)))</f>
        <v>89.348216395813637</v>
      </c>
      <c r="C907" s="13">
        <f t="shared" ca="1" si="84"/>
        <v>-1</v>
      </c>
      <c r="D907" s="9">
        <f ca="1">D906+C907*(Prices!C907-Prices!C906)/Prices!C906</f>
        <v>0.43660967805494805</v>
      </c>
      <c r="E907" s="9">
        <f t="shared" ca="1" si="85"/>
        <v>1.0392872395147246E-2</v>
      </c>
      <c r="F907" s="9">
        <f t="shared" ca="1" si="86"/>
        <v>0.44700255045009529</v>
      </c>
      <c r="G907" s="13">
        <f ca="1">IF((Prices!C907-Prices!C906)*C907&gt;0,1,0)</f>
        <v>1</v>
      </c>
      <c r="H907" s="9">
        <f>ABS(Prices!C907-Prices!C906)/Prices!C906</f>
        <v>1.395194330638916E-2</v>
      </c>
      <c r="I907" s="13"/>
      <c r="J907" s="1">
        <f t="shared" ca="1" si="87"/>
        <v>-4.8045070042945597E-4</v>
      </c>
      <c r="K907" s="9"/>
      <c r="L907" s="9">
        <f ca="1">L906-O907*Prices!C907</f>
        <v>1.4151344004983315</v>
      </c>
      <c r="M907" s="1">
        <f t="shared" ca="1" si="88"/>
        <v>5.7722504628796474E-3</v>
      </c>
      <c r="N907" s="9">
        <f ca="1">IF(Prices!D906&gt;OFFSET(Prices!D906,-$N$3,0),1,IF(Prices!D906&lt;OFFSET(Prices!D906,-$N$3,0),-1,0))</f>
        <v>-1</v>
      </c>
      <c r="O907" s="1">
        <f ca="1">IF(N907=1,O$3*L906/Prices!C906,O$3*M906*N907)</f>
        <v>-6.4136116254218307E-4</v>
      </c>
      <c r="P907" s="14"/>
      <c r="Q907" s="9">
        <f ca="1">Q906-T907*Prices!C907</f>
        <v>0.71226211501888093</v>
      </c>
      <c r="R907" s="1">
        <f t="shared" ca="1" si="89"/>
        <v>1.3419638266983114E-2</v>
      </c>
      <c r="S907" s="9">
        <f ca="1">IF(Prices!C906&lt;OFFSET(Prices!C906,-S$3,0),1,IF(Prices!C906&gt;OFFSET(Prices!C906,-S$3,0),-1,0))</f>
        <v>1</v>
      </c>
      <c r="T907" s="1">
        <f ca="1">IF(S907=1,T$3*Q906/Prices!C906,T$3*R906*S907)</f>
        <v>1.6091046211272713E-4</v>
      </c>
    </row>
    <row r="908" spans="1:20" x14ac:dyDescent="0.2">
      <c r="A908" s="4">
        <v>34778</v>
      </c>
      <c r="B908" s="9">
        <f ca="1">Prices!C907*(1+J908/(50*(ABS(O908)+ABS(T908)+0.0001)))</f>
        <v>90.734683649159095</v>
      </c>
      <c r="C908" s="13">
        <f t="shared" ca="1" si="84"/>
        <v>1</v>
      </c>
      <c r="D908" s="9">
        <f ca="1">D907+C908*(Prices!C908-Prices!C907)/Prices!C907</f>
        <v>0.43997857193479079</v>
      </c>
      <c r="E908" s="9">
        <f t="shared" ca="1" si="85"/>
        <v>7.0239785153045076E-3</v>
      </c>
      <c r="F908" s="9">
        <f t="shared" ca="1" si="86"/>
        <v>0.44700255045009529</v>
      </c>
      <c r="G908" s="13">
        <f ca="1">IF((Prices!C908-Prices!C907)*C908&gt;0,1,0)</f>
        <v>1</v>
      </c>
      <c r="H908" s="9">
        <f>ABS(Prices!C908-Prices!C907)/Prices!C907</f>
        <v>3.3688938798427533E-3</v>
      </c>
      <c r="I908" s="13"/>
      <c r="J908" s="1">
        <f t="shared" ca="1" si="87"/>
        <v>1.7491149056733382E-3</v>
      </c>
      <c r="K908" s="9"/>
      <c r="L908" s="9">
        <f ca="1">L907-O908*Prices!C908</f>
        <v>1.2731442166863989</v>
      </c>
      <c r="M908" s="1">
        <f t="shared" ca="1" si="88"/>
        <v>7.3613963365442535E-3</v>
      </c>
      <c r="N908" s="9">
        <f ca="1">IF(Prices!D907&gt;OFFSET(Prices!D907,-$N$3,0),1,IF(Prices!D907&lt;OFFSET(Prices!D907,-$N$3,0),-1,0))</f>
        <v>1</v>
      </c>
      <c r="O908" s="1">
        <f ca="1">IF(N908=1,O$3*L907/Prices!C907,O$3*M907*N908)</f>
        <v>1.5891458736646059E-3</v>
      </c>
      <c r="P908" s="14"/>
      <c r="Q908" s="9">
        <f ca="1">Q907-T908*Prices!C908</f>
        <v>0.69796888200890073</v>
      </c>
      <c r="R908" s="1">
        <f t="shared" ca="1" si="89"/>
        <v>1.3579607298991846E-2</v>
      </c>
      <c r="S908" s="9">
        <f ca="1">IF(Prices!C907&lt;OFFSET(Prices!C907,-S$3,0),1,IF(Prices!C907&gt;OFFSET(Prices!C907,-S$3,0),-1,0))</f>
        <v>1</v>
      </c>
      <c r="T908" s="1">
        <f ca="1">IF(S908=1,T$3*Q907/Prices!C907,T$3*R907*S908)</f>
        <v>1.5996903200873237E-4</v>
      </c>
    </row>
    <row r="909" spans="1:20" x14ac:dyDescent="0.2">
      <c r="A909" s="4">
        <v>34779</v>
      </c>
      <c r="B909" s="9">
        <f ca="1">Prices!C908*(1+J909/(50*(ABS(O909)+ABS(T909)+0.0001)))</f>
        <v>91.03070233252997</v>
      </c>
      <c r="C909" s="13">
        <f t="shared" ca="1" si="84"/>
        <v>1</v>
      </c>
      <c r="D909" s="9">
        <f ca="1">D908+C909*(Prices!C909-Prices!C908)/Prices!C908</f>
        <v>0.43997857193479079</v>
      </c>
      <c r="E909" s="9">
        <f t="shared" ca="1" si="85"/>
        <v>7.0239785153045076E-3</v>
      </c>
      <c r="F909" s="9">
        <f t="shared" ca="1" si="86"/>
        <v>0.44700255045009529</v>
      </c>
      <c r="G909" s="13">
        <f ca="1">IF((Prices!C909-Prices!C908)*C909&gt;0,1,0)</f>
        <v>0</v>
      </c>
      <c r="H909" s="9">
        <f>ABS(Prices!C909-Prices!C908)/Prices!C908</f>
        <v>0</v>
      </c>
      <c r="I909" s="13"/>
      <c r="J909" s="1">
        <f t="shared" ca="1" si="87"/>
        <v>1.5811281399979622E-3</v>
      </c>
      <c r="K909" s="9"/>
      <c r="L909" s="9">
        <f ca="1">L908-O909*Prices!C909</f>
        <v>1.1458297950177589</v>
      </c>
      <c r="M909" s="1">
        <f t="shared" ca="1" si="88"/>
        <v>8.7862919344025622E-3</v>
      </c>
      <c r="N909" s="9">
        <f ca="1">IF(Prices!D908&gt;OFFSET(Prices!D908,-$N$3,0),1,IF(Prices!D908&lt;OFFSET(Prices!D908,-$N$3,0),-1,0))</f>
        <v>1</v>
      </c>
      <c r="O909" s="1">
        <f ca="1">IF(N909=1,O$3*L908/Prices!C908,O$3*M908*N909)</f>
        <v>1.4248955978583091E-3</v>
      </c>
      <c r="P909" s="14"/>
      <c r="Q909" s="9">
        <f ca="1">Q908-T909*Prices!C909</f>
        <v>0.68400950436872276</v>
      </c>
      <c r="R909" s="1">
        <f t="shared" ca="1" si="89"/>
        <v>1.3735839841131499E-2</v>
      </c>
      <c r="S909" s="9">
        <f ca="1">IF(Prices!C908&lt;OFFSET(Prices!C908,-S$3,0),1,IF(Prices!C908&gt;OFFSET(Prices!C908,-S$3,0),-1,0))</f>
        <v>1</v>
      </c>
      <c r="T909" s="1">
        <f ca="1">IF(S909=1,T$3*Q908/Prices!C908,T$3*R908*S909)</f>
        <v>1.5623254213965323E-4</v>
      </c>
    </row>
    <row r="910" spans="1:20" x14ac:dyDescent="0.2">
      <c r="A910" s="4">
        <v>34780</v>
      </c>
      <c r="B910" s="9">
        <f ca="1">Prices!C909*(1+J910/(50*(ABS(O910)+ABS(T910)+0.0001)))</f>
        <v>91.020622026096888</v>
      </c>
      <c r="C910" s="13">
        <f t="shared" ca="1" si="84"/>
        <v>1</v>
      </c>
      <c r="D910" s="9">
        <f ca="1">D909+C910*(Prices!C910-Prices!C909)/Prices!C909</f>
        <v>0.43639715055818201</v>
      </c>
      <c r="E910" s="9">
        <f t="shared" ca="1" si="85"/>
        <v>1.0605399891913281E-2</v>
      </c>
      <c r="F910" s="9">
        <f t="shared" ca="1" si="86"/>
        <v>0.44700255045009529</v>
      </c>
      <c r="G910" s="13">
        <f ca="1">IF((Prices!C910-Prices!C909)*C910&gt;0,1,0)</f>
        <v>0</v>
      </c>
      <c r="H910" s="9">
        <f>ABS(Prices!C910-Prices!C909)/Prices!C909</f>
        <v>3.5814213766087654E-3</v>
      </c>
      <c r="I910" s="13"/>
      <c r="J910" s="1">
        <f t="shared" ca="1" si="87"/>
        <v>1.435513929369338E-3</v>
      </c>
      <c r="K910" s="9"/>
      <c r="L910" s="9">
        <f ca="1">L909-O910*Prices!C910</f>
        <v>1.0316571854481662</v>
      </c>
      <c r="M910" s="1">
        <f t="shared" ca="1" si="88"/>
        <v>1.0068697972475039E-2</v>
      </c>
      <c r="N910" s="9">
        <f ca="1">IF(Prices!D909&gt;OFFSET(Prices!D909,-$N$3,0),1,IF(Prices!D909&lt;OFFSET(Prices!D909,-$N$3,0),-1,0))</f>
        <v>1</v>
      </c>
      <c r="O910" s="1">
        <f ca="1">IF(N910=1,O$3*L909/Prices!C909,O$3*M909*N910)</f>
        <v>1.2824060380724779E-3</v>
      </c>
      <c r="P910" s="14"/>
      <c r="Q910" s="9">
        <f ca="1">Q909-T910*Prices!C910</f>
        <v>0.67037830880656335</v>
      </c>
      <c r="R910" s="1">
        <f t="shared" ca="1" si="89"/>
        <v>1.388894773242836E-2</v>
      </c>
      <c r="S910" s="9">
        <f ca="1">IF(Prices!C909&lt;OFFSET(Prices!C909,-S$3,0),1,IF(Prices!C909&gt;OFFSET(Prices!C909,-S$3,0),-1,0))</f>
        <v>1</v>
      </c>
      <c r="T910" s="1">
        <f ca="1">IF(S910=1,T$3*Q909/Prices!C909,T$3*R909*S910)</f>
        <v>1.5310789129686017E-4</v>
      </c>
    </row>
    <row r="911" spans="1:20" x14ac:dyDescent="0.2">
      <c r="A911" s="4">
        <v>34781</v>
      </c>
      <c r="B911" s="9">
        <f ca="1">Prices!C910*(1+J911/(50*(ABS(O911)+ABS(T911)+0.0001)))</f>
        <v>90.684259936335735</v>
      </c>
      <c r="C911" s="13">
        <f t="shared" ca="1" si="84"/>
        <v>1</v>
      </c>
      <c r="D911" s="9">
        <f ca="1">D910+C911*(Prices!C911-Prices!C910)/Prices!C910</f>
        <v>0.42651284189817984</v>
      </c>
      <c r="E911" s="9">
        <f t="shared" ca="1" si="85"/>
        <v>2.0489708551915453E-2</v>
      </c>
      <c r="F911" s="9">
        <f t="shared" ca="1" si="86"/>
        <v>0.44700255045009529</v>
      </c>
      <c r="G911" s="13">
        <f ca="1">IF((Prices!C911-Prices!C910)*C911&gt;0,1,0)</f>
        <v>0</v>
      </c>
      <c r="H911" s="9">
        <f>ABS(Prices!C911-Prices!C910)/Prices!C910</f>
        <v>9.8843086600021949E-3</v>
      </c>
      <c r="I911" s="13"/>
      <c r="J911" s="1">
        <f t="shared" ca="1" si="87"/>
        <v>1.3093708269229236E-3</v>
      </c>
      <c r="K911" s="9"/>
      <c r="L911" s="9">
        <f ca="1">L910-O911*Prices!C911</f>
        <v>0.92951118870857741</v>
      </c>
      <c r="M911" s="1">
        <f t="shared" ca="1" si="88"/>
        <v>1.1227472751143091E-2</v>
      </c>
      <c r="N911" s="9">
        <f ca="1">IF(Prices!D910&gt;OFFSET(Prices!D910,-$N$3,0),1,IF(Prices!D910&lt;OFFSET(Prices!D910,-$N$3,0),-1,0))</f>
        <v>1</v>
      </c>
      <c r="O911" s="1">
        <f ca="1">IF(N911=1,O$3*L910/Prices!C910,O$3*M910*N911)</f>
        <v>1.1587747786680515E-3</v>
      </c>
      <c r="P911" s="14"/>
      <c r="Q911" s="9">
        <f ca="1">Q910-T911*Prices!C911</f>
        <v>0.65710326715289635</v>
      </c>
      <c r="R911" s="1">
        <f t="shared" ca="1" si="89"/>
        <v>1.4039543780683231E-2</v>
      </c>
      <c r="S911" s="9">
        <f ca="1">IF(Prices!C910&lt;OFFSET(Prices!C910,-S$3,0),1,IF(Prices!C910&gt;OFFSET(Prices!C910,-S$3,0),-1,0))</f>
        <v>1</v>
      </c>
      <c r="T911" s="1">
        <f ca="1">IF(S911=1,T$3*Q910/Prices!C910,T$3*R910*S911)</f>
        <v>1.5059604825487215E-4</v>
      </c>
    </row>
    <row r="912" spans="1:20" x14ac:dyDescent="0.2">
      <c r="A912" s="4">
        <v>34782</v>
      </c>
      <c r="B912" s="9">
        <f ca="1">Prices!C911*(1+J912/(50*(ABS(O912)+ABS(T912)+0.0001)))</f>
        <v>89.777754237426052</v>
      </c>
      <c r="C912" s="13">
        <f t="shared" ca="1" si="84"/>
        <v>1</v>
      </c>
      <c r="D912" s="9">
        <f ca="1">D911+C912*(Prices!C912-Prices!C911)/Prices!C911</f>
        <v>0.43490762352041462</v>
      </c>
      <c r="E912" s="9">
        <f t="shared" ca="1" si="85"/>
        <v>1.2094926929680672E-2</v>
      </c>
      <c r="F912" s="9">
        <f t="shared" ca="1" si="86"/>
        <v>0.44700255045009529</v>
      </c>
      <c r="G912" s="13">
        <f ca="1">IF((Prices!C912-Prices!C911)*C912&gt;0,1,0)</f>
        <v>1</v>
      </c>
      <c r="H912" s="9">
        <f>ABS(Prices!C912-Prices!C911)/Prices!C911</f>
        <v>8.3947816222347676E-3</v>
      </c>
      <c r="I912" s="13"/>
      <c r="J912" s="1">
        <f t="shared" ca="1" si="87"/>
        <v>1.203552855518045E-3</v>
      </c>
      <c r="K912" s="9"/>
      <c r="L912" s="9">
        <f ca="1">L911-O912*Prices!C912</f>
        <v>0.83577976549325639</v>
      </c>
      <c r="M912" s="1">
        <f t="shared" ca="1" si="88"/>
        <v>1.2281938081498823E-2</v>
      </c>
      <c r="N912" s="9">
        <f ca="1">IF(Prices!D911&gt;OFFSET(Prices!D911,-$N$3,0),1,IF(Prices!D911&lt;OFFSET(Prices!D911,-$N$3,0),-1,0))</f>
        <v>1</v>
      </c>
      <c r="O912" s="1">
        <f ca="1">IF(N912=1,O$3*L911/Prices!C911,O$3*M911*N912)</f>
        <v>1.0544653303557316E-3</v>
      </c>
      <c r="P912" s="14"/>
      <c r="Q912" s="9">
        <f ca="1">Q911-T912*Prices!C912</f>
        <v>0.64385087704121835</v>
      </c>
      <c r="R912" s="1">
        <f t="shared" ca="1" si="89"/>
        <v>1.4188631305845545E-2</v>
      </c>
      <c r="S912" s="9">
        <f ca="1">IF(Prices!C911&lt;OFFSET(Prices!C911,-S$3,0),1,IF(Prices!C911&gt;OFFSET(Prices!C911,-S$3,0),-1,0))</f>
        <v>1</v>
      </c>
      <c r="T912" s="1">
        <f ca="1">IF(S912=1,T$3*Q911/Prices!C911,T$3*R911*S912)</f>
        <v>1.4908752516231341E-4</v>
      </c>
    </row>
    <row r="913" spans="1:20" x14ac:dyDescent="0.2">
      <c r="A913" s="4">
        <v>34785</v>
      </c>
      <c r="B913" s="9">
        <f ca="1">Prices!C912*(1+J913/(50*(ABS(O913)+ABS(T913)+0.0001)))</f>
        <v>87.582555201544821</v>
      </c>
      <c r="C913" s="13">
        <f t="shared" ca="1" si="84"/>
        <v>-1</v>
      </c>
      <c r="D913" s="9">
        <f ca="1">D912+C913*(Prices!C913-Prices!C912)/Prices!C912</f>
        <v>0.42973268820710608</v>
      </c>
      <c r="E913" s="9">
        <f t="shared" ca="1" si="85"/>
        <v>1.7269862242989209E-2</v>
      </c>
      <c r="F913" s="9">
        <f t="shared" ca="1" si="86"/>
        <v>0.44700255045009529</v>
      </c>
      <c r="G913" s="13">
        <f ca="1">IF((Prices!C913-Prices!C912)*C913&gt;0,1,0)</f>
        <v>0</v>
      </c>
      <c r="H913" s="9">
        <f>ABS(Prices!C913-Prices!C912)/Prices!C912</f>
        <v>5.1749353133085131E-3</v>
      </c>
      <c r="I913" s="13"/>
      <c r="J913" s="1">
        <f t="shared" ca="1" si="87"/>
        <v>-1.0833291716235648E-3</v>
      </c>
      <c r="K913" s="9"/>
      <c r="L913" s="9">
        <f ca="1">L912-O913*Prices!C913</f>
        <v>0.94551888225144842</v>
      </c>
      <c r="M913" s="1">
        <f t="shared" ca="1" si="88"/>
        <v>1.105374427334894E-2</v>
      </c>
      <c r="N913" s="9">
        <f ca="1">IF(Prices!D912&gt;OFFSET(Prices!D912,-$N$3,0),1,IF(Prices!D912&lt;OFFSET(Prices!D912,-$N$3,0),-1,0))</f>
        <v>-1</v>
      </c>
      <c r="O913" s="1">
        <f ca="1">IF(N913=1,O$3*L912/Prices!C912,O$3*M912*N913)</f>
        <v>-1.2281938081498823E-3</v>
      </c>
      <c r="P913" s="14"/>
      <c r="Q913" s="9">
        <f ca="1">Q912-T913*Prices!C913</f>
        <v>0.63090722176759184</v>
      </c>
      <c r="R913" s="1">
        <f t="shared" ca="1" si="89"/>
        <v>1.4333495942371863E-2</v>
      </c>
      <c r="S913" s="9">
        <f ca="1">IF(Prices!C912&lt;OFFSET(Prices!C912,-S$3,0),1,IF(Prices!C912&gt;OFFSET(Prices!C912,-S$3,0),-1,0))</f>
        <v>1</v>
      </c>
      <c r="T913" s="1">
        <f ca="1">IF(S913=1,T$3*Q912/Prices!C912,T$3*R912*S913)</f>
        <v>1.4486463652631755E-4</v>
      </c>
    </row>
    <row r="914" spans="1:20" x14ac:dyDescent="0.2">
      <c r="A914" s="4">
        <v>34786</v>
      </c>
      <c r="B914" s="9">
        <f ca="1">Prices!C913*(1+J914/(50*(ABS(O914)+ABS(T914)+0.0001)))</f>
        <v>87.711252688913518</v>
      </c>
      <c r="C914" s="13">
        <f t="shared" ref="C914:C977" ca="1" si="90">IF(J914&gt;0,1,IF(J914&lt;0,-1,0))</f>
        <v>-1</v>
      </c>
      <c r="D914" s="9">
        <f ca="1">D913+C914*(Prices!C914-Prices!C913)/Prices!C913</f>
        <v>0.4346571425999432</v>
      </c>
      <c r="E914" s="9">
        <f t="shared" ref="E914:E977" ca="1" si="91">F914-D914</f>
        <v>1.234540785015209E-2</v>
      </c>
      <c r="F914" s="9">
        <f t="shared" ref="F914:F977" ca="1" si="92">MAX(F913,D914)</f>
        <v>0.44700255045009529</v>
      </c>
      <c r="G914" s="13">
        <f ca="1">IF((Prices!C914-Prices!C913)*C914&gt;0,1,0)</f>
        <v>1</v>
      </c>
      <c r="H914" s="9">
        <f>ABS(Prices!C914-Prices!C913)/Prices!C913</f>
        <v>4.9244543928371317E-3</v>
      </c>
      <c r="I914" s="13"/>
      <c r="J914" s="1">
        <f t="shared" ref="J914:J977" ca="1" si="93">O914+T914</f>
        <v>-1.1053744273348939E-3</v>
      </c>
      <c r="K914" s="9"/>
      <c r="L914" s="9">
        <f ca="1">L913-O914*Prices!C914</f>
        <v>1.043797722585794</v>
      </c>
      <c r="M914" s="1">
        <f t="shared" ref="M914:M977" ca="1" si="94">M913+O914</f>
        <v>9.9483698460140456E-3</v>
      </c>
      <c r="N914" s="9">
        <f ca="1">IF(Prices!D913&gt;OFFSET(Prices!D913,-$N$3,0),1,IF(Prices!D913&lt;OFFSET(Prices!D913,-$N$3,0),-1,0))</f>
        <v>-1</v>
      </c>
      <c r="O914" s="1">
        <f ca="1">IF(N914=1,O$3*L913/Prices!C913,O$3*M913*N914)</f>
        <v>-1.1053744273348939E-3</v>
      </c>
      <c r="P914" s="14"/>
      <c r="Q914" s="9">
        <f ca="1">Q913-T914*Prices!C914</f>
        <v>0.63090722176759184</v>
      </c>
      <c r="R914" s="1">
        <f t="shared" ref="R914:R977" ca="1" si="95">R913+T914</f>
        <v>1.4333495942371863E-2</v>
      </c>
      <c r="S914" s="9">
        <f ca="1">IF(Prices!C913&lt;OFFSET(Prices!C913,-S$3,0),1,IF(Prices!C913&gt;OFFSET(Prices!C913,-S$3,0),-1,0))</f>
        <v>0</v>
      </c>
      <c r="T914" s="1">
        <f ca="1">IF(S914=1,T$3*Q913/Prices!C913,T$3*R913*S914)</f>
        <v>0</v>
      </c>
    </row>
    <row r="915" spans="1:20" x14ac:dyDescent="0.2">
      <c r="A915" s="4">
        <v>34787</v>
      </c>
      <c r="B915" s="9">
        <f ca="1">Prices!C914*(1+J915/(50*(ABS(O915)+ABS(T915)+0.0001)))</f>
        <v>90.562613279459384</v>
      </c>
      <c r="C915" s="13">
        <f t="shared" ca="1" si="90"/>
        <v>1</v>
      </c>
      <c r="D915" s="9">
        <f ca="1">D914+C915*(Prices!C915-Prices!C914)/Prices!C914</f>
        <v>0.42824616520707409</v>
      </c>
      <c r="E915" s="9">
        <f t="shared" ca="1" si="91"/>
        <v>1.8756385243021201E-2</v>
      </c>
      <c r="F915" s="9">
        <f t="shared" ca="1" si="92"/>
        <v>0.44700255045009529</v>
      </c>
      <c r="G915" s="13">
        <f ca="1">IF((Prices!C915-Prices!C914)*C915&gt;0,1,0)</f>
        <v>0</v>
      </c>
      <c r="H915" s="9">
        <f>ABS(Prices!C915-Prices!C914)/Prices!C914</f>
        <v>6.4109773928691174E-3</v>
      </c>
      <c r="I915" s="13"/>
      <c r="J915" s="1">
        <f t="shared" ca="1" si="93"/>
        <v>1.3159140332238359E-3</v>
      </c>
      <c r="K915" s="9"/>
      <c r="L915" s="9">
        <f ca="1">L914-O915*Prices!C915</f>
        <v>0.9400871266874371</v>
      </c>
      <c r="M915" s="1">
        <f t="shared" ca="1" si="94"/>
        <v>1.1122363460439638E-2</v>
      </c>
      <c r="N915" s="9">
        <f ca="1">IF(Prices!D914&gt;OFFSET(Prices!D914,-$N$3,0),1,IF(Prices!D914&lt;OFFSET(Prices!D914,-$N$3,0),-1,0))</f>
        <v>1</v>
      </c>
      <c r="O915" s="1">
        <f ca="1">IF(N915=1,O$3*L914/Prices!C914,O$3*M914*N915)</f>
        <v>1.1739936144255923E-3</v>
      </c>
      <c r="P915" s="14"/>
      <c r="Q915" s="9">
        <f ca="1">Q914-T915*Prices!C915</f>
        <v>0.618369971970955</v>
      </c>
      <c r="R915" s="1">
        <f t="shared" ca="1" si="95"/>
        <v>1.4475416361170106E-2</v>
      </c>
      <c r="S915" s="9">
        <f ca="1">IF(Prices!C914&lt;OFFSET(Prices!C914,-S$3,0),1,IF(Prices!C914&gt;OFFSET(Prices!C914,-S$3,0),-1,0))</f>
        <v>1</v>
      </c>
      <c r="T915" s="1">
        <f ca="1">IF(S915=1,T$3*Q914/Prices!C914,T$3*R914*S915)</f>
        <v>1.4192041879824359E-4</v>
      </c>
    </row>
    <row r="916" spans="1:20" x14ac:dyDescent="0.2">
      <c r="A916" s="4">
        <v>34788</v>
      </c>
      <c r="B916" s="9">
        <f ca="1">Prices!C915*(1+J916/(50*(ABS(O916)+ABS(T916)+0.0001)))</f>
        <v>89.281523038054971</v>
      </c>
      <c r="C916" s="13">
        <f t="shared" ca="1" si="90"/>
        <v>1</v>
      </c>
      <c r="D916" s="9">
        <f ca="1">D915+C916*(Prices!C916-Prices!C915)/Prices!C915</f>
        <v>0.44194324467277474</v>
      </c>
      <c r="E916" s="9">
        <f t="shared" ca="1" si="91"/>
        <v>5.0593057773205552E-3</v>
      </c>
      <c r="F916" s="9">
        <f t="shared" ca="1" si="92"/>
        <v>0.44700255045009529</v>
      </c>
      <c r="G916" s="13">
        <f ca="1">IF((Prices!C916-Prices!C915)*C916&gt;0,1,0)</f>
        <v>1</v>
      </c>
      <c r="H916" s="9">
        <f>ABS(Prices!C916-Prices!C915)/Prices!C915</f>
        <v>1.369707946570063E-2</v>
      </c>
      <c r="I916" s="13"/>
      <c r="J916" s="1">
        <f t="shared" ca="1" si="93"/>
        <v>7.7466093549726465E-4</v>
      </c>
      <c r="K916" s="9"/>
      <c r="L916" s="9">
        <f ca="1">L915-O916*Prices!C916</f>
        <v>0.84479076921080143</v>
      </c>
      <c r="M916" s="1">
        <f t="shared" ca="1" si="94"/>
        <v>1.2186532723160304E-2</v>
      </c>
      <c r="N916" s="9">
        <f ca="1">IF(Prices!D915&gt;OFFSET(Prices!D915,-$N$3,0),1,IF(Prices!D915&lt;OFFSET(Prices!D915,-$N$3,0),-1,0))</f>
        <v>1</v>
      </c>
      <c r="O916" s="1">
        <f ca="1">IF(N916=1,O$3*L915/Prices!C915,O$3*M915*N916)</f>
        <v>1.0641692627206668E-3</v>
      </c>
      <c r="P916" s="14"/>
      <c r="Q916" s="9">
        <f ca="1">Q915-T916*Prices!C916</f>
        <v>0.64429544267381067</v>
      </c>
      <c r="R916" s="1">
        <f t="shared" ca="1" si="95"/>
        <v>1.4185908033946704E-2</v>
      </c>
      <c r="S916" s="9">
        <f ca="1">IF(Prices!C915&lt;OFFSET(Prices!C915,-S$3,0),1,IF(Prices!C915&gt;OFFSET(Prices!C915,-S$3,0),-1,0))</f>
        <v>-1</v>
      </c>
      <c r="T916" s="1">
        <f ca="1">IF(S916=1,T$3*Q915/Prices!C915,T$3*R915*S916)</f>
        <v>-2.8950832722340214E-4</v>
      </c>
    </row>
    <row r="917" spans="1:20" x14ac:dyDescent="0.2">
      <c r="A917" s="4">
        <v>34789</v>
      </c>
      <c r="B917" s="9">
        <f ca="1">Prices!C916*(1+J917/(50*(ABS(O917)+ABS(T917)+0.0001)))</f>
        <v>90.440249367483418</v>
      </c>
      <c r="C917" s="13">
        <f t="shared" ca="1" si="90"/>
        <v>1</v>
      </c>
      <c r="D917" s="9">
        <f ca="1">D916+C917*(Prices!C917-Prices!C916)/Prices!C916</f>
        <v>0.40844240715183672</v>
      </c>
      <c r="E917" s="9">
        <f t="shared" ca="1" si="91"/>
        <v>3.8560143298258576E-2</v>
      </c>
      <c r="F917" s="9">
        <f t="shared" ca="1" si="92"/>
        <v>0.44700255045009529</v>
      </c>
      <c r="G917" s="13">
        <f ca="1">IF((Prices!C917-Prices!C916)*C917&gt;0,1,0)</f>
        <v>0</v>
      </c>
      <c r="H917" s="9">
        <f>ABS(Prices!C917-Prices!C916)/Prices!C916</f>
        <v>3.3500837520938027E-2</v>
      </c>
      <c r="I917" s="13"/>
      <c r="J917" s="1">
        <f t="shared" ca="1" si="93"/>
        <v>6.5965511593837629E-4</v>
      </c>
      <c r="K917" s="9"/>
      <c r="L917" s="9">
        <f ca="1">L916-O917*Prices!C917</f>
        <v>0.76314181211957322</v>
      </c>
      <c r="M917" s="1">
        <f t="shared" ca="1" si="94"/>
        <v>1.3129905999777614E-2</v>
      </c>
      <c r="N917" s="9">
        <f ca="1">IF(Prices!D916&gt;OFFSET(Prices!D916,-$N$3,0),1,IF(Prices!D916&lt;OFFSET(Prices!D916,-$N$3,0),-1,0))</f>
        <v>1</v>
      </c>
      <c r="O917" s="1">
        <f ca="1">IF(N917=1,O$3*L916/Prices!C916,O$3*M916*N917)</f>
        <v>9.4337327661731039E-4</v>
      </c>
      <c r="P917" s="14"/>
      <c r="Q917" s="9">
        <f ca="1">Q916-T917*Prices!C917</f>
        <v>0.6688512494805724</v>
      </c>
      <c r="R917" s="1">
        <f t="shared" ca="1" si="95"/>
        <v>1.3902189873267769E-2</v>
      </c>
      <c r="S917" s="9">
        <f ca="1">IF(Prices!C916&lt;OFFSET(Prices!C916,-S$3,0),1,IF(Prices!C916&gt;OFFSET(Prices!C916,-S$3,0),-1,0))</f>
        <v>-1</v>
      </c>
      <c r="T917" s="1">
        <f ca="1">IF(S917=1,T$3*Q916/Prices!C916,T$3*R916*S917)</f>
        <v>-2.837181606789341E-4</v>
      </c>
    </row>
    <row r="918" spans="1:20" x14ac:dyDescent="0.2">
      <c r="A918" s="4">
        <v>34792</v>
      </c>
      <c r="B918" s="9">
        <f ca="1">Prices!C917*(1+J918/(50*(ABS(O918)+ABS(T918)+0.0001)))</f>
        <v>88.128662603585397</v>
      </c>
      <c r="C918" s="13">
        <f t="shared" ca="1" si="90"/>
        <v>1</v>
      </c>
      <c r="D918" s="9">
        <f ca="1">D917+C918*(Prices!C918-Prices!C917)/Prices!C917</f>
        <v>0.40035459663768302</v>
      </c>
      <c r="E918" s="9">
        <f t="shared" ca="1" si="91"/>
        <v>4.6647953812412268E-2</v>
      </c>
      <c r="F918" s="9">
        <f t="shared" ca="1" si="92"/>
        <v>0.44700255045009529</v>
      </c>
      <c r="G918" s="13">
        <f ca="1">IF((Prices!C918-Prices!C917)*C918&gt;0,1,0)</f>
        <v>0</v>
      </c>
      <c r="H918" s="9">
        <f>ABS(Prices!C918-Prices!C917)/Prices!C917</f>
        <v>8.0878105141537013E-3</v>
      </c>
      <c r="I918" s="13"/>
      <c r="J918" s="1">
        <f t="shared" ca="1" si="93"/>
        <v>1.0362935436345323E-3</v>
      </c>
      <c r="K918" s="9"/>
      <c r="L918" s="9">
        <f ca="1">L917-O918*Prices!C918</f>
        <v>0.68744484554480101</v>
      </c>
      <c r="M918" s="1">
        <f t="shared" ca="1" si="94"/>
        <v>1.4011641195756324E-2</v>
      </c>
      <c r="N918" s="9">
        <f ca="1">IF(Prices!D917&gt;OFFSET(Prices!D917,-$N$3,0),1,IF(Prices!D917&lt;OFFSET(Prices!D917,-$N$3,0),-1,0))</f>
        <v>1</v>
      </c>
      <c r="O918" s="1">
        <f ca="1">IF(N918=1,O$3*L917/Prices!C917,O$3*M917*N918)</f>
        <v>8.8173519597870974E-4</v>
      </c>
      <c r="P918" s="14"/>
      <c r="Q918" s="9">
        <f ca="1">Q917-T918*Prices!C918</f>
        <v>0.65558241533432005</v>
      </c>
      <c r="R918" s="1">
        <f t="shared" ca="1" si="95"/>
        <v>1.4056748220923593E-2</v>
      </c>
      <c r="S918" s="9">
        <f ca="1">IF(Prices!C917&lt;OFFSET(Prices!C917,-S$3,0),1,IF(Prices!C917&gt;OFFSET(Prices!C917,-S$3,0),-1,0))</f>
        <v>1</v>
      </c>
      <c r="T918" s="1">
        <f ca="1">IF(S918=1,T$3*Q917/Prices!C917,T$3*R917*S918)</f>
        <v>1.5455834765582262E-4</v>
      </c>
    </row>
    <row r="919" spans="1:20" x14ac:dyDescent="0.2">
      <c r="A919" s="4">
        <v>34793</v>
      </c>
      <c r="B919" s="9">
        <f ca="1">Prices!C918*(1+J919/(50*(ABS(O919)+ABS(T919)+0.0001)))</f>
        <v>84.553925991241087</v>
      </c>
      <c r="C919" s="13">
        <f t="shared" ca="1" si="90"/>
        <v>-1</v>
      </c>
      <c r="D919" s="9">
        <f ca="1">D918+C919*(Prices!C919-Prices!C918)/Prices!C918</f>
        <v>0.39627771836162001</v>
      </c>
      <c r="E919" s="9">
        <f t="shared" ca="1" si="91"/>
        <v>5.072483208847528E-2</v>
      </c>
      <c r="F919" s="9">
        <f t="shared" ca="1" si="92"/>
        <v>0.44700255045009529</v>
      </c>
      <c r="G919" s="13">
        <f ca="1">IF((Prices!C919-Prices!C918)*C919&gt;0,1,0)</f>
        <v>0</v>
      </c>
      <c r="H919" s="9">
        <f>ABS(Prices!C919-Prices!C918)/Prices!C918</f>
        <v>4.0768782760629996E-3</v>
      </c>
      <c r="I919" s="13"/>
      <c r="J919" s="1">
        <f t="shared" ca="1" si="93"/>
        <v>-1.2484367077330418E-3</v>
      </c>
      <c r="K919" s="9"/>
      <c r="L919" s="9">
        <f ca="1">L918-O919*Prices!C919</f>
        <v>0.80822519265222059</v>
      </c>
      <c r="M919" s="1">
        <f t="shared" ca="1" si="94"/>
        <v>1.2610477076180692E-2</v>
      </c>
      <c r="N919" s="9">
        <f ca="1">IF(Prices!D918&gt;OFFSET(Prices!D918,-$N$3,0),1,IF(Prices!D918&lt;OFFSET(Prices!D918,-$N$3,0),-1,0))</f>
        <v>-1</v>
      </c>
      <c r="O919" s="1">
        <f ca="1">IF(N919=1,O$3*L918/Prices!C918,O$3*M918*N919)</f>
        <v>-1.4011641195756325E-3</v>
      </c>
      <c r="P919" s="14"/>
      <c r="Q919" s="9">
        <f ca="1">Q918-T919*Prices!C919</f>
        <v>0.64241731243348876</v>
      </c>
      <c r="R919" s="1">
        <f t="shared" ca="1" si="95"/>
        <v>1.4209475632766184E-2</v>
      </c>
      <c r="S919" s="9">
        <f ca="1">IF(Prices!C918&lt;OFFSET(Prices!C918,-S$3,0),1,IF(Prices!C918&gt;OFFSET(Prices!C918,-S$3,0),-1,0))</f>
        <v>1</v>
      </c>
      <c r="T919" s="1">
        <f ca="1">IF(S919=1,T$3*Q918/Prices!C918,T$3*R918*S919)</f>
        <v>1.5272741184259059E-4</v>
      </c>
    </row>
    <row r="920" spans="1:20" x14ac:dyDescent="0.2">
      <c r="A920" s="4">
        <v>34794</v>
      </c>
      <c r="B920" s="9">
        <f ca="1">Prices!C919*(1+J920/(50*(ABS(O920)+ABS(T920)+0.0001)))</f>
        <v>84.930495494461638</v>
      </c>
      <c r="C920" s="13">
        <f t="shared" ca="1" si="90"/>
        <v>-1</v>
      </c>
      <c r="D920" s="9">
        <f ca="1">D919+C920*(Prices!C920-Prices!C919)/Prices!C919</f>
        <v>0.3968577647653323</v>
      </c>
      <c r="E920" s="9">
        <f t="shared" ca="1" si="91"/>
        <v>5.0144785684762994E-2</v>
      </c>
      <c r="F920" s="9">
        <f t="shared" ca="1" si="92"/>
        <v>0.44700255045009529</v>
      </c>
      <c r="G920" s="13">
        <f ca="1">IF((Prices!C920-Prices!C919)*C920&gt;0,1,0)</f>
        <v>1</v>
      </c>
      <c r="H920" s="9">
        <f>ABS(Prices!C920-Prices!C919)/Prices!C919</f>
        <v>5.80046403712264E-4</v>
      </c>
      <c r="I920" s="13"/>
      <c r="J920" s="1">
        <f t="shared" ca="1" si="93"/>
        <v>-1.1119949669142436E-3</v>
      </c>
      <c r="K920" s="9"/>
      <c r="L920" s="9">
        <f ca="1">L919-O920*Prices!C920</f>
        <v>0.91686445266351724</v>
      </c>
      <c r="M920" s="1">
        <f t="shared" ca="1" si="94"/>
        <v>1.1349429368562623E-2</v>
      </c>
      <c r="N920" s="9">
        <f ca="1">IF(Prices!D919&gt;OFFSET(Prices!D919,-$N$3,0),1,IF(Prices!D919&lt;OFFSET(Prices!D919,-$N$3,0),-1,0))</f>
        <v>-1</v>
      </c>
      <c r="O920" s="1">
        <f ca="1">IF(N920=1,O$3*L919/Prices!C919,O$3*M919*N920)</f>
        <v>-1.2610477076180693E-3</v>
      </c>
      <c r="P920" s="14"/>
      <c r="Q920" s="9">
        <f ca="1">Q919-T920*Prices!C920</f>
        <v>0.62957641882185422</v>
      </c>
      <c r="R920" s="1">
        <f t="shared" ca="1" si="95"/>
        <v>1.4358528373470009E-2</v>
      </c>
      <c r="S920" s="9">
        <f ca="1">IF(Prices!C919&lt;OFFSET(Prices!C919,-S$3,0),1,IF(Prices!C919&gt;OFFSET(Prices!C919,-S$3,0),-1,0))</f>
        <v>1</v>
      </c>
      <c r="T920" s="1">
        <f ca="1">IF(S920=1,T$3*Q919/Prices!C919,T$3*R919*S920)</f>
        <v>1.4905274070382569E-4</v>
      </c>
    </row>
    <row r="921" spans="1:20" x14ac:dyDescent="0.2">
      <c r="A921" s="4">
        <v>34795</v>
      </c>
      <c r="B921" s="9">
        <f ca="1">Prices!C920*(1+J921/(50*(ABS(O921)+ABS(T921)+0.0001)))</f>
        <v>84.916436378092527</v>
      </c>
      <c r="C921" s="13">
        <f t="shared" ca="1" si="90"/>
        <v>-1</v>
      </c>
      <c r="D921" s="9">
        <f ca="1">D920+C921*(Prices!C921-Prices!C920)/Prices!C920</f>
        <v>0.41206380074908161</v>
      </c>
      <c r="E921" s="9">
        <f t="shared" ca="1" si="91"/>
        <v>3.4938749701013683E-2</v>
      </c>
      <c r="F921" s="9">
        <f t="shared" ca="1" si="92"/>
        <v>0.44700255045009529</v>
      </c>
      <c r="G921" s="13">
        <f ca="1">IF((Prices!C921-Prices!C920)*C921&gt;0,1,0)</f>
        <v>1</v>
      </c>
      <c r="H921" s="9">
        <f>ABS(Prices!C921-Prices!C920)/Prices!C920</f>
        <v>1.52060359837493E-2</v>
      </c>
      <c r="I921" s="13"/>
      <c r="J921" s="1">
        <f t="shared" ca="1" si="93"/>
        <v>-9.8878474328183315E-4</v>
      </c>
      <c r="K921" s="9"/>
      <c r="L921" s="9">
        <f ca="1">L920-O921*Prices!C921</f>
        <v>1.0131530114264025</v>
      </c>
      <c r="M921" s="1">
        <f t="shared" ca="1" si="94"/>
        <v>1.021448643170636E-2</v>
      </c>
      <c r="N921" s="9">
        <f ca="1">IF(Prices!D920&gt;OFFSET(Prices!D920,-$N$3,0),1,IF(Prices!D920&lt;OFFSET(Prices!D920,-$N$3,0),-1,0))</f>
        <v>-1</v>
      </c>
      <c r="O921" s="1">
        <f ca="1">IF(N921=1,O$3*L920/Prices!C920,O$3*M920*N921)</f>
        <v>-1.1349429368562624E-3</v>
      </c>
      <c r="P921" s="14"/>
      <c r="Q921" s="9">
        <f ca="1">Q920-T921*Prices!C921</f>
        <v>0.61717635767899959</v>
      </c>
      <c r="R921" s="1">
        <f t="shared" ca="1" si="95"/>
        <v>1.4504686567044438E-2</v>
      </c>
      <c r="S921" s="9">
        <f ca="1">IF(Prices!C920&lt;OFFSET(Prices!C920,-S$3,0),1,IF(Prices!C920&gt;OFFSET(Prices!C920,-S$3,0),-1,0))</f>
        <v>1</v>
      </c>
      <c r="T921" s="1">
        <f ca="1">IF(S921=1,T$3*Q920/Prices!C920,T$3*R920*S921)</f>
        <v>1.4615819357442929E-4</v>
      </c>
    </row>
    <row r="922" spans="1:20" x14ac:dyDescent="0.2">
      <c r="A922" s="4">
        <v>34796</v>
      </c>
      <c r="B922" s="9">
        <f ca="1">Prices!C921*(1+J922/(50*(ABS(O922)+ABS(T922)+0.0001)))</f>
        <v>83.66684029594353</v>
      </c>
      <c r="C922" s="13">
        <f t="shared" ca="1" si="90"/>
        <v>-1</v>
      </c>
      <c r="D922" s="9">
        <f ca="1">D921+C922*(Prices!C922-Prices!C921)/Prices!C921</f>
        <v>0.42373282479434338</v>
      </c>
      <c r="E922" s="9">
        <f t="shared" ca="1" si="91"/>
        <v>2.3269725655751916E-2</v>
      </c>
      <c r="F922" s="9">
        <f t="shared" ca="1" si="92"/>
        <v>0.44700255045009529</v>
      </c>
      <c r="G922" s="13">
        <f ca="1">IF((Prices!C922-Prices!C921)*C922&gt;0,1,0)</f>
        <v>1</v>
      </c>
      <c r="H922" s="9">
        <f>ABS(Prices!C922-Prices!C921)/Prices!C921</f>
        <v>1.1669024045261775E-2</v>
      </c>
      <c r="I922" s="13"/>
      <c r="J922" s="1">
        <f t="shared" ca="1" si="93"/>
        <v>-8.7595680967723672E-4</v>
      </c>
      <c r="K922" s="9"/>
      <c r="L922" s="9">
        <f ca="1">L921-O922*Prices!C922</f>
        <v>1.0988014801562602</v>
      </c>
      <c r="M922" s="1">
        <f t="shared" ca="1" si="94"/>
        <v>9.193037788535724E-3</v>
      </c>
      <c r="N922" s="9">
        <f ca="1">IF(Prices!D921&gt;OFFSET(Prices!D921,-$N$3,0),1,IF(Prices!D921&lt;OFFSET(Prices!D921,-$N$3,0),-1,0))</f>
        <v>-1</v>
      </c>
      <c r="O922" s="1">
        <f ca="1">IF(N922=1,O$3*L921/Prices!C921,O$3*M921*N922)</f>
        <v>-1.021448643170636E-3</v>
      </c>
      <c r="P922" s="14"/>
      <c r="Q922" s="9">
        <f ca="1">Q921-T922*Prices!C922</f>
        <v>0.6049768674405781</v>
      </c>
      <c r="R922" s="1">
        <f t="shared" ca="1" si="95"/>
        <v>1.4650178400537837E-2</v>
      </c>
      <c r="S922" s="9">
        <f ca="1">IF(Prices!C921&lt;OFFSET(Prices!C921,-S$3,0),1,IF(Prices!C921&gt;OFFSET(Prices!C921,-S$3,0),-1,0))</f>
        <v>1</v>
      </c>
      <c r="T922" s="1">
        <f ca="1">IF(S922=1,T$3*Q921/Prices!C921,T$3*R921*S922)</f>
        <v>1.4549183349339925E-4</v>
      </c>
    </row>
    <row r="923" spans="1:20" x14ac:dyDescent="0.2">
      <c r="A923" s="4">
        <v>34799</v>
      </c>
      <c r="B923" s="9">
        <f ca="1">Prices!C922*(1+J923/(50*(ABS(O923)+ABS(T923)+0.0001)))</f>
        <v>82.733054568137533</v>
      </c>
      <c r="C923" s="13">
        <f t="shared" ca="1" si="90"/>
        <v>-1</v>
      </c>
      <c r="D923" s="9">
        <f ca="1">D922+C923*(Prices!C923-Prices!C922)/Prices!C922</f>
        <v>0.42313652187245893</v>
      </c>
      <c r="E923" s="9">
        <f t="shared" ca="1" si="91"/>
        <v>2.3866028577636367E-2</v>
      </c>
      <c r="F923" s="9">
        <f t="shared" ca="1" si="92"/>
        <v>0.44700255045009529</v>
      </c>
      <c r="G923" s="13">
        <f ca="1">IF((Prices!C923-Prices!C922)*C923&gt;0,1,0)</f>
        <v>0</v>
      </c>
      <c r="H923" s="9">
        <f>ABS(Prices!C923-Prices!C922)/Prices!C922</f>
        <v>5.9630292188445283E-4</v>
      </c>
      <c r="I923" s="13"/>
      <c r="J923" s="1">
        <f t="shared" ca="1" si="93"/>
        <v>-7.7500398936267731E-4</v>
      </c>
      <c r="K923" s="9"/>
      <c r="L923" s="9">
        <f ca="1">L922-O923*Prices!C923</f>
        <v>1.1759310672020749</v>
      </c>
      <c r="M923" s="1">
        <f t="shared" ca="1" si="94"/>
        <v>8.2737340096821523E-3</v>
      </c>
      <c r="N923" s="9">
        <f ca="1">IF(Prices!D922&gt;OFFSET(Prices!D922,-$N$3,0),1,IF(Prices!D922&lt;OFFSET(Prices!D922,-$N$3,0),-1,0))</f>
        <v>-1</v>
      </c>
      <c r="O923" s="1">
        <f ca="1">IF(N923=1,O$3*L922/Prices!C922,O$3*M922*N923)</f>
        <v>-9.1930377885357246E-4</v>
      </c>
      <c r="P923" s="14"/>
      <c r="Q923" s="9">
        <f ca="1">Q922-T923*Prices!C923</f>
        <v>0.59287011510229204</v>
      </c>
      <c r="R923" s="1">
        <f t="shared" ca="1" si="95"/>
        <v>1.4794478190028732E-2</v>
      </c>
      <c r="S923" s="9">
        <f ca="1">IF(Prices!C922&lt;OFFSET(Prices!C922,-S$3,0),1,IF(Prices!C922&gt;OFFSET(Prices!C922,-S$3,0),-1,0))</f>
        <v>1</v>
      </c>
      <c r="T923" s="1">
        <f ca="1">IF(S923=1,T$3*Q922/Prices!C922,T$3*R922*S923)</f>
        <v>1.4429978949089521E-4</v>
      </c>
    </row>
    <row r="924" spans="1:20" x14ac:dyDescent="0.2">
      <c r="A924" s="4">
        <v>34800</v>
      </c>
      <c r="B924" s="9">
        <f ca="1">Prices!C923*(1+J924/(50*(ABS(O924)+ABS(T924)+0.0001)))</f>
        <v>85.475864422441106</v>
      </c>
      <c r="C924" s="13">
        <f t="shared" ca="1" si="90"/>
        <v>1</v>
      </c>
      <c r="D924" s="9">
        <f ca="1">D923+C924*(Prices!C924-Prices!C923)/Prices!C923</f>
        <v>0.41872650995350774</v>
      </c>
      <c r="E924" s="9">
        <f t="shared" ca="1" si="91"/>
        <v>2.8276040496587551E-2</v>
      </c>
      <c r="F924" s="9">
        <f t="shared" ca="1" si="92"/>
        <v>0.44700255045009529</v>
      </c>
      <c r="G924" s="13">
        <f ca="1">IF((Prices!C924-Prices!C923)*C924&gt;0,1,0)</f>
        <v>0</v>
      </c>
      <c r="H924" s="9">
        <f>ABS(Prices!C924-Prices!C923)/Prices!C923</f>
        <v>4.4100119189511861E-3</v>
      </c>
      <c r="I924" s="13"/>
      <c r="J924" s="1">
        <f t="shared" ca="1" si="93"/>
        <v>1.5429142910876438E-3</v>
      </c>
      <c r="K924" s="9"/>
      <c r="L924" s="9">
        <f ca="1">L923-O924*Prices!C924</f>
        <v>1.0588565474840901</v>
      </c>
      <c r="M924" s="1">
        <f t="shared" ca="1" si="94"/>
        <v>9.6753205021756859E-3</v>
      </c>
      <c r="N924" s="9">
        <f ca="1">IF(Prices!D923&gt;OFFSET(Prices!D923,-$N$3,0),1,IF(Prices!D923&lt;OFFSET(Prices!D923,-$N$3,0),-1,0))</f>
        <v>1</v>
      </c>
      <c r="O924" s="1">
        <f ca="1">IF(N924=1,O$3*L923/Prices!C923,O$3*M923*N924)</f>
        <v>1.4015864924935338E-3</v>
      </c>
      <c r="P924" s="14"/>
      <c r="Q924" s="9">
        <f ca="1">Q923-T924*Prices!C924</f>
        <v>0.58106500408572603</v>
      </c>
      <c r="R924" s="1">
        <f t="shared" ca="1" si="95"/>
        <v>1.4935805988622841E-2</v>
      </c>
      <c r="S924" s="9">
        <f ca="1">IF(Prices!C923&lt;OFFSET(Prices!C923,-S$3,0),1,IF(Prices!C923&gt;OFFSET(Prices!C923,-S$3,0),-1,0))</f>
        <v>1</v>
      </c>
      <c r="T924" s="1">
        <f ca="1">IF(S924=1,T$3*Q923/Prices!C923,T$3*R923*S924)</f>
        <v>1.4132779859411012E-4</v>
      </c>
    </row>
    <row r="925" spans="1:20" x14ac:dyDescent="0.2">
      <c r="A925" s="4">
        <v>34801</v>
      </c>
      <c r="B925" s="9">
        <f ca="1">Prices!C924*(1+J925/(50*(ABS(O925)+ABS(T925)+0.0001)))</f>
        <v>82.383087172990557</v>
      </c>
      <c r="C925" s="13">
        <f t="shared" ca="1" si="90"/>
        <v>-1</v>
      </c>
      <c r="D925" s="9">
        <f ca="1">D924+C925*(Prices!C925-Prices!C924)/Prices!C924</f>
        <v>0.41609272568438288</v>
      </c>
      <c r="E925" s="9">
        <f t="shared" ca="1" si="91"/>
        <v>3.0909824765712413E-2</v>
      </c>
      <c r="F925" s="9">
        <f t="shared" ca="1" si="92"/>
        <v>0.44700255045009529</v>
      </c>
      <c r="G925" s="13">
        <f ca="1">IF((Prices!C925-Prices!C924)*C925&gt;0,1,0)</f>
        <v>0</v>
      </c>
      <c r="H925" s="9">
        <f>ABS(Prices!C925-Prices!C924)/Prices!C924</f>
        <v>2.6337842691248519E-3</v>
      </c>
      <c r="I925" s="13"/>
      <c r="J925" s="1">
        <f t="shared" ca="1" si="93"/>
        <v>-8.2840478957211757E-4</v>
      </c>
      <c r="K925" s="9"/>
      <c r="L925" s="9">
        <f ca="1">L924-O925*Prices!C925</f>
        <v>1.1398873566898113</v>
      </c>
      <c r="M925" s="1">
        <f t="shared" ca="1" si="94"/>
        <v>8.7077884519581178E-3</v>
      </c>
      <c r="N925" s="9">
        <f ca="1">IF(Prices!D924&gt;OFFSET(Prices!D924,-$N$3,0),1,IF(Prices!D924&lt;OFFSET(Prices!D924,-$N$3,0),-1,0))</f>
        <v>-1</v>
      </c>
      <c r="O925" s="1">
        <f ca="1">IF(N925=1,O$3*L924/Prices!C924,O$3*M924*N925)</f>
        <v>-9.6753205021756861E-4</v>
      </c>
      <c r="P925" s="14"/>
      <c r="Q925" s="9">
        <f ca="1">Q924-T925*Prices!C925</f>
        <v>0.56941309600666956</v>
      </c>
      <c r="R925" s="1">
        <f t="shared" ca="1" si="95"/>
        <v>1.5074933249268292E-2</v>
      </c>
      <c r="S925" s="9">
        <f ca="1">IF(Prices!C924&lt;OFFSET(Prices!C924,-S$3,0),1,IF(Prices!C924&gt;OFFSET(Prices!C924,-S$3,0),-1,0))</f>
        <v>1</v>
      </c>
      <c r="T925" s="1">
        <f ca="1">IF(S925=1,T$3*Q924/Prices!C924,T$3*R924*S925)</f>
        <v>1.3912726064545098E-4</v>
      </c>
    </row>
    <row r="926" spans="1:20" x14ac:dyDescent="0.2">
      <c r="A926" s="4">
        <v>34802</v>
      </c>
      <c r="B926" s="9">
        <f ca="1">Prices!C925*(1+J926/(50*(ABS(O926)+ABS(T926)+0.0001)))</f>
        <v>82.637932840795926</v>
      </c>
      <c r="C926" s="13">
        <f t="shared" ca="1" si="90"/>
        <v>-1</v>
      </c>
      <c r="D926" s="9">
        <f ca="1">D925+C926*(Prices!C926-Prices!C925)/Prices!C925</f>
        <v>0.41907780031124853</v>
      </c>
      <c r="E926" s="9">
        <f t="shared" ca="1" si="91"/>
        <v>2.7924750138846766E-2</v>
      </c>
      <c r="F926" s="9">
        <f t="shared" ca="1" si="92"/>
        <v>0.44700255045009529</v>
      </c>
      <c r="G926" s="13">
        <f ca="1">IF((Prices!C926-Prices!C925)*C926&gt;0,1,0)</f>
        <v>1</v>
      </c>
      <c r="H926" s="9">
        <f>ABS(Prices!C926-Prices!C925)/Prices!C925</f>
        <v>2.9850746268656717E-3</v>
      </c>
      <c r="I926" s="13"/>
      <c r="J926" s="1">
        <f t="shared" ca="1" si="93"/>
        <v>-7.3479959838824885E-4</v>
      </c>
      <c r="K926" s="9"/>
      <c r="L926" s="9">
        <f ca="1">L925-O926*Prices!C926</f>
        <v>1.2125973902636615</v>
      </c>
      <c r="M926" s="1">
        <f t="shared" ca="1" si="94"/>
        <v>7.837009606762306E-3</v>
      </c>
      <c r="N926" s="9">
        <f ca="1">IF(Prices!D925&gt;OFFSET(Prices!D925,-$N$3,0),1,IF(Prices!D925&lt;OFFSET(Prices!D925,-$N$3,0),-1,0))</f>
        <v>-1</v>
      </c>
      <c r="O926" s="1">
        <f ca="1">IF(N926=1,O$3*L925/Prices!C925,O$3*M925*N926)</f>
        <v>-8.7077884519581178E-4</v>
      </c>
      <c r="P926" s="14"/>
      <c r="Q926" s="9">
        <f ca="1">Q925-T926*Prices!C926</f>
        <v>0.5580588288982381</v>
      </c>
      <c r="R926" s="1">
        <f t="shared" ca="1" si="95"/>
        <v>1.5210912496075856E-2</v>
      </c>
      <c r="S926" s="9">
        <f ca="1">IF(Prices!C925&lt;OFFSET(Prices!C925,-S$3,0),1,IF(Prices!C925&gt;OFFSET(Prices!C925,-S$3,0),-1,0))</f>
        <v>1</v>
      </c>
      <c r="T926" s="1">
        <f ca="1">IF(S926=1,T$3*Q925/Prices!C925,T$3*R925*S926)</f>
        <v>1.3597924680756288E-4</v>
      </c>
    </row>
    <row r="927" spans="1:20" x14ac:dyDescent="0.2">
      <c r="A927" s="4">
        <v>34803</v>
      </c>
      <c r="B927" s="9">
        <f ca="1">Prices!C926*(1+J927/(50*(ABS(O927)+ABS(T927)+0.0001)))</f>
        <v>82.432974750777902</v>
      </c>
      <c r="C927" s="13">
        <f t="shared" ca="1" si="90"/>
        <v>-1</v>
      </c>
      <c r="D927" s="9">
        <f ca="1">D926+C927*(Prices!C927-Prices!C926)/Prices!C926</f>
        <v>0.42147300989208686</v>
      </c>
      <c r="E927" s="9">
        <f t="shared" ca="1" si="91"/>
        <v>2.5529540558008434E-2</v>
      </c>
      <c r="F927" s="9">
        <f t="shared" ca="1" si="92"/>
        <v>0.44700255045009529</v>
      </c>
      <c r="G927" s="13">
        <f ca="1">IF((Prices!C927-Prices!C926)*C927&gt;0,1,0)</f>
        <v>1</v>
      </c>
      <c r="H927" s="9">
        <f>ABS(Prices!C927-Prices!C926)/Prices!C926</f>
        <v>2.3952095808383576E-3</v>
      </c>
      <c r="I927" s="13"/>
      <c r="J927" s="1">
        <f t="shared" ca="1" si="93"/>
        <v>-6.5003417531138321E-4</v>
      </c>
      <c r="K927" s="9"/>
      <c r="L927" s="9">
        <f ca="1">L926-O927*Prices!C927</f>
        <v>1.2778796802879915</v>
      </c>
      <c r="M927" s="1">
        <f t="shared" ca="1" si="94"/>
        <v>7.0533086460860756E-3</v>
      </c>
      <c r="N927" s="9">
        <f ca="1">IF(Prices!D926&gt;OFFSET(Prices!D926,-$N$3,0),1,IF(Prices!D926&lt;OFFSET(Prices!D926,-$N$3,0),-1,0))</f>
        <v>-1</v>
      </c>
      <c r="O927" s="1">
        <f ca="1">IF(N927=1,O$3*L926/Prices!C926,O$3*M926*N927)</f>
        <v>-7.8370096067623064E-4</v>
      </c>
      <c r="P927" s="14"/>
      <c r="Q927" s="9">
        <f ca="1">Q926-T927*Prices!C927</f>
        <v>0.54692438567734636</v>
      </c>
      <c r="R927" s="1">
        <f t="shared" ca="1" si="95"/>
        <v>1.5344579281440703E-2</v>
      </c>
      <c r="S927" s="9">
        <f ca="1">IF(Prices!C926&lt;OFFSET(Prices!C926,-S$3,0),1,IF(Prices!C926&gt;OFFSET(Prices!C926,-S$3,0),-1,0))</f>
        <v>1</v>
      </c>
      <c r="T927" s="1">
        <f ca="1">IF(S927=1,T$3*Q926/Prices!C926,T$3*R926*S927)</f>
        <v>1.3366678536484746E-4</v>
      </c>
    </row>
    <row r="928" spans="1:20" x14ac:dyDescent="0.2">
      <c r="A928" s="4">
        <v>34806</v>
      </c>
      <c r="B928" s="9">
        <f ca="1">Prices!C927*(1+J928/(50*(ABS(O928)+ABS(T928)+0.0001)))</f>
        <v>82.279003551885722</v>
      </c>
      <c r="C928" s="13">
        <f t="shared" ca="1" si="90"/>
        <v>-1</v>
      </c>
      <c r="D928" s="9">
        <f ca="1">D927+C928*(Prices!C928-Prices!C927)/Prices!C927</f>
        <v>0.437679492485124</v>
      </c>
      <c r="E928" s="9">
        <f t="shared" ca="1" si="91"/>
        <v>9.323057964971293E-3</v>
      </c>
      <c r="F928" s="9">
        <f t="shared" ca="1" si="92"/>
        <v>0.44700255045009529</v>
      </c>
      <c r="G928" s="13">
        <f ca="1">IF((Prices!C928-Prices!C927)*C928&gt;0,1,0)</f>
        <v>1</v>
      </c>
      <c r="H928" s="9">
        <f>ABS(Prices!C928-Prices!C927)/Prices!C927</f>
        <v>1.6206482593037148E-2</v>
      </c>
      <c r="I928" s="13"/>
      <c r="J928" s="1">
        <f t="shared" ca="1" si="93"/>
        <v>-5.740164862947189E-4</v>
      </c>
      <c r="K928" s="9"/>
      <c r="L928" s="9">
        <f ca="1">L927-O928*Prices!C928</f>
        <v>1.3356815446426669</v>
      </c>
      <c r="M928" s="1">
        <f t="shared" ca="1" si="94"/>
        <v>6.3479777814774681E-3</v>
      </c>
      <c r="N928" s="9">
        <f ca="1">IF(Prices!D927&gt;OFFSET(Prices!D927,-$N$3,0),1,IF(Prices!D927&lt;OFFSET(Prices!D927,-$N$3,0),-1,0))</f>
        <v>-1</v>
      </c>
      <c r="O928" s="1">
        <f ca="1">IF(N928=1,O$3*L927/Prices!C927,O$3*M927*N928)</f>
        <v>-7.0533086460860758E-4</v>
      </c>
      <c r="P928" s="14"/>
      <c r="Q928" s="9">
        <f ca="1">Q927-T928*Prices!C928</f>
        <v>0.53616317237452316</v>
      </c>
      <c r="R928" s="1">
        <f t="shared" ca="1" si="95"/>
        <v>1.5475893659754592E-2</v>
      </c>
      <c r="S928" s="9">
        <f ca="1">IF(Prices!C927&lt;OFFSET(Prices!C927,-S$3,0),1,IF(Prices!C927&gt;OFFSET(Prices!C927,-S$3,0),-1,0))</f>
        <v>1</v>
      </c>
      <c r="T928" s="1">
        <f ca="1">IF(S928=1,T$3*Q927/Prices!C927,T$3*R927*S928)</f>
        <v>1.3131437831388868E-4</v>
      </c>
    </row>
    <row r="929" spans="1:20" x14ac:dyDescent="0.2">
      <c r="A929" s="4">
        <v>34807</v>
      </c>
      <c r="B929" s="9">
        <f ca="1">Prices!C928*(1+J929/(50*(ABS(O929)+ABS(T929)+0.0001)))</f>
        <v>83.500916056630217</v>
      </c>
      <c r="C929" s="13">
        <f t="shared" ca="1" si="90"/>
        <v>1</v>
      </c>
      <c r="D929" s="9">
        <f ca="1">D928+C929*(Prices!C929-Prices!C928)/Prices!C928</f>
        <v>0.42157210993478833</v>
      </c>
      <c r="E929" s="9">
        <f t="shared" ca="1" si="91"/>
        <v>2.5430440515306962E-2</v>
      </c>
      <c r="F929" s="9">
        <f t="shared" ca="1" si="92"/>
        <v>0.44700255045009529</v>
      </c>
      <c r="G929" s="13">
        <f ca="1">IF((Prices!C929-Prices!C928)*C929&gt;0,1,0)</f>
        <v>0</v>
      </c>
      <c r="H929" s="9">
        <f>ABS(Prices!C929-Prices!C928)/Prices!C928</f>
        <v>1.6107382550335659E-2</v>
      </c>
      <c r="I929" s="13"/>
      <c r="J929" s="1">
        <f t="shared" ca="1" si="93"/>
        <v>1.7607250507841021E-3</v>
      </c>
      <c r="K929" s="9"/>
      <c r="L929" s="9">
        <f ca="1">L928-O929*Prices!C929</f>
        <v>1.2042648235388984</v>
      </c>
      <c r="M929" s="1">
        <f t="shared" ca="1" si="94"/>
        <v>7.9778515394306922E-3</v>
      </c>
      <c r="N929" s="9">
        <f ca="1">IF(Prices!D928&gt;OFFSET(Prices!D928,-$N$3,0),1,IF(Prices!D928&lt;OFFSET(Prices!D928,-$N$3,0),-1,0))</f>
        <v>1</v>
      </c>
      <c r="O929" s="1">
        <f ca="1">IF(N929=1,O$3*L928/Prices!C928,O$3*M928*N929)</f>
        <v>1.6298737579532238E-3</v>
      </c>
      <c r="P929" s="14"/>
      <c r="Q929" s="9">
        <f ca="1">Q928-T929*Prices!C929</f>
        <v>0.5256126326335695</v>
      </c>
      <c r="R929" s="1">
        <f t="shared" ca="1" si="95"/>
        <v>1.5606744952585471E-2</v>
      </c>
      <c r="S929" s="9">
        <f ca="1">IF(Prices!C928&lt;OFFSET(Prices!C928,-S$3,0),1,IF(Prices!C928&gt;OFFSET(Prices!C928,-S$3,0),-1,0))</f>
        <v>1</v>
      </c>
      <c r="T929" s="1">
        <f ca="1">IF(S929=1,T$3*Q928/Prices!C928,T$3*R928*S929)</f>
        <v>1.3085129283087814E-4</v>
      </c>
    </row>
    <row r="930" spans="1:20" x14ac:dyDescent="0.2">
      <c r="A930" s="4">
        <v>34808</v>
      </c>
      <c r="B930" s="9">
        <f ca="1">Prices!C929*(1+J930/(50*(ABS(O930)+ABS(T930)+0.0001)))</f>
        <v>82.149058766148585</v>
      </c>
      <c r="C930" s="13">
        <f t="shared" ca="1" si="90"/>
        <v>1</v>
      </c>
      <c r="D930" s="9">
        <f ca="1">D929+C930*(Prices!C930-Prices!C929)/Prices!C929</f>
        <v>0.43050178871439887</v>
      </c>
      <c r="E930" s="9">
        <f t="shared" ca="1" si="91"/>
        <v>1.6500761735696423E-2</v>
      </c>
      <c r="F930" s="9">
        <f t="shared" ca="1" si="92"/>
        <v>0.44700255045009529</v>
      </c>
      <c r="G930" s="13">
        <f ca="1">IF((Prices!C930-Prices!C929)*C930&gt;0,1,0)</f>
        <v>1</v>
      </c>
      <c r="H930" s="9">
        <f>ABS(Prices!C930-Prices!C929)/Prices!C929</f>
        <v>8.9296787796105531E-3</v>
      </c>
      <c r="I930" s="13"/>
      <c r="J930" s="1">
        <f t="shared" ca="1" si="93"/>
        <v>1.6239456158571406E-3</v>
      </c>
      <c r="K930" s="9"/>
      <c r="L930" s="9">
        <f ca="1">L929-O930*Prices!C930</f>
        <v>1.0827629713810298</v>
      </c>
      <c r="M930" s="1">
        <f t="shared" ca="1" si="94"/>
        <v>9.471420711623298E-3</v>
      </c>
      <c r="N930" s="9">
        <f ca="1">IF(Prices!D929&gt;OFFSET(Prices!D929,-$N$3,0),1,IF(Prices!D929&lt;OFFSET(Prices!D929,-$N$3,0),-1,0))</f>
        <v>1</v>
      </c>
      <c r="O930" s="1">
        <f ca="1">IF(N930=1,O$3*L929/Prices!C929,O$3*M929*N930)</f>
        <v>1.4935691721926065E-3</v>
      </c>
      <c r="P930" s="14"/>
      <c r="Q930" s="9">
        <f ca="1">Q929-T930*Prices!C930</f>
        <v>0.51500650894145961</v>
      </c>
      <c r="R930" s="1">
        <f t="shared" ca="1" si="95"/>
        <v>1.5737121396250005E-2</v>
      </c>
      <c r="S930" s="9">
        <f ca="1">IF(Prices!C929&lt;OFFSET(Prices!C929,-S$3,0),1,IF(Prices!C929&gt;OFFSET(Prices!C929,-S$3,0),-1,0))</f>
        <v>1</v>
      </c>
      <c r="T930" s="1">
        <f ca="1">IF(S930=1,T$3*Q929/Prices!C929,T$3*R929*S930)</f>
        <v>1.3037644366453417E-4</v>
      </c>
    </row>
    <row r="931" spans="1:20" x14ac:dyDescent="0.2">
      <c r="A931" s="4">
        <v>34809</v>
      </c>
      <c r="B931" s="9">
        <f ca="1">Prices!C930*(1+J931/(50*(ABS(O931)+ABS(T931)+0.0001)))</f>
        <v>82.872544977432113</v>
      </c>
      <c r="C931" s="13">
        <f t="shared" ca="1" si="90"/>
        <v>1</v>
      </c>
      <c r="D931" s="9">
        <f ca="1">D930+C931*(Prices!C931-Prices!C930)/Prices!C930</f>
        <v>0.45287425337328036</v>
      </c>
      <c r="E931" s="9">
        <f t="shared" ca="1" si="91"/>
        <v>0</v>
      </c>
      <c r="F931" s="9">
        <f t="shared" ca="1" si="92"/>
        <v>0.45287425337328036</v>
      </c>
      <c r="G931" s="13">
        <f ca="1">IF((Prices!C931-Prices!C930)*C931&gt;0,1,0)</f>
        <v>1</v>
      </c>
      <c r="H931" s="9">
        <f>ABS(Prices!C931-Prices!C930)/Prices!C930</f>
        <v>2.2372464658881468E-2</v>
      </c>
      <c r="I931" s="13"/>
      <c r="J931" s="1">
        <f t="shared" ca="1" si="93"/>
        <v>1.4576082030354296E-3</v>
      </c>
      <c r="K931" s="9"/>
      <c r="L931" s="9">
        <f ca="1">L930-O931*Prices!C931</f>
        <v>0.97206426661181011</v>
      </c>
      <c r="M931" s="1">
        <f t="shared" ca="1" si="94"/>
        <v>1.0802413915533599E-2</v>
      </c>
      <c r="N931" s="9">
        <f ca="1">IF(Prices!D930&gt;OFFSET(Prices!D930,-$N$3,0),1,IF(Prices!D930&lt;OFFSET(Prices!D930,-$N$3,0),-1,0))</f>
        <v>1</v>
      </c>
      <c r="O931" s="1">
        <f ca="1">IF(N931=1,O$3*L930/Prices!C930,O$3*M930*N931)</f>
        <v>1.3309932039103011E-3</v>
      </c>
      <c r="P931" s="14"/>
      <c r="Q931" s="9">
        <f ca="1">Q930-T931*Prices!C931</f>
        <v>0.50447593946422264</v>
      </c>
      <c r="R931" s="1">
        <f t="shared" ca="1" si="95"/>
        <v>1.5863736395375132E-2</v>
      </c>
      <c r="S931" s="9">
        <f ca="1">IF(Prices!C930&lt;OFFSET(Prices!C930,-S$3,0),1,IF(Prices!C930&gt;OFFSET(Prices!C930,-S$3,0),-1,0))</f>
        <v>1</v>
      </c>
      <c r="T931" s="1">
        <f ca="1">IF(S931=1,T$3*Q930/Prices!C930,T$3*R930*S931)</f>
        <v>1.2661499912512838E-4</v>
      </c>
    </row>
    <row r="932" spans="1:20" x14ac:dyDescent="0.2">
      <c r="A932" s="4">
        <v>34810</v>
      </c>
      <c r="B932" s="9">
        <f ca="1">Prices!C931*(1+J932/(50*(ABS(O932)+ABS(T932)+0.0001)))</f>
        <v>81.944477352239218</v>
      </c>
      <c r="C932" s="13">
        <f t="shared" ca="1" si="90"/>
        <v>-1</v>
      </c>
      <c r="D932" s="9">
        <f ca="1">D931+C932*(Prices!C932-Prices!C931)/Prices!C931</f>
        <v>0.45816462249676237</v>
      </c>
      <c r="E932" s="9">
        <f t="shared" ca="1" si="91"/>
        <v>0</v>
      </c>
      <c r="F932" s="9">
        <f t="shared" ca="1" si="92"/>
        <v>0.45816462249676237</v>
      </c>
      <c r="G932" s="13">
        <f ca="1">IF((Prices!C932-Prices!C931)*C932&gt;0,1,0)</f>
        <v>1</v>
      </c>
      <c r="H932" s="9">
        <f>ABS(Prices!C932-Prices!C931)/Prices!C931</f>
        <v>5.2903691234819977E-3</v>
      </c>
      <c r="I932" s="13"/>
      <c r="J932" s="1">
        <f t="shared" ca="1" si="93"/>
        <v>-9.5892939456785481E-4</v>
      </c>
      <c r="K932" s="9"/>
      <c r="L932" s="9">
        <f ca="1">L931-O932*Prices!C932</f>
        <v>1.0614326369350195</v>
      </c>
      <c r="M932" s="1">
        <f t="shared" ca="1" si="94"/>
        <v>9.7221725239802388E-3</v>
      </c>
      <c r="N932" s="9">
        <f ca="1">IF(Prices!D931&gt;OFFSET(Prices!D931,-$N$3,0),1,IF(Prices!D931&lt;OFFSET(Prices!D931,-$N$3,0),-1,0))</f>
        <v>-1</v>
      </c>
      <c r="O932" s="1">
        <f ca="1">IF(N932=1,O$3*L931/Prices!C931,O$3*M931*N932)</f>
        <v>-1.0802413915533598E-3</v>
      </c>
      <c r="P932" s="14"/>
      <c r="Q932" s="9">
        <f ca="1">Q931-T932*Prices!C932</f>
        <v>0.49443979795361181</v>
      </c>
      <c r="R932" s="1">
        <f t="shared" ca="1" si="95"/>
        <v>1.5985048392360635E-2</v>
      </c>
      <c r="S932" s="9">
        <f ca="1">IF(Prices!C931&lt;OFFSET(Prices!C931,-S$3,0),1,IF(Prices!C931&gt;OFFSET(Prices!C931,-S$3,0),-1,0))</f>
        <v>1</v>
      </c>
      <c r="T932" s="1">
        <f ca="1">IF(S932=1,T$3*Q931/Prices!C931,T$3*R931*S932)</f>
        <v>1.2131199698550502E-4</v>
      </c>
    </row>
    <row r="933" spans="1:20" x14ac:dyDescent="0.2">
      <c r="A933" s="4">
        <v>34813</v>
      </c>
      <c r="B933" s="9">
        <f ca="1">Prices!C932*(1+J933/(50*(ABS(O933)+ABS(T933)+0.0001)))</f>
        <v>81.194271926233455</v>
      </c>
      <c r="C933" s="13">
        <f t="shared" ca="1" si="90"/>
        <v>-1</v>
      </c>
      <c r="D933" s="9">
        <f ca="1">D932+C933*(Prices!C933-Prices!C932)/Prices!C932</f>
        <v>0.45453836841722656</v>
      </c>
      <c r="E933" s="9">
        <f t="shared" ca="1" si="91"/>
        <v>3.6262540795358178E-3</v>
      </c>
      <c r="F933" s="9">
        <f t="shared" ca="1" si="92"/>
        <v>0.45816462249676237</v>
      </c>
      <c r="G933" s="13">
        <f ca="1">IF((Prices!C933-Prices!C932)*C933&gt;0,1,0)</f>
        <v>0</v>
      </c>
      <c r="H933" s="9">
        <f>ABS(Prices!C933-Prices!C932)/Prices!C932</f>
        <v>3.6262540795358048E-3</v>
      </c>
      <c r="I933" s="13"/>
      <c r="J933" s="1">
        <f t="shared" ca="1" si="93"/>
        <v>-1.2919182202452367E-3</v>
      </c>
      <c r="K933" s="9"/>
      <c r="L933" s="9">
        <f ca="1">L932-O933*Prices!C933</f>
        <v>1.1421558354016275</v>
      </c>
      <c r="M933" s="1">
        <f t="shared" ca="1" si="94"/>
        <v>8.7499552715822153E-3</v>
      </c>
      <c r="N933" s="9">
        <f ca="1">IF(Prices!D932&gt;OFFSET(Prices!D932,-$N$3,0),1,IF(Prices!D932&lt;OFFSET(Prices!D932,-$N$3,0),-1,0))</f>
        <v>-1</v>
      </c>
      <c r="O933" s="1">
        <f ca="1">IF(N933=1,O$3*L932/Prices!C932,O$3*M932*N933)</f>
        <v>-9.7221725239802397E-4</v>
      </c>
      <c r="P933" s="14"/>
      <c r="Q933" s="9">
        <f ca="1">Q932-T933*Prices!C933</f>
        <v>0.52098456931396586</v>
      </c>
      <c r="R933" s="1">
        <f t="shared" ca="1" si="95"/>
        <v>1.5665347424513424E-2</v>
      </c>
      <c r="S933" s="9">
        <f ca="1">IF(Prices!C932&lt;OFFSET(Prices!C932,-S$3,0),1,IF(Prices!C932&gt;OFFSET(Prices!C932,-S$3,0),-1,0))</f>
        <v>-1</v>
      </c>
      <c r="T933" s="1">
        <f ca="1">IF(S933=1,T$3*Q932/Prices!C932,T$3*R932*S933)</f>
        <v>-3.1970096784721271E-4</v>
      </c>
    </row>
    <row r="934" spans="1:20" x14ac:dyDescent="0.2">
      <c r="A934" s="4">
        <v>34814</v>
      </c>
      <c r="B934" s="9">
        <f ca="1">Prices!C933*(1+J934/(50*(ABS(O934)+ABS(T934)+0.0001)))</f>
        <v>81.498298300778643</v>
      </c>
      <c r="C934" s="13">
        <f t="shared" ca="1" si="90"/>
        <v>-1</v>
      </c>
      <c r="D934" s="9">
        <f ca="1">D933+C934*(Prices!C934-Prices!C933)/Prices!C933</f>
        <v>0.46899097590849481</v>
      </c>
      <c r="E934" s="9">
        <f t="shared" ca="1" si="91"/>
        <v>0</v>
      </c>
      <c r="F934" s="9">
        <f t="shared" ca="1" si="92"/>
        <v>0.46899097590849481</v>
      </c>
      <c r="G934" s="13">
        <f ca="1">IF((Prices!C934-Prices!C933)*C934&gt;0,1,0)</f>
        <v>1</v>
      </c>
      <c r="H934" s="9">
        <f>ABS(Prices!C934-Prices!C933)/Prices!C933</f>
        <v>1.4452607491268251E-2</v>
      </c>
      <c r="I934" s="13"/>
      <c r="J934" s="1">
        <f t="shared" ca="1" si="93"/>
        <v>-1.18830247564849E-3</v>
      </c>
      <c r="K934" s="9"/>
      <c r="L934" s="9">
        <f ca="1">L933-O934*Prices!C934</f>
        <v>1.2137567193889847</v>
      </c>
      <c r="M934" s="1">
        <f t="shared" ca="1" si="94"/>
        <v>7.8749597444239938E-3</v>
      </c>
      <c r="N934" s="9">
        <f ca="1">IF(Prices!D933&gt;OFFSET(Prices!D933,-$N$3,0),1,IF(Prices!D933&lt;OFFSET(Prices!D933,-$N$3,0),-1,0))</f>
        <v>-1</v>
      </c>
      <c r="O934" s="1">
        <f ca="1">IF(N934=1,O$3*L933/Prices!C933,O$3*M933*N934)</f>
        <v>-8.7499552715822153E-4</v>
      </c>
      <c r="P934" s="14"/>
      <c r="Q934" s="9">
        <f ca="1">Q933-T934*Prices!C934</f>
        <v>0.54662247690892452</v>
      </c>
      <c r="R934" s="1">
        <f t="shared" ca="1" si="95"/>
        <v>1.5352040476023156E-2</v>
      </c>
      <c r="S934" s="9">
        <f ca="1">IF(Prices!C933&lt;OFFSET(Prices!C933,-S$3,0),1,IF(Prices!C933&gt;OFFSET(Prices!C933,-S$3,0),-1,0))</f>
        <v>-1</v>
      </c>
      <c r="T934" s="1">
        <f ca="1">IF(S934=1,T$3*Q933/Prices!C933,T$3*R933*S934)</f>
        <v>-3.1330694849026849E-4</v>
      </c>
    </row>
    <row r="935" spans="1:20" x14ac:dyDescent="0.2">
      <c r="A935" s="4">
        <v>34815</v>
      </c>
      <c r="B935" s="9">
        <f ca="1">Prices!C934*(1+J935/(50*(ABS(O935)+ABS(T935)+0.0001)))</f>
        <v>80.330407082743037</v>
      </c>
      <c r="C935" s="13">
        <f t="shared" ca="1" si="90"/>
        <v>-1</v>
      </c>
      <c r="D935" s="9">
        <f ca="1">D934+C935*(Prices!C935-Prices!C934)/Prices!C934</f>
        <v>0.44491667552966063</v>
      </c>
      <c r="E935" s="9">
        <f t="shared" ca="1" si="91"/>
        <v>2.4074300378834179E-2</v>
      </c>
      <c r="F935" s="9">
        <f t="shared" ca="1" si="92"/>
        <v>0.46899097590849481</v>
      </c>
      <c r="G935" s="13">
        <f ca="1">IF((Prices!C935-Prices!C934)*C935&gt;0,1,0)</f>
        <v>0</v>
      </c>
      <c r="H935" s="9">
        <f>ABS(Prices!C935-Prices!C934)/Prices!C934</f>
        <v>2.4074300378834155E-2</v>
      </c>
      <c r="I935" s="13"/>
      <c r="J935" s="1">
        <f t="shared" ca="1" si="93"/>
        <v>-1.0945367839628626E-3</v>
      </c>
      <c r="K935" s="9"/>
      <c r="L935" s="9">
        <f ca="1">L934-O935*Prices!C935</f>
        <v>1.2797488820472578</v>
      </c>
      <c r="M935" s="1">
        <f t="shared" ca="1" si="94"/>
        <v>7.0874637699815946E-3</v>
      </c>
      <c r="N935" s="9">
        <f ca="1">IF(Prices!D934&gt;OFFSET(Prices!D934,-$N$3,0),1,IF(Prices!D934&lt;OFFSET(Prices!D934,-$N$3,0),-1,0))</f>
        <v>-1</v>
      </c>
      <c r="O935" s="1">
        <f ca="1">IF(N935=1,O$3*L934/Prices!C934,O$3*M934*N935)</f>
        <v>-7.8749597444239942E-4</v>
      </c>
      <c r="P935" s="14"/>
      <c r="Q935" s="9">
        <f ca="1">Q934-T935*Prices!C935</f>
        <v>0.57235249674673927</v>
      </c>
      <c r="R935" s="1">
        <f t="shared" ca="1" si="95"/>
        <v>1.5044999666502693E-2</v>
      </c>
      <c r="S935" s="9">
        <f ca="1">IF(Prices!C934&lt;OFFSET(Prices!C934,-S$3,0),1,IF(Prices!C934&gt;OFFSET(Prices!C934,-S$3,0),-1,0))</f>
        <v>-1</v>
      </c>
      <c r="T935" s="1">
        <f ca="1">IF(S935=1,T$3*Q934/Prices!C934,T$3*R934*S935)</f>
        <v>-3.070408095204631E-4</v>
      </c>
    </row>
    <row r="936" spans="1:20" x14ac:dyDescent="0.2">
      <c r="A936" s="4">
        <v>34816</v>
      </c>
      <c r="B936" s="9">
        <f ca="1">Prices!C935*(1+J936/(50*(ABS(O936)+ABS(T936)+0.0001)))</f>
        <v>84.865943812061559</v>
      </c>
      <c r="C936" s="13">
        <f t="shared" ca="1" si="90"/>
        <v>1</v>
      </c>
      <c r="D936" s="9">
        <f ca="1">D935+C936*(Prices!C936-Prices!C935)/Prices!C935</f>
        <v>0.44324603113825251</v>
      </c>
      <c r="E936" s="9">
        <f t="shared" ca="1" si="91"/>
        <v>2.5744944770242306E-2</v>
      </c>
      <c r="F936" s="9">
        <f t="shared" ca="1" si="92"/>
        <v>0.46899097590849481</v>
      </c>
      <c r="G936" s="13">
        <f ca="1">IF((Prices!C936-Prices!C935)*C936&gt;0,1,0)</f>
        <v>0</v>
      </c>
      <c r="H936" s="9">
        <f>ABS(Prices!C936-Prices!C935)/Prices!C935</f>
        <v>1.6706443914081214E-3</v>
      </c>
      <c r="I936" s="13"/>
      <c r="J936" s="1">
        <f t="shared" ca="1" si="93"/>
        <v>1.2262466439578433E-3</v>
      </c>
      <c r="K936" s="9"/>
      <c r="L936" s="9">
        <f ca="1">L935-O936*Prices!C936</f>
        <v>1.1519877943717522</v>
      </c>
      <c r="M936" s="1">
        <f t="shared" ca="1" si="94"/>
        <v>8.6146104072694924E-3</v>
      </c>
      <c r="N936" s="9">
        <f ca="1">IF(Prices!D935&gt;OFFSET(Prices!D935,-$N$3,0),1,IF(Prices!D935&lt;OFFSET(Prices!D935,-$N$3,0),-1,0))</f>
        <v>1</v>
      </c>
      <c r="O936" s="1">
        <f ca="1">IF(N936=1,O$3*L935/Prices!C935,O$3*M935*N936)</f>
        <v>1.5271466372878972E-3</v>
      </c>
      <c r="P936" s="14"/>
      <c r="Q936" s="9">
        <f ca="1">Q935-T936*Prices!C936</f>
        <v>0.59752579018873153</v>
      </c>
      <c r="R936" s="1">
        <f t="shared" ca="1" si="95"/>
        <v>1.4744099673172639E-2</v>
      </c>
      <c r="S936" s="9">
        <f ca="1">IF(Prices!C935&lt;OFFSET(Prices!C935,-S$3,0),1,IF(Prices!C935&gt;OFFSET(Prices!C935,-S$3,0),-1,0))</f>
        <v>-1</v>
      </c>
      <c r="T936" s="1">
        <f ca="1">IF(S936=1,T$3*Q935/Prices!C935,T$3*R935*S936)</f>
        <v>-3.0089999333005388E-4</v>
      </c>
    </row>
    <row r="937" spans="1:20" x14ac:dyDescent="0.2">
      <c r="A937" s="4">
        <v>34817</v>
      </c>
      <c r="B937" s="9">
        <f ca="1">Prices!C936*(1+J937/(50*(ABS(O937)+ABS(T937)+0.0001)))</f>
        <v>84.681846688259043</v>
      </c>
      <c r="C937" s="13">
        <f t="shared" ca="1" si="90"/>
        <v>1</v>
      </c>
      <c r="D937" s="9">
        <f ca="1">D936+C937*(Prices!C937-Prices!C936)/Prices!C936</f>
        <v>0.45137416883846776</v>
      </c>
      <c r="E937" s="9">
        <f t="shared" ca="1" si="91"/>
        <v>1.7616807070027052E-2</v>
      </c>
      <c r="F937" s="9">
        <f t="shared" ca="1" si="92"/>
        <v>0.46899097590849481</v>
      </c>
      <c r="G937" s="13">
        <f ca="1">IF((Prices!C937-Prices!C936)*C937&gt;0,1,0)</f>
        <v>1</v>
      </c>
      <c r="H937" s="9">
        <f>ABS(Prices!C937-Prices!C936)/Prices!C936</f>
        <v>8.1281377002152388E-3</v>
      </c>
      <c r="I937" s="13"/>
      <c r="J937" s="1">
        <f t="shared" ca="1" si="93"/>
        <v>1.0821055685395979E-3</v>
      </c>
      <c r="K937" s="9"/>
      <c r="L937" s="9">
        <f ca="1">L936-O937*Prices!C937</f>
        <v>1.035852663392415</v>
      </c>
      <c r="M937" s="1">
        <f t="shared" ca="1" si="94"/>
        <v>9.9915979692725438E-3</v>
      </c>
      <c r="N937" s="9">
        <f ca="1">IF(Prices!D936&gt;OFFSET(Prices!D936,-$N$3,0),1,IF(Prices!D936&lt;OFFSET(Prices!D936,-$N$3,0),-1,0))</f>
        <v>1</v>
      </c>
      <c r="O937" s="1">
        <f ca="1">IF(N937=1,O$3*L936/Prices!C936,O$3*M936*N937)</f>
        <v>1.3769875620030507E-3</v>
      </c>
      <c r="P937" s="14"/>
      <c r="Q937" s="9">
        <f ca="1">Q936-T937*Prices!C937</f>
        <v>0.62239613751743916</v>
      </c>
      <c r="R937" s="1">
        <f t="shared" ca="1" si="95"/>
        <v>1.4449217679709187E-2</v>
      </c>
      <c r="S937" s="9">
        <f ca="1">IF(Prices!C936&lt;OFFSET(Prices!C936,-S$3,0),1,IF(Prices!C936&gt;OFFSET(Prices!C936,-S$3,0),-1,0))</f>
        <v>-1</v>
      </c>
      <c r="T937" s="1">
        <f ca="1">IF(S937=1,T$3*Q936/Prices!C936,T$3*R936*S937)</f>
        <v>-2.9488199346345282E-4</v>
      </c>
    </row>
    <row r="938" spans="1:20" x14ac:dyDescent="0.2">
      <c r="A938" s="4">
        <v>34820</v>
      </c>
      <c r="B938" s="9">
        <f ca="1">Prices!C937*(1+J938/(50*(ABS(O938)+ABS(T938)+0.0001)))</f>
        <v>85.3196406600958</v>
      </c>
      <c r="C938" s="13">
        <f t="shared" ca="1" si="90"/>
        <v>1</v>
      </c>
      <c r="D938" s="9">
        <f ca="1">D937+C938*(Prices!C938-Prices!C937)/Prices!C937</f>
        <v>0.44141448185720139</v>
      </c>
      <c r="E938" s="9">
        <f t="shared" ca="1" si="91"/>
        <v>2.7576494051293421E-2</v>
      </c>
      <c r="F938" s="9">
        <f t="shared" ca="1" si="92"/>
        <v>0.46899097590849481</v>
      </c>
      <c r="G938" s="13">
        <f ca="1">IF((Prices!C938-Prices!C937)*C938&gt;0,1,0)</f>
        <v>0</v>
      </c>
      <c r="H938" s="9">
        <f>ABS(Prices!C938-Prices!C937)/Prices!C937</f>
        <v>9.9596869812663431E-3</v>
      </c>
      <c r="I938" s="13"/>
      <c r="J938" s="1">
        <f t="shared" ca="1" si="93"/>
        <v>9.3920234713194264E-4</v>
      </c>
      <c r="K938" s="9"/>
      <c r="L938" s="9">
        <f ca="1">L937-O938*Prices!C938</f>
        <v>0.93329907388178346</v>
      </c>
      <c r="M938" s="1">
        <f t="shared" ca="1" si="94"/>
        <v>1.1219784669998671E-2</v>
      </c>
      <c r="N938" s="9">
        <f ca="1">IF(Prices!D937&gt;OFFSET(Prices!D937,-$N$3,0),1,IF(Prices!D937&lt;OFFSET(Prices!D937,-$N$3,0),-1,0))</f>
        <v>1</v>
      </c>
      <c r="O938" s="1">
        <f ca="1">IF(N938=1,O$3*L937/Prices!C937,O$3*M937*N938)</f>
        <v>1.2281867007261265E-3</v>
      </c>
      <c r="P938" s="14"/>
      <c r="Q938" s="9">
        <f ca="1">Q937-T938*Prices!C938</f>
        <v>0.64652633104255353</v>
      </c>
      <c r="R938" s="1">
        <f t="shared" ca="1" si="95"/>
        <v>1.4160233326115003E-2</v>
      </c>
      <c r="S938" s="9">
        <f ca="1">IF(Prices!C937&lt;OFFSET(Prices!C937,-S$3,0),1,IF(Prices!C937&gt;OFFSET(Prices!C937,-S$3,0),-1,0))</f>
        <v>-1</v>
      </c>
      <c r="T938" s="1">
        <f ca="1">IF(S938=1,T$3*Q937/Prices!C937,T$3*R937*S938)</f>
        <v>-2.8898435359418377E-4</v>
      </c>
    </row>
    <row r="939" spans="1:20" x14ac:dyDescent="0.2">
      <c r="A939" s="4">
        <v>34821</v>
      </c>
      <c r="B939" s="9">
        <f ca="1">Prices!C938*(1+J939/(50*(ABS(O939)+ABS(T939)+0.0001)))</f>
        <v>84.428523056479165</v>
      </c>
      <c r="C939" s="13">
        <f t="shared" ca="1" si="90"/>
        <v>1</v>
      </c>
      <c r="D939" s="9">
        <f ca="1">D938+C939*(Prices!C939-Prices!C938)/Prices!C938</f>
        <v>0.44285160760570441</v>
      </c>
      <c r="E939" s="9">
        <f t="shared" ca="1" si="91"/>
        <v>2.61393683027904E-2</v>
      </c>
      <c r="F939" s="9">
        <f t="shared" ca="1" si="92"/>
        <v>0.46899097590849481</v>
      </c>
      <c r="G939" s="13">
        <f ca="1">IF((Prices!C939-Prices!C938)*C939&gt;0,1,0)</f>
        <v>1</v>
      </c>
      <c r="H939" s="9">
        <f>ABS(Prices!C939-Prices!C938)/Prices!C938</f>
        <v>1.4371257485030484E-3</v>
      </c>
      <c r="I939" s="13"/>
      <c r="J939" s="1">
        <f t="shared" ca="1" si="93"/>
        <v>8.3451877525229099E-4</v>
      </c>
      <c r="K939" s="9"/>
      <c r="L939" s="9">
        <f ca="1">L938-O939*Prices!C939</f>
        <v>0.83983503968059214</v>
      </c>
      <c r="M939" s="1">
        <f t="shared" ca="1" si="94"/>
        <v>1.2337508111773261E-2</v>
      </c>
      <c r="N939" s="9">
        <f ca="1">IF(Prices!D938&gt;OFFSET(Prices!D938,-$N$3,0),1,IF(Prices!D938&lt;OFFSET(Prices!D938,-$N$3,0),-1,0))</f>
        <v>1</v>
      </c>
      <c r="O939" s="1">
        <f ca="1">IF(N939=1,O$3*L938/Prices!C938,O$3*M938*N939)</f>
        <v>1.117723441774591E-3</v>
      </c>
      <c r="P939" s="14"/>
      <c r="Q939" s="9">
        <f ca="1">Q938-T939*Prices!C939</f>
        <v>0.67020790525714824</v>
      </c>
      <c r="R939" s="1">
        <f t="shared" ca="1" si="95"/>
        <v>1.3877028659592703E-2</v>
      </c>
      <c r="S939" s="9">
        <f ca="1">IF(Prices!C938&lt;OFFSET(Prices!C938,-S$3,0),1,IF(Prices!C938&gt;OFFSET(Prices!C938,-S$3,0),-1,0))</f>
        <v>-1</v>
      </c>
      <c r="T939" s="1">
        <f ca="1">IF(S939=1,T$3*Q938/Prices!C938,T$3*R938*S939)</f>
        <v>-2.8320466652230003E-4</v>
      </c>
    </row>
    <row r="940" spans="1:20" x14ac:dyDescent="0.2">
      <c r="A940" s="4">
        <v>34822</v>
      </c>
      <c r="B940" s="9">
        <f ca="1">Prices!C939*(1+J940/(50*(ABS(O940)+ABS(T940)+0.0001)))</f>
        <v>82.418405302623711</v>
      </c>
      <c r="C940" s="13">
        <f t="shared" ca="1" si="90"/>
        <v>-1</v>
      </c>
      <c r="D940" s="9">
        <f ca="1">D939+C940*(Prices!C940-Prices!C939)/Prices!C939</f>
        <v>0.44189489868439374</v>
      </c>
      <c r="E940" s="9">
        <f t="shared" ca="1" si="91"/>
        <v>2.7096077224101067E-2</v>
      </c>
      <c r="F940" s="9">
        <f t="shared" ca="1" si="92"/>
        <v>0.46899097590849481</v>
      </c>
      <c r="G940" s="13">
        <f ca="1">IF((Prices!C940-Prices!C939)*C940&gt;0,1,0)</f>
        <v>0</v>
      </c>
      <c r="H940" s="9">
        <f>ABS(Prices!C940-Prices!C939)/Prices!C939</f>
        <v>9.5670892131067078E-4</v>
      </c>
      <c r="I940" s="13"/>
      <c r="J940" s="1">
        <f t="shared" ca="1" si="93"/>
        <v>-1.0734523406542103E-3</v>
      </c>
      <c r="K940" s="9"/>
      <c r="L940" s="9">
        <f ca="1">L939-O940*Prices!C940</f>
        <v>0.94309998257613437</v>
      </c>
      <c r="M940" s="1">
        <f t="shared" ca="1" si="94"/>
        <v>1.1103757300595936E-2</v>
      </c>
      <c r="N940" s="9">
        <f ca="1">IF(Prices!D939&gt;OFFSET(Prices!D939,-$N$3,0),1,IF(Prices!D939&lt;OFFSET(Prices!D939,-$N$3,0),-1,0))</f>
        <v>-1</v>
      </c>
      <c r="O940" s="1">
        <f ca="1">IF(N940=1,O$3*L939/Prices!C939,O$3*M939*N940)</f>
        <v>-1.2337508111773263E-3</v>
      </c>
      <c r="P940" s="14"/>
      <c r="Q940" s="9">
        <f ca="1">Q939-T940*Prices!C940</f>
        <v>0.65679092327436339</v>
      </c>
      <c r="R940" s="1">
        <f t="shared" ca="1" si="95"/>
        <v>1.403732713011582E-2</v>
      </c>
      <c r="S940" s="9">
        <f ca="1">IF(Prices!C939&lt;OFFSET(Prices!C939,-S$3,0),1,IF(Prices!C939&gt;OFFSET(Prices!C939,-S$3,0),-1,0))</f>
        <v>1</v>
      </c>
      <c r="T940" s="1">
        <f ca="1">IF(S940=1,T$3*Q939/Prices!C939,T$3*R939*S940)</f>
        <v>1.6029847052311606E-4</v>
      </c>
    </row>
    <row r="941" spans="1:20" x14ac:dyDescent="0.2">
      <c r="A941" s="4">
        <v>34823</v>
      </c>
      <c r="B941" s="9">
        <f ca="1">Prices!C940*(1+J941/(50*(ABS(O941)+ABS(T941)+0.0001)))</f>
        <v>82.138264435364619</v>
      </c>
      <c r="C941" s="13">
        <f t="shared" ca="1" si="90"/>
        <v>-1</v>
      </c>
      <c r="D941" s="9">
        <f ca="1">D940+C941*(Prices!C941-Prices!C940)/Prices!C940</f>
        <v>0.43962488673696248</v>
      </c>
      <c r="E941" s="9">
        <f t="shared" ca="1" si="91"/>
        <v>2.9366089171532328E-2</v>
      </c>
      <c r="F941" s="9">
        <f t="shared" ca="1" si="92"/>
        <v>0.46899097590849481</v>
      </c>
      <c r="G941" s="13">
        <f ca="1">IF((Prices!C941-Prices!C940)*C941&gt;0,1,0)</f>
        <v>0</v>
      </c>
      <c r="H941" s="9">
        <f>ABS(Prices!C941-Prices!C940)/Prices!C940</f>
        <v>2.2700119474312751E-3</v>
      </c>
      <c r="I941" s="13"/>
      <c r="J941" s="1">
        <f t="shared" ca="1" si="93"/>
        <v>-1.3911222726619098E-3</v>
      </c>
      <c r="K941" s="9"/>
      <c r="L941" s="9">
        <f ca="1">L940-O941*Prices!C941</f>
        <v>1.0362494025708338</v>
      </c>
      <c r="M941" s="1">
        <f t="shared" ca="1" si="94"/>
        <v>9.993381570536343E-3</v>
      </c>
      <c r="N941" s="9">
        <f ca="1">IF(Prices!D940&gt;OFFSET(Prices!D940,-$N$3,0),1,IF(Prices!D940&lt;OFFSET(Prices!D940,-$N$3,0),-1,0))</f>
        <v>-1</v>
      </c>
      <c r="O941" s="1">
        <f ca="1">IF(N941=1,O$3*L940/Prices!C940,O$3*M940*N941)</f>
        <v>-1.1103757300595935E-3</v>
      </c>
      <c r="P941" s="14"/>
      <c r="Q941" s="9">
        <f ca="1">Q940-T941*Prices!C941</f>
        <v>0.68034275073327166</v>
      </c>
      <c r="R941" s="1">
        <f t="shared" ca="1" si="95"/>
        <v>1.3756580587513504E-2</v>
      </c>
      <c r="S941" s="9">
        <f ca="1">IF(Prices!C940&lt;OFFSET(Prices!C940,-S$3,0),1,IF(Prices!C940&gt;OFFSET(Prices!C940,-S$3,0),-1,0))</f>
        <v>-1</v>
      </c>
      <c r="T941" s="1">
        <f ca="1">IF(S941=1,T$3*Q940/Prices!C940,T$3*R940*S941)</f>
        <v>-2.8074654260231639E-4</v>
      </c>
    </row>
    <row r="942" spans="1:20" x14ac:dyDescent="0.2">
      <c r="A942" s="4">
        <v>34824</v>
      </c>
      <c r="B942" s="9">
        <f ca="1">Prices!C941*(1+J942/(50*(ABS(O942)+ABS(T942)+0.0001)))</f>
        <v>82.776633893273555</v>
      </c>
      <c r="C942" s="13">
        <f t="shared" ca="1" si="90"/>
        <v>-1</v>
      </c>
      <c r="D942" s="9">
        <f ca="1">D941+C942*(Prices!C942-Prices!C941)/Prices!C941</f>
        <v>0.43867125698371418</v>
      </c>
      <c r="E942" s="9">
        <f t="shared" ca="1" si="91"/>
        <v>3.0319718924780636E-2</v>
      </c>
      <c r="F942" s="9">
        <f t="shared" ca="1" si="92"/>
        <v>0.46899097590849481</v>
      </c>
      <c r="G942" s="13">
        <f ca="1">IF((Prices!C942-Prices!C941)*C942&gt;0,1,0)</f>
        <v>0</v>
      </c>
      <c r="H942" s="9">
        <f>ABS(Prices!C942-Prices!C941)/Prices!C941</f>
        <v>9.5362975324828102E-4</v>
      </c>
      <c r="I942" s="13"/>
      <c r="J942" s="1">
        <f t="shared" ca="1" si="93"/>
        <v>-8.3713938467712434E-4</v>
      </c>
      <c r="K942" s="9"/>
      <c r="L942" s="9">
        <f ca="1">L941-O942*Prices!C942</f>
        <v>1.1201638276186274</v>
      </c>
      <c r="M942" s="1">
        <f t="shared" ca="1" si="94"/>
        <v>8.9940434134827083E-3</v>
      </c>
      <c r="N942" s="9">
        <f ca="1">IF(Prices!D941&gt;OFFSET(Prices!D941,-$N$3,0),1,IF(Prices!D941&lt;OFFSET(Prices!D941,-$N$3,0),-1,0))</f>
        <v>-1</v>
      </c>
      <c r="O942" s="1">
        <f ca="1">IF(N942=1,O$3*L941/Prices!C941,O$3*M941*N942)</f>
        <v>-9.9933815705363443E-4</v>
      </c>
      <c r="P942" s="14"/>
      <c r="Q942" s="9">
        <f ca="1">Q941-T942*Prices!C942</f>
        <v>0.66672291981681608</v>
      </c>
      <c r="R942" s="1">
        <f t="shared" ca="1" si="95"/>
        <v>1.3918779359890015E-2</v>
      </c>
      <c r="S942" s="9">
        <f ca="1">IF(Prices!C941&lt;OFFSET(Prices!C941,-S$3,0),1,IF(Prices!C941&gt;OFFSET(Prices!C941,-S$3,0),-1,0))</f>
        <v>1</v>
      </c>
      <c r="T942" s="1">
        <f ca="1">IF(S942=1,T$3*Q941/Prices!C941,T$3*R941*S942)</f>
        <v>1.6219877237651012E-4</v>
      </c>
    </row>
    <row r="943" spans="1:20" x14ac:dyDescent="0.2">
      <c r="A943" s="4">
        <v>34827</v>
      </c>
      <c r="B943" s="9">
        <f ca="1">Prices!C942*(1+J943/(50*(ABS(O943)+ABS(T943)+0.0001)))</f>
        <v>82.422031083121723</v>
      </c>
      <c r="C943" s="13">
        <f t="shared" ca="1" si="90"/>
        <v>-1</v>
      </c>
      <c r="D943" s="9">
        <f ca="1">D942+C943*(Prices!C943-Prices!C942)/Prices!C942</f>
        <v>0.44712665772207305</v>
      </c>
      <c r="E943" s="9">
        <f t="shared" ca="1" si="91"/>
        <v>2.1864318186421761E-2</v>
      </c>
      <c r="F943" s="9">
        <f t="shared" ca="1" si="92"/>
        <v>0.46899097590849481</v>
      </c>
      <c r="G943" s="13">
        <f ca="1">IF((Prices!C943-Prices!C942)*C943&gt;0,1,0)</f>
        <v>1</v>
      </c>
      <c r="H943" s="9">
        <f>ABS(Prices!C943-Prices!C942)/Prices!C942</f>
        <v>8.4554007383588637E-3</v>
      </c>
      <c r="I943" s="13"/>
      <c r="J943" s="1">
        <f t="shared" ca="1" si="93"/>
        <v>-1.1777799285460711E-3</v>
      </c>
      <c r="K943" s="9"/>
      <c r="L943" s="9">
        <f ca="1">L942-O943*Prices!C943</f>
        <v>1.1950482330792844</v>
      </c>
      <c r="M943" s="1">
        <f t="shared" ca="1" si="94"/>
        <v>8.094639072134438E-3</v>
      </c>
      <c r="N943" s="9">
        <f ca="1">IF(Prices!D942&gt;OFFSET(Prices!D942,-$N$3,0),1,IF(Prices!D942&lt;OFFSET(Prices!D942,-$N$3,0),-1,0))</f>
        <v>-1</v>
      </c>
      <c r="O943" s="1">
        <f ca="1">IF(N943=1,O$3*L942/Prices!C942,O$3*M942*N943)</f>
        <v>-8.9940434134827085E-4</v>
      </c>
      <c r="P943" s="14"/>
      <c r="Q943" s="9">
        <f ca="1">Q942-T943*Prices!C943</f>
        <v>0.6899004712069049</v>
      </c>
      <c r="R943" s="1">
        <f t="shared" ca="1" si="95"/>
        <v>1.3640403772692215E-2</v>
      </c>
      <c r="S943" s="9">
        <f ca="1">IF(Prices!C942&lt;OFFSET(Prices!C942,-S$3,0),1,IF(Prices!C942&gt;OFFSET(Prices!C942,-S$3,0),-1,0))</f>
        <v>-1</v>
      </c>
      <c r="T943" s="1">
        <f ca="1">IF(S943=1,T$3*Q942/Prices!C942,T$3*R942*S943)</f>
        <v>-2.7837558719780029E-4</v>
      </c>
    </row>
    <row r="944" spans="1:20" x14ac:dyDescent="0.2">
      <c r="A944" s="4">
        <v>34828</v>
      </c>
      <c r="B944" s="9">
        <f ca="1">Prices!C943*(1+J944/(50*(ABS(O944)+ABS(T944)+0.0001)))</f>
        <v>82.263001105150124</v>
      </c>
      <c r="C944" s="13">
        <f t="shared" ca="1" si="90"/>
        <v>-1</v>
      </c>
      <c r="D944" s="9">
        <f ca="1">D943+C944*(Prices!C944-Prices!C943)/Prices!C943</f>
        <v>0.44580549509896472</v>
      </c>
      <c r="E944" s="9">
        <f t="shared" ca="1" si="91"/>
        <v>2.318548080953009E-2</v>
      </c>
      <c r="F944" s="9">
        <f t="shared" ca="1" si="92"/>
        <v>0.46899097590849481</v>
      </c>
      <c r="G944" s="13">
        <f ca="1">IF((Prices!C944-Prices!C943)*C944&gt;0,1,0)</f>
        <v>0</v>
      </c>
      <c r="H944" s="9">
        <f>ABS(Prices!C944-Prices!C943)/Prices!C943</f>
        <v>1.3211626231083285E-3</v>
      </c>
      <c r="I944" s="13"/>
      <c r="J944" s="1">
        <f t="shared" ca="1" si="93"/>
        <v>-6.4374195880919098E-4</v>
      </c>
      <c r="K944" s="9"/>
      <c r="L944" s="9">
        <f ca="1">L943-O944*Prices!C944</f>
        <v>1.2625332390236692</v>
      </c>
      <c r="M944" s="1">
        <f t="shared" ca="1" si="94"/>
        <v>7.285175164920994E-3</v>
      </c>
      <c r="N944" s="9">
        <f ca="1">IF(Prices!D943&gt;OFFSET(Prices!D943,-$N$3,0),1,IF(Prices!D943&lt;OFFSET(Prices!D943,-$N$3,0),-1,0))</f>
        <v>-1</v>
      </c>
      <c r="O944" s="1">
        <f ca="1">IF(N944=1,O$3*L943/Prices!C943,O$3*M943*N944)</f>
        <v>-8.0946390721344387E-4</v>
      </c>
      <c r="P944" s="14"/>
      <c r="Q944" s="9">
        <f ca="1">Q943-T944*Prices!C944</f>
        <v>0.67608423236844228</v>
      </c>
      <c r="R944" s="1">
        <f t="shared" ca="1" si="95"/>
        <v>1.3806125721096468E-2</v>
      </c>
      <c r="S944" s="9">
        <f ca="1">IF(Prices!C943&lt;OFFSET(Prices!C943,-S$3,0),1,IF(Prices!C943&gt;OFFSET(Prices!C943,-S$3,0),-1,0))</f>
        <v>1</v>
      </c>
      <c r="T944" s="1">
        <f ca="1">IF(S944=1,T$3*Q943/Prices!C943,T$3*R943*S944)</f>
        <v>1.6572194840425291E-4</v>
      </c>
    </row>
    <row r="945" spans="1:20" x14ac:dyDescent="0.2">
      <c r="A945" s="4">
        <v>34829</v>
      </c>
      <c r="B945" s="9">
        <f ca="1">Prices!C944*(1+J945/(50*(ABS(O945)+ABS(T945)+0.0001)))</f>
        <v>82.41684531820755</v>
      </c>
      <c r="C945" s="13">
        <f t="shared" ca="1" si="90"/>
        <v>-1</v>
      </c>
      <c r="D945" s="9">
        <f ca="1">D944+C945*(Prices!C945-Prices!C944)/Prices!C944</f>
        <v>0.4405278172772063</v>
      </c>
      <c r="E945" s="9">
        <f t="shared" ca="1" si="91"/>
        <v>2.846315863128851E-2</v>
      </c>
      <c r="F945" s="9">
        <f t="shared" ca="1" si="92"/>
        <v>0.46899097590849481</v>
      </c>
      <c r="G945" s="13">
        <f ca="1">IF((Prices!C945-Prices!C944)*C945&gt;0,1,0)</f>
        <v>0</v>
      </c>
      <c r="H945" s="9">
        <f>ABS(Prices!C945-Prices!C944)/Prices!C944</f>
        <v>5.2776778217583989E-3</v>
      </c>
      <c r="I945" s="13"/>
      <c r="J945" s="1">
        <f t="shared" ca="1" si="93"/>
        <v>-5.6632866381884956E-4</v>
      </c>
      <c r="K945" s="9"/>
      <c r="L945" s="9">
        <f ca="1">L944-O945*Prices!C945</f>
        <v>1.323590292080872</v>
      </c>
      <c r="M945" s="1">
        <f t="shared" ca="1" si="94"/>
        <v>6.5566576484288944E-3</v>
      </c>
      <c r="N945" s="9">
        <f ca="1">IF(Prices!D944&gt;OFFSET(Prices!D944,-$N$3,0),1,IF(Prices!D944&lt;OFFSET(Prices!D944,-$N$3,0),-1,0))</f>
        <v>-1</v>
      </c>
      <c r="O945" s="1">
        <f ca="1">IF(N945=1,O$3*L944/Prices!C944,O$3*M944*N945)</f>
        <v>-7.2851751649209945E-4</v>
      </c>
      <c r="P945" s="14"/>
      <c r="Q945" s="9">
        <f ca="1">Q944-T945*Prices!C945</f>
        <v>0.66249118462589718</v>
      </c>
      <c r="R945" s="1">
        <f t="shared" ca="1" si="95"/>
        <v>1.3968314573769718E-2</v>
      </c>
      <c r="S945" s="9">
        <f ca="1">IF(Prices!C944&lt;OFFSET(Prices!C944,-S$3,0),1,IF(Prices!C944&gt;OFFSET(Prices!C944,-S$3,0),-1,0))</f>
        <v>1</v>
      </c>
      <c r="T945" s="1">
        <f ca="1">IF(S945=1,T$3*Q944/Prices!C944,T$3*R944*S945)</f>
        <v>1.6218885267324989E-4</v>
      </c>
    </row>
    <row r="946" spans="1:20" x14ac:dyDescent="0.2">
      <c r="A946" s="4">
        <v>34830</v>
      </c>
      <c r="B946" s="9">
        <f ca="1">Prices!C945*(1+J946/(50*(ABS(O946)+ABS(T946)+0.0001)))</f>
        <v>82.897253686992286</v>
      </c>
      <c r="C946" s="13">
        <f t="shared" ca="1" si="90"/>
        <v>-1</v>
      </c>
      <c r="D946" s="9">
        <f ca="1">D945+C946*(Prices!C946-Prices!C945)/Prices!C945</f>
        <v>0.41773817403654295</v>
      </c>
      <c r="E946" s="9">
        <f t="shared" ca="1" si="91"/>
        <v>5.1252801871951859E-2</v>
      </c>
      <c r="F946" s="9">
        <f t="shared" ca="1" si="92"/>
        <v>0.46899097590849481</v>
      </c>
      <c r="G946" s="13">
        <f ca="1">IF((Prices!C946-Prices!C945)*C946&gt;0,1,0)</f>
        <v>0</v>
      </c>
      <c r="H946" s="9">
        <f>ABS(Prices!C946-Prices!C945)/Prices!C945</f>
        <v>2.2789643240663363E-2</v>
      </c>
      <c r="I946" s="13"/>
      <c r="J946" s="1">
        <f t="shared" ca="1" si="93"/>
        <v>-4.9757217586164691E-4</v>
      </c>
      <c r="K946" s="9"/>
      <c r="L946" s="9">
        <f ca="1">L945-O946*Prices!C946</f>
        <v>1.3797939614432044</v>
      </c>
      <c r="M946" s="1">
        <f t="shared" ca="1" si="94"/>
        <v>5.9009918835860051E-3</v>
      </c>
      <c r="N946" s="9">
        <f ca="1">IF(Prices!D945&gt;OFFSET(Prices!D945,-$N$3,0),1,IF(Prices!D945&lt;OFFSET(Prices!D945,-$N$3,0),-1,0))</f>
        <v>-1</v>
      </c>
      <c r="O946" s="1">
        <f ca="1">IF(N946=1,O$3*L945/Prices!C945,O$3*M945*N946)</f>
        <v>-6.5566576484288948E-4</v>
      </c>
      <c r="P946" s="14"/>
      <c r="Q946" s="9">
        <f ca="1">Q945-T946*Prices!C946</f>
        <v>0.64893940217842505</v>
      </c>
      <c r="R946" s="1">
        <f t="shared" ca="1" si="95"/>
        <v>1.412640816275096E-2</v>
      </c>
      <c r="S946" s="9">
        <f ca="1">IF(Prices!C945&lt;OFFSET(Prices!C945,-S$3,0),1,IF(Prices!C945&gt;OFFSET(Prices!C945,-S$3,0),-1,0))</f>
        <v>1</v>
      </c>
      <c r="T946" s="1">
        <f ca="1">IF(S946=1,T$3*Q945/Prices!C945,T$3*R945*S946)</f>
        <v>1.5809358898124259E-4</v>
      </c>
    </row>
    <row r="947" spans="1:20" x14ac:dyDescent="0.2">
      <c r="A947" s="4">
        <v>34831</v>
      </c>
      <c r="B947" s="9">
        <f ca="1">Prices!C946*(1+J947/(50*(ABS(O947)+ABS(T947)+0.0001)))</f>
        <v>86.862076066199734</v>
      </c>
      <c r="C947" s="13">
        <f t="shared" ca="1" si="90"/>
        <v>1</v>
      </c>
      <c r="D947" s="9">
        <f ca="1">D946+C947*(Prices!C947-Prices!C946)/Prices!C946</f>
        <v>0.42975403964550235</v>
      </c>
      <c r="E947" s="9">
        <f t="shared" ca="1" si="91"/>
        <v>3.9236936262992461E-2</v>
      </c>
      <c r="F947" s="9">
        <f t="shared" ca="1" si="92"/>
        <v>0.46899097590849481</v>
      </c>
      <c r="G947" s="13">
        <f ca="1">IF((Prices!C947-Prices!C946)*C947&gt;0,1,0)</f>
        <v>1</v>
      </c>
      <c r="H947" s="9">
        <f>ABS(Prices!C947-Prices!C946)/Prices!C946</f>
        <v>1.2015865608959416E-2</v>
      </c>
      <c r="I947" s="13"/>
      <c r="J947" s="1">
        <f t="shared" ca="1" si="93"/>
        <v>1.3271241482746172E-3</v>
      </c>
      <c r="K947" s="9"/>
      <c r="L947" s="9">
        <f ca="1">L946-O947*Prices!C947</f>
        <v>1.2401566234180084</v>
      </c>
      <c r="M947" s="1">
        <f t="shared" ca="1" si="94"/>
        <v>7.5106441951156419E-3</v>
      </c>
      <c r="N947" s="9">
        <f ca="1">IF(Prices!D946&gt;OFFSET(Prices!D946,-$N$3,0),1,IF(Prices!D946&lt;OFFSET(Prices!D946,-$N$3,0),-1,0))</f>
        <v>1</v>
      </c>
      <c r="O947" s="1">
        <f ca="1">IF(N947=1,O$3*L946/Prices!C946,O$3*M946*N947)</f>
        <v>1.6096523115296366E-3</v>
      </c>
      <c r="P947" s="14"/>
      <c r="Q947" s="9">
        <f ca="1">Q946-T947*Prices!C947</f>
        <v>0.67344872034079795</v>
      </c>
      <c r="R947" s="1">
        <f t="shared" ca="1" si="95"/>
        <v>1.3843879999495941E-2</v>
      </c>
      <c r="S947" s="9">
        <f ca="1">IF(Prices!C946&lt;OFFSET(Prices!C946,-S$3,0),1,IF(Prices!C946&gt;OFFSET(Prices!C946,-S$3,0),-1,0))</f>
        <v>-1</v>
      </c>
      <c r="T947" s="1">
        <f ca="1">IF(S947=1,T$3*Q946/Prices!C946,T$3*R946*S947)</f>
        <v>-2.8252816325501919E-4</v>
      </c>
    </row>
    <row r="948" spans="1:20" x14ac:dyDescent="0.2">
      <c r="A948" s="4">
        <v>34834</v>
      </c>
      <c r="B948" s="9">
        <f ca="1">Prices!C947*(1+J948/(50*(ABS(O948)+ABS(T948)+0.0001)))</f>
        <v>87.857103620693437</v>
      </c>
      <c r="C948" s="13">
        <f t="shared" ca="1" si="90"/>
        <v>1</v>
      </c>
      <c r="D948" s="9">
        <f ca="1">D947+C948*(Prices!C948-Prices!C947)/Prices!C947</f>
        <v>0.42629582638901825</v>
      </c>
      <c r="E948" s="9">
        <f t="shared" ca="1" si="91"/>
        <v>4.2695149519476561E-2</v>
      </c>
      <c r="F948" s="9">
        <f t="shared" ca="1" si="92"/>
        <v>0.46899097590849481</v>
      </c>
      <c r="G948" s="13">
        <f ca="1">IF((Prices!C948-Prices!C947)*C948&gt;0,1,0)</f>
        <v>0</v>
      </c>
      <c r="H948" s="9">
        <f>ABS(Prices!C948-Prices!C947)/Prices!C947</f>
        <v>3.4582132564841173E-3</v>
      </c>
      <c r="I948" s="13"/>
      <c r="J948" s="1">
        <f t="shared" ca="1" si="93"/>
        <v>1.1526977584170072E-3</v>
      </c>
      <c r="K948" s="9"/>
      <c r="L948" s="9">
        <f ca="1">L947-O948*Prices!C948</f>
        <v>1.1165698336837295</v>
      </c>
      <c r="M948" s="1">
        <f t="shared" ca="1" si="94"/>
        <v>8.9402195535225673E-3</v>
      </c>
      <c r="N948" s="9">
        <f ca="1">IF(Prices!D947&gt;OFFSET(Prices!D947,-$N$3,0),1,IF(Prices!D947&lt;OFFSET(Prices!D947,-$N$3,0),-1,0))</f>
        <v>1</v>
      </c>
      <c r="O948" s="1">
        <f ca="1">IF(N948=1,O$3*L947/Prices!C947,O$3*M947*N948)</f>
        <v>1.4295753584069261E-3</v>
      </c>
      <c r="P948" s="14"/>
      <c r="Q948" s="9">
        <f ca="1">Q947-T948*Prices!C948</f>
        <v>0.69738478885992639</v>
      </c>
      <c r="R948" s="1">
        <f t="shared" ca="1" si="95"/>
        <v>1.3567002399506022E-2</v>
      </c>
      <c r="S948" s="9">
        <f ca="1">IF(Prices!C947&lt;OFFSET(Prices!C947,-S$3,0),1,IF(Prices!C947&gt;OFFSET(Prices!C947,-S$3,0),-1,0))</f>
        <v>-1</v>
      </c>
      <c r="T948" s="1">
        <f ca="1">IF(S948=1,T$3*Q947/Prices!C947,T$3*R947*S948)</f>
        <v>-2.7687759998991883E-4</v>
      </c>
    </row>
    <row r="949" spans="1:20" x14ac:dyDescent="0.2">
      <c r="A949" s="4">
        <v>34835</v>
      </c>
      <c r="B949" s="9">
        <f ca="1">Prices!C948*(1+J949/(50*(ABS(O949)+ABS(T949)+0.0001)))</f>
        <v>84.857640739601237</v>
      </c>
      <c r="C949" s="13">
        <f t="shared" ca="1" si="90"/>
        <v>-1</v>
      </c>
      <c r="D949" s="9">
        <f ca="1">D948+C949*(Prices!C949-Prices!C948)/Prices!C948</f>
        <v>0.4239823503913317</v>
      </c>
      <c r="E949" s="9">
        <f t="shared" ca="1" si="91"/>
        <v>4.5008625517163114E-2</v>
      </c>
      <c r="F949" s="9">
        <f t="shared" ca="1" si="92"/>
        <v>0.46899097590849481</v>
      </c>
      <c r="G949" s="13">
        <f ca="1">IF((Prices!C949-Prices!C948)*C949&gt;0,1,0)</f>
        <v>0</v>
      </c>
      <c r="H949" s="9">
        <f>ABS(Prices!C949-Prices!C948)/Prices!C948</f>
        <v>2.3134759976865568E-3</v>
      </c>
      <c r="I949" s="13"/>
      <c r="J949" s="1">
        <f t="shared" ca="1" si="93"/>
        <v>-1.1653620033423772E-3</v>
      </c>
      <c r="K949" s="9"/>
      <c r="L949" s="9">
        <f ca="1">L948-O949*Prices!C949</f>
        <v>1.1940368361150027</v>
      </c>
      <c r="M949" s="1">
        <f t="shared" ca="1" si="94"/>
        <v>8.0461975981703099E-3</v>
      </c>
      <c r="N949" s="9">
        <f ca="1">IF(Prices!D948&gt;OFFSET(Prices!D948,-$N$3,0),1,IF(Prices!D948&lt;OFFSET(Prices!D948,-$N$3,0),-1,0))</f>
        <v>-1</v>
      </c>
      <c r="O949" s="1">
        <f ca="1">IF(N949=1,O$3*L948/Prices!C948,O$3*M948*N949)</f>
        <v>-8.9402195535225677E-4</v>
      </c>
      <c r="P949" s="14"/>
      <c r="Q949" s="9">
        <f ca="1">Q948-T949*Prices!C949</f>
        <v>0.72089640401827038</v>
      </c>
      <c r="R949" s="1">
        <f t="shared" ca="1" si="95"/>
        <v>1.3295662351515901E-2</v>
      </c>
      <c r="S949" s="9">
        <f ca="1">IF(Prices!C948&lt;OFFSET(Prices!C948,-S$3,0),1,IF(Prices!C948&gt;OFFSET(Prices!C948,-S$3,0),-1,0))</f>
        <v>-1</v>
      </c>
      <c r="T949" s="1">
        <f ca="1">IF(S949=1,T$3*Q948/Prices!C948,T$3*R948*S949)</f>
        <v>-2.7134004799012046E-4</v>
      </c>
    </row>
    <row r="950" spans="1:20" x14ac:dyDescent="0.2">
      <c r="A950" s="4">
        <v>34836</v>
      </c>
      <c r="B950" s="9">
        <f ca="1">Prices!C949*(1+J950/(50*(ABS(O950)+ABS(T950)+0.0001)))</f>
        <v>85.065052211245842</v>
      </c>
      <c r="C950" s="13">
        <f t="shared" ca="1" si="90"/>
        <v>-1</v>
      </c>
      <c r="D950" s="9">
        <f ca="1">D949+C950*(Prices!C950-Prices!C949)/Prices!C949</f>
        <v>0.42132799378429198</v>
      </c>
      <c r="E950" s="9">
        <f t="shared" ca="1" si="91"/>
        <v>4.7662982124202835E-2</v>
      </c>
      <c r="F950" s="9">
        <f t="shared" ca="1" si="92"/>
        <v>0.46899097590849481</v>
      </c>
      <c r="G950" s="13">
        <f ca="1">IF((Prices!C950-Prices!C949)*C950&gt;0,1,0)</f>
        <v>0</v>
      </c>
      <c r="H950" s="9">
        <f>ABS(Prices!C950-Prices!C949)/Prices!C949</f>
        <v>2.6543566070396972E-3</v>
      </c>
      <c r="I950" s="13"/>
      <c r="J950" s="1">
        <f t="shared" ca="1" si="93"/>
        <v>-1.0705330068473491E-3</v>
      </c>
      <c r="K950" s="9"/>
      <c r="L950" s="9">
        <f ca="1">L949-O950*Prices!C950</f>
        <v>1.2639422008479064</v>
      </c>
      <c r="M950" s="1">
        <f t="shared" ca="1" si="94"/>
        <v>7.2415778383532791E-3</v>
      </c>
      <c r="N950" s="9">
        <f ca="1">IF(Prices!D949&gt;OFFSET(Prices!D949,-$N$3,0),1,IF(Prices!D949&lt;OFFSET(Prices!D949,-$N$3,0),-1,0))</f>
        <v>-1</v>
      </c>
      <c r="O950" s="1">
        <f ca="1">IF(N950=1,O$3*L949/Prices!C949,O$3*M949*N950)</f>
        <v>-8.0461975981703103E-4</v>
      </c>
      <c r="P950" s="14"/>
      <c r="Q950" s="9">
        <f ca="1">Q949-T950*Prices!C950</f>
        <v>0.74399894692026436</v>
      </c>
      <c r="R950" s="1">
        <f t="shared" ca="1" si="95"/>
        <v>1.3029749104485584E-2</v>
      </c>
      <c r="S950" s="9">
        <f ca="1">IF(Prices!C949&lt;OFFSET(Prices!C949,-S$3,0),1,IF(Prices!C949&gt;OFFSET(Prices!C949,-S$3,0),-1,0))</f>
        <v>-1</v>
      </c>
      <c r="T950" s="1">
        <f ca="1">IF(S950=1,T$3*Q949/Prices!C949,T$3*R949*S950)</f>
        <v>-2.6591324703031802E-4</v>
      </c>
    </row>
    <row r="951" spans="1:20" x14ac:dyDescent="0.2">
      <c r="A951" s="4">
        <v>34837</v>
      </c>
      <c r="B951" s="9">
        <f ca="1">Prices!C950*(1+J951/(50*(ABS(O951)+ABS(T951)+0.0001)))</f>
        <v>85.302583965838352</v>
      </c>
      <c r="C951" s="13">
        <f t="shared" ca="1" si="90"/>
        <v>-1</v>
      </c>
      <c r="D951" s="9">
        <f ca="1">D950+C951*(Prices!C951-Prices!C950)/Prices!C950</f>
        <v>0.42144309507342631</v>
      </c>
      <c r="E951" s="9">
        <f t="shared" ca="1" si="91"/>
        <v>4.7547880835068501E-2</v>
      </c>
      <c r="F951" s="9">
        <f t="shared" ca="1" si="92"/>
        <v>0.46899097590849481</v>
      </c>
      <c r="G951" s="13">
        <f ca="1">IF((Prices!C951-Prices!C950)*C951&gt;0,1,0)</f>
        <v>1</v>
      </c>
      <c r="H951" s="9">
        <f>ABS(Prices!C951-Prices!C950)/Prices!C950</f>
        <v>1.1510128913433363E-4</v>
      </c>
      <c r="I951" s="13"/>
      <c r="J951" s="1">
        <f t="shared" ca="1" si="93"/>
        <v>-9.8475276592503973E-4</v>
      </c>
      <c r="K951" s="9"/>
      <c r="L951" s="9">
        <f ca="1">L950-O951*Prices!C951</f>
        <v>1.3268497875296814</v>
      </c>
      <c r="M951" s="1">
        <f t="shared" ca="1" si="94"/>
        <v>6.5174200545179512E-3</v>
      </c>
      <c r="N951" s="9">
        <f ca="1">IF(Prices!D950&gt;OFFSET(Prices!D950,-$N$3,0),1,IF(Prices!D950&lt;OFFSET(Prices!D950,-$N$3,0),-1,0))</f>
        <v>-1</v>
      </c>
      <c r="O951" s="1">
        <f ca="1">IF(N951=1,O$3*L950/Prices!C950,O$3*M950*N951)</f>
        <v>-7.2415778383532793E-4</v>
      </c>
      <c r="P951" s="14"/>
      <c r="Q951" s="9">
        <f ca="1">Q950-T951*Prices!C951</f>
        <v>0.76663683301439767</v>
      </c>
      <c r="R951" s="1">
        <f t="shared" ca="1" si="95"/>
        <v>1.2769154122395873E-2</v>
      </c>
      <c r="S951" s="9">
        <f ca="1">IF(Prices!C950&lt;OFFSET(Prices!C950,-S$3,0),1,IF(Prices!C950&gt;OFFSET(Prices!C950,-S$3,0),-1,0))</f>
        <v>-1</v>
      </c>
      <c r="T951" s="1">
        <f ca="1">IF(S951=1,T$3*Q950/Prices!C950,T$3*R950*S951)</f>
        <v>-2.605949820897117E-4</v>
      </c>
    </row>
    <row r="952" spans="1:20" x14ac:dyDescent="0.2">
      <c r="A952" s="4">
        <v>34838</v>
      </c>
      <c r="B952" s="9">
        <f ca="1">Prices!C951*(1+J952/(50*(ABS(O952)+ABS(T952)+0.0001)))</f>
        <v>88.043794544461335</v>
      </c>
      <c r="C952" s="13">
        <f t="shared" ca="1" si="90"/>
        <v>1</v>
      </c>
      <c r="D952" s="9">
        <f ca="1">D951+C952*(Prices!C952-Prices!C951)/Prices!C951</f>
        <v>0.42132798053445997</v>
      </c>
      <c r="E952" s="9">
        <f t="shared" ca="1" si="91"/>
        <v>4.7662995374034844E-2</v>
      </c>
      <c r="F952" s="9">
        <f t="shared" ca="1" si="92"/>
        <v>0.46899097590849481</v>
      </c>
      <c r="G952" s="13">
        <f ca="1">IF((Prices!C952-Prices!C951)*C952&gt;0,1,0)</f>
        <v>0</v>
      </c>
      <c r="H952" s="9">
        <f>ABS(Prices!C952-Prices!C951)/Prices!C951</f>
        <v>1.1511453896633033E-4</v>
      </c>
      <c r="I952" s="13"/>
      <c r="J952" s="1">
        <f t="shared" ca="1" si="93"/>
        <v>1.2720139332418274E-3</v>
      </c>
      <c r="K952" s="9"/>
      <c r="L952" s="9">
        <f ca="1">L951-O952*Prices!C952</f>
        <v>1.1941800827468703</v>
      </c>
      <c r="M952" s="1">
        <f t="shared" ca="1" si="94"/>
        <v>8.0448170702076965E-3</v>
      </c>
      <c r="N952" s="9">
        <f ca="1">IF(Prices!D951&gt;OFFSET(Prices!D951,-$N$3,0),1,IF(Prices!D951&lt;OFFSET(Prices!D951,-$N$3,0),-1,0))</f>
        <v>1</v>
      </c>
      <c r="O952" s="1">
        <f ca="1">IF(N952=1,O$3*L951/Prices!C951,O$3*M951*N952)</f>
        <v>1.5273970156897449E-3</v>
      </c>
      <c r="P952" s="14"/>
      <c r="Q952" s="9">
        <f ca="1">Q951-T952*Prices!C952</f>
        <v>0.7888194075558238</v>
      </c>
      <c r="R952" s="1">
        <f t="shared" ca="1" si="95"/>
        <v>1.2513771039947955E-2</v>
      </c>
      <c r="S952" s="9">
        <f ca="1">IF(Prices!C951&lt;OFFSET(Prices!C951,-S$3,0),1,IF(Prices!C951&gt;OFFSET(Prices!C951,-S$3,0),-1,0))</f>
        <v>-1</v>
      </c>
      <c r="T952" s="1">
        <f ca="1">IF(S952=1,T$3*Q951/Prices!C951,T$3*R951*S952)</f>
        <v>-2.5538308244791745E-4</v>
      </c>
    </row>
    <row r="953" spans="1:20" x14ac:dyDescent="0.2">
      <c r="A953" s="4">
        <v>34841</v>
      </c>
      <c r="B953" s="9">
        <f ca="1">Prices!C952*(1+J953/(50*(ABS(O953)+ABS(T953)+0.0001)))</f>
        <v>87.992439851186063</v>
      </c>
      <c r="C953" s="13">
        <f t="shared" ca="1" si="90"/>
        <v>1</v>
      </c>
      <c r="D953" s="9">
        <f ca="1">D952+C953*(Prices!C953-Prices!C952)/Prices!C952</f>
        <v>0.42731462571060547</v>
      </c>
      <c r="E953" s="9">
        <f t="shared" ca="1" si="91"/>
        <v>4.1676350197889345E-2</v>
      </c>
      <c r="F953" s="9">
        <f t="shared" ca="1" si="92"/>
        <v>0.46899097590849481</v>
      </c>
      <c r="G953" s="13">
        <f ca="1">IF((Prices!C953-Prices!C952)*C953&gt;0,1,0)</f>
        <v>1</v>
      </c>
      <c r="H953" s="9">
        <f>ABS(Prices!C953-Prices!C952)/Prices!C952</f>
        <v>5.9866451761454754E-3</v>
      </c>
      <c r="I953" s="13"/>
      <c r="J953" s="1">
        <f t="shared" ca="1" si="93"/>
        <v>1.1245577391675045E-3</v>
      </c>
      <c r="K953" s="9"/>
      <c r="L953" s="9">
        <f ca="1">L952-O953*Prices!C953</f>
        <v>1.0740471612290006</v>
      </c>
      <c r="M953" s="1">
        <f t="shared" ca="1" si="94"/>
        <v>9.4196502301741609E-3</v>
      </c>
      <c r="N953" s="9">
        <f ca="1">IF(Prices!D952&gt;OFFSET(Prices!D952,-$N$3,0),1,IF(Prices!D952&lt;OFFSET(Prices!D952,-$N$3,0),-1,0))</f>
        <v>1</v>
      </c>
      <c r="O953" s="1">
        <f ca="1">IF(N953=1,O$3*L952/Prices!C952,O$3*M952*N953)</f>
        <v>1.3748331599664637E-3</v>
      </c>
      <c r="P953" s="14"/>
      <c r="Q953" s="9">
        <f ca="1">Q952-T953*Prices!C953</f>
        <v>0.8106884738252369</v>
      </c>
      <c r="R953" s="1">
        <f t="shared" ca="1" si="95"/>
        <v>1.2263495619148995E-2</v>
      </c>
      <c r="S953" s="9">
        <f ca="1">IF(Prices!C952&lt;OFFSET(Prices!C952,-S$3,0),1,IF(Prices!C952&gt;OFFSET(Prices!C952,-S$3,0),-1,0))</f>
        <v>-1</v>
      </c>
      <c r="T953" s="1">
        <f ca="1">IF(S953=1,T$3*Q952/Prices!C952,T$3*R952*S953)</f>
        <v>-2.502754207989591E-4</v>
      </c>
    </row>
    <row r="954" spans="1:20" x14ac:dyDescent="0.2">
      <c r="A954" s="4">
        <v>34842</v>
      </c>
      <c r="B954" s="9">
        <f ca="1">Prices!C953*(1+J954/(50*(ABS(O954)+ABS(T954)+0.0001)))</f>
        <v>88.47211065520186</v>
      </c>
      <c r="C954" s="13">
        <f t="shared" ca="1" si="90"/>
        <v>1</v>
      </c>
      <c r="D954" s="9">
        <f ca="1">D953+C954*(Prices!C954-Prices!C953)/Prices!C953</f>
        <v>0.42479688709765057</v>
      </c>
      <c r="E954" s="9">
        <f t="shared" ca="1" si="91"/>
        <v>4.4194088810844245E-2</v>
      </c>
      <c r="F954" s="9">
        <f t="shared" ca="1" si="92"/>
        <v>0.46899097590849481</v>
      </c>
      <c r="G954" s="13">
        <f ca="1">IF((Prices!C954-Prices!C953)*C954&gt;0,1,0)</f>
        <v>0</v>
      </c>
      <c r="H954" s="9">
        <f>ABS(Prices!C954-Prices!C953)/Prices!C953</f>
        <v>2.5177386129548967E-3</v>
      </c>
      <c r="I954" s="13"/>
      <c r="J954" s="1">
        <f t="shared" ca="1" si="93"/>
        <v>9.8389827396286648E-4</v>
      </c>
      <c r="K954" s="9"/>
      <c r="L954" s="9">
        <f ca="1">L953-O954*Prices!C954</f>
        <v>0.96691286210709659</v>
      </c>
      <c r="M954" s="1">
        <f t="shared" ca="1" si="94"/>
        <v>1.0648818416520007E-2</v>
      </c>
      <c r="N954" s="9">
        <f ca="1">IF(Prices!D953&gt;OFFSET(Prices!D953,-$N$3,0),1,IF(Prices!D953&lt;OFFSET(Prices!D953,-$N$3,0),-1,0))</f>
        <v>1</v>
      </c>
      <c r="O954" s="1">
        <f ca="1">IF(N954=1,O$3*L953/Prices!C953,O$3*M953*N954)</f>
        <v>1.2291681863458464E-3</v>
      </c>
      <c r="P954" s="14"/>
      <c r="Q954" s="9">
        <f ca="1">Q953-T954*Prices!C954</f>
        <v>0.83206619938853743</v>
      </c>
      <c r="R954" s="1">
        <f t="shared" ca="1" si="95"/>
        <v>1.2018225706766016E-2</v>
      </c>
      <c r="S954" s="9">
        <f ca="1">IF(Prices!C953&lt;OFFSET(Prices!C953,-S$3,0),1,IF(Prices!C953&gt;OFFSET(Prices!C953,-S$3,0),-1,0))</f>
        <v>-1</v>
      </c>
      <c r="T954" s="1">
        <f ca="1">IF(S954=1,T$3*Q953/Prices!C953,T$3*R953*S954)</f>
        <v>-2.4526991238297993E-4</v>
      </c>
    </row>
    <row r="955" spans="1:20" x14ac:dyDescent="0.2">
      <c r="A955" s="4">
        <v>34843</v>
      </c>
      <c r="B955" s="9">
        <f ca="1">Prices!C954*(1+J955/(50*(ABS(O955)+ABS(T955)+0.0001)))</f>
        <v>85.540849423278758</v>
      </c>
      <c r="C955" s="13">
        <f t="shared" ca="1" si="90"/>
        <v>-1</v>
      </c>
      <c r="D955" s="9">
        <f ca="1">D954+C955*(Prices!C955-Prices!C954)/Prices!C954</f>
        <v>0.42479688709765057</v>
      </c>
      <c r="E955" s="9">
        <f t="shared" ca="1" si="91"/>
        <v>4.4194088810844245E-2</v>
      </c>
      <c r="F955" s="9">
        <f t="shared" ca="1" si="92"/>
        <v>0.46899097590849481</v>
      </c>
      <c r="G955" s="13">
        <f ca="1">IF((Prices!C955-Prices!C954)*C955&gt;0,1,0)</f>
        <v>0</v>
      </c>
      <c r="H955" s="9">
        <f>ABS(Prices!C955-Prices!C954)/Prices!C954</f>
        <v>0</v>
      </c>
      <c r="I955" s="13"/>
      <c r="J955" s="1">
        <f t="shared" ca="1" si="93"/>
        <v>-1.305246355787321E-3</v>
      </c>
      <c r="K955" s="9"/>
      <c r="L955" s="9">
        <f ca="1">L954-O955*Prices!C955</f>
        <v>1.059727963425485</v>
      </c>
      <c r="M955" s="1">
        <f t="shared" ca="1" si="94"/>
        <v>9.5839365748680069E-3</v>
      </c>
      <c r="N955" s="9">
        <f ca="1">IF(Prices!D954&gt;OFFSET(Prices!D954,-$N$3,0),1,IF(Prices!D954&lt;OFFSET(Prices!D954,-$N$3,0),-1,0))</f>
        <v>-1</v>
      </c>
      <c r="O955" s="1">
        <f ca="1">IF(N955=1,O$3*L954/Prices!C954,O$3*M954*N955)</f>
        <v>-1.0648818416520006E-3</v>
      </c>
      <c r="P955" s="14"/>
      <c r="Q955" s="9">
        <f ca="1">Q954-T955*Prices!C955</f>
        <v>0.85301637044057199</v>
      </c>
      <c r="R955" s="1">
        <f t="shared" ca="1" si="95"/>
        <v>1.1777861192630695E-2</v>
      </c>
      <c r="S955" s="9">
        <f ca="1">IF(Prices!C954&lt;OFFSET(Prices!C954,-S$3,0),1,IF(Prices!C954&gt;OFFSET(Prices!C954,-S$3,0),-1,0))</f>
        <v>-1</v>
      </c>
      <c r="T955" s="1">
        <f ca="1">IF(S955=1,T$3*Q954/Prices!C954,T$3*R954*S955)</f>
        <v>-2.4036451413532033E-4</v>
      </c>
    </row>
    <row r="956" spans="1:20" x14ac:dyDescent="0.2">
      <c r="A956" s="4">
        <v>34844</v>
      </c>
      <c r="B956" s="9">
        <f ca="1">Prices!C955*(1+J956/(50*(ABS(O956)+ABS(T956)+0.0001)))</f>
        <v>85.551519178690569</v>
      </c>
      <c r="C956" s="13">
        <f t="shared" ca="1" si="90"/>
        <v>-1</v>
      </c>
      <c r="D956" s="9">
        <f ca="1">D955+C956*(Prices!C956-Prices!C955)/Prices!C955</f>
        <v>0.45141460164560826</v>
      </c>
      <c r="E956" s="9">
        <f t="shared" ca="1" si="91"/>
        <v>1.7576374262886552E-2</v>
      </c>
      <c r="F956" s="9">
        <f t="shared" ca="1" si="92"/>
        <v>0.46899097590849481</v>
      </c>
      <c r="G956" s="13">
        <f ca="1">IF((Prices!C956-Prices!C955)*C956&gt;0,1,0)</f>
        <v>1</v>
      </c>
      <c r="H956" s="9">
        <f>ABS(Prices!C956-Prices!C955)/Prices!C955</f>
        <v>2.6617714547957701E-2</v>
      </c>
      <c r="I956" s="13"/>
      <c r="J956" s="1">
        <f t="shared" ca="1" si="93"/>
        <v>-1.1939508813394147E-3</v>
      </c>
      <c r="K956" s="9"/>
      <c r="L956" s="9">
        <f ca="1">L955-O956*Prices!C956</f>
        <v>1.1410380813266652</v>
      </c>
      <c r="M956" s="1">
        <f t="shared" ca="1" si="94"/>
        <v>8.6255429173812057E-3</v>
      </c>
      <c r="N956" s="9">
        <f ca="1">IF(Prices!D955&gt;OFFSET(Prices!D955,-$N$3,0),1,IF(Prices!D955&lt;OFFSET(Prices!D955,-$N$3,0),-1,0))</f>
        <v>-1</v>
      </c>
      <c r="O956" s="1">
        <f ca="1">IF(N956=1,O$3*L955/Prices!C955,O$3*M955*N956)</f>
        <v>-9.5839365748680077E-4</v>
      </c>
      <c r="P956" s="14"/>
      <c r="Q956" s="9">
        <f ca="1">Q955-T956*Prices!C956</f>
        <v>0.87300104531222777</v>
      </c>
      <c r="R956" s="1">
        <f t="shared" ca="1" si="95"/>
        <v>1.1542303968778081E-2</v>
      </c>
      <c r="S956" s="9">
        <f ca="1">IF(Prices!C955&lt;OFFSET(Prices!C955,-S$3,0),1,IF(Prices!C955&gt;OFFSET(Prices!C955,-S$3,0),-1,0))</f>
        <v>-1</v>
      </c>
      <c r="T956" s="1">
        <f ca="1">IF(S956=1,T$3*Q955/Prices!C955,T$3*R955*S956)</f>
        <v>-2.3555722385261392E-4</v>
      </c>
    </row>
    <row r="957" spans="1:20" x14ac:dyDescent="0.2">
      <c r="A957" s="4">
        <v>34845</v>
      </c>
      <c r="B957" s="9">
        <f ca="1">Prices!C956*(1+J957/(50*(ABS(O957)+ABS(T957)+0.0001)))</f>
        <v>83.886194903041883</v>
      </c>
      <c r="C957" s="13">
        <f t="shared" ca="1" si="90"/>
        <v>-1</v>
      </c>
      <c r="D957" s="9">
        <f ca="1">D956+C957*(Prices!C957-Prices!C956)/Prices!C956</f>
        <v>0.47416330508738108</v>
      </c>
      <c r="E957" s="9">
        <f t="shared" ca="1" si="91"/>
        <v>0</v>
      </c>
      <c r="F957" s="9">
        <f t="shared" ca="1" si="92"/>
        <v>0.47416330508738108</v>
      </c>
      <c r="G957" s="13">
        <f ca="1">IF((Prices!C957-Prices!C956)*C957&gt;0,1,0)</f>
        <v>1</v>
      </c>
      <c r="H957" s="9">
        <f>ABS(Prices!C957-Prices!C956)/Prices!C956</f>
        <v>2.2748703441772829E-2</v>
      </c>
      <c r="I957" s="13"/>
      <c r="J957" s="1">
        <f t="shared" ca="1" si="93"/>
        <v>-6.5675489397474781E-4</v>
      </c>
      <c r="K957" s="9"/>
      <c r="L957" s="9">
        <f ca="1">L956-O957*Prices!C957</f>
        <v>1.2125524576546727</v>
      </c>
      <c r="M957" s="1">
        <f t="shared" ca="1" si="94"/>
        <v>7.7629886256430853E-3</v>
      </c>
      <c r="N957" s="9">
        <f ca="1">IF(Prices!D956&gt;OFFSET(Prices!D956,-$N$3,0),1,IF(Prices!D956&lt;OFFSET(Prices!D956,-$N$3,0),-1,0))</f>
        <v>-1</v>
      </c>
      <c r="O957" s="1">
        <f ca="1">IF(N957=1,O$3*L956/Prices!C956,O$3*M956*N957)</f>
        <v>-8.6255429173812061E-4</v>
      </c>
      <c r="P957" s="14"/>
      <c r="Q957" s="9">
        <f ca="1">Q956-T957*Prices!C957</f>
        <v>0.85593821724366648</v>
      </c>
      <c r="R957" s="1">
        <f t="shared" ca="1" si="95"/>
        <v>1.1748103366541453E-2</v>
      </c>
      <c r="S957" s="9">
        <f ca="1">IF(Prices!C956&lt;OFFSET(Prices!C956,-S$3,0),1,IF(Prices!C956&gt;OFFSET(Prices!C956,-S$3,0),-1,0))</f>
        <v>1</v>
      </c>
      <c r="T957" s="1">
        <f ca="1">IF(S957=1,T$3*Q956/Prices!C956,T$3*R956*S957)</f>
        <v>2.0579939776337286E-4</v>
      </c>
    </row>
    <row r="958" spans="1:20" x14ac:dyDescent="0.2">
      <c r="A958" s="4">
        <v>34848</v>
      </c>
      <c r="B958" s="9">
        <f ca="1">Prices!C957*(1+J958/(50*(ABS(O958)+ABS(T958)+0.0001)))</f>
        <v>82.037348433824619</v>
      </c>
      <c r="C958" s="13">
        <f t="shared" ca="1" si="90"/>
        <v>-1</v>
      </c>
      <c r="D958" s="9">
        <f ca="1">D957+C958*(Prices!C958-Prices!C957)/Prices!C957</f>
        <v>0.47549004492576002</v>
      </c>
      <c r="E958" s="9">
        <f t="shared" ca="1" si="91"/>
        <v>0</v>
      </c>
      <c r="F958" s="9">
        <f t="shared" ca="1" si="92"/>
        <v>0.47549004492576002</v>
      </c>
      <c r="G958" s="13">
        <f ca="1">IF((Prices!C958-Prices!C957)*C958&gt;0,1,0)</f>
        <v>1</v>
      </c>
      <c r="H958" s="9">
        <f>ABS(Prices!C958-Prices!C957)/Prices!C957</f>
        <v>1.3267398383789584E-3</v>
      </c>
      <c r="I958" s="13"/>
      <c r="J958" s="1">
        <f t="shared" ca="1" si="93"/>
        <v>-5.6982480219917365E-4</v>
      </c>
      <c r="K958" s="9"/>
      <c r="L958" s="9">
        <f ca="1">L957-O958*Prices!C958</f>
        <v>1.2768300034749975</v>
      </c>
      <c r="M958" s="1">
        <f t="shared" ca="1" si="94"/>
        <v>6.9866897630787763E-3</v>
      </c>
      <c r="N958" s="9">
        <f ca="1">IF(Prices!D957&gt;OFFSET(Prices!D957,-$N$3,0),1,IF(Prices!D957&lt;OFFSET(Prices!D957,-$N$3,0),-1,0))</f>
        <v>-1</v>
      </c>
      <c r="O958" s="1">
        <f ca="1">IF(N958=1,O$3*L957/Prices!C957,O$3*M957*N958)</f>
        <v>-7.7629886256430853E-4</v>
      </c>
      <c r="P958" s="14"/>
      <c r="Q958" s="9">
        <f ca="1">Q957-T958*Prices!C958</f>
        <v>0.8388421650454333</v>
      </c>
      <c r="R958" s="1">
        <f t="shared" ca="1" si="95"/>
        <v>1.1954577426906587E-2</v>
      </c>
      <c r="S958" s="9">
        <f ca="1">IF(Prices!C957&lt;OFFSET(Prices!C957,-S$3,0),1,IF(Prices!C957&gt;OFFSET(Prices!C957,-S$3,0),-1,0))</f>
        <v>1</v>
      </c>
      <c r="T958" s="1">
        <f ca="1">IF(S958=1,T$3*Q957/Prices!C957,T$3*R957*S958)</f>
        <v>2.0647406036513485E-4</v>
      </c>
    </row>
    <row r="959" spans="1:20" x14ac:dyDescent="0.2">
      <c r="A959" s="4">
        <v>34849</v>
      </c>
      <c r="B959" s="9">
        <f ca="1">Prices!C958*(1+J959/(50*(ABS(O959)+ABS(T959)+0.0001)))</f>
        <v>84.366228531911005</v>
      </c>
      <c r="C959" s="13">
        <f t="shared" ca="1" si="90"/>
        <v>1</v>
      </c>
      <c r="D959" s="9">
        <f ca="1">D958+C959*(Prices!C959-Prices!C958)/Prices!C958</f>
        <v>0.47693932028807889</v>
      </c>
      <c r="E959" s="9">
        <f t="shared" ca="1" si="91"/>
        <v>0</v>
      </c>
      <c r="F959" s="9">
        <f t="shared" ca="1" si="92"/>
        <v>0.47693932028807889</v>
      </c>
      <c r="G959" s="13">
        <f ca="1">IF((Prices!C959-Prices!C958)*C959&gt;0,1,0)</f>
        <v>1</v>
      </c>
      <c r="H959" s="9">
        <f>ABS(Prices!C959-Prices!C958)/Prices!C958</f>
        <v>1.4492753623188955E-3</v>
      </c>
      <c r="I959" s="13"/>
      <c r="J959" s="1">
        <f t="shared" ca="1" si="93"/>
        <v>1.7446841020339182E-3</v>
      </c>
      <c r="K959" s="9"/>
      <c r="L959" s="9">
        <f ca="1">L958-O959*Prices!C959</f>
        <v>1.1489619553009072</v>
      </c>
      <c r="M959" s="1">
        <f t="shared" ca="1" si="94"/>
        <v>8.5287549846669378E-3</v>
      </c>
      <c r="N959" s="9">
        <f ca="1">IF(Prices!D958&gt;OFFSET(Prices!D958,-$N$3,0),1,IF(Prices!D958&lt;OFFSET(Prices!D958,-$N$3,0),-1,0))</f>
        <v>1</v>
      </c>
      <c r="O959" s="1">
        <f ca="1">IF(N959=1,O$3*L958/Prices!C958,O$3*M958*N959)</f>
        <v>1.5420652215881615E-3</v>
      </c>
      <c r="P959" s="14"/>
      <c r="Q959" s="9">
        <f ca="1">Q958-T959*Prices!C959</f>
        <v>0.8220410074788711</v>
      </c>
      <c r="R959" s="1">
        <f t="shared" ca="1" si="95"/>
        <v>1.2157196307352344E-2</v>
      </c>
      <c r="S959" s="9">
        <f ca="1">IF(Prices!C958&lt;OFFSET(Prices!C958,-S$3,0),1,IF(Prices!C958&gt;OFFSET(Prices!C958,-S$3,0),-1,0))</f>
        <v>1</v>
      </c>
      <c r="T959" s="1">
        <f ca="1">IF(S959=1,T$3*Q958/Prices!C958,T$3*R958*S959)</f>
        <v>2.0261888044575683E-4</v>
      </c>
    </row>
    <row r="960" spans="1:20" x14ac:dyDescent="0.2">
      <c r="A960" s="4">
        <v>34850</v>
      </c>
      <c r="B960" s="9">
        <f ca="1">Prices!C959*(1+J960/(50*(ABS(O960)+ABS(T960)+0.0001)))</f>
        <v>81.976948722384165</v>
      </c>
      <c r="C960" s="13">
        <f t="shared" ca="1" si="90"/>
        <v>-1</v>
      </c>
      <c r="D960" s="9">
        <f ca="1">D959+C960*(Prices!C960-Prices!C959)/Prices!C959</f>
        <v>0.45643763191374215</v>
      </c>
      <c r="E960" s="9">
        <f t="shared" ca="1" si="91"/>
        <v>2.0501688374336746E-2</v>
      </c>
      <c r="F960" s="9">
        <f t="shared" ca="1" si="92"/>
        <v>0.47693932028807889</v>
      </c>
      <c r="G960" s="13">
        <f ca="1">IF((Prices!C960-Prices!C959)*C960&gt;0,1,0)</f>
        <v>0</v>
      </c>
      <c r="H960" s="9">
        <f>ABS(Prices!C960-Prices!C959)/Prices!C959</f>
        <v>2.0501688374336743E-2</v>
      </c>
      <c r="I960" s="13"/>
      <c r="J960" s="1">
        <f t="shared" ca="1" si="93"/>
        <v>-6.5460222121660428E-4</v>
      </c>
      <c r="K960" s="9"/>
      <c r="L960" s="9">
        <f ca="1">L959-O960*Prices!C960</f>
        <v>1.2211322799811588</v>
      </c>
      <c r="M960" s="1">
        <f t="shared" ca="1" si="94"/>
        <v>7.6758794862002442E-3</v>
      </c>
      <c r="N960" s="9">
        <f ca="1">IF(Prices!D959&gt;OFFSET(Prices!D959,-$N$3,0),1,IF(Prices!D959&lt;OFFSET(Prices!D959,-$N$3,0),-1,0))</f>
        <v>-1</v>
      </c>
      <c r="O960" s="1">
        <f ca="1">IF(N960=1,O$3*L959/Prices!C959,O$3*M959*N960)</f>
        <v>-8.5287549846669382E-4</v>
      </c>
      <c r="P960" s="14"/>
      <c r="Q960" s="9">
        <f ca="1">Q959-T960*Prices!C960</f>
        <v>0.80526312275796852</v>
      </c>
      <c r="R960" s="1">
        <f t="shared" ca="1" si="95"/>
        <v>1.2355469584602433E-2</v>
      </c>
      <c r="S960" s="9">
        <f ca="1">IF(Prices!C959&lt;OFFSET(Prices!C959,-S$3,0),1,IF(Prices!C959&gt;OFFSET(Prices!C959,-S$3,0),-1,0))</f>
        <v>1</v>
      </c>
      <c r="T960" s="1">
        <f ca="1">IF(S960=1,T$3*Q959/Prices!C959,T$3*R959*S960)</f>
        <v>1.9827327725008951E-4</v>
      </c>
    </row>
    <row r="961" spans="1:20" x14ac:dyDescent="0.2">
      <c r="A961" s="4">
        <v>34851</v>
      </c>
      <c r="B961" s="9">
        <f ca="1">Prices!C960*(1+J961/(50*(ABS(O961)+ABS(T961)+0.0001)))</f>
        <v>83.696520405084371</v>
      </c>
      <c r="C961" s="13">
        <f t="shared" ca="1" si="90"/>
        <v>-1</v>
      </c>
      <c r="D961" s="9">
        <f ca="1">D960+C961*(Prices!C961-Prices!C960)/Prices!C960</f>
        <v>0.45419229984094617</v>
      </c>
      <c r="E961" s="9">
        <f t="shared" ca="1" si="91"/>
        <v>2.2747020447132726E-2</v>
      </c>
      <c r="F961" s="9">
        <f t="shared" ca="1" si="92"/>
        <v>0.47693932028807889</v>
      </c>
      <c r="G961" s="13">
        <f ca="1">IF((Prices!C961-Prices!C960)*C961&gt;0,1,0)</f>
        <v>0</v>
      </c>
      <c r="H961" s="9">
        <f>ABS(Prices!C961-Prices!C960)/Prices!C960</f>
        <v>2.2453320727960024E-3</v>
      </c>
      <c r="I961" s="13"/>
      <c r="J961" s="1">
        <f t="shared" ca="1" si="93"/>
        <v>-5.7726341003388202E-4</v>
      </c>
      <c r="K961" s="9"/>
      <c r="L961" s="9">
        <f ca="1">L960-O961*Prices!C961</f>
        <v>1.2862314139036231</v>
      </c>
      <c r="M961" s="1">
        <f t="shared" ca="1" si="94"/>
        <v>6.9082915375802195E-3</v>
      </c>
      <c r="N961" s="9">
        <f ca="1">IF(Prices!D960&gt;OFFSET(Prices!D960,-$N$3,0),1,IF(Prices!D960&lt;OFFSET(Prices!D960,-$N$3,0),-1,0))</f>
        <v>-1</v>
      </c>
      <c r="O961" s="1">
        <f ca="1">IF(N961=1,O$3*L960/Prices!C960,O$3*M960*N961)</f>
        <v>-7.6758794862002446E-4</v>
      </c>
      <c r="P961" s="14"/>
      <c r="Q961" s="9">
        <f ca="1">Q960-T961*Prices!C961</f>
        <v>0.78912169864047776</v>
      </c>
      <c r="R961" s="1">
        <f t="shared" ca="1" si="95"/>
        <v>1.2545794123188576E-2</v>
      </c>
      <c r="S961" s="9">
        <f ca="1">IF(Prices!C960&lt;OFFSET(Prices!C960,-S$3,0),1,IF(Prices!C960&gt;OFFSET(Prices!C960,-S$3,0),-1,0))</f>
        <v>1</v>
      </c>
      <c r="T961" s="1">
        <f ca="1">IF(S961=1,T$3*Q960/Prices!C960,T$3*R960*S961)</f>
        <v>1.9032453858614239E-4</v>
      </c>
    </row>
    <row r="962" spans="1:20" x14ac:dyDescent="0.2">
      <c r="A962" s="4">
        <v>34852</v>
      </c>
      <c r="B962" s="9">
        <f ca="1">Prices!C961*(1+J962/(50*(ABS(O962)+ABS(T962)+0.0001)))</f>
        <v>83.276622950052328</v>
      </c>
      <c r="C962" s="13">
        <f t="shared" ca="1" si="90"/>
        <v>-1</v>
      </c>
      <c r="D962" s="9">
        <f ca="1">D961+C962*(Prices!C962-Prices!C961)/Prices!C961</f>
        <v>0.45985200978081181</v>
      </c>
      <c r="E962" s="9">
        <f t="shared" ca="1" si="91"/>
        <v>1.7087310507267084E-2</v>
      </c>
      <c r="F962" s="9">
        <f t="shared" ca="1" si="92"/>
        <v>0.47693932028807889</v>
      </c>
      <c r="G962" s="13">
        <f ca="1">IF((Prices!C962-Prices!C961)*C962&gt;0,1,0)</f>
        <v>1</v>
      </c>
      <c r="H962" s="9">
        <f>ABS(Prices!C962-Prices!C961)/Prices!C961</f>
        <v>5.6597099398656286E-3</v>
      </c>
      <c r="I962" s="13"/>
      <c r="J962" s="1">
        <f t="shared" ca="1" si="93"/>
        <v>-9.4174503622179349E-4</v>
      </c>
      <c r="K962" s="9"/>
      <c r="L962" s="9">
        <f ca="1">L961-O962*Prices!C962</f>
        <v>1.344489036440037</v>
      </c>
      <c r="M962" s="1">
        <f t="shared" ca="1" si="94"/>
        <v>6.217462383822198E-3</v>
      </c>
      <c r="N962" s="9">
        <f ca="1">IF(Prices!D961&gt;OFFSET(Prices!D961,-$N$3,0),1,IF(Prices!D961&lt;OFFSET(Prices!D961,-$N$3,0),-1,0))</f>
        <v>-1</v>
      </c>
      <c r="O962" s="1">
        <f ca="1">IF(N962=1,O$3*L961/Prices!C961,O$3*M961*N962)</f>
        <v>-6.9082915375802195E-4</v>
      </c>
      <c r="P962" s="14"/>
      <c r="Q962" s="9">
        <f ca="1">Q961-T962*Prices!C962</f>
        <v>0.81028143500864758</v>
      </c>
      <c r="R962" s="1">
        <f t="shared" ca="1" si="95"/>
        <v>1.2294878240724805E-2</v>
      </c>
      <c r="S962" s="9">
        <f ca="1">IF(Prices!C961&lt;OFFSET(Prices!C961,-S$3,0),1,IF(Prices!C961&gt;OFFSET(Prices!C961,-S$3,0),-1,0))</f>
        <v>-1</v>
      </c>
      <c r="T962" s="1">
        <f ca="1">IF(S962=1,T$3*Q961/Prices!C961,T$3*R961*S962)</f>
        <v>-2.5091588246377154E-4</v>
      </c>
    </row>
    <row r="963" spans="1:20" x14ac:dyDescent="0.2">
      <c r="A963" s="4">
        <v>34855</v>
      </c>
      <c r="B963" s="9">
        <f ca="1">Prices!C962*(1+J963/(50*(ABS(O963)+ABS(T963)+0.0001)))</f>
        <v>82.817699674573234</v>
      </c>
      <c r="C963" s="13">
        <f t="shared" ca="1" si="90"/>
        <v>-1</v>
      </c>
      <c r="D963" s="9">
        <f ca="1">D962+C963*(Prices!C963-Prices!C962)/Prices!C962</f>
        <v>0.45451583048518746</v>
      </c>
      <c r="E963" s="9">
        <f t="shared" ca="1" si="91"/>
        <v>2.2423489802891439E-2</v>
      </c>
      <c r="F963" s="9">
        <f t="shared" ca="1" si="92"/>
        <v>0.47693932028807889</v>
      </c>
      <c r="G963" s="13">
        <f ca="1">IF((Prices!C963-Prices!C962)*C963&gt;0,1,0)</f>
        <v>0</v>
      </c>
      <c r="H963" s="9">
        <f>ABS(Prices!C963-Prices!C962)/Prices!C962</f>
        <v>5.3361792956243669E-3</v>
      </c>
      <c r="I963" s="13"/>
      <c r="J963" s="1">
        <f t="shared" ca="1" si="93"/>
        <v>-8.6764380319671592E-4</v>
      </c>
      <c r="K963" s="9"/>
      <c r="L963" s="9">
        <f ca="1">L962-O963*Prices!C963</f>
        <v>1.3972006825300816</v>
      </c>
      <c r="M963" s="1">
        <f t="shared" ca="1" si="94"/>
        <v>5.5957161454399783E-3</v>
      </c>
      <c r="N963" s="9">
        <f ca="1">IF(Prices!D962&gt;OFFSET(Prices!D962,-$N$3,0),1,IF(Prices!D962&lt;OFFSET(Prices!D962,-$N$3,0),-1,0))</f>
        <v>-1</v>
      </c>
      <c r="O963" s="1">
        <f ca="1">IF(N963=1,O$3*L962/Prices!C962,O$3*M962*N963)</f>
        <v>-6.2174623838221984E-4</v>
      </c>
      <c r="P963" s="14"/>
      <c r="Q963" s="9">
        <f ca="1">Q962-T963*Prices!C963</f>
        <v>0.83112863055362052</v>
      </c>
      <c r="R963" s="1">
        <f t="shared" ca="1" si="95"/>
        <v>1.2048980675910309E-2</v>
      </c>
      <c r="S963" s="9">
        <f ca="1">IF(Prices!C962&lt;OFFSET(Prices!C962,-S$3,0),1,IF(Prices!C962&gt;OFFSET(Prices!C962,-S$3,0),-1,0))</f>
        <v>-1</v>
      </c>
      <c r="T963" s="1">
        <f ca="1">IF(S963=1,T$3*Q962/Prices!C962,T$3*R962*S963)</f>
        <v>-2.4589756481449608E-4</v>
      </c>
    </row>
    <row r="964" spans="1:20" x14ac:dyDescent="0.2">
      <c r="A964" s="4">
        <v>34856</v>
      </c>
      <c r="B964" s="9">
        <f ca="1">Prices!C963*(1+J964/(50*(ABS(O964)+ABS(T964)+0.0001)))</f>
        <v>83.272684680222866</v>
      </c>
      <c r="C964" s="13">
        <f t="shared" ca="1" si="90"/>
        <v>-1</v>
      </c>
      <c r="D964" s="9">
        <f ca="1">D963+C964*(Prices!C964-Prices!C963)/Prices!C963</f>
        <v>0.45463378283243921</v>
      </c>
      <c r="E964" s="9">
        <f t="shared" ca="1" si="91"/>
        <v>2.2305537455639679E-2</v>
      </c>
      <c r="F964" s="9">
        <f t="shared" ca="1" si="92"/>
        <v>0.47693932028807889</v>
      </c>
      <c r="G964" s="13">
        <f ca="1">IF((Prices!C964-Prices!C963)*C964&gt;0,1,0)</f>
        <v>1</v>
      </c>
      <c r="H964" s="9">
        <f>ABS(Prices!C964-Prices!C963)/Prices!C963</f>
        <v>1.1795234725177064E-4</v>
      </c>
      <c r="I964" s="13"/>
      <c r="J964" s="1">
        <f t="shared" ca="1" si="93"/>
        <v>-8.0055122806220404E-4</v>
      </c>
      <c r="K964" s="9"/>
      <c r="L964" s="9">
        <f ca="1">L963-O964*Prices!C964</f>
        <v>1.4446355682949763</v>
      </c>
      <c r="M964" s="1">
        <f t="shared" ca="1" si="94"/>
        <v>5.0361445308959802E-3</v>
      </c>
      <c r="N964" s="9">
        <f ca="1">IF(Prices!D963&gt;OFFSET(Prices!D963,-$N$3,0),1,IF(Prices!D963&lt;OFFSET(Prices!D963,-$N$3,0),-1,0))</f>
        <v>-1</v>
      </c>
      <c r="O964" s="1">
        <f ca="1">IF(N964=1,O$3*L963/Prices!C963,O$3*M963*N964)</f>
        <v>-5.5957161454399786E-4</v>
      </c>
      <c r="P964" s="14"/>
      <c r="Q964" s="9">
        <f ca="1">Q963-T964*Prices!C964</f>
        <v>0.85155647239155885</v>
      </c>
      <c r="R964" s="1">
        <f t="shared" ca="1" si="95"/>
        <v>1.1808001062392104E-2</v>
      </c>
      <c r="S964" s="9">
        <f ca="1">IF(Prices!C963&lt;OFFSET(Prices!C963,-S$3,0),1,IF(Prices!C963&gt;OFFSET(Prices!C963,-S$3,0),-1,0))</f>
        <v>-1</v>
      </c>
      <c r="T964" s="1">
        <f ca="1">IF(S964=1,T$3*Q963/Prices!C963,T$3*R963*S964)</f>
        <v>-2.4097961351820621E-4</v>
      </c>
    </row>
    <row r="965" spans="1:20" x14ac:dyDescent="0.2">
      <c r="A965" s="4">
        <v>34857</v>
      </c>
      <c r="B965" s="9">
        <f ca="1">Prices!C964*(1+J965/(50*(ABS(O965)+ABS(T965)+0.0001)))</f>
        <v>83.276487536691036</v>
      </c>
      <c r="C965" s="13">
        <f t="shared" ca="1" si="90"/>
        <v>-1</v>
      </c>
      <c r="D965" s="9">
        <f ca="1">D964+C965*(Prices!C965-Prices!C964)/Prices!C964</f>
        <v>0.45227445759945584</v>
      </c>
      <c r="E965" s="9">
        <f t="shared" ca="1" si="91"/>
        <v>2.4664862688623057E-2</v>
      </c>
      <c r="F965" s="9">
        <f t="shared" ca="1" si="92"/>
        <v>0.47693932028807889</v>
      </c>
      <c r="G965" s="13">
        <f ca="1">IF((Prices!C965-Prices!C964)*C965&gt;0,1,0)</f>
        <v>0</v>
      </c>
      <c r="H965" s="9">
        <f>ABS(Prices!C965-Prices!C964)/Prices!C964</f>
        <v>2.3593252329834006E-3</v>
      </c>
      <c r="I965" s="13"/>
      <c r="J965" s="1">
        <f t="shared" ca="1" si="93"/>
        <v>-7.397744743374401E-4</v>
      </c>
      <c r="K965" s="9"/>
      <c r="L965" s="9">
        <f ca="1">L964-O965*Prices!C965</f>
        <v>1.4874276883739994</v>
      </c>
      <c r="M965" s="1">
        <f t="shared" ca="1" si="94"/>
        <v>4.5325300778063819E-3</v>
      </c>
      <c r="N965" s="9">
        <f ca="1">IF(Prices!D964&gt;OFFSET(Prices!D964,-$N$3,0),1,IF(Prices!D964&lt;OFFSET(Prices!D964,-$N$3,0),-1,0))</f>
        <v>-1</v>
      </c>
      <c r="O965" s="1">
        <f ca="1">IF(N965=1,O$3*L964/Prices!C964,O$3*M964*N965)</f>
        <v>-5.0361445308959806E-4</v>
      </c>
      <c r="P965" s="14"/>
      <c r="Q965" s="9">
        <f ca="1">Q964-T965*Prices!C965</f>
        <v>0.87162298939698801</v>
      </c>
      <c r="R965" s="1">
        <f t="shared" ca="1" si="95"/>
        <v>1.1571841041144261E-2</v>
      </c>
      <c r="S965" s="9">
        <f ca="1">IF(Prices!C964&lt;OFFSET(Prices!C964,-S$3,0),1,IF(Prices!C964&gt;OFFSET(Prices!C964,-S$3,0),-1,0))</f>
        <v>-1</v>
      </c>
      <c r="T965" s="1">
        <f ca="1">IF(S965=1,T$3*Q964/Prices!C964,T$3*R964*S965)</f>
        <v>-2.3616002124784207E-4</v>
      </c>
    </row>
    <row r="966" spans="1:20" x14ac:dyDescent="0.2">
      <c r="A966" s="4">
        <v>34858</v>
      </c>
      <c r="B966" s="9">
        <f ca="1">Prices!C965*(1+J966/(50*(ABS(O966)+ABS(T966)+0.0001)))</f>
        <v>86.20995646430525</v>
      </c>
      <c r="C966" s="13">
        <f t="shared" ca="1" si="90"/>
        <v>1</v>
      </c>
      <c r="D966" s="9">
        <f ca="1">D965+C966*(Prices!C966-Prices!C965)/Prices!C965</f>
        <v>0.44733153656850372</v>
      </c>
      <c r="E966" s="9">
        <f t="shared" ca="1" si="91"/>
        <v>2.9607783719575176E-2</v>
      </c>
      <c r="F966" s="9">
        <f t="shared" ca="1" si="92"/>
        <v>0.47693932028807889</v>
      </c>
      <c r="G966" s="13">
        <f ca="1">IF((Prices!C966-Prices!C965)*C966&gt;0,1,0)</f>
        <v>0</v>
      </c>
      <c r="H966" s="9">
        <f>ABS(Prices!C966-Prices!C965)/Prices!C965</f>
        <v>4.9429210309521205E-3</v>
      </c>
      <c r="I966" s="13"/>
      <c r="J966" s="1">
        <f t="shared" ca="1" si="93"/>
        <v>1.5190959417686171E-3</v>
      </c>
      <c r="K966" s="9"/>
      <c r="L966" s="9">
        <f ca="1">L965-O966*Prices!C966</f>
        <v>1.339420143296888</v>
      </c>
      <c r="M966" s="1">
        <f t="shared" ca="1" si="94"/>
        <v>6.2830628403978839E-3</v>
      </c>
      <c r="N966" s="9">
        <f ca="1">IF(Prices!D965&gt;OFFSET(Prices!D965,-$N$3,0),1,IF(Prices!D965&lt;OFFSET(Prices!D965,-$N$3,0),-1,0))</f>
        <v>1</v>
      </c>
      <c r="O966" s="1">
        <f ca="1">IF(N966=1,O$3*L965/Prices!C965,O$3*M965*N966)</f>
        <v>1.7505327625915023E-3</v>
      </c>
      <c r="P966" s="14"/>
      <c r="Q966" s="9">
        <f ca="1">Q965-T966*Prices!C966</f>
        <v>0.89119097259756297</v>
      </c>
      <c r="R966" s="1">
        <f t="shared" ca="1" si="95"/>
        <v>1.1340404220321376E-2</v>
      </c>
      <c r="S966" s="9">
        <f ca="1">IF(Prices!C965&lt;OFFSET(Prices!C965,-S$3,0),1,IF(Prices!C965&gt;OFFSET(Prices!C965,-S$3,0),-1,0))</f>
        <v>-1</v>
      </c>
      <c r="T966" s="1">
        <f ca="1">IF(S966=1,T$3*Q965/Prices!C965,T$3*R965*S966)</f>
        <v>-2.3143682082288523E-4</v>
      </c>
    </row>
    <row r="967" spans="1:20" x14ac:dyDescent="0.2">
      <c r="A967" s="4">
        <v>34859</v>
      </c>
      <c r="B967" s="9">
        <f ca="1">Prices!C966*(1+J967/(50*(ABS(O967)+ABS(T967)+0.0001)))</f>
        <v>85.75111348852478</v>
      </c>
      <c r="C967" s="13">
        <f t="shared" ca="1" si="90"/>
        <v>1</v>
      </c>
      <c r="D967" s="9">
        <f ca="1">D966+C967*(Prices!C967-Prices!C966)/Prices!C966</f>
        <v>0.44484779913503247</v>
      </c>
      <c r="E967" s="9">
        <f t="shared" ca="1" si="91"/>
        <v>3.2091521153046421E-2</v>
      </c>
      <c r="F967" s="9">
        <f t="shared" ca="1" si="92"/>
        <v>0.47693932028807889</v>
      </c>
      <c r="G967" s="13">
        <f ca="1">IF((Prices!C967-Prices!C966)*C967&gt;0,1,0)</f>
        <v>0</v>
      </c>
      <c r="H967" s="9">
        <f>ABS(Prices!C967-Prices!C966)/Prices!C966</f>
        <v>2.4837374334712448E-3</v>
      </c>
      <c r="I967" s="13"/>
      <c r="J967" s="1">
        <f t="shared" ca="1" si="93"/>
        <v>1.3573671294278575E-3</v>
      </c>
      <c r="K967" s="9"/>
      <c r="L967" s="9">
        <f ca="1">L966-O967*Prices!C967</f>
        <v>1.2058108057621044</v>
      </c>
      <c r="M967" s="1">
        <f t="shared" ca="1" si="94"/>
        <v>7.8672380542321695E-3</v>
      </c>
      <c r="N967" s="9">
        <f ca="1">IF(Prices!D966&gt;OFFSET(Prices!D966,-$N$3,0),1,IF(Prices!D966&lt;OFFSET(Prices!D966,-$N$3,0),-1,0))</f>
        <v>1</v>
      </c>
      <c r="O967" s="1">
        <f ca="1">IF(N967=1,O$3*L966/Prices!C966,O$3*M966*N967)</f>
        <v>1.5841752138342851E-3</v>
      </c>
      <c r="P967" s="14"/>
      <c r="Q967" s="9">
        <f ca="1">Q966-T967*Prices!C967</f>
        <v>0.91031996643640112</v>
      </c>
      <c r="R967" s="1">
        <f t="shared" ca="1" si="95"/>
        <v>1.1113596135914948E-2</v>
      </c>
      <c r="S967" s="9">
        <f ca="1">IF(Prices!C966&lt;OFFSET(Prices!C966,-S$3,0),1,IF(Prices!C966&gt;OFFSET(Prices!C966,-S$3,0),-1,0))</f>
        <v>-1</v>
      </c>
      <c r="T967" s="1">
        <f ca="1">IF(S967=1,T$3*Q966/Prices!C966,T$3*R966*S967)</f>
        <v>-2.2680808440642751E-4</v>
      </c>
    </row>
    <row r="968" spans="1:20" x14ac:dyDescent="0.2">
      <c r="A968" s="4">
        <v>34862</v>
      </c>
      <c r="B968" s="9">
        <f ca="1">Prices!C967*(1+J968/(50*(ABS(O968)+ABS(T968)+0.0001)))</f>
        <v>85.930166878194782</v>
      </c>
      <c r="C968" s="13">
        <f t="shared" ca="1" si="90"/>
        <v>1</v>
      </c>
      <c r="D968" s="9">
        <f ca="1">D967+C968*(Prices!C968-Prices!C967)/Prices!C967</f>
        <v>0.44152790347461035</v>
      </c>
      <c r="E968" s="9">
        <f t="shared" ca="1" si="91"/>
        <v>3.5411416813468544E-2</v>
      </c>
      <c r="F968" s="9">
        <f t="shared" ca="1" si="92"/>
        <v>0.47693932028807889</v>
      </c>
      <c r="G968" s="13">
        <f ca="1">IF((Prices!C968-Prices!C967)*C968&gt;0,1,0)</f>
        <v>0</v>
      </c>
      <c r="H968" s="9">
        <f>ABS(Prices!C968-Prices!C967)/Prices!C967</f>
        <v>3.3198956604221144E-3</v>
      </c>
      <c r="I968" s="13"/>
      <c r="J968" s="1">
        <f t="shared" ca="1" si="93"/>
        <v>1.6455712580618741E-3</v>
      </c>
      <c r="K968" s="9"/>
      <c r="L968" s="9">
        <f ca="1">L967-O968*Prices!C968</f>
        <v>1.0856300417920279</v>
      </c>
      <c r="M968" s="1">
        <f t="shared" ca="1" si="94"/>
        <v>9.2969402189963437E-3</v>
      </c>
      <c r="N968" s="9">
        <f ca="1">IF(Prices!D967&gt;OFFSET(Prices!D967,-$N$3,0),1,IF(Prices!D967&lt;OFFSET(Prices!D967,-$N$3,0),-1,0))</f>
        <v>1</v>
      </c>
      <c r="O968" s="1">
        <f ca="1">IF(N968=1,O$3*L967/Prices!C967,O$3*M967*N968)</f>
        <v>1.429702164764174E-3</v>
      </c>
      <c r="P968" s="14"/>
      <c r="Q968" s="9">
        <f ca="1">Q967-T968*Prices!C968</f>
        <v>0.89217401045379641</v>
      </c>
      <c r="R968" s="1">
        <f t="shared" ca="1" si="95"/>
        <v>1.1329465229212647E-2</v>
      </c>
      <c r="S968" s="9">
        <f ca="1">IF(Prices!C967&lt;OFFSET(Prices!C967,-S$3,0),1,IF(Prices!C967&gt;OFFSET(Prices!C967,-S$3,0),-1,0))</f>
        <v>1</v>
      </c>
      <c r="T968" s="1">
        <f ca="1">IF(S968=1,T$3*Q967/Prices!C967,T$3*R967*S968)</f>
        <v>2.1586909329770004E-4</v>
      </c>
    </row>
    <row r="969" spans="1:20" x14ac:dyDescent="0.2">
      <c r="A969" s="4">
        <v>34863</v>
      </c>
      <c r="B969" s="9">
        <f ca="1">Prices!C968*(1+J969/(50*(ABS(O969)+ABS(T969)+0.0001)))</f>
        <v>85.636371672978768</v>
      </c>
      <c r="C969" s="13">
        <f t="shared" ca="1" si="90"/>
        <v>1</v>
      </c>
      <c r="D969" s="9">
        <f ca="1">D968+C969*(Prices!C969-Prices!C968)/Prices!C968</f>
        <v>0.44890358750982334</v>
      </c>
      <c r="E969" s="9">
        <f t="shared" ca="1" si="91"/>
        <v>2.8035732778255551E-2</v>
      </c>
      <c r="F969" s="9">
        <f t="shared" ca="1" si="92"/>
        <v>0.47693932028807889</v>
      </c>
      <c r="G969" s="13">
        <f ca="1">IF((Prices!C969-Prices!C968)*C969&gt;0,1,0)</f>
        <v>1</v>
      </c>
      <c r="H969" s="9">
        <f>ABS(Prices!C969-Prices!C968)/Prices!C968</f>
        <v>7.375684035212997E-3</v>
      </c>
      <c r="I969" s="13"/>
      <c r="J969" s="1">
        <f t="shared" ca="1" si="93"/>
        <v>1.5037649820161638E-3</v>
      </c>
      <c r="K969" s="9"/>
      <c r="L969" s="9">
        <f ca="1">L968-O969*Prices!C969</f>
        <v>0.97626631119608587</v>
      </c>
      <c r="M969" s="1">
        <f t="shared" ca="1" si="94"/>
        <v>1.0588434439543605E-2</v>
      </c>
      <c r="N969" s="9">
        <f ca="1">IF(Prices!D968&gt;OFFSET(Prices!D968,-$N$3,0),1,IF(Prices!D968&lt;OFFSET(Prices!D968,-$N$3,0),-1,0))</f>
        <v>1</v>
      </c>
      <c r="O969" s="1">
        <f ca="1">IF(N969=1,O$3*L968/Prices!C968,O$3*M968*N969)</f>
        <v>1.2914942205472615E-3</v>
      </c>
      <c r="P969" s="14"/>
      <c r="Q969" s="9">
        <f ca="1">Q968-T969*Prices!C969</f>
        <v>0.87419892237260977</v>
      </c>
      <c r="R969" s="1">
        <f t="shared" ca="1" si="95"/>
        <v>1.154173599068155E-2</v>
      </c>
      <c r="S969" s="9">
        <f ca="1">IF(Prices!C968&lt;OFFSET(Prices!C968,-S$3,0),1,IF(Prices!C968&gt;OFFSET(Prices!C968,-S$3,0),-1,0))</f>
        <v>1</v>
      </c>
      <c r="T969" s="1">
        <f ca="1">IF(S969=1,T$3*Q968/Prices!C968,T$3*R968*S969)</f>
        <v>2.1227076146890231E-4</v>
      </c>
    </row>
    <row r="970" spans="1:20" x14ac:dyDescent="0.2">
      <c r="A970" s="4">
        <v>34864</v>
      </c>
      <c r="B970" s="9">
        <f ca="1">Prices!C969*(1+J970/(50*(ABS(O970)+ABS(T970)+0.0001)))</f>
        <v>83.622677624756619</v>
      </c>
      <c r="C970" s="13">
        <f t="shared" ca="1" si="90"/>
        <v>-1</v>
      </c>
      <c r="D970" s="9">
        <f ca="1">D969+C970*(Prices!C970-Prices!C969)/Prices!C969</f>
        <v>0.45291870323962974</v>
      </c>
      <c r="E970" s="9">
        <f t="shared" ca="1" si="91"/>
        <v>2.4020617048449155E-2</v>
      </c>
      <c r="F970" s="9">
        <f t="shared" ca="1" si="92"/>
        <v>0.47693932028807889</v>
      </c>
      <c r="G970" s="13">
        <f ca="1">IF((Prices!C970-Prices!C969)*C970&gt;0,1,0)</f>
        <v>1</v>
      </c>
      <c r="H970" s="9">
        <f>ABS(Prices!C970-Prices!C969)/Prices!C969</f>
        <v>4.0151157298063695E-3</v>
      </c>
      <c r="I970" s="13"/>
      <c r="J970" s="1">
        <f t="shared" ca="1" si="93"/>
        <v>-8.5237227664859542E-4</v>
      </c>
      <c r="K970" s="9"/>
      <c r="L970" s="9">
        <f ca="1">L969-O970*Prices!C970</f>
        <v>1.0655691672591967</v>
      </c>
      <c r="M970" s="1">
        <f t="shared" ca="1" si="94"/>
        <v>9.529590995589244E-3</v>
      </c>
      <c r="N970" s="9">
        <f ca="1">IF(Prices!D969&gt;OFFSET(Prices!D969,-$N$3,0),1,IF(Prices!D969&lt;OFFSET(Prices!D969,-$N$3,0),-1,0))</f>
        <v>-1</v>
      </c>
      <c r="O970" s="1">
        <f ca="1">IF(N970=1,O$3*L969/Prices!C969,O$3*M969*N970)</f>
        <v>-1.0588434439543605E-3</v>
      </c>
      <c r="P970" s="14"/>
      <c r="Q970" s="9">
        <f ca="1">Q969-T970*Prices!C970</f>
        <v>0.85678514412204154</v>
      </c>
      <c r="R970" s="1">
        <f t="shared" ca="1" si="95"/>
        <v>1.1748207157987314E-2</v>
      </c>
      <c r="S970" s="9">
        <f ca="1">IF(Prices!C969&lt;OFFSET(Prices!C969,-S$3,0),1,IF(Prices!C969&gt;OFFSET(Prices!C969,-S$3,0),-1,0))</f>
        <v>1</v>
      </c>
      <c r="T970" s="1">
        <f ca="1">IF(S970=1,T$3*Q969/Prices!C969,T$3*R969*S970)</f>
        <v>2.0647116730576514E-4</v>
      </c>
    </row>
    <row r="971" spans="1:20" x14ac:dyDescent="0.2">
      <c r="A971" s="4">
        <v>34865</v>
      </c>
      <c r="B971" s="9">
        <f ca="1">Prices!C970*(1+J971/(50*(ABS(O971)+ABS(T971)+0.0001)))</f>
        <v>83.333150280220408</v>
      </c>
      <c r="C971" s="13">
        <f t="shared" ca="1" si="90"/>
        <v>-1</v>
      </c>
      <c r="D971" s="9">
        <f ca="1">D970+C971*(Prices!C971-Prices!C970)/Prices!C970</f>
        <v>0.45007307838783944</v>
      </c>
      <c r="E971" s="9">
        <f t="shared" ca="1" si="91"/>
        <v>2.6866241900239451E-2</v>
      </c>
      <c r="F971" s="9">
        <f t="shared" ca="1" si="92"/>
        <v>0.47693932028807889</v>
      </c>
      <c r="G971" s="13">
        <f ca="1">IF((Prices!C971-Prices!C970)*C971&gt;0,1,0)</f>
        <v>0</v>
      </c>
      <c r="H971" s="9">
        <f>ABS(Prices!C971-Prices!C970)/Prices!C970</f>
        <v>2.8456248517903116E-3</v>
      </c>
      <c r="I971" s="13"/>
      <c r="J971" s="1">
        <f t="shared" ca="1" si="93"/>
        <v>-7.4978500799571801E-4</v>
      </c>
      <c r="K971" s="9"/>
      <c r="L971" s="9">
        <f ca="1">L970-O971*Prices!C971</f>
        <v>1.1461704478998906</v>
      </c>
      <c r="M971" s="1">
        <f t="shared" ca="1" si="94"/>
        <v>8.5766318960303189E-3</v>
      </c>
      <c r="N971" s="9">
        <f ca="1">IF(Prices!D970&gt;OFFSET(Prices!D970,-$N$3,0),1,IF(Prices!D970&lt;OFFSET(Prices!D970,-$N$3,0),-1,0))</f>
        <v>-1</v>
      </c>
      <c r="O971" s="1">
        <f ca="1">IF(N971=1,O$3*L970/Prices!C970,O$3*M970*N971)</f>
        <v>-9.5295909955892444E-4</v>
      </c>
      <c r="P971" s="14"/>
      <c r="Q971" s="9">
        <f ca="1">Q970-T971*Prices!C971</f>
        <v>0.83960067945762551</v>
      </c>
      <c r="R971" s="1">
        <f t="shared" ca="1" si="95"/>
        <v>1.1951381249550521E-2</v>
      </c>
      <c r="S971" s="9">
        <f ca="1">IF(Prices!C970&lt;OFFSET(Prices!C970,-S$3,0),1,IF(Prices!C970&gt;OFFSET(Prices!C970,-S$3,0),-1,0))</f>
        <v>1</v>
      </c>
      <c r="T971" s="1">
        <f ca="1">IF(S971=1,T$3*Q970/Prices!C970,T$3*R970*S971)</f>
        <v>2.0317409156320643E-4</v>
      </c>
    </row>
    <row r="972" spans="1:20" x14ac:dyDescent="0.2">
      <c r="A972" s="4">
        <v>34866</v>
      </c>
      <c r="B972" s="9">
        <f ca="1">Prices!C971*(1+J972/(50*(ABS(O972)+ABS(T972)+0.0001)))</f>
        <v>85.694418026496635</v>
      </c>
      <c r="C972" s="13">
        <f t="shared" ca="1" si="90"/>
        <v>1</v>
      </c>
      <c r="D972" s="9">
        <f ca="1">D971+C972*(Prices!C972-Prices!C971)/Prices!C971</f>
        <v>0.45149185351198234</v>
      </c>
      <c r="E972" s="9">
        <f t="shared" ca="1" si="91"/>
        <v>2.544746677609655E-2</v>
      </c>
      <c r="F972" s="9">
        <f t="shared" ca="1" si="92"/>
        <v>0.47693932028807889</v>
      </c>
      <c r="G972" s="13">
        <f ca="1">IF((Prices!C972-Prices!C971)*C972&gt;0,1,0)</f>
        <v>1</v>
      </c>
      <c r="H972" s="9">
        <f>ABS(Prices!C972-Prices!C971)/Prices!C971</f>
        <v>1.4187751241428771E-3</v>
      </c>
      <c r="I972" s="13"/>
      <c r="J972" s="1">
        <f t="shared" ca="1" si="93"/>
        <v>1.1161041412656586E-3</v>
      </c>
      <c r="K972" s="9"/>
      <c r="L972" s="9">
        <f ca="1">L971-O972*Prices!C972</f>
        <v>1.0313907872979509</v>
      </c>
      <c r="M972" s="1">
        <f t="shared" ca="1" si="94"/>
        <v>9.9317636622869888E-3</v>
      </c>
      <c r="N972" s="9">
        <f ca="1">IF(Prices!D971&gt;OFFSET(Prices!D971,-$N$3,0),1,IF(Prices!D971&lt;OFFSET(Prices!D971,-$N$3,0),-1,0))</f>
        <v>1</v>
      </c>
      <c r="O972" s="1">
        <f ca="1">IF(N972=1,O$3*L971/Prices!C971,O$3*M971*N972)</f>
        <v>1.3551317662566691E-3</v>
      </c>
      <c r="P972" s="14"/>
      <c r="Q972" s="9">
        <f ca="1">Q971-T972*Prices!C972</f>
        <v>0.85984631929436406</v>
      </c>
      <c r="R972" s="1">
        <f t="shared" ca="1" si="95"/>
        <v>1.1712353624559512E-2</v>
      </c>
      <c r="S972" s="9">
        <f ca="1">IF(Prices!C971&lt;OFFSET(Prices!C971,-S$3,0),1,IF(Prices!C971&gt;OFFSET(Prices!C971,-S$3,0),-1,0))</f>
        <v>-1</v>
      </c>
      <c r="T972" s="1">
        <f ca="1">IF(S972=1,T$3*Q971/Prices!C971,T$3*R971*S972)</f>
        <v>-2.3902762499101044E-4</v>
      </c>
    </row>
    <row r="973" spans="1:20" x14ac:dyDescent="0.2">
      <c r="A973" s="4">
        <v>34869</v>
      </c>
      <c r="B973" s="9">
        <f ca="1">Prices!C972*(1+J973/(50*(ABS(O973)+ABS(T973)+0.0001)))</f>
        <v>85.773469884083511</v>
      </c>
      <c r="C973" s="13">
        <f t="shared" ca="1" si="90"/>
        <v>1</v>
      </c>
      <c r="D973" s="9">
        <f ca="1">D972+C973*(Prices!C973-Prices!C972)/Prices!C972</f>
        <v>0.45054734347656322</v>
      </c>
      <c r="E973" s="9">
        <f t="shared" ca="1" si="91"/>
        <v>2.6391976811515672E-2</v>
      </c>
      <c r="F973" s="9">
        <f t="shared" ca="1" si="92"/>
        <v>0.47693932028807889</v>
      </c>
      <c r="G973" s="13">
        <f ca="1">IF((Prices!C973-Prices!C972)*C973&gt;0,1,0)</f>
        <v>0</v>
      </c>
      <c r="H973" s="9">
        <f>ABS(Prices!C973-Prices!C972)/Prices!C972</f>
        <v>9.445100354191062E-4</v>
      </c>
      <c r="I973" s="13"/>
      <c r="J973" s="1">
        <f t="shared" ca="1" si="93"/>
        <v>9.8345161381099507E-4</v>
      </c>
      <c r="K973" s="9"/>
      <c r="L973" s="9">
        <f ca="1">L972-O973*Prices!C973</f>
        <v>0.92834912446305995</v>
      </c>
      <c r="M973" s="1">
        <f t="shared" ca="1" si="94"/>
        <v>1.1149462348589174E-2</v>
      </c>
      <c r="N973" s="9">
        <f ca="1">IF(Prices!D972&gt;OFFSET(Prices!D972,-$N$3,0),1,IF(Prices!D972&lt;OFFSET(Prices!D972,-$N$3,0),-1,0))</f>
        <v>1</v>
      </c>
      <c r="O973" s="1">
        <f ca="1">IF(N973=1,O$3*L972/Prices!C972,O$3*M972*N973)</f>
        <v>1.2176986863021854E-3</v>
      </c>
      <c r="P973" s="14"/>
      <c r="Q973" s="9">
        <f ca="1">Q972-T973*Prices!C973</f>
        <v>0.87966830656856854</v>
      </c>
      <c r="R973" s="1">
        <f t="shared" ca="1" si="95"/>
        <v>1.1478106552068322E-2</v>
      </c>
      <c r="S973" s="9">
        <f ca="1">IF(Prices!C972&lt;OFFSET(Prices!C972,-S$3,0),1,IF(Prices!C972&gt;OFFSET(Prices!C972,-S$3,0),-1,0))</f>
        <v>-1</v>
      </c>
      <c r="T973" s="1">
        <f ca="1">IF(S973=1,T$3*Q972/Prices!C972,T$3*R972*S973)</f>
        <v>-2.3424707249119025E-4</v>
      </c>
    </row>
    <row r="974" spans="1:20" x14ac:dyDescent="0.2">
      <c r="A974" s="4">
        <v>34870</v>
      </c>
      <c r="B974" s="9">
        <f ca="1">Prices!C973*(1+J974/(50*(ABS(O974)+ABS(T974)+0.0001)))</f>
        <v>83.541136677040441</v>
      </c>
      <c r="C974" s="13">
        <f t="shared" ca="1" si="90"/>
        <v>-1</v>
      </c>
      <c r="D974" s="9">
        <f ca="1">D973+C974*(Prices!C974-Prices!C973)/Prices!C973</f>
        <v>0.45161092182683504</v>
      </c>
      <c r="E974" s="9">
        <f t="shared" ca="1" si="91"/>
        <v>2.5328398461243851E-2</v>
      </c>
      <c r="F974" s="9">
        <f t="shared" ca="1" si="92"/>
        <v>0.47693932028807889</v>
      </c>
      <c r="G974" s="13">
        <f ca="1">IF((Prices!C974-Prices!C973)*C974&gt;0,1,0)</f>
        <v>1</v>
      </c>
      <c r="H974" s="9">
        <f>ABS(Prices!C974-Prices!C973)/Prices!C973</f>
        <v>1.0635783502718436E-3</v>
      </c>
      <c r="I974" s="13"/>
      <c r="J974" s="1">
        <f t="shared" ca="1" si="93"/>
        <v>-9.0703597568411981E-4</v>
      </c>
      <c r="K974" s="9"/>
      <c r="L974" s="9">
        <f ca="1">L973-O974*Prices!C974</f>
        <v>1.0225955296956841</v>
      </c>
      <c r="M974" s="1">
        <f t="shared" ca="1" si="94"/>
        <v>1.0034516113730256E-2</v>
      </c>
      <c r="N974" s="9">
        <f ca="1">IF(Prices!D973&gt;OFFSET(Prices!D973,-$N$3,0),1,IF(Prices!D973&lt;OFFSET(Prices!D973,-$N$3,0),-1,0))</f>
        <v>-1</v>
      </c>
      <c r="O974" s="1">
        <f ca="1">IF(N974=1,O$3*L973/Prices!C973,O$3*M973*N974)</f>
        <v>-1.1149462348589174E-3</v>
      </c>
      <c r="P974" s="14"/>
      <c r="Q974" s="9">
        <f ca="1">Q973-T974*Prices!C974</f>
        <v>0.86209365236052293</v>
      </c>
      <c r="R974" s="1">
        <f t="shared" ca="1" si="95"/>
        <v>1.168601681124312E-2</v>
      </c>
      <c r="S974" s="9">
        <f ca="1">IF(Prices!C973&lt;OFFSET(Prices!C973,-S$3,0),1,IF(Prices!C973&gt;OFFSET(Prices!C973,-S$3,0),-1,0))</f>
        <v>1</v>
      </c>
      <c r="T974" s="1">
        <f ca="1">IF(S974=1,T$3*Q973/Prices!C973,T$3*R973*S974)</f>
        <v>2.0791025917479757E-4</v>
      </c>
    </row>
    <row r="975" spans="1:20" x14ac:dyDescent="0.2">
      <c r="A975" s="4">
        <v>34871</v>
      </c>
      <c r="B975" s="9">
        <f ca="1">Prices!C974*(1+J975/(50*(ABS(O975)+ABS(T975)+0.0001)))</f>
        <v>82.965831010090881</v>
      </c>
      <c r="C975" s="13">
        <f t="shared" ca="1" si="90"/>
        <v>-1</v>
      </c>
      <c r="D975" s="9">
        <f ca="1">D974+C975*(Prices!C975-Prices!C974)/Prices!C974</f>
        <v>0.45728937917925433</v>
      </c>
      <c r="E975" s="9">
        <f t="shared" ca="1" si="91"/>
        <v>1.9649941108824565E-2</v>
      </c>
      <c r="F975" s="9">
        <f t="shared" ca="1" si="92"/>
        <v>0.47693932028807889</v>
      </c>
      <c r="G975" s="13">
        <f ca="1">IF((Prices!C975-Prices!C974)*C975&gt;0,1,0)</f>
        <v>1</v>
      </c>
      <c r="H975" s="9">
        <f>ABS(Prices!C975-Prices!C974)/Prices!C974</f>
        <v>5.678457352419306E-3</v>
      </c>
      <c r="I975" s="13"/>
      <c r="J975" s="1">
        <f t="shared" ca="1" si="93"/>
        <v>-1.237171947597888E-3</v>
      </c>
      <c r="K975" s="9"/>
      <c r="L975" s="9">
        <f ca="1">L974-O975*Prices!C975</f>
        <v>1.1069356376315869</v>
      </c>
      <c r="M975" s="1">
        <f t="shared" ca="1" si="94"/>
        <v>9.0310645023572306E-3</v>
      </c>
      <c r="N975" s="9">
        <f ca="1">IF(Prices!D974&gt;OFFSET(Prices!D974,-$N$3,0),1,IF(Prices!D974&lt;OFFSET(Prices!D974,-$N$3,0),-1,0))</f>
        <v>-1</v>
      </c>
      <c r="O975" s="1">
        <f ca="1">IF(N975=1,O$3*L974/Prices!C974,O$3*M974*N975)</f>
        <v>-1.0034516113730256E-3</v>
      </c>
      <c r="P975" s="14"/>
      <c r="Q975" s="9">
        <f ca="1">Q974-T975*Prices!C975</f>
        <v>0.88173784662022259</v>
      </c>
      <c r="R975" s="1">
        <f t="shared" ca="1" si="95"/>
        <v>1.1452296475018258E-2</v>
      </c>
      <c r="S975" s="9">
        <f ca="1">IF(Prices!C974&lt;OFFSET(Prices!C974,-S$3,0),1,IF(Prices!C974&gt;OFFSET(Prices!C974,-S$3,0),-1,0))</f>
        <v>-1</v>
      </c>
      <c r="T975" s="1">
        <f ca="1">IF(S975=1,T$3*Q974/Prices!C974,T$3*R974*S975)</f>
        <v>-2.3372033622486241E-4</v>
      </c>
    </row>
    <row r="976" spans="1:20" x14ac:dyDescent="0.2">
      <c r="A976" s="4">
        <v>34872</v>
      </c>
      <c r="B976" s="9">
        <f ca="1">Prices!C975*(1+J976/(50*(ABS(O976)+ABS(T976)+0.0001)))</f>
        <v>85.627668895861476</v>
      </c>
      <c r="C976" s="13">
        <f t="shared" ca="1" si="90"/>
        <v>1</v>
      </c>
      <c r="D976" s="9">
        <f ca="1">D975+C976*(Prices!C976-Prices!C975)/Prices!C975</f>
        <v>0.4625243583583144</v>
      </c>
      <c r="E976" s="9">
        <f t="shared" ca="1" si="91"/>
        <v>1.4414961929764492E-2</v>
      </c>
      <c r="F976" s="9">
        <f t="shared" ca="1" si="92"/>
        <v>0.47693932028807889</v>
      </c>
      <c r="G976" s="13">
        <f ca="1">IF((Prices!C976-Prices!C975)*C976&gt;0,1,0)</f>
        <v>1</v>
      </c>
      <c r="H976" s="9">
        <f>ABS(Prices!C976-Prices!C975)/Prices!C975</f>
        <v>5.2349791790600566E-3</v>
      </c>
      <c r="I976" s="13"/>
      <c r="J976" s="1">
        <f t="shared" ca="1" si="93"/>
        <v>1.5268092884659508E-3</v>
      </c>
      <c r="K976" s="9"/>
      <c r="L976" s="9">
        <f ca="1">L975-O976*Prices!C976</f>
        <v>0.99566259536687207</v>
      </c>
      <c r="M976" s="1">
        <f t="shared" ca="1" si="94"/>
        <v>1.0348061096802903E-2</v>
      </c>
      <c r="N976" s="9">
        <f ca="1">IF(Prices!D975&gt;OFFSET(Prices!D975,-$N$3,0),1,IF(Prices!D975&lt;OFFSET(Prices!D975,-$N$3,0),-1,0))</f>
        <v>1</v>
      </c>
      <c r="O976" s="1">
        <f ca="1">IF(N976=1,O$3*L975/Prices!C975,O$3*M975*N976)</f>
        <v>1.3169965944456717E-3</v>
      </c>
      <c r="P976" s="14"/>
      <c r="Q976" s="9">
        <f ca="1">Q975-T976*Prices!C976</f>
        <v>0.86401077210244925</v>
      </c>
      <c r="R976" s="1">
        <f t="shared" ca="1" si="95"/>
        <v>1.1662109169038537E-2</v>
      </c>
      <c r="S976" s="9">
        <f ca="1">IF(Prices!C975&lt;OFFSET(Prices!C975,-S$3,0),1,IF(Prices!C975&gt;OFFSET(Prices!C975,-S$3,0),-1,0))</f>
        <v>1</v>
      </c>
      <c r="T976" s="1">
        <f ca="1">IF(S976=1,T$3*Q975/Prices!C975,T$3*R975*S976)</f>
        <v>2.0981269402027905E-4</v>
      </c>
    </row>
    <row r="977" spans="1:20" x14ac:dyDescent="0.2">
      <c r="A977" s="4">
        <v>34873</v>
      </c>
      <c r="B977" s="9">
        <f ca="1">Prices!C976*(1+J977/(50*(ABS(O977)+ABS(T977)+0.0001)))</f>
        <v>83.442452976400375</v>
      </c>
      <c r="C977" s="13">
        <f t="shared" ca="1" si="90"/>
        <v>-1</v>
      </c>
      <c r="D977" s="9">
        <f ca="1">D976+C977*(Prices!C977-Prices!C976)/Prices!C976</f>
        <v>0.46441807359088627</v>
      </c>
      <c r="E977" s="9">
        <f t="shared" ca="1" si="91"/>
        <v>1.2521246697192623E-2</v>
      </c>
      <c r="F977" s="9">
        <f t="shared" ca="1" si="92"/>
        <v>0.47693932028807889</v>
      </c>
      <c r="G977" s="13">
        <f ca="1">IF((Prices!C977-Prices!C976)*C977&gt;0,1,0)</f>
        <v>1</v>
      </c>
      <c r="H977" s="9">
        <f>ABS(Prices!C977-Prices!C976)/Prices!C976</f>
        <v>1.8937152325718618E-3</v>
      </c>
      <c r="I977" s="13"/>
      <c r="J977" s="1">
        <f t="shared" ca="1" si="93"/>
        <v>-8.3028231465071304E-4</v>
      </c>
      <c r="K977" s="9"/>
      <c r="L977" s="9">
        <f ca="1">L976-O977*Prices!C977</f>
        <v>1.082927794596211</v>
      </c>
      <c r="M977" s="1">
        <f t="shared" ca="1" si="94"/>
        <v>9.3132549871226128E-3</v>
      </c>
      <c r="N977" s="9">
        <f ca="1">IF(Prices!D976&gt;OFFSET(Prices!D976,-$N$3,0),1,IF(Prices!D976&lt;OFFSET(Prices!D976,-$N$3,0),-1,0))</f>
        <v>-1</v>
      </c>
      <c r="O977" s="1">
        <f ca="1">IF(N977=1,O$3*L976/Prices!C976,O$3*M976*N977)</f>
        <v>-1.0348061096802903E-3</v>
      </c>
      <c r="P977" s="14"/>
      <c r="Q977" s="9">
        <f ca="1">Q976-T977*Prices!C977</f>
        <v>0.84676328046760496</v>
      </c>
      <c r="R977" s="1">
        <f t="shared" ca="1" si="95"/>
        <v>1.1866632964068114E-2</v>
      </c>
      <c r="S977" s="9">
        <f ca="1">IF(Prices!C976&lt;OFFSET(Prices!C976,-S$3,0),1,IF(Prices!C976&gt;OFFSET(Prices!C976,-S$3,0),-1,0))</f>
        <v>1</v>
      </c>
      <c r="T977" s="1">
        <f ca="1">IF(S977=1,T$3*Q976/Prices!C976,T$3*R976*S977)</f>
        <v>2.0452379502957732E-4</v>
      </c>
    </row>
    <row r="978" spans="1:20" x14ac:dyDescent="0.2">
      <c r="A978" s="4">
        <v>34876</v>
      </c>
      <c r="B978" s="9">
        <f ca="1">Prices!C977*(1+J978/(50*(ABS(O978)+ABS(T978)+0.0001)))</f>
        <v>83.330063781822403</v>
      </c>
      <c r="C978" s="13">
        <f t="shared" ref="C978:C981" ca="1" si="96">IF(J978&gt;0,1,IF(J978&lt;0,-1,0))</f>
        <v>-1</v>
      </c>
      <c r="D978" s="9">
        <f ca="1">D977+C978*(Prices!C978-Prices!C977)/Prices!C977</f>
        <v>0.46489240063938614</v>
      </c>
      <c r="E978" s="9">
        <f t="shared" ref="E978:E981" ca="1" si="97">F978-D978</f>
        <v>1.2046919648692755E-2</v>
      </c>
      <c r="F978" s="9">
        <f t="shared" ref="F978:F981" ca="1" si="98">MAX(F977,D978)</f>
        <v>0.47693932028807889</v>
      </c>
      <c r="G978" s="13">
        <f ca="1">IF((Prices!C978-Prices!C977)*C978&gt;0,1,0)</f>
        <v>1</v>
      </c>
      <c r="H978" s="9">
        <f>ABS(Prices!C978-Prices!C977)/Prices!C977</f>
        <v>4.7432704849984637E-4</v>
      </c>
      <c r="I978" s="13"/>
      <c r="J978" s="1">
        <f t="shared" ref="J978:J983" ca="1" si="99">O978+T978</f>
        <v>-7.3050413491109812E-4</v>
      </c>
      <c r="K978" s="9"/>
      <c r="L978" s="9">
        <f ca="1">L977-O978*Prices!C978</f>
        <v>1.1614292208826675</v>
      </c>
      <c r="M978" s="1">
        <f t="shared" ref="M978:M982" ca="1" si="100">M977+O978</f>
        <v>8.3819294884103519E-3</v>
      </c>
      <c r="N978" s="9">
        <f ca="1">IF(Prices!D977&gt;OFFSET(Prices!D977,-$N$3,0),1,IF(Prices!D977&lt;OFFSET(Prices!D977,-$N$3,0),-1,0))</f>
        <v>-1</v>
      </c>
      <c r="O978" s="1">
        <f ca="1">IF(N978=1,O$3*L977/Prices!C977,O$3*M977*N978)</f>
        <v>-9.3132549871226137E-4</v>
      </c>
      <c r="P978" s="14"/>
      <c r="Q978" s="9">
        <f ca="1">Q977-T978*Prices!C978</f>
        <v>0.82983604771280495</v>
      </c>
      <c r="R978" s="1">
        <f t="shared" ref="R978:R982" ca="1" si="101">R977+T978</f>
        <v>1.2067454327869277E-2</v>
      </c>
      <c r="S978" s="9">
        <f ca="1">IF(Prices!C977&lt;OFFSET(Prices!C977,-S$3,0),1,IF(Prices!C977&gt;OFFSET(Prices!C977,-S$3,0),-1,0))</f>
        <v>1</v>
      </c>
      <c r="T978" s="1">
        <f ca="1">IF(S978=1,T$3*Q977/Prices!C977,T$3*R977*S978)</f>
        <v>2.0082136380116327E-4</v>
      </c>
    </row>
    <row r="979" spans="1:20" x14ac:dyDescent="0.2">
      <c r="A979" s="4">
        <v>34877</v>
      </c>
      <c r="B979" s="9">
        <f ca="1">Prices!C978*(1+J979/(50*(ABS(O979)+ABS(T979)+0.0001)))</f>
        <v>85.87514302764589</v>
      </c>
      <c r="C979" s="13">
        <f t="shared" ca="1" si="96"/>
        <v>1</v>
      </c>
      <c r="D979" s="9">
        <f ca="1">D978+C979*(Prices!C979-Prices!C978)/Prices!C978</f>
        <v>0.46406193439190713</v>
      </c>
      <c r="E979" s="9">
        <f t="shared" ca="1" si="97"/>
        <v>1.2877385896171767E-2</v>
      </c>
      <c r="F979" s="9">
        <f t="shared" ca="1" si="98"/>
        <v>0.47693932028807889</v>
      </c>
      <c r="G979" s="13">
        <f ca="1">IF((Prices!C979-Prices!C978)*C979&gt;0,1,0)</f>
        <v>0</v>
      </c>
      <c r="H979" s="9">
        <f>ABS(Prices!C979-Prices!C978)/Prices!C978</f>
        <v>8.3046624747902932E-4</v>
      </c>
      <c r="I979" s="13"/>
      <c r="J979" s="1">
        <f t="shared" ca="1" si="99"/>
        <v>1.5747970464174024E-3</v>
      </c>
      <c r="K979" s="9"/>
      <c r="L979" s="9">
        <f ca="1">L978-O979*Prices!C979</f>
        <v>1.0453827515710787</v>
      </c>
      <c r="M979" s="1">
        <f t="shared" ca="1" si="100"/>
        <v>9.75982629809438E-3</v>
      </c>
      <c r="N979" s="9">
        <f ca="1">IF(Prices!D978&gt;OFFSET(Prices!D978,-$N$3,0),1,IF(Prices!D978&lt;OFFSET(Prices!D978,-$N$3,0),-1,0))</f>
        <v>1</v>
      </c>
      <c r="O979" s="1">
        <f ca="1">IF(N979=1,O$3*L978/Prices!C978,O$3*M978*N979)</f>
        <v>1.3778968096840284E-3</v>
      </c>
      <c r="P979" s="14"/>
      <c r="Q979" s="9">
        <f ca="1">Q978-T979*Prices!C979</f>
        <v>0.81325310977512022</v>
      </c>
      <c r="R979" s="1">
        <f t="shared" ca="1" si="101"/>
        <v>1.2264354564602651E-2</v>
      </c>
      <c r="S979" s="9">
        <f ca="1">IF(Prices!C978&lt;OFFSET(Prices!C978,-S$3,0),1,IF(Prices!C978&gt;OFFSET(Prices!C978,-S$3,0),-1,0))</f>
        <v>1</v>
      </c>
      <c r="T979" s="1">
        <f ca="1">IF(S979=1,T$3*Q978/Prices!C978,T$3*R978*S979)</f>
        <v>1.9690023673337405E-4</v>
      </c>
    </row>
    <row r="980" spans="1:20" x14ac:dyDescent="0.2">
      <c r="A980" s="4">
        <v>34878</v>
      </c>
      <c r="B980" s="9">
        <f ca="1">Prices!C979*(1+J980/(50*(ABS(O980)+ABS(T980)+0.0001)))</f>
        <v>85.277398167850549</v>
      </c>
      <c r="C980" s="13">
        <f t="shared" ca="1" si="96"/>
        <v>1</v>
      </c>
      <c r="D980" s="9">
        <f ca="1">D979+C980*(Prices!C980-Prices!C979)/Prices!C979</f>
        <v>0.47997264443702709</v>
      </c>
      <c r="E980" s="9">
        <f t="shared" ca="1" si="97"/>
        <v>0</v>
      </c>
      <c r="F980" s="9">
        <f t="shared" ca="1" si="98"/>
        <v>0.47997264443702709</v>
      </c>
      <c r="G980" s="13">
        <f ca="1">IF((Prices!C980-Prices!C979)*C980&gt;0,1,0)</f>
        <v>1</v>
      </c>
      <c r="H980" s="9">
        <f>ABS(Prices!C980-Prices!C979)/Prices!C979</f>
        <v>1.5910710045119965E-2</v>
      </c>
      <c r="I980" s="13"/>
      <c r="J980" s="1">
        <f t="shared" ca="1" si="99"/>
        <v>9.959652853062358E-4</v>
      </c>
      <c r="K980" s="9"/>
      <c r="L980" s="9">
        <f ca="1">L979-O980*Prices!C980</f>
        <v>0.93918119822932911</v>
      </c>
      <c r="M980" s="1">
        <f t="shared" ca="1" si="100"/>
        <v>1.1001078674692669E-2</v>
      </c>
      <c r="N980" s="9">
        <f ca="1">IF(Prices!D979&gt;OFFSET(Prices!D979,-$N$3,0),1,IF(Prices!D979&lt;OFFSET(Prices!D979,-$N$3,0),-1,0))</f>
        <v>1</v>
      </c>
      <c r="O980" s="1">
        <f ca="1">IF(N980=1,O$3*L979/Prices!C979,O$3*M979*N980)</f>
        <v>1.2412523765982888E-3</v>
      </c>
      <c r="P980" s="14"/>
      <c r="Q980" s="9">
        <f ca="1">Q979-T980*Prices!C980</f>
        <v>0.8342398733060683</v>
      </c>
      <c r="R980" s="1">
        <f t="shared" ca="1" si="101"/>
        <v>1.2019067473310599E-2</v>
      </c>
      <c r="S980" s="9">
        <f ca="1">IF(Prices!C979&lt;OFFSET(Prices!C979,-S$3,0),1,IF(Prices!C979&gt;OFFSET(Prices!C979,-S$3,0),-1,0))</f>
        <v>-1</v>
      </c>
      <c r="T980" s="1">
        <f ca="1">IF(S980=1,T$3*Q979/Prices!C979,T$3*R979*S980)</f>
        <v>-2.4528709129205303E-4</v>
      </c>
    </row>
    <row r="981" spans="1:20" x14ac:dyDescent="0.2">
      <c r="A981" s="4">
        <v>34879</v>
      </c>
      <c r="B981" s="9">
        <f ca="1">Prices!C980*(1+J981/(50*(ABS(O981)+ABS(T981)+0.0001)))</f>
        <v>86.580133425583696</v>
      </c>
      <c r="C981" s="13">
        <f t="shared" ca="1" si="96"/>
        <v>1</v>
      </c>
      <c r="D981" s="9">
        <f ca="1">D980+C981*(Prices!C981-Prices!C980)/Prices!C980</f>
        <v>0.46559676785918691</v>
      </c>
      <c r="E981" s="9">
        <f t="shared" ca="1" si="97"/>
        <v>1.4375876577840174E-2</v>
      </c>
      <c r="F981" s="9">
        <f t="shared" ca="1" si="98"/>
        <v>0.47997264443702709</v>
      </c>
      <c r="G981" s="13">
        <f ca="1">IF((Prices!C981-Prices!C980)*C981&gt;0,1,0)</f>
        <v>0</v>
      </c>
      <c r="H981" s="9">
        <f>ABS(Prices!C981-Prices!C980)/Prices!C980</f>
        <v>1.4375876577840159E-2</v>
      </c>
      <c r="I981" s="13"/>
      <c r="J981" s="1">
        <f t="shared" ca="1" si="99"/>
        <v>8.5730588549092813E-4</v>
      </c>
      <c r="K981" s="9"/>
      <c r="L981" s="9">
        <f ca="1">L980-O981*Prices!C981</f>
        <v>0.84661323370539354</v>
      </c>
      <c r="M981" s="1">
        <f t="shared" ca="1" si="100"/>
        <v>1.209876590964981E-2</v>
      </c>
      <c r="N981" s="9">
        <f ca="1">IF(Prices!D980&gt;OFFSET(Prices!D980,-$N$3,0),1,IF(Prices!D980&lt;OFFSET(Prices!D980,-$N$3,0),-1,0))</f>
        <v>1</v>
      </c>
      <c r="O981" s="1">
        <f ca="1">IF(N981=1,O$3*L980/Prices!C980,O$3*M980*N981)</f>
        <v>1.0976872349571401E-3</v>
      </c>
      <c r="P981" s="14"/>
      <c r="Q981" s="9">
        <f ca="1">Q980-T981*Prices!C981</f>
        <v>0.85451123250655392</v>
      </c>
      <c r="R981" s="1">
        <f t="shared" ca="1" si="101"/>
        <v>1.1778686123844386E-2</v>
      </c>
      <c r="S981" s="9">
        <f ca="1">IF(Prices!C980&lt;OFFSET(Prices!C980,-S$3,0),1,IF(Prices!C980&gt;OFFSET(Prices!C980,-S$3,0),-1,0))</f>
        <v>-1</v>
      </c>
      <c r="T981" s="1">
        <f ca="1">IF(S981=1,T$3*Q980/Prices!C980,T$3*R980*S981)</f>
        <v>-2.4038134946621198E-4</v>
      </c>
    </row>
    <row r="982" spans="1:20" x14ac:dyDescent="0.2">
      <c r="A982" s="4">
        <v>34880</v>
      </c>
      <c r="B982" s="9">
        <f ca="1">Prices!C981*(1+J982/(50*(ABS(O982)+ABS(T982)+0.0001)))</f>
        <v>85.86381842014589</v>
      </c>
      <c r="C982" s="13">
        <f t="shared" ref="C982:C983" ca="1" si="102">IF(J982&gt;0,1,IF(J982&lt;0,-1,0))</f>
        <v>1</v>
      </c>
      <c r="D982" s="9">
        <f ca="1">D981+C982*(Prices!C982-Prices!C981)/Prices!C981</f>
        <v>0.46915422072293644</v>
      </c>
      <c r="E982" s="9">
        <f t="shared" ref="E982" ca="1" si="103">F982-D982</f>
        <v>1.0818423714090641E-2</v>
      </c>
      <c r="F982" s="9">
        <f t="shared" ref="F982" ca="1" si="104">MAX(F981,D982)</f>
        <v>0.47997264443702709</v>
      </c>
      <c r="G982" s="13">
        <f ca="1">IF((Prices!C982-Prices!C981)*C982&gt;0,1,0)</f>
        <v>1</v>
      </c>
      <c r="H982" s="9">
        <f>ABS(Prices!C982-Prices!C981)/Prices!C981</f>
        <v>3.5574528637495216E-3</v>
      </c>
      <c r="I982" s="13"/>
      <c r="J982" s="1">
        <f t="shared" ca="1" si="99"/>
        <v>1.0039288909111748E-3</v>
      </c>
      <c r="K982" s="9"/>
      <c r="L982" s="9">
        <f ca="1">L981-O982*Prices!C982</f>
        <v>0.76165073166758079</v>
      </c>
      <c r="M982" s="1">
        <f t="shared" ca="1" si="100"/>
        <v>1.3102694800560984E-2</v>
      </c>
      <c r="N982" s="9">
        <f ca="1">IF(Prices!D981&gt;OFFSET(Prices!D981,-$N$3,0),1,IF(Prices!D981&lt;OFFSET(Prices!D981,-$N$3,0),-1,0))</f>
        <v>1</v>
      </c>
      <c r="O982" s="1">
        <f ca="1">IF(N982=1,O$3*L981/Prices!C981,O$3*M981*N982)</f>
        <v>1.0039288909111748E-3</v>
      </c>
      <c r="P982" s="14"/>
      <c r="Q982" s="9">
        <f ca="1">Q981-T982*Prices!C982</f>
        <v>0.85451123250655392</v>
      </c>
      <c r="R982" s="1">
        <f t="shared" ca="1" si="101"/>
        <v>1.1778686123844386E-2</v>
      </c>
      <c r="S982" s="9">
        <f ca="1">IF(Prices!C981&lt;OFFSET(Prices!C981,-S$3,0),1,IF(Prices!C981&gt;OFFSET(Prices!C981,-S$3,0),-1,0))</f>
        <v>0</v>
      </c>
      <c r="T982" s="1">
        <f ca="1">IF(S982=1,T$3*Q981/Prices!C981,T$3*R981*S982)</f>
        <v>0</v>
      </c>
    </row>
    <row r="983" spans="1:20" x14ac:dyDescent="0.2">
      <c r="B983" s="9">
        <f ca="1">Prices!C982*(1+J983/(50*(ABS(O983)+ABS(T983)+0.0001)))</f>
        <v>85.540176449099874</v>
      </c>
      <c r="C983" s="13">
        <f t="shared" ca="1" si="102"/>
        <v>1</v>
      </c>
      <c r="J983" s="1">
        <f t="shared" ca="1" si="99"/>
        <v>6.6440350979013441E-4</v>
      </c>
      <c r="L983" s="9"/>
      <c r="M983" s="1"/>
      <c r="N983" s="9">
        <f ca="1">IF(Prices!D982&gt;OFFSET(Prices!D982,-$N$3,0),1,IF(Prices!D982&lt;OFFSET(Prices!D982,-$N$3,0),-1,0))</f>
        <v>1</v>
      </c>
      <c r="O983" s="1">
        <f ca="1">IF(N983=1,O$3*L982/Prices!C982,O$3*M982*N983)</f>
        <v>8.9997723226702218E-4</v>
      </c>
      <c r="Q983" s="9"/>
      <c r="R983" s="1"/>
      <c r="S983" s="9">
        <f ca="1">IF(Prices!C982&lt;OFFSET(Prices!C982,-S$3,0),1,IF(Prices!C982&gt;OFFSET(Prices!C982,-S$3,0),-1,0))</f>
        <v>-1</v>
      </c>
      <c r="T983" s="1">
        <f ca="1">IF(S983=1,T$3*Q982/Prices!C982,T$3*R982*S983)</f>
        <v>-2.3557372247688774E-4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982"/>
  <sheetViews>
    <sheetView zoomScale="110" zoomScaleNormal="110" workbookViewId="0">
      <pane ySplit="825" topLeftCell="A2" activePane="bottomLeft"/>
      <selection activeCell="D1" sqref="D1:F1"/>
      <selection pane="bottomLeft" activeCell="B4" sqref="B4"/>
    </sheetView>
  </sheetViews>
  <sheetFormatPr defaultColWidth="11.42578125" defaultRowHeight="11.25" x14ac:dyDescent="0.2"/>
  <cols>
    <col min="1" max="1" width="9.7109375" style="4" customWidth="1"/>
    <col min="2" max="4" width="9.140625" style="9" customWidth="1"/>
    <col min="5" max="207" width="11.42578125" style="10"/>
    <col min="208" max="208" width="9.7109375" style="10" customWidth="1"/>
    <col min="209" max="222" width="9.140625" style="10" customWidth="1"/>
    <col min="223" max="223" width="11.42578125" style="10"/>
    <col min="224" max="227" width="6.28515625" style="10" customWidth="1"/>
    <col min="228" max="463" width="11.42578125" style="10"/>
    <col min="464" max="464" width="9.7109375" style="10" customWidth="1"/>
    <col min="465" max="478" width="9.140625" style="10" customWidth="1"/>
    <col min="479" max="479" width="11.42578125" style="10"/>
    <col min="480" max="483" width="6.28515625" style="10" customWidth="1"/>
    <col min="484" max="719" width="11.42578125" style="10"/>
    <col min="720" max="720" width="9.7109375" style="10" customWidth="1"/>
    <col min="721" max="734" width="9.140625" style="10" customWidth="1"/>
    <col min="735" max="735" width="11.42578125" style="10"/>
    <col min="736" max="739" width="6.28515625" style="10" customWidth="1"/>
    <col min="740" max="975" width="11.42578125" style="10"/>
    <col min="976" max="976" width="9.7109375" style="10" customWidth="1"/>
    <col min="977" max="990" width="9.140625" style="10" customWidth="1"/>
    <col min="991" max="991" width="11.42578125" style="10"/>
    <col min="992" max="995" width="6.28515625" style="10" customWidth="1"/>
    <col min="996" max="1231" width="11.42578125" style="10"/>
    <col min="1232" max="1232" width="9.7109375" style="10" customWidth="1"/>
    <col min="1233" max="1246" width="9.140625" style="10" customWidth="1"/>
    <col min="1247" max="1247" width="11.42578125" style="10"/>
    <col min="1248" max="1251" width="6.28515625" style="10" customWidth="1"/>
    <col min="1252" max="1487" width="11.42578125" style="10"/>
    <col min="1488" max="1488" width="9.7109375" style="10" customWidth="1"/>
    <col min="1489" max="1502" width="9.140625" style="10" customWidth="1"/>
    <col min="1503" max="1503" width="11.42578125" style="10"/>
    <col min="1504" max="1507" width="6.28515625" style="10" customWidth="1"/>
    <col min="1508" max="1743" width="11.42578125" style="10"/>
    <col min="1744" max="1744" width="9.7109375" style="10" customWidth="1"/>
    <col min="1745" max="1758" width="9.140625" style="10" customWidth="1"/>
    <col min="1759" max="1759" width="11.42578125" style="10"/>
    <col min="1760" max="1763" width="6.28515625" style="10" customWidth="1"/>
    <col min="1764" max="1999" width="11.42578125" style="10"/>
    <col min="2000" max="2000" width="9.7109375" style="10" customWidth="1"/>
    <col min="2001" max="2014" width="9.140625" style="10" customWidth="1"/>
    <col min="2015" max="2015" width="11.42578125" style="10"/>
    <col min="2016" max="2019" width="6.28515625" style="10" customWidth="1"/>
    <col min="2020" max="2255" width="11.42578125" style="10"/>
    <col min="2256" max="2256" width="9.7109375" style="10" customWidth="1"/>
    <col min="2257" max="2270" width="9.140625" style="10" customWidth="1"/>
    <col min="2271" max="2271" width="11.42578125" style="10"/>
    <col min="2272" max="2275" width="6.28515625" style="10" customWidth="1"/>
    <col min="2276" max="2511" width="11.42578125" style="10"/>
    <col min="2512" max="2512" width="9.7109375" style="10" customWidth="1"/>
    <col min="2513" max="2526" width="9.140625" style="10" customWidth="1"/>
    <col min="2527" max="2527" width="11.42578125" style="10"/>
    <col min="2528" max="2531" width="6.28515625" style="10" customWidth="1"/>
    <col min="2532" max="2767" width="11.42578125" style="10"/>
    <col min="2768" max="2768" width="9.7109375" style="10" customWidth="1"/>
    <col min="2769" max="2782" width="9.140625" style="10" customWidth="1"/>
    <col min="2783" max="2783" width="11.42578125" style="10"/>
    <col min="2784" max="2787" width="6.28515625" style="10" customWidth="1"/>
    <col min="2788" max="3023" width="11.42578125" style="10"/>
    <col min="3024" max="3024" width="9.7109375" style="10" customWidth="1"/>
    <col min="3025" max="3038" width="9.140625" style="10" customWidth="1"/>
    <col min="3039" max="3039" width="11.42578125" style="10"/>
    <col min="3040" max="3043" width="6.28515625" style="10" customWidth="1"/>
    <col min="3044" max="3279" width="11.42578125" style="10"/>
    <col min="3280" max="3280" width="9.7109375" style="10" customWidth="1"/>
    <col min="3281" max="3294" width="9.140625" style="10" customWidth="1"/>
    <col min="3295" max="3295" width="11.42578125" style="10"/>
    <col min="3296" max="3299" width="6.28515625" style="10" customWidth="1"/>
    <col min="3300" max="3535" width="11.42578125" style="10"/>
    <col min="3536" max="3536" width="9.7109375" style="10" customWidth="1"/>
    <col min="3537" max="3550" width="9.140625" style="10" customWidth="1"/>
    <col min="3551" max="3551" width="11.42578125" style="10"/>
    <col min="3552" max="3555" width="6.28515625" style="10" customWidth="1"/>
    <col min="3556" max="3791" width="11.42578125" style="10"/>
    <col min="3792" max="3792" width="9.7109375" style="10" customWidth="1"/>
    <col min="3793" max="3806" width="9.140625" style="10" customWidth="1"/>
    <col min="3807" max="3807" width="11.42578125" style="10"/>
    <col min="3808" max="3811" width="6.28515625" style="10" customWidth="1"/>
    <col min="3812" max="4047" width="11.42578125" style="10"/>
    <col min="4048" max="4048" width="9.7109375" style="10" customWidth="1"/>
    <col min="4049" max="4062" width="9.140625" style="10" customWidth="1"/>
    <col min="4063" max="4063" width="11.42578125" style="10"/>
    <col min="4064" max="4067" width="6.28515625" style="10" customWidth="1"/>
    <col min="4068" max="4303" width="11.42578125" style="10"/>
    <col min="4304" max="4304" width="9.7109375" style="10" customWidth="1"/>
    <col min="4305" max="4318" width="9.140625" style="10" customWidth="1"/>
    <col min="4319" max="4319" width="11.42578125" style="10"/>
    <col min="4320" max="4323" width="6.28515625" style="10" customWidth="1"/>
    <col min="4324" max="4559" width="11.42578125" style="10"/>
    <col min="4560" max="4560" width="9.7109375" style="10" customWidth="1"/>
    <col min="4561" max="4574" width="9.140625" style="10" customWidth="1"/>
    <col min="4575" max="4575" width="11.42578125" style="10"/>
    <col min="4576" max="4579" width="6.28515625" style="10" customWidth="1"/>
    <col min="4580" max="4815" width="11.42578125" style="10"/>
    <col min="4816" max="4816" width="9.7109375" style="10" customWidth="1"/>
    <col min="4817" max="4830" width="9.140625" style="10" customWidth="1"/>
    <col min="4831" max="4831" width="11.42578125" style="10"/>
    <col min="4832" max="4835" width="6.28515625" style="10" customWidth="1"/>
    <col min="4836" max="5071" width="11.42578125" style="10"/>
    <col min="5072" max="5072" width="9.7109375" style="10" customWidth="1"/>
    <col min="5073" max="5086" width="9.140625" style="10" customWidth="1"/>
    <col min="5087" max="5087" width="11.42578125" style="10"/>
    <col min="5088" max="5091" width="6.28515625" style="10" customWidth="1"/>
    <col min="5092" max="5327" width="11.42578125" style="10"/>
    <col min="5328" max="5328" width="9.7109375" style="10" customWidth="1"/>
    <col min="5329" max="5342" width="9.140625" style="10" customWidth="1"/>
    <col min="5343" max="5343" width="11.42578125" style="10"/>
    <col min="5344" max="5347" width="6.28515625" style="10" customWidth="1"/>
    <col min="5348" max="5583" width="11.42578125" style="10"/>
    <col min="5584" max="5584" width="9.7109375" style="10" customWidth="1"/>
    <col min="5585" max="5598" width="9.140625" style="10" customWidth="1"/>
    <col min="5599" max="5599" width="11.42578125" style="10"/>
    <col min="5600" max="5603" width="6.28515625" style="10" customWidth="1"/>
    <col min="5604" max="5839" width="11.42578125" style="10"/>
    <col min="5840" max="5840" width="9.7109375" style="10" customWidth="1"/>
    <col min="5841" max="5854" width="9.140625" style="10" customWidth="1"/>
    <col min="5855" max="5855" width="11.42578125" style="10"/>
    <col min="5856" max="5859" width="6.28515625" style="10" customWidth="1"/>
    <col min="5860" max="6095" width="11.42578125" style="10"/>
    <col min="6096" max="6096" width="9.7109375" style="10" customWidth="1"/>
    <col min="6097" max="6110" width="9.140625" style="10" customWidth="1"/>
    <col min="6111" max="6111" width="11.42578125" style="10"/>
    <col min="6112" max="6115" width="6.28515625" style="10" customWidth="1"/>
    <col min="6116" max="6351" width="11.42578125" style="10"/>
    <col min="6352" max="6352" width="9.7109375" style="10" customWidth="1"/>
    <col min="6353" max="6366" width="9.140625" style="10" customWidth="1"/>
    <col min="6367" max="6367" width="11.42578125" style="10"/>
    <col min="6368" max="6371" width="6.28515625" style="10" customWidth="1"/>
    <col min="6372" max="6607" width="11.42578125" style="10"/>
    <col min="6608" max="6608" width="9.7109375" style="10" customWidth="1"/>
    <col min="6609" max="6622" width="9.140625" style="10" customWidth="1"/>
    <col min="6623" max="6623" width="11.42578125" style="10"/>
    <col min="6624" max="6627" width="6.28515625" style="10" customWidth="1"/>
    <col min="6628" max="6863" width="11.42578125" style="10"/>
    <col min="6864" max="6864" width="9.7109375" style="10" customWidth="1"/>
    <col min="6865" max="6878" width="9.140625" style="10" customWidth="1"/>
    <col min="6879" max="6879" width="11.42578125" style="10"/>
    <col min="6880" max="6883" width="6.28515625" style="10" customWidth="1"/>
    <col min="6884" max="7119" width="11.42578125" style="10"/>
    <col min="7120" max="7120" width="9.7109375" style="10" customWidth="1"/>
    <col min="7121" max="7134" width="9.140625" style="10" customWidth="1"/>
    <col min="7135" max="7135" width="11.42578125" style="10"/>
    <col min="7136" max="7139" width="6.28515625" style="10" customWidth="1"/>
    <col min="7140" max="7375" width="11.42578125" style="10"/>
    <col min="7376" max="7376" width="9.7109375" style="10" customWidth="1"/>
    <col min="7377" max="7390" width="9.140625" style="10" customWidth="1"/>
    <col min="7391" max="7391" width="11.42578125" style="10"/>
    <col min="7392" max="7395" width="6.28515625" style="10" customWidth="1"/>
    <col min="7396" max="7631" width="11.42578125" style="10"/>
    <col min="7632" max="7632" width="9.7109375" style="10" customWidth="1"/>
    <col min="7633" max="7646" width="9.140625" style="10" customWidth="1"/>
    <col min="7647" max="7647" width="11.42578125" style="10"/>
    <col min="7648" max="7651" width="6.28515625" style="10" customWidth="1"/>
    <col min="7652" max="7887" width="11.42578125" style="10"/>
    <col min="7888" max="7888" width="9.7109375" style="10" customWidth="1"/>
    <col min="7889" max="7902" width="9.140625" style="10" customWidth="1"/>
    <col min="7903" max="7903" width="11.42578125" style="10"/>
    <col min="7904" max="7907" width="6.28515625" style="10" customWidth="1"/>
    <col min="7908" max="8143" width="11.42578125" style="10"/>
    <col min="8144" max="8144" width="9.7109375" style="10" customWidth="1"/>
    <col min="8145" max="8158" width="9.140625" style="10" customWidth="1"/>
    <col min="8159" max="8159" width="11.42578125" style="10"/>
    <col min="8160" max="8163" width="6.28515625" style="10" customWidth="1"/>
    <col min="8164" max="8399" width="11.42578125" style="10"/>
    <col min="8400" max="8400" width="9.7109375" style="10" customWidth="1"/>
    <col min="8401" max="8414" width="9.140625" style="10" customWidth="1"/>
    <col min="8415" max="8415" width="11.42578125" style="10"/>
    <col min="8416" max="8419" width="6.28515625" style="10" customWidth="1"/>
    <col min="8420" max="8655" width="11.42578125" style="10"/>
    <col min="8656" max="8656" width="9.7109375" style="10" customWidth="1"/>
    <col min="8657" max="8670" width="9.140625" style="10" customWidth="1"/>
    <col min="8671" max="8671" width="11.42578125" style="10"/>
    <col min="8672" max="8675" width="6.28515625" style="10" customWidth="1"/>
    <col min="8676" max="8911" width="11.42578125" style="10"/>
    <col min="8912" max="8912" width="9.7109375" style="10" customWidth="1"/>
    <col min="8913" max="8926" width="9.140625" style="10" customWidth="1"/>
    <col min="8927" max="8927" width="11.42578125" style="10"/>
    <col min="8928" max="8931" width="6.28515625" style="10" customWidth="1"/>
    <col min="8932" max="9167" width="11.42578125" style="10"/>
    <col min="9168" max="9168" width="9.7109375" style="10" customWidth="1"/>
    <col min="9169" max="9182" width="9.140625" style="10" customWidth="1"/>
    <col min="9183" max="9183" width="11.42578125" style="10"/>
    <col min="9184" max="9187" width="6.28515625" style="10" customWidth="1"/>
    <col min="9188" max="9423" width="11.42578125" style="10"/>
    <col min="9424" max="9424" width="9.7109375" style="10" customWidth="1"/>
    <col min="9425" max="9438" width="9.140625" style="10" customWidth="1"/>
    <col min="9439" max="9439" width="11.42578125" style="10"/>
    <col min="9440" max="9443" width="6.28515625" style="10" customWidth="1"/>
    <col min="9444" max="9679" width="11.42578125" style="10"/>
    <col min="9680" max="9680" width="9.7109375" style="10" customWidth="1"/>
    <col min="9681" max="9694" width="9.140625" style="10" customWidth="1"/>
    <col min="9695" max="9695" width="11.42578125" style="10"/>
    <col min="9696" max="9699" width="6.28515625" style="10" customWidth="1"/>
    <col min="9700" max="9935" width="11.42578125" style="10"/>
    <col min="9936" max="9936" width="9.7109375" style="10" customWidth="1"/>
    <col min="9937" max="9950" width="9.140625" style="10" customWidth="1"/>
    <col min="9951" max="9951" width="11.42578125" style="10"/>
    <col min="9952" max="9955" width="6.28515625" style="10" customWidth="1"/>
    <col min="9956" max="10191" width="11.42578125" style="10"/>
    <col min="10192" max="10192" width="9.7109375" style="10" customWidth="1"/>
    <col min="10193" max="10206" width="9.140625" style="10" customWidth="1"/>
    <col min="10207" max="10207" width="11.42578125" style="10"/>
    <col min="10208" max="10211" width="6.28515625" style="10" customWidth="1"/>
    <col min="10212" max="10447" width="11.42578125" style="10"/>
    <col min="10448" max="10448" width="9.7109375" style="10" customWidth="1"/>
    <col min="10449" max="10462" width="9.140625" style="10" customWidth="1"/>
    <col min="10463" max="10463" width="11.42578125" style="10"/>
    <col min="10464" max="10467" width="6.28515625" style="10" customWidth="1"/>
    <col min="10468" max="10703" width="11.42578125" style="10"/>
    <col min="10704" max="10704" width="9.7109375" style="10" customWidth="1"/>
    <col min="10705" max="10718" width="9.140625" style="10" customWidth="1"/>
    <col min="10719" max="10719" width="11.42578125" style="10"/>
    <col min="10720" max="10723" width="6.28515625" style="10" customWidth="1"/>
    <col min="10724" max="10959" width="11.42578125" style="10"/>
    <col min="10960" max="10960" width="9.7109375" style="10" customWidth="1"/>
    <col min="10961" max="10974" width="9.140625" style="10" customWidth="1"/>
    <col min="10975" max="10975" width="11.42578125" style="10"/>
    <col min="10976" max="10979" width="6.28515625" style="10" customWidth="1"/>
    <col min="10980" max="11215" width="11.42578125" style="10"/>
    <col min="11216" max="11216" width="9.7109375" style="10" customWidth="1"/>
    <col min="11217" max="11230" width="9.140625" style="10" customWidth="1"/>
    <col min="11231" max="11231" width="11.42578125" style="10"/>
    <col min="11232" max="11235" width="6.28515625" style="10" customWidth="1"/>
    <col min="11236" max="11471" width="11.42578125" style="10"/>
    <col min="11472" max="11472" width="9.7109375" style="10" customWidth="1"/>
    <col min="11473" max="11486" width="9.140625" style="10" customWidth="1"/>
    <col min="11487" max="11487" width="11.42578125" style="10"/>
    <col min="11488" max="11491" width="6.28515625" style="10" customWidth="1"/>
    <col min="11492" max="11727" width="11.42578125" style="10"/>
    <col min="11728" max="11728" width="9.7109375" style="10" customWidth="1"/>
    <col min="11729" max="11742" width="9.140625" style="10" customWidth="1"/>
    <col min="11743" max="11743" width="11.42578125" style="10"/>
    <col min="11744" max="11747" width="6.28515625" style="10" customWidth="1"/>
    <col min="11748" max="11983" width="11.42578125" style="10"/>
    <col min="11984" max="11984" width="9.7109375" style="10" customWidth="1"/>
    <col min="11985" max="11998" width="9.140625" style="10" customWidth="1"/>
    <col min="11999" max="11999" width="11.42578125" style="10"/>
    <col min="12000" max="12003" width="6.28515625" style="10" customWidth="1"/>
    <col min="12004" max="12239" width="11.42578125" style="10"/>
    <col min="12240" max="12240" width="9.7109375" style="10" customWidth="1"/>
    <col min="12241" max="12254" width="9.140625" style="10" customWidth="1"/>
    <col min="12255" max="12255" width="11.42578125" style="10"/>
    <col min="12256" max="12259" width="6.28515625" style="10" customWidth="1"/>
    <col min="12260" max="12495" width="11.42578125" style="10"/>
    <col min="12496" max="12496" width="9.7109375" style="10" customWidth="1"/>
    <col min="12497" max="12510" width="9.140625" style="10" customWidth="1"/>
    <col min="12511" max="12511" width="11.42578125" style="10"/>
    <col min="12512" max="12515" width="6.28515625" style="10" customWidth="1"/>
    <col min="12516" max="12751" width="11.42578125" style="10"/>
    <col min="12752" max="12752" width="9.7109375" style="10" customWidth="1"/>
    <col min="12753" max="12766" width="9.140625" style="10" customWidth="1"/>
    <col min="12767" max="12767" width="11.42578125" style="10"/>
    <col min="12768" max="12771" width="6.28515625" style="10" customWidth="1"/>
    <col min="12772" max="13007" width="11.42578125" style="10"/>
    <col min="13008" max="13008" width="9.7109375" style="10" customWidth="1"/>
    <col min="13009" max="13022" width="9.140625" style="10" customWidth="1"/>
    <col min="13023" max="13023" width="11.42578125" style="10"/>
    <col min="13024" max="13027" width="6.28515625" style="10" customWidth="1"/>
    <col min="13028" max="13263" width="11.42578125" style="10"/>
    <col min="13264" max="13264" width="9.7109375" style="10" customWidth="1"/>
    <col min="13265" max="13278" width="9.140625" style="10" customWidth="1"/>
    <col min="13279" max="13279" width="11.42578125" style="10"/>
    <col min="13280" max="13283" width="6.28515625" style="10" customWidth="1"/>
    <col min="13284" max="13519" width="11.42578125" style="10"/>
    <col min="13520" max="13520" width="9.7109375" style="10" customWidth="1"/>
    <col min="13521" max="13534" width="9.140625" style="10" customWidth="1"/>
    <col min="13535" max="13535" width="11.42578125" style="10"/>
    <col min="13536" max="13539" width="6.28515625" style="10" customWidth="1"/>
    <col min="13540" max="13775" width="11.42578125" style="10"/>
    <col min="13776" max="13776" width="9.7109375" style="10" customWidth="1"/>
    <col min="13777" max="13790" width="9.140625" style="10" customWidth="1"/>
    <col min="13791" max="13791" width="11.42578125" style="10"/>
    <col min="13792" max="13795" width="6.28515625" style="10" customWidth="1"/>
    <col min="13796" max="14031" width="11.42578125" style="10"/>
    <col min="14032" max="14032" width="9.7109375" style="10" customWidth="1"/>
    <col min="14033" max="14046" width="9.140625" style="10" customWidth="1"/>
    <col min="14047" max="14047" width="11.42578125" style="10"/>
    <col min="14048" max="14051" width="6.28515625" style="10" customWidth="1"/>
    <col min="14052" max="14287" width="11.42578125" style="10"/>
    <col min="14288" max="14288" width="9.7109375" style="10" customWidth="1"/>
    <col min="14289" max="14302" width="9.140625" style="10" customWidth="1"/>
    <col min="14303" max="14303" width="11.42578125" style="10"/>
    <col min="14304" max="14307" width="6.28515625" style="10" customWidth="1"/>
    <col min="14308" max="14543" width="11.42578125" style="10"/>
    <col min="14544" max="14544" width="9.7109375" style="10" customWidth="1"/>
    <col min="14545" max="14558" width="9.140625" style="10" customWidth="1"/>
    <col min="14559" max="14559" width="11.42578125" style="10"/>
    <col min="14560" max="14563" width="6.28515625" style="10" customWidth="1"/>
    <col min="14564" max="14799" width="11.42578125" style="10"/>
    <col min="14800" max="14800" width="9.7109375" style="10" customWidth="1"/>
    <col min="14801" max="14814" width="9.140625" style="10" customWidth="1"/>
    <col min="14815" max="14815" width="11.42578125" style="10"/>
    <col min="14816" max="14819" width="6.28515625" style="10" customWidth="1"/>
    <col min="14820" max="15055" width="11.42578125" style="10"/>
    <col min="15056" max="15056" width="9.7109375" style="10" customWidth="1"/>
    <col min="15057" max="15070" width="9.140625" style="10" customWidth="1"/>
    <col min="15071" max="15071" width="11.42578125" style="10"/>
    <col min="15072" max="15075" width="6.28515625" style="10" customWidth="1"/>
    <col min="15076" max="15311" width="11.42578125" style="10"/>
    <col min="15312" max="15312" width="9.7109375" style="10" customWidth="1"/>
    <col min="15313" max="15326" width="9.140625" style="10" customWidth="1"/>
    <col min="15327" max="15327" width="11.42578125" style="10"/>
    <col min="15328" max="15331" width="6.28515625" style="10" customWidth="1"/>
    <col min="15332" max="15567" width="11.42578125" style="10"/>
    <col min="15568" max="15568" width="9.7109375" style="10" customWidth="1"/>
    <col min="15569" max="15582" width="9.140625" style="10" customWidth="1"/>
    <col min="15583" max="15583" width="11.42578125" style="10"/>
    <col min="15584" max="15587" width="6.28515625" style="10" customWidth="1"/>
    <col min="15588" max="15823" width="11.42578125" style="10"/>
    <col min="15824" max="15824" width="9.7109375" style="10" customWidth="1"/>
    <col min="15825" max="15838" width="9.140625" style="10" customWidth="1"/>
    <col min="15839" max="15839" width="11.42578125" style="10"/>
    <col min="15840" max="15843" width="6.28515625" style="10" customWidth="1"/>
    <col min="15844" max="16079" width="11.42578125" style="10"/>
    <col min="16080" max="16080" width="9.7109375" style="10" customWidth="1"/>
    <col min="16081" max="16094" width="9.140625" style="10" customWidth="1"/>
    <col min="16095" max="16095" width="11.42578125" style="10"/>
    <col min="16096" max="16099" width="6.28515625" style="10" customWidth="1"/>
    <col min="16100" max="16384" width="11.42578125" style="10"/>
  </cols>
  <sheetData>
    <row r="1" spans="1:9" s="3" customFormat="1" x14ac:dyDescent="0.25">
      <c r="A1" s="2" t="s">
        <v>0</v>
      </c>
      <c r="B1" s="2" t="s">
        <v>14</v>
      </c>
      <c r="C1" s="2" t="s">
        <v>19</v>
      </c>
      <c r="D1" s="26" t="s">
        <v>20</v>
      </c>
      <c r="E1" s="26"/>
      <c r="F1" s="26"/>
      <c r="G1" s="2" t="s">
        <v>13</v>
      </c>
      <c r="H1" s="2" t="s">
        <v>15</v>
      </c>
      <c r="I1" s="2" t="s">
        <v>16</v>
      </c>
    </row>
    <row r="2" spans="1:9" s="3" customFormat="1" x14ac:dyDescent="0.25">
      <c r="A2" s="4"/>
      <c r="B2" s="5" t="s">
        <v>21</v>
      </c>
      <c r="C2" s="5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</row>
    <row r="3" spans="1:9" s="8" customFormat="1" ht="12" x14ac:dyDescent="0.25">
      <c r="A3" s="4"/>
      <c r="B3" s="6"/>
      <c r="C3" s="6"/>
      <c r="D3" s="6"/>
    </row>
    <row r="4" spans="1:9" x14ac:dyDescent="0.2">
      <c r="A4" s="4">
        <v>33512</v>
      </c>
      <c r="B4" s="21">
        <v>1.2514000000000001</v>
      </c>
      <c r="C4" s="22">
        <v>133.19999999999999</v>
      </c>
      <c r="D4" s="22">
        <v>7.45</v>
      </c>
      <c r="E4" s="10">
        <v>8.34</v>
      </c>
      <c r="F4" s="22">
        <v>5.92</v>
      </c>
      <c r="G4" s="22">
        <v>389.20001200000002</v>
      </c>
      <c r="H4" s="22">
        <v>1609.3199460000001</v>
      </c>
      <c r="I4" s="18">
        <v>24377.009770000001</v>
      </c>
    </row>
    <row r="5" spans="1:9" x14ac:dyDescent="0.2">
      <c r="A5" s="4">
        <v>33513</v>
      </c>
      <c r="B5" s="21">
        <v>1.2558</v>
      </c>
      <c r="C5" s="22">
        <v>132.68</v>
      </c>
      <c r="D5" s="22">
        <v>7.47</v>
      </c>
      <c r="E5" s="10">
        <v>8.31</v>
      </c>
      <c r="F5" s="22">
        <v>5.9</v>
      </c>
      <c r="G5" s="22">
        <v>388.26001000000002</v>
      </c>
      <c r="H5" s="22">
        <v>1607.4799800000001</v>
      </c>
      <c r="I5" s="18">
        <v>24375.109380000002</v>
      </c>
    </row>
    <row r="6" spans="1:9" x14ac:dyDescent="0.2">
      <c r="A6" s="4">
        <v>33514</v>
      </c>
      <c r="B6" s="21">
        <v>1.2531000000000001</v>
      </c>
      <c r="C6" s="22">
        <v>130.77000000000001</v>
      </c>
      <c r="D6" s="22">
        <v>7.47</v>
      </c>
      <c r="E6" s="10">
        <v>8.31</v>
      </c>
      <c r="F6" s="22">
        <v>5.85</v>
      </c>
      <c r="G6" s="22">
        <v>384.47000100000002</v>
      </c>
      <c r="H6" s="22">
        <v>1607.4799800000001</v>
      </c>
      <c r="I6" s="18">
        <v>24711.439450000002</v>
      </c>
    </row>
    <row r="7" spans="1:9" x14ac:dyDescent="0.2">
      <c r="A7" s="4">
        <v>33515</v>
      </c>
      <c r="B7" s="21">
        <v>1.2458</v>
      </c>
      <c r="C7" s="22">
        <v>130.03</v>
      </c>
      <c r="D7" s="22">
        <v>7.39</v>
      </c>
      <c r="E7" s="10">
        <v>8.31</v>
      </c>
      <c r="F7" s="22">
        <v>5.89</v>
      </c>
      <c r="G7" s="22">
        <v>381.25</v>
      </c>
      <c r="H7" s="22">
        <v>1604.8900149999999</v>
      </c>
      <c r="I7" s="18">
        <v>24596.900389999999</v>
      </c>
    </row>
    <row r="8" spans="1:9" x14ac:dyDescent="0.2">
      <c r="A8" s="4">
        <v>33518</v>
      </c>
      <c r="B8" s="21">
        <v>1.2428999999999999</v>
      </c>
      <c r="C8" s="22">
        <v>129.30000000000001</v>
      </c>
      <c r="D8" s="22">
        <v>7.4</v>
      </c>
      <c r="E8" s="10">
        <v>8.25</v>
      </c>
      <c r="F8" s="22">
        <v>5.89</v>
      </c>
      <c r="G8" s="22">
        <v>379.5</v>
      </c>
      <c r="H8" s="22">
        <v>1589.119995</v>
      </c>
      <c r="I8" s="18">
        <v>24330.83008</v>
      </c>
    </row>
    <row r="9" spans="1:9" x14ac:dyDescent="0.2">
      <c r="A9" s="4">
        <v>33519</v>
      </c>
      <c r="B9" s="21">
        <v>1.2359</v>
      </c>
      <c r="C9" s="22">
        <v>130.1</v>
      </c>
      <c r="D9" s="22">
        <v>7.43</v>
      </c>
      <c r="E9" s="10">
        <v>8.2799999999999994</v>
      </c>
      <c r="F9" s="22">
        <v>5.91</v>
      </c>
      <c r="G9" s="22">
        <v>380.67001299999998</v>
      </c>
      <c r="H9" s="22">
        <v>1582.2700199999999</v>
      </c>
      <c r="I9" s="18">
        <v>24155.619139999999</v>
      </c>
    </row>
    <row r="10" spans="1:9" x14ac:dyDescent="0.2">
      <c r="A10" s="4">
        <v>33520</v>
      </c>
      <c r="B10" s="21">
        <v>1.2286999999999999</v>
      </c>
      <c r="C10" s="22">
        <v>130.25</v>
      </c>
      <c r="D10" s="22">
        <v>7.51</v>
      </c>
      <c r="E10" s="10">
        <v>8.2899999999999991</v>
      </c>
      <c r="F10" s="22">
        <v>5.95</v>
      </c>
      <c r="G10" s="22">
        <v>376.79998799999998</v>
      </c>
      <c r="H10" s="22">
        <v>1567.98999</v>
      </c>
      <c r="I10" s="18">
        <v>24485.259770000001</v>
      </c>
    </row>
    <row r="11" spans="1:9" x14ac:dyDescent="0.2">
      <c r="A11" s="4">
        <v>33521</v>
      </c>
      <c r="B11" s="21">
        <v>1.2343</v>
      </c>
      <c r="C11" s="22">
        <v>130.35</v>
      </c>
      <c r="D11" s="22">
        <v>7.58</v>
      </c>
      <c r="E11" s="10">
        <v>8.27</v>
      </c>
      <c r="F11" s="22">
        <v>5.95</v>
      </c>
      <c r="G11" s="22">
        <v>380.54998799999998</v>
      </c>
      <c r="H11" s="22">
        <v>1568.160034</v>
      </c>
      <c r="I11" s="18">
        <v>24485.259770000001</v>
      </c>
    </row>
    <row r="12" spans="1:9" x14ac:dyDescent="0.2">
      <c r="A12" s="4">
        <v>33522</v>
      </c>
      <c r="B12" s="21">
        <v>1.2335</v>
      </c>
      <c r="C12" s="22">
        <v>129.72999999999999</v>
      </c>
      <c r="D12" s="22">
        <v>7.49</v>
      </c>
      <c r="E12" s="10">
        <v>8.24</v>
      </c>
      <c r="F12" s="22">
        <v>5.97</v>
      </c>
      <c r="G12" s="22">
        <v>381.45001200000002</v>
      </c>
      <c r="H12" s="22">
        <v>1569.709961</v>
      </c>
      <c r="I12" s="18">
        <v>24157.720700000002</v>
      </c>
    </row>
    <row r="13" spans="1:9" x14ac:dyDescent="0.2">
      <c r="A13" s="4">
        <v>33525</v>
      </c>
      <c r="B13" s="21">
        <v>1.2321</v>
      </c>
      <c r="C13" s="22">
        <v>129.4</v>
      </c>
      <c r="D13" s="22">
        <v>7.49</v>
      </c>
      <c r="E13" s="10">
        <v>8.26</v>
      </c>
      <c r="F13" s="22">
        <v>5.97</v>
      </c>
      <c r="G13" s="22">
        <v>386.47000100000002</v>
      </c>
      <c r="H13" s="22">
        <v>1571.73999</v>
      </c>
      <c r="I13" s="18">
        <v>23860.66992</v>
      </c>
    </row>
    <row r="14" spans="1:9" x14ac:dyDescent="0.2">
      <c r="A14" s="4">
        <v>33526</v>
      </c>
      <c r="B14" s="21">
        <v>1.2210000000000001</v>
      </c>
      <c r="C14" s="22">
        <v>130.22</v>
      </c>
      <c r="D14" s="22">
        <v>7.46</v>
      </c>
      <c r="E14" s="10">
        <v>8.24</v>
      </c>
      <c r="F14" s="22">
        <v>5.97</v>
      </c>
      <c r="G14" s="22">
        <v>391.01001000000002</v>
      </c>
      <c r="H14" s="22">
        <v>1585.410034</v>
      </c>
      <c r="I14" s="18">
        <v>24307.650389999999</v>
      </c>
    </row>
    <row r="15" spans="1:9" x14ac:dyDescent="0.2">
      <c r="A15" s="4">
        <v>33527</v>
      </c>
      <c r="B15" s="21">
        <v>1.2246999999999999</v>
      </c>
      <c r="C15" s="22">
        <v>130.02000000000001</v>
      </c>
      <c r="D15" s="22">
        <v>7.45</v>
      </c>
      <c r="E15" s="10">
        <v>8.26</v>
      </c>
      <c r="F15" s="22">
        <v>5.91</v>
      </c>
      <c r="G15" s="22">
        <v>392.79998799999998</v>
      </c>
      <c r="H15" s="22">
        <v>1570.01001</v>
      </c>
      <c r="I15" s="18">
        <v>24334.66992</v>
      </c>
    </row>
    <row r="16" spans="1:9" x14ac:dyDescent="0.2">
      <c r="A16" s="4">
        <v>33528</v>
      </c>
      <c r="B16" s="21">
        <v>1.2270000000000001</v>
      </c>
      <c r="C16" s="22">
        <v>129.83000000000001</v>
      </c>
      <c r="D16" s="22">
        <v>7.55</v>
      </c>
      <c r="E16" s="10">
        <v>8.26</v>
      </c>
      <c r="F16" s="22">
        <v>5.91</v>
      </c>
      <c r="G16" s="22">
        <v>391.92001299999998</v>
      </c>
      <c r="H16" s="22">
        <v>1561.8900149999999</v>
      </c>
      <c r="I16" s="18">
        <v>24439.849610000001</v>
      </c>
    </row>
    <row r="17" spans="1:9" x14ac:dyDescent="0.2">
      <c r="A17" s="4">
        <v>33529</v>
      </c>
      <c r="B17" s="21">
        <v>1.2325999999999999</v>
      </c>
      <c r="C17" s="22">
        <v>129.77000000000001</v>
      </c>
      <c r="D17" s="22">
        <v>7.53</v>
      </c>
      <c r="E17" s="10">
        <v>8.26</v>
      </c>
      <c r="F17" s="22">
        <v>5.81</v>
      </c>
      <c r="G17" s="22">
        <v>392.5</v>
      </c>
      <c r="H17" s="22">
        <v>1565.1800539999999</v>
      </c>
      <c r="I17" s="18">
        <v>24894.820309999999</v>
      </c>
    </row>
    <row r="18" spans="1:9" x14ac:dyDescent="0.2">
      <c r="A18" s="4">
        <v>33532</v>
      </c>
      <c r="B18" s="21">
        <v>1.2355</v>
      </c>
      <c r="C18" s="22">
        <v>130.72999999999999</v>
      </c>
      <c r="D18" s="22">
        <v>7.62</v>
      </c>
      <c r="E18" s="10">
        <v>8.26</v>
      </c>
      <c r="F18" s="22">
        <v>5.79</v>
      </c>
      <c r="G18" s="22">
        <v>390.01998900000001</v>
      </c>
      <c r="H18" s="22">
        <v>1570.339966</v>
      </c>
      <c r="I18" s="18">
        <v>25016.810549999998</v>
      </c>
    </row>
    <row r="19" spans="1:9" x14ac:dyDescent="0.2">
      <c r="A19" s="4">
        <v>33533</v>
      </c>
      <c r="B19" s="21">
        <v>1.2299</v>
      </c>
      <c r="C19" s="22">
        <v>131.19999999999999</v>
      </c>
      <c r="D19" s="22">
        <v>7.67</v>
      </c>
      <c r="E19" s="10">
        <v>8.33</v>
      </c>
      <c r="F19" s="22">
        <v>5.84</v>
      </c>
      <c r="G19" s="22">
        <v>387.82998700000002</v>
      </c>
      <c r="H19" s="22">
        <v>1577</v>
      </c>
      <c r="I19" s="18">
        <v>24954.660159999999</v>
      </c>
    </row>
    <row r="20" spans="1:9" x14ac:dyDescent="0.2">
      <c r="A20" s="4">
        <v>33534</v>
      </c>
      <c r="B20" s="21">
        <v>1.2245999999999999</v>
      </c>
      <c r="C20" s="22">
        <v>131.55000000000001</v>
      </c>
      <c r="D20" s="22">
        <v>7.69</v>
      </c>
      <c r="E20" s="10">
        <v>8.33</v>
      </c>
      <c r="F20" s="22">
        <v>5.87</v>
      </c>
      <c r="G20" s="22">
        <v>387.94000199999999</v>
      </c>
      <c r="H20" s="22">
        <v>1590.290039</v>
      </c>
      <c r="I20" s="18">
        <v>24799.939450000002</v>
      </c>
    </row>
    <row r="21" spans="1:9" x14ac:dyDescent="0.2">
      <c r="A21" s="4">
        <v>33535</v>
      </c>
      <c r="B21" s="21">
        <v>1.2279</v>
      </c>
      <c r="C21" s="22">
        <v>131.18</v>
      </c>
      <c r="D21" s="22">
        <v>7.65</v>
      </c>
      <c r="E21" s="10">
        <v>8.34</v>
      </c>
      <c r="F21" s="22">
        <v>5.85</v>
      </c>
      <c r="G21" s="22">
        <v>385.07000699999998</v>
      </c>
      <c r="H21" s="22">
        <v>1572.719971</v>
      </c>
      <c r="I21" s="18">
        <v>24949.259770000001</v>
      </c>
    </row>
    <row r="22" spans="1:9" x14ac:dyDescent="0.2">
      <c r="A22" s="4">
        <v>33536</v>
      </c>
      <c r="B22" s="21">
        <v>1.2278</v>
      </c>
      <c r="C22" s="22">
        <v>131.4</v>
      </c>
      <c r="D22" s="22">
        <v>7.68</v>
      </c>
      <c r="E22" s="10">
        <v>8.36</v>
      </c>
      <c r="F22" s="22">
        <v>5.89</v>
      </c>
      <c r="G22" s="22">
        <v>384.20001200000002</v>
      </c>
      <c r="H22" s="22">
        <v>1572.0699460000001</v>
      </c>
      <c r="I22" s="18">
        <v>24906.429690000001</v>
      </c>
    </row>
    <row r="23" spans="1:9" x14ac:dyDescent="0.2">
      <c r="A23" s="4">
        <v>33539</v>
      </c>
      <c r="B23" s="21">
        <v>1.2222999999999999</v>
      </c>
      <c r="C23" s="22">
        <v>132.25</v>
      </c>
      <c r="D23" s="22">
        <v>7.65</v>
      </c>
      <c r="E23" s="10">
        <v>8.41</v>
      </c>
      <c r="F23" s="22">
        <v>5.89</v>
      </c>
      <c r="G23" s="22">
        <v>389.51998900000001</v>
      </c>
      <c r="H23" s="22">
        <v>1579.1899410000001</v>
      </c>
      <c r="I23" s="18">
        <v>24901.720700000002</v>
      </c>
    </row>
    <row r="24" spans="1:9" x14ac:dyDescent="0.2">
      <c r="A24" s="4">
        <v>33540</v>
      </c>
      <c r="B24" s="21">
        <v>1.2317</v>
      </c>
      <c r="C24" s="22">
        <v>130.75</v>
      </c>
      <c r="D24" s="22">
        <v>7.51</v>
      </c>
      <c r="E24" s="10">
        <v>8.39</v>
      </c>
      <c r="F24" s="22">
        <v>5.86</v>
      </c>
      <c r="G24" s="22">
        <v>391.48001099999999</v>
      </c>
      <c r="H24" s="22">
        <v>1588.7299800000001</v>
      </c>
      <c r="I24" s="18">
        <v>25140.609380000002</v>
      </c>
    </row>
    <row r="25" spans="1:9" x14ac:dyDescent="0.2">
      <c r="A25" s="4">
        <v>33541</v>
      </c>
      <c r="B25" s="21">
        <v>1.2421</v>
      </c>
      <c r="C25" s="22">
        <v>131.08000000000001</v>
      </c>
      <c r="D25" s="22">
        <v>7.48</v>
      </c>
      <c r="E25" s="10">
        <v>8.35</v>
      </c>
      <c r="F25" s="22">
        <v>5.92</v>
      </c>
      <c r="G25" s="22">
        <v>392.959991</v>
      </c>
      <c r="H25" s="22">
        <v>1586.01001</v>
      </c>
      <c r="I25" s="18">
        <v>24981.179690000001</v>
      </c>
    </row>
    <row r="26" spans="1:9" x14ac:dyDescent="0.2">
      <c r="A26" s="4">
        <v>33542</v>
      </c>
      <c r="B26" s="21">
        <v>1.2461</v>
      </c>
      <c r="C26" s="22">
        <v>130.6</v>
      </c>
      <c r="D26" s="22">
        <v>7.47</v>
      </c>
      <c r="E26" s="10">
        <v>8.39</v>
      </c>
      <c r="F26" s="22">
        <v>5.9</v>
      </c>
      <c r="G26" s="22">
        <v>392.45001200000002</v>
      </c>
      <c r="H26" s="22">
        <v>1579.7700199999999</v>
      </c>
      <c r="I26" s="18">
        <v>25222.279299999998</v>
      </c>
    </row>
    <row r="27" spans="1:9" x14ac:dyDescent="0.2">
      <c r="A27" s="4">
        <v>33543</v>
      </c>
      <c r="B27" s="21">
        <v>1.2553000000000001</v>
      </c>
      <c r="C27" s="22">
        <v>130.30000000000001</v>
      </c>
      <c r="D27" s="22">
        <v>7.48</v>
      </c>
      <c r="E27" s="10">
        <v>8.36</v>
      </c>
      <c r="F27" s="22">
        <v>5.87</v>
      </c>
      <c r="G27" s="22">
        <v>391.32000699999998</v>
      </c>
      <c r="H27" s="22">
        <v>1572.579956</v>
      </c>
      <c r="I27" s="18">
        <v>25044.240229999999</v>
      </c>
    </row>
    <row r="28" spans="1:9" x14ac:dyDescent="0.2">
      <c r="A28" s="4">
        <v>33546</v>
      </c>
      <c r="B28" s="21">
        <v>1.2749999999999999</v>
      </c>
      <c r="C28" s="22">
        <v>128.9</v>
      </c>
      <c r="D28" s="22">
        <v>7.5</v>
      </c>
      <c r="E28" s="10">
        <v>8.36</v>
      </c>
      <c r="F28" s="22">
        <v>5.87</v>
      </c>
      <c r="G28" s="22">
        <v>390.27999899999998</v>
      </c>
      <c r="H28" s="22">
        <v>1568.089966</v>
      </c>
      <c r="I28" s="18">
        <v>25044.240229999999</v>
      </c>
    </row>
    <row r="29" spans="1:9" x14ac:dyDescent="0.2">
      <c r="A29" s="4">
        <v>33547</v>
      </c>
      <c r="B29" s="21">
        <v>1.2694000000000001</v>
      </c>
      <c r="C29" s="22">
        <v>129.80000000000001</v>
      </c>
      <c r="D29" s="22">
        <v>7.56</v>
      </c>
      <c r="E29" s="10">
        <v>8.3800000000000008</v>
      </c>
      <c r="F29" s="22">
        <v>5.91</v>
      </c>
      <c r="G29" s="22">
        <v>388.709991</v>
      </c>
      <c r="H29" s="22">
        <v>1578.209961</v>
      </c>
      <c r="I29" s="18">
        <v>24950.859380000002</v>
      </c>
    </row>
    <row r="30" spans="1:9" x14ac:dyDescent="0.2">
      <c r="A30" s="4">
        <v>33548</v>
      </c>
      <c r="B30" s="21">
        <v>1.2713000000000001</v>
      </c>
      <c r="C30" s="22">
        <v>129.9</v>
      </c>
      <c r="D30" s="22">
        <v>7.51</v>
      </c>
      <c r="E30" s="10">
        <v>8.3800000000000008</v>
      </c>
      <c r="F30" s="22">
        <v>5.95</v>
      </c>
      <c r="G30" s="22">
        <v>389.97000100000002</v>
      </c>
      <c r="H30" s="22">
        <v>1573.9399410000001</v>
      </c>
      <c r="I30" s="18">
        <v>24750.199219999999</v>
      </c>
    </row>
    <row r="31" spans="1:9" x14ac:dyDescent="0.2">
      <c r="A31" s="4">
        <v>33549</v>
      </c>
      <c r="B31" s="21">
        <v>1.2746999999999999</v>
      </c>
      <c r="C31" s="22">
        <v>129.69999999999999</v>
      </c>
      <c r="D31" s="22">
        <v>7.43</v>
      </c>
      <c r="E31" s="10">
        <v>8.31</v>
      </c>
      <c r="F31" s="22">
        <v>5.92</v>
      </c>
      <c r="G31" s="22">
        <v>393.72000100000002</v>
      </c>
      <c r="H31" s="22">
        <v>1582.0600589999999</v>
      </c>
      <c r="I31" s="18">
        <v>24446.759770000001</v>
      </c>
    </row>
    <row r="32" spans="1:9" x14ac:dyDescent="0.2">
      <c r="A32" s="4">
        <v>33550</v>
      </c>
      <c r="B32" s="21">
        <v>1.27</v>
      </c>
      <c r="C32" s="22">
        <v>130.32</v>
      </c>
      <c r="D32" s="22">
        <v>7.41</v>
      </c>
      <c r="E32" s="10">
        <v>8.25</v>
      </c>
      <c r="F32" s="22">
        <v>5.91</v>
      </c>
      <c r="G32" s="22">
        <v>392.89001500000001</v>
      </c>
      <c r="H32" s="22">
        <v>1610.1800539999999</v>
      </c>
      <c r="I32" s="18">
        <v>24486.490229999999</v>
      </c>
    </row>
    <row r="33" spans="1:9" x14ac:dyDescent="0.2">
      <c r="A33" s="4">
        <v>33553</v>
      </c>
      <c r="B33" s="21">
        <v>1.2695000000000001</v>
      </c>
      <c r="C33" s="22">
        <v>129.91</v>
      </c>
      <c r="D33" s="22">
        <v>7.41</v>
      </c>
      <c r="E33" s="10">
        <v>8.24</v>
      </c>
      <c r="F33" s="22">
        <v>5.89</v>
      </c>
      <c r="G33" s="22">
        <v>393.11999500000002</v>
      </c>
      <c r="H33" s="22">
        <v>1605.160034</v>
      </c>
      <c r="I33" s="18">
        <v>24232.990229999999</v>
      </c>
    </row>
    <row r="34" spans="1:9" x14ac:dyDescent="0.2">
      <c r="A34" s="4">
        <v>33554</v>
      </c>
      <c r="B34" s="21">
        <v>1.2751999999999999</v>
      </c>
      <c r="C34" s="22">
        <v>129.65</v>
      </c>
      <c r="D34" s="22">
        <v>7.37</v>
      </c>
      <c r="E34" s="10">
        <v>8.2100000000000009</v>
      </c>
      <c r="F34" s="22">
        <v>5.84</v>
      </c>
      <c r="G34" s="22">
        <v>396.73998999999998</v>
      </c>
      <c r="H34" s="22">
        <v>1623.839966</v>
      </c>
      <c r="I34" s="18">
        <v>24667.730469999999</v>
      </c>
    </row>
    <row r="35" spans="1:9" x14ac:dyDescent="0.2">
      <c r="A35" s="4">
        <v>33555</v>
      </c>
      <c r="B35" s="21">
        <v>1.2741</v>
      </c>
      <c r="C35" s="22">
        <v>130.12</v>
      </c>
      <c r="D35" s="22">
        <v>7.41</v>
      </c>
      <c r="E35" s="10">
        <v>8.23</v>
      </c>
      <c r="F35" s="22">
        <v>5.84</v>
      </c>
      <c r="G35" s="22">
        <v>397.41000400000001</v>
      </c>
      <c r="H35" s="22">
        <v>1615.26001</v>
      </c>
      <c r="I35" s="18">
        <v>24416.230469999999</v>
      </c>
    </row>
    <row r="36" spans="1:9" x14ac:dyDescent="0.2">
      <c r="A36" s="4">
        <v>33556</v>
      </c>
      <c r="B36" s="21">
        <v>1.2783</v>
      </c>
      <c r="C36" s="22">
        <v>129.87</v>
      </c>
      <c r="D36" s="22">
        <v>7.35</v>
      </c>
      <c r="E36" s="10">
        <v>8.24</v>
      </c>
      <c r="F36" s="22">
        <v>5.85</v>
      </c>
      <c r="G36" s="22">
        <v>397.14999399999999</v>
      </c>
      <c r="H36" s="22">
        <v>1627.079956</v>
      </c>
      <c r="I36" s="18">
        <v>24176.539059999999</v>
      </c>
    </row>
    <row r="37" spans="1:9" x14ac:dyDescent="0.2">
      <c r="A37" s="4">
        <v>33557</v>
      </c>
      <c r="B37" s="21">
        <v>1.2706999999999999</v>
      </c>
      <c r="C37" s="22">
        <v>130.05000000000001</v>
      </c>
      <c r="D37" s="22">
        <v>7.33</v>
      </c>
      <c r="E37" s="10">
        <v>8.2100000000000009</v>
      </c>
      <c r="F37" s="22">
        <v>5.86</v>
      </c>
      <c r="G37" s="22">
        <v>382.61999500000002</v>
      </c>
      <c r="H37" s="22">
        <v>1626.969971</v>
      </c>
      <c r="I37" s="18">
        <v>24099.179690000001</v>
      </c>
    </row>
    <row r="38" spans="1:9" x14ac:dyDescent="0.2">
      <c r="A38" s="4">
        <v>33560</v>
      </c>
      <c r="B38" s="21">
        <v>1.296</v>
      </c>
      <c r="C38" s="22">
        <v>129.30000000000001</v>
      </c>
      <c r="D38" s="22">
        <v>7.33</v>
      </c>
      <c r="E38" s="10">
        <v>8.2100000000000009</v>
      </c>
      <c r="F38" s="22">
        <v>5.84</v>
      </c>
      <c r="G38" s="22">
        <v>385.23998999999998</v>
      </c>
      <c r="H38" s="22">
        <v>1605.6999510000001</v>
      </c>
      <c r="I38" s="18">
        <v>23400.119139999999</v>
      </c>
    </row>
    <row r="39" spans="1:9" x14ac:dyDescent="0.2">
      <c r="A39" s="4">
        <v>33561</v>
      </c>
      <c r="B39" s="21">
        <v>1.3002</v>
      </c>
      <c r="C39" s="22">
        <v>129.94999999999999</v>
      </c>
      <c r="D39" s="22">
        <v>7.37</v>
      </c>
      <c r="E39" s="10">
        <v>8.24</v>
      </c>
      <c r="F39" s="22">
        <v>5.85</v>
      </c>
      <c r="G39" s="22">
        <v>379.42001299999998</v>
      </c>
      <c r="H39" s="22">
        <v>1589.6999510000001</v>
      </c>
      <c r="I39" s="18">
        <v>23326.859380000002</v>
      </c>
    </row>
    <row r="40" spans="1:9" x14ac:dyDescent="0.2">
      <c r="A40" s="4">
        <v>33562</v>
      </c>
      <c r="B40" s="21">
        <v>1.2968999999999999</v>
      </c>
      <c r="C40" s="22">
        <v>129.77000000000001</v>
      </c>
      <c r="D40" s="22">
        <v>7.38</v>
      </c>
      <c r="E40" s="10">
        <v>8.24</v>
      </c>
      <c r="F40" s="22">
        <v>5.91</v>
      </c>
      <c r="G40" s="22">
        <v>378.52999899999998</v>
      </c>
      <c r="H40" s="22">
        <v>1589.6999510000001</v>
      </c>
      <c r="I40" s="18">
        <v>23199.859380000002</v>
      </c>
    </row>
    <row r="41" spans="1:9" x14ac:dyDescent="0.2">
      <c r="A41" s="4">
        <v>33563</v>
      </c>
      <c r="B41" s="21">
        <v>1.3007</v>
      </c>
      <c r="C41" s="22">
        <v>129.62</v>
      </c>
      <c r="D41" s="22">
        <v>7.39</v>
      </c>
      <c r="E41" s="10">
        <v>8.23</v>
      </c>
      <c r="F41" s="22">
        <v>5.88</v>
      </c>
      <c r="G41" s="22">
        <v>380.05999800000001</v>
      </c>
      <c r="H41" s="22">
        <v>1603.26001</v>
      </c>
      <c r="I41" s="18">
        <v>23177.839840000001</v>
      </c>
    </row>
    <row r="42" spans="1:9" x14ac:dyDescent="0.2">
      <c r="A42" s="4">
        <v>33564</v>
      </c>
      <c r="B42" s="21">
        <v>1.3082</v>
      </c>
      <c r="C42" s="22">
        <v>129.53</v>
      </c>
      <c r="D42" s="22">
        <v>7.44</v>
      </c>
      <c r="E42" s="10">
        <v>8.26</v>
      </c>
      <c r="F42" s="22">
        <v>5.91</v>
      </c>
      <c r="G42" s="22">
        <v>376.14001500000001</v>
      </c>
      <c r="H42" s="22">
        <v>1599.75</v>
      </c>
      <c r="I42" s="18">
        <v>23117.390630000002</v>
      </c>
    </row>
    <row r="43" spans="1:9" x14ac:dyDescent="0.2">
      <c r="A43" s="4">
        <v>33567</v>
      </c>
      <c r="B43" s="21">
        <v>1.3103</v>
      </c>
      <c r="C43" s="22">
        <v>127.77</v>
      </c>
      <c r="D43" s="22">
        <v>7.45</v>
      </c>
      <c r="E43" s="10">
        <v>8.3000000000000007</v>
      </c>
      <c r="F43" s="22">
        <v>5.89</v>
      </c>
      <c r="G43" s="22">
        <v>375.33999599999999</v>
      </c>
      <c r="H43" s="22">
        <v>1590.8599850000001</v>
      </c>
      <c r="I43" s="18">
        <v>22868.689450000002</v>
      </c>
    </row>
    <row r="44" spans="1:9" x14ac:dyDescent="0.2">
      <c r="A44" s="4">
        <v>33568</v>
      </c>
      <c r="B44" s="21">
        <v>1.3120000000000001</v>
      </c>
      <c r="C44" s="22">
        <v>128.1</v>
      </c>
      <c r="D44" s="22">
        <v>7.42</v>
      </c>
      <c r="E44" s="10">
        <v>8.27</v>
      </c>
      <c r="F44" s="22">
        <v>5.89</v>
      </c>
      <c r="G44" s="22">
        <v>377.959991</v>
      </c>
      <c r="H44" s="22">
        <v>1603.5</v>
      </c>
      <c r="I44" s="18">
        <v>23112.089840000001</v>
      </c>
    </row>
    <row r="45" spans="1:9" x14ac:dyDescent="0.2">
      <c r="A45" s="4">
        <v>33569</v>
      </c>
      <c r="B45" s="21">
        <v>1.2867999999999999</v>
      </c>
      <c r="C45" s="22">
        <v>130.28</v>
      </c>
      <c r="D45" s="22">
        <v>7.42</v>
      </c>
      <c r="E45" s="10">
        <v>8.2799999999999994</v>
      </c>
      <c r="F45" s="22">
        <v>5.87</v>
      </c>
      <c r="G45" s="22">
        <v>376.54998799999998</v>
      </c>
      <c r="H45" s="22">
        <v>1589.8599850000001</v>
      </c>
      <c r="I45" s="18">
        <v>22973.279299999998</v>
      </c>
    </row>
    <row r="46" spans="1:9" x14ac:dyDescent="0.2">
      <c r="A46" s="4">
        <v>33570</v>
      </c>
      <c r="B46" s="21">
        <v>1.2855000000000001</v>
      </c>
      <c r="C46" s="22">
        <v>129.9</v>
      </c>
      <c r="D46" s="22">
        <v>7.42</v>
      </c>
      <c r="E46" s="10">
        <v>8.31</v>
      </c>
      <c r="F46" s="22">
        <v>5.85</v>
      </c>
      <c r="G46" s="22">
        <v>377.39</v>
      </c>
      <c r="H46" s="22">
        <v>1587.920044</v>
      </c>
      <c r="I46" s="18">
        <v>22780.41992</v>
      </c>
    </row>
    <row r="47" spans="1:9" x14ac:dyDescent="0.2">
      <c r="A47" s="4">
        <v>33571</v>
      </c>
      <c r="B47" s="21">
        <v>1.2766999999999999</v>
      </c>
      <c r="C47" s="22">
        <v>130.08000000000001</v>
      </c>
      <c r="D47" s="22">
        <v>7.38</v>
      </c>
      <c r="E47" s="10">
        <v>8.31</v>
      </c>
      <c r="F47" s="22">
        <v>5.84</v>
      </c>
      <c r="G47" s="22">
        <v>375.22000100000002</v>
      </c>
      <c r="H47" s="22">
        <v>1571.0600589999999</v>
      </c>
      <c r="I47" s="18">
        <v>22687.349610000001</v>
      </c>
    </row>
    <row r="48" spans="1:9" x14ac:dyDescent="0.2">
      <c r="A48" s="4">
        <v>33574</v>
      </c>
      <c r="B48" s="21">
        <v>1.2923</v>
      </c>
      <c r="C48" s="22">
        <v>129.94999999999999</v>
      </c>
      <c r="D48" s="22">
        <v>7.32</v>
      </c>
      <c r="E48" s="10">
        <v>8.34</v>
      </c>
      <c r="F48" s="22">
        <v>5.79</v>
      </c>
      <c r="G48" s="22">
        <v>381.39999399999999</v>
      </c>
      <c r="H48" s="22">
        <v>1549.8100589999999</v>
      </c>
      <c r="I48" s="18">
        <v>21992.289059999999</v>
      </c>
    </row>
    <row r="49" spans="1:9" x14ac:dyDescent="0.2">
      <c r="A49" s="4">
        <v>33575</v>
      </c>
      <c r="B49" s="21">
        <v>1.2897000000000001</v>
      </c>
      <c r="C49" s="22">
        <v>129.55000000000001</v>
      </c>
      <c r="D49" s="22">
        <v>7.28</v>
      </c>
      <c r="E49" s="10">
        <v>8.32</v>
      </c>
      <c r="F49" s="22">
        <v>5.81</v>
      </c>
      <c r="G49" s="22">
        <v>380.959991</v>
      </c>
      <c r="H49" s="22">
        <v>1549.3599850000001</v>
      </c>
      <c r="I49" s="18">
        <v>22166.83008</v>
      </c>
    </row>
    <row r="50" spans="1:9" x14ac:dyDescent="0.2">
      <c r="A50" s="4">
        <v>33576</v>
      </c>
      <c r="B50" s="21">
        <v>1.2867999999999999</v>
      </c>
      <c r="C50" s="22">
        <v>129.55000000000001</v>
      </c>
      <c r="D50" s="22">
        <v>7.17</v>
      </c>
      <c r="E50" s="10">
        <v>8.3000000000000007</v>
      </c>
      <c r="F50" s="22">
        <v>5.76</v>
      </c>
      <c r="G50" s="22">
        <v>380.07000699999998</v>
      </c>
      <c r="H50" s="22">
        <v>1554.650024</v>
      </c>
      <c r="I50" s="18">
        <v>22669.439450000002</v>
      </c>
    </row>
    <row r="51" spans="1:9" x14ac:dyDescent="0.2">
      <c r="A51" s="4">
        <v>33577</v>
      </c>
      <c r="B51" s="21">
        <v>1.3041</v>
      </c>
      <c r="C51" s="22">
        <v>128.77000000000001</v>
      </c>
      <c r="D51" s="22">
        <v>7.21</v>
      </c>
      <c r="E51" s="10">
        <v>8.3000000000000007</v>
      </c>
      <c r="F51" s="22">
        <v>5.72</v>
      </c>
      <c r="G51" s="22">
        <v>377.39001500000001</v>
      </c>
      <c r="H51" s="22">
        <v>1557.5200199999999</v>
      </c>
      <c r="I51" s="18">
        <v>22459.16992</v>
      </c>
    </row>
    <row r="52" spans="1:9" x14ac:dyDescent="0.2">
      <c r="A52" s="4">
        <v>33578</v>
      </c>
      <c r="B52" s="21">
        <v>1.3192999999999999</v>
      </c>
      <c r="C52" s="22">
        <v>128.19999999999999</v>
      </c>
      <c r="D52" s="22">
        <v>7.26</v>
      </c>
      <c r="E52" s="10">
        <v>8.24</v>
      </c>
      <c r="F52" s="22">
        <v>5.68</v>
      </c>
      <c r="G52" s="22">
        <v>379.10000600000001</v>
      </c>
      <c r="H52" s="22">
        <v>1555.3100589999999</v>
      </c>
      <c r="I52" s="18">
        <v>22445.060549999998</v>
      </c>
    </row>
    <row r="53" spans="1:9" x14ac:dyDescent="0.2">
      <c r="A53" s="4">
        <v>33581</v>
      </c>
      <c r="B53" s="21">
        <v>1.3221000000000001</v>
      </c>
      <c r="C53" s="22">
        <v>128.4</v>
      </c>
      <c r="D53" s="22">
        <v>7.22</v>
      </c>
      <c r="E53" s="10">
        <v>8.26</v>
      </c>
      <c r="F53" s="22">
        <v>5.7</v>
      </c>
      <c r="G53" s="22">
        <v>378.26001000000002</v>
      </c>
      <c r="H53" s="22">
        <v>1559.76001</v>
      </c>
      <c r="I53" s="18">
        <v>22352.880860000001</v>
      </c>
    </row>
    <row r="54" spans="1:9" x14ac:dyDescent="0.2">
      <c r="A54" s="4">
        <v>33582</v>
      </c>
      <c r="B54" s="21">
        <v>1.32</v>
      </c>
      <c r="C54" s="22">
        <v>128.69999999999999</v>
      </c>
      <c r="D54" s="22">
        <v>7.21</v>
      </c>
      <c r="E54" s="10">
        <v>8.24</v>
      </c>
      <c r="F54" s="22">
        <v>5.66</v>
      </c>
      <c r="G54" s="22">
        <v>377.89999399999999</v>
      </c>
      <c r="H54" s="22">
        <v>1548.4399410000001</v>
      </c>
      <c r="I54" s="18">
        <v>21953.060549999998</v>
      </c>
    </row>
    <row r="55" spans="1:9" x14ac:dyDescent="0.2">
      <c r="A55" s="4">
        <v>33583</v>
      </c>
      <c r="B55" s="21">
        <v>1.3139000000000001</v>
      </c>
      <c r="C55" s="22">
        <v>129.15</v>
      </c>
      <c r="D55" s="22">
        <v>7.22</v>
      </c>
      <c r="E55" s="10">
        <v>8.2799999999999994</v>
      </c>
      <c r="F55" s="22">
        <v>5.68</v>
      </c>
      <c r="G55" s="22">
        <v>377.70001200000002</v>
      </c>
      <c r="H55" s="22">
        <v>1543.98999</v>
      </c>
      <c r="I55" s="18">
        <v>21502.900389999999</v>
      </c>
    </row>
    <row r="56" spans="1:9" x14ac:dyDescent="0.2">
      <c r="A56" s="4">
        <v>33584</v>
      </c>
      <c r="B56" s="21">
        <v>1.3118000000000001</v>
      </c>
      <c r="C56" s="22">
        <v>129.24</v>
      </c>
      <c r="D56" s="22">
        <v>7.19</v>
      </c>
      <c r="E56" s="10">
        <v>8.24</v>
      </c>
      <c r="F56" s="22">
        <v>5.66</v>
      </c>
      <c r="G56" s="22">
        <v>381.54998799999998</v>
      </c>
      <c r="H56" s="22">
        <v>1550.209961</v>
      </c>
      <c r="I56" s="18">
        <v>21712.570309999999</v>
      </c>
    </row>
    <row r="57" spans="1:9" x14ac:dyDescent="0.2">
      <c r="A57" s="4">
        <v>33585</v>
      </c>
      <c r="B57" s="21">
        <v>1.3118000000000001</v>
      </c>
      <c r="C57" s="22">
        <v>128.80000000000001</v>
      </c>
      <c r="D57" s="22">
        <v>7.22</v>
      </c>
      <c r="E57" s="10">
        <v>8.2200000000000006</v>
      </c>
      <c r="F57" s="22">
        <v>5.67</v>
      </c>
      <c r="G57" s="22">
        <v>384.47000100000002</v>
      </c>
      <c r="H57" s="22">
        <v>1557.030029</v>
      </c>
      <c r="I57" s="18">
        <v>22754.900389999999</v>
      </c>
    </row>
    <row r="58" spans="1:9" x14ac:dyDescent="0.2">
      <c r="A58" s="4">
        <v>33588</v>
      </c>
      <c r="B58" s="21">
        <v>1.3190999999999999</v>
      </c>
      <c r="C58" s="22">
        <v>128.47</v>
      </c>
      <c r="D58" s="22">
        <v>7.21</v>
      </c>
      <c r="E58" s="10">
        <v>8.23</v>
      </c>
      <c r="F58" s="22">
        <v>5.65</v>
      </c>
      <c r="G58" s="22">
        <v>384.459991</v>
      </c>
      <c r="H58" s="22">
        <v>1551.780029</v>
      </c>
      <c r="I58" s="18">
        <v>22836.66992</v>
      </c>
    </row>
    <row r="59" spans="1:9" x14ac:dyDescent="0.2">
      <c r="A59" s="4">
        <v>33589</v>
      </c>
      <c r="B59" s="21">
        <v>1.3229</v>
      </c>
      <c r="C59" s="22">
        <v>128.6</v>
      </c>
      <c r="D59" s="22">
        <v>7.18</v>
      </c>
      <c r="E59" s="10">
        <v>8.17</v>
      </c>
      <c r="F59" s="22">
        <v>5.66</v>
      </c>
      <c r="G59" s="22">
        <v>382.73998999999998</v>
      </c>
      <c r="H59" s="22">
        <v>1562.8900149999999</v>
      </c>
      <c r="I59" s="18">
        <v>22736.289059999999</v>
      </c>
    </row>
    <row r="60" spans="1:9" x14ac:dyDescent="0.2">
      <c r="A60" s="4">
        <v>33590</v>
      </c>
      <c r="B60" s="21">
        <v>1.3221000000000001</v>
      </c>
      <c r="C60" s="22">
        <v>128.44999999999999</v>
      </c>
      <c r="D60" s="22">
        <v>7.19</v>
      </c>
      <c r="E60" s="10">
        <v>8.15</v>
      </c>
      <c r="F60" s="22">
        <v>5.67</v>
      </c>
      <c r="G60" s="22">
        <v>383.48001099999999</v>
      </c>
      <c r="H60" s="22">
        <v>1570.280029</v>
      </c>
      <c r="I60" s="18">
        <v>22629.900389999999</v>
      </c>
    </row>
    <row r="61" spans="1:9" x14ac:dyDescent="0.2">
      <c r="A61" s="4">
        <v>33591</v>
      </c>
      <c r="B61" s="21">
        <v>1.3321000000000001</v>
      </c>
      <c r="C61" s="22">
        <v>128.33000000000001</v>
      </c>
      <c r="D61" s="22">
        <v>7.11</v>
      </c>
      <c r="E61" s="10">
        <v>8.17</v>
      </c>
      <c r="F61" s="22">
        <v>5.69</v>
      </c>
      <c r="G61" s="22">
        <v>382.51998900000001</v>
      </c>
      <c r="H61" s="22">
        <v>1559.26001</v>
      </c>
      <c r="I61" s="18">
        <v>21991.189450000002</v>
      </c>
    </row>
    <row r="62" spans="1:9" x14ac:dyDescent="0.2">
      <c r="A62" s="4">
        <v>33592</v>
      </c>
      <c r="B62" s="21">
        <v>1.3513999999999999</v>
      </c>
      <c r="C62" s="22">
        <v>127.57</v>
      </c>
      <c r="D62" s="22">
        <v>6.97</v>
      </c>
      <c r="E62" s="10">
        <v>8.1199999999999992</v>
      </c>
      <c r="F62" s="22">
        <v>5.67</v>
      </c>
      <c r="G62" s="22">
        <v>387.040009</v>
      </c>
      <c r="H62" s="22">
        <v>1545.869995</v>
      </c>
      <c r="I62" s="18">
        <v>21777.119139999999</v>
      </c>
    </row>
    <row r="63" spans="1:9" x14ac:dyDescent="0.2">
      <c r="A63" s="4">
        <v>33595</v>
      </c>
      <c r="B63" s="21">
        <v>1.3672</v>
      </c>
      <c r="C63" s="22">
        <v>126.55</v>
      </c>
      <c r="D63" s="22">
        <v>6.88</v>
      </c>
      <c r="E63" s="10">
        <v>8.1300000000000008</v>
      </c>
      <c r="F63" s="22">
        <v>5.67</v>
      </c>
      <c r="G63" s="22">
        <v>396.82000699999998</v>
      </c>
      <c r="H63" s="22">
        <v>1542.7700199999999</v>
      </c>
      <c r="I63" s="18">
        <v>21777.119139999999</v>
      </c>
    </row>
    <row r="64" spans="1:9" x14ac:dyDescent="0.2">
      <c r="A64" s="4">
        <v>33596</v>
      </c>
      <c r="B64" s="21">
        <v>1.3671</v>
      </c>
      <c r="C64" s="22">
        <v>127.55</v>
      </c>
      <c r="D64" s="22">
        <v>6.88</v>
      </c>
      <c r="E64" s="10">
        <v>8.1300000000000008</v>
      </c>
      <c r="F64" s="22">
        <v>5.59</v>
      </c>
      <c r="G64" s="22">
        <v>399.32998700000002</v>
      </c>
      <c r="H64" s="22">
        <v>1542.7700199999999</v>
      </c>
      <c r="I64" s="18">
        <v>21664.529299999998</v>
      </c>
    </row>
    <row r="65" spans="1:9" x14ac:dyDescent="0.2">
      <c r="A65" s="4">
        <v>33597</v>
      </c>
      <c r="B65" s="21">
        <v>1.3671</v>
      </c>
      <c r="C65" s="22">
        <v>127.02</v>
      </c>
      <c r="D65" s="22">
        <v>6.88</v>
      </c>
      <c r="E65" s="10">
        <v>8.1300000000000008</v>
      </c>
      <c r="F65" s="22">
        <v>5.57</v>
      </c>
      <c r="G65" s="22">
        <v>399.32998700000002</v>
      </c>
      <c r="H65" s="22">
        <v>1542.7700199999999</v>
      </c>
      <c r="I65" s="18">
        <v>22461.16992</v>
      </c>
    </row>
    <row r="66" spans="1:9" x14ac:dyDescent="0.2">
      <c r="A66" s="4">
        <v>33598</v>
      </c>
      <c r="B66" s="21">
        <v>1.3671</v>
      </c>
      <c r="C66" s="22">
        <v>126.78</v>
      </c>
      <c r="D66" s="22">
        <v>6.85</v>
      </c>
      <c r="E66" s="10">
        <v>8.1300000000000008</v>
      </c>
      <c r="F66" s="22">
        <v>5.51</v>
      </c>
      <c r="G66" s="22">
        <v>404.83999599999999</v>
      </c>
      <c r="H66" s="22">
        <v>1542.7700199999999</v>
      </c>
      <c r="I66" s="18">
        <v>22555.070309999999</v>
      </c>
    </row>
    <row r="67" spans="1:9" x14ac:dyDescent="0.2">
      <c r="A67" s="4">
        <v>33599</v>
      </c>
      <c r="B67" s="21">
        <v>1.3682000000000001</v>
      </c>
      <c r="C67" s="22">
        <v>125.57</v>
      </c>
      <c r="D67" s="22">
        <v>6.82</v>
      </c>
      <c r="E67" s="10">
        <v>8.11</v>
      </c>
      <c r="F67" s="22">
        <v>5.47</v>
      </c>
      <c r="G67" s="22">
        <v>406.459991</v>
      </c>
      <c r="H67" s="22">
        <v>1564.2700199999999</v>
      </c>
      <c r="I67" s="18">
        <v>22437.320309999999</v>
      </c>
    </row>
    <row r="68" spans="1:9" x14ac:dyDescent="0.2">
      <c r="A68" s="4">
        <v>33602</v>
      </c>
      <c r="B68" s="21">
        <v>1.3669</v>
      </c>
      <c r="C68" s="22">
        <v>125.75</v>
      </c>
      <c r="D68" s="22">
        <v>6.76</v>
      </c>
      <c r="E68" s="10">
        <v>8.0500000000000007</v>
      </c>
      <c r="F68" s="22">
        <v>5.42</v>
      </c>
      <c r="G68" s="22">
        <v>415.14001500000001</v>
      </c>
      <c r="H68" s="22">
        <v>1577.26001</v>
      </c>
      <c r="I68" s="18">
        <v>22983.769530000001</v>
      </c>
    </row>
    <row r="69" spans="1:9" x14ac:dyDescent="0.2">
      <c r="A69" s="4">
        <v>33603</v>
      </c>
      <c r="B69" s="21">
        <v>1.3655999999999999</v>
      </c>
      <c r="C69" s="22">
        <v>124.9</v>
      </c>
      <c r="D69" s="22">
        <v>6.71</v>
      </c>
      <c r="E69" s="10">
        <v>8.0500000000000007</v>
      </c>
      <c r="F69" s="22">
        <v>5.42</v>
      </c>
      <c r="G69" s="22">
        <v>417.08999599999999</v>
      </c>
      <c r="H69" s="22">
        <v>1577.26001</v>
      </c>
      <c r="I69" s="18">
        <v>22983.769530000001</v>
      </c>
    </row>
    <row r="70" spans="1:9" x14ac:dyDescent="0.2">
      <c r="A70" s="4">
        <v>33604</v>
      </c>
      <c r="B70" s="21">
        <v>1.3655999999999999</v>
      </c>
      <c r="C70" s="22">
        <v>124.9</v>
      </c>
      <c r="D70" s="22">
        <v>6.71</v>
      </c>
      <c r="E70" s="10">
        <v>8.0500000000000007</v>
      </c>
      <c r="F70" s="22">
        <v>5.42</v>
      </c>
      <c r="G70" s="22">
        <v>418.1</v>
      </c>
      <c r="H70" s="22">
        <v>1577.26001</v>
      </c>
      <c r="I70" s="18">
        <v>22983.769530000001</v>
      </c>
    </row>
    <row r="71" spans="1:9" x14ac:dyDescent="0.2">
      <c r="A71" s="4">
        <v>33605</v>
      </c>
      <c r="B71" s="21">
        <v>1.3661000000000001</v>
      </c>
      <c r="C71" s="22">
        <v>124.5</v>
      </c>
      <c r="D71" s="22">
        <v>6.78</v>
      </c>
      <c r="E71" s="10">
        <v>8.02</v>
      </c>
      <c r="F71" s="22">
        <v>5.42</v>
      </c>
      <c r="G71" s="22">
        <v>417.26001000000002</v>
      </c>
      <c r="H71" s="22">
        <v>1598.1899410000001</v>
      </c>
      <c r="I71" s="18">
        <v>22983.769530000001</v>
      </c>
    </row>
    <row r="72" spans="1:9" x14ac:dyDescent="0.2">
      <c r="A72" s="4">
        <v>33606</v>
      </c>
      <c r="B72" s="21">
        <v>1.3481000000000001</v>
      </c>
      <c r="C72" s="22">
        <v>124.8</v>
      </c>
      <c r="D72" s="22">
        <v>6.85</v>
      </c>
      <c r="E72" s="10">
        <v>8.0500000000000007</v>
      </c>
      <c r="F72" s="22">
        <v>5.42</v>
      </c>
      <c r="G72" s="22">
        <v>419.33999599999999</v>
      </c>
      <c r="H72" s="22">
        <v>1604.0500489999999</v>
      </c>
      <c r="I72" s="18">
        <v>22983.769530000001</v>
      </c>
    </row>
    <row r="73" spans="1:9" x14ac:dyDescent="0.2">
      <c r="A73" s="4">
        <v>33609</v>
      </c>
      <c r="B73" s="21">
        <v>1.3657999999999999</v>
      </c>
      <c r="C73" s="22">
        <v>124.1</v>
      </c>
      <c r="D73" s="22">
        <v>6.82</v>
      </c>
      <c r="E73" s="10">
        <v>8.01</v>
      </c>
      <c r="F73" s="22">
        <v>5.37</v>
      </c>
      <c r="G73" s="22">
        <v>417.959991</v>
      </c>
      <c r="H73" s="22">
        <v>1604.6899410000001</v>
      </c>
      <c r="I73" s="18">
        <v>23801.179690000001</v>
      </c>
    </row>
    <row r="74" spans="1:9" x14ac:dyDescent="0.2">
      <c r="A74" s="4">
        <v>33610</v>
      </c>
      <c r="B74" s="21">
        <v>1.371</v>
      </c>
      <c r="C74" s="22">
        <v>124.4</v>
      </c>
      <c r="D74" s="22">
        <v>6.76</v>
      </c>
      <c r="E74" s="10">
        <v>7.99</v>
      </c>
      <c r="F74" s="22">
        <v>5.33</v>
      </c>
      <c r="G74" s="22">
        <v>417.39999399999999</v>
      </c>
      <c r="H74" s="22">
        <v>1593.650024</v>
      </c>
      <c r="I74" s="18">
        <v>23566.390630000002</v>
      </c>
    </row>
    <row r="75" spans="1:9" x14ac:dyDescent="0.2">
      <c r="A75" s="4">
        <v>33611</v>
      </c>
      <c r="B75" s="21">
        <v>1.3702000000000001</v>
      </c>
      <c r="C75" s="22">
        <v>124.9</v>
      </c>
      <c r="D75" s="22">
        <v>6.77</v>
      </c>
      <c r="E75" s="10">
        <v>8.01</v>
      </c>
      <c r="F75" s="22">
        <v>5.35</v>
      </c>
      <c r="G75" s="22">
        <v>418.10000600000001</v>
      </c>
      <c r="H75" s="22">
        <v>1581.6800539999999</v>
      </c>
      <c r="I75" s="18">
        <v>22715</v>
      </c>
    </row>
    <row r="76" spans="1:9" x14ac:dyDescent="0.2">
      <c r="A76" s="4">
        <v>33612</v>
      </c>
      <c r="B76" s="21">
        <v>1.3506</v>
      </c>
      <c r="C76" s="22">
        <v>125.4</v>
      </c>
      <c r="D76" s="22">
        <v>6.79</v>
      </c>
      <c r="E76" s="10">
        <v>7.99</v>
      </c>
      <c r="F76" s="22">
        <v>5.35</v>
      </c>
      <c r="G76" s="22">
        <v>417.60998499999999</v>
      </c>
      <c r="H76" s="22">
        <v>1599.1400149999999</v>
      </c>
      <c r="I76" s="18">
        <v>23113.640630000002</v>
      </c>
    </row>
    <row r="77" spans="1:9" x14ac:dyDescent="0.2">
      <c r="A77" s="4">
        <v>33613</v>
      </c>
      <c r="B77" s="21">
        <v>1.3228</v>
      </c>
      <c r="C77" s="22">
        <v>127.05</v>
      </c>
      <c r="D77" s="22">
        <v>6.85</v>
      </c>
      <c r="E77" s="10">
        <v>7.92</v>
      </c>
      <c r="F77" s="22">
        <v>5.37</v>
      </c>
      <c r="G77" s="22">
        <v>415.10000600000001</v>
      </c>
      <c r="H77" s="22">
        <v>1613.8199460000001</v>
      </c>
      <c r="I77" s="18">
        <v>22381.900389999999</v>
      </c>
    </row>
    <row r="78" spans="1:9" x14ac:dyDescent="0.2">
      <c r="A78" s="4">
        <v>33616</v>
      </c>
      <c r="B78" s="21">
        <v>1.3182</v>
      </c>
      <c r="C78" s="22">
        <v>126.85</v>
      </c>
      <c r="D78" s="22">
        <v>6.92</v>
      </c>
      <c r="E78" s="10">
        <v>7.94</v>
      </c>
      <c r="F78" s="22">
        <v>5.39</v>
      </c>
      <c r="G78" s="22">
        <v>414.33999599999999</v>
      </c>
      <c r="H78" s="22">
        <v>1620.4499510000001</v>
      </c>
      <c r="I78" s="18">
        <v>21696.859380000002</v>
      </c>
    </row>
    <row r="79" spans="1:9" x14ac:dyDescent="0.2">
      <c r="A79" s="4">
        <v>33617</v>
      </c>
      <c r="B79" s="21">
        <v>1.3229</v>
      </c>
      <c r="C79" s="22">
        <v>126.8</v>
      </c>
      <c r="D79" s="22">
        <v>7.03</v>
      </c>
      <c r="E79" s="10">
        <v>7.94</v>
      </c>
      <c r="F79" s="22">
        <v>5.38</v>
      </c>
      <c r="G79" s="22">
        <v>420.44000199999999</v>
      </c>
      <c r="H79" s="22">
        <v>1629.51001</v>
      </c>
      <c r="I79" s="18">
        <v>21775.130860000001</v>
      </c>
    </row>
    <row r="80" spans="1:9" x14ac:dyDescent="0.2">
      <c r="A80" s="4">
        <v>33618</v>
      </c>
      <c r="B80" s="21">
        <v>1.2803</v>
      </c>
      <c r="C80" s="22">
        <v>128.4</v>
      </c>
      <c r="D80" s="22">
        <v>7.05</v>
      </c>
      <c r="E80" s="10">
        <v>7.92</v>
      </c>
      <c r="F80" s="22">
        <v>5.38</v>
      </c>
      <c r="G80" s="22">
        <v>420.76998900000001</v>
      </c>
      <c r="H80" s="22">
        <v>1663.6999510000001</v>
      </c>
      <c r="I80" s="18">
        <v>21775.130860000001</v>
      </c>
    </row>
    <row r="81" spans="1:9" x14ac:dyDescent="0.2">
      <c r="A81" s="4">
        <v>33619</v>
      </c>
      <c r="B81" s="21">
        <v>1.2825</v>
      </c>
      <c r="C81" s="22">
        <v>128.28</v>
      </c>
      <c r="D81" s="22">
        <v>7.13</v>
      </c>
      <c r="E81" s="10">
        <v>7.9</v>
      </c>
      <c r="F81" s="22">
        <v>5.44</v>
      </c>
      <c r="G81" s="22">
        <v>418.209991</v>
      </c>
      <c r="H81" s="22">
        <v>1664.089966</v>
      </c>
      <c r="I81" s="18">
        <v>21612.189450000002</v>
      </c>
    </row>
    <row r="82" spans="1:9" x14ac:dyDescent="0.2">
      <c r="A82" s="4">
        <v>33620</v>
      </c>
      <c r="B82" s="21">
        <v>1.3007</v>
      </c>
      <c r="C82" s="22">
        <v>127.45</v>
      </c>
      <c r="D82" s="22">
        <v>7.09</v>
      </c>
      <c r="E82" s="10">
        <v>7.9</v>
      </c>
      <c r="F82" s="22">
        <v>5.39</v>
      </c>
      <c r="G82" s="22">
        <v>418.85998499999999</v>
      </c>
      <c r="H82" s="22">
        <v>1669.290039</v>
      </c>
      <c r="I82" s="18">
        <v>21321.369139999999</v>
      </c>
    </row>
    <row r="83" spans="1:9" x14ac:dyDescent="0.2">
      <c r="A83" s="4">
        <v>33623</v>
      </c>
      <c r="B83" s="21">
        <v>1.3049999999999999</v>
      </c>
      <c r="C83" s="22">
        <v>123.97</v>
      </c>
      <c r="D83" s="22">
        <v>7.09</v>
      </c>
      <c r="E83" s="10">
        <v>7.91</v>
      </c>
      <c r="F83" s="22">
        <v>5.36</v>
      </c>
      <c r="G83" s="22">
        <v>416.35998499999999</v>
      </c>
      <c r="H83" s="22">
        <v>1685.1400149999999</v>
      </c>
      <c r="I83" s="18">
        <v>20913.820309999999</v>
      </c>
    </row>
    <row r="84" spans="1:9" x14ac:dyDescent="0.2">
      <c r="A84" s="4">
        <v>33624</v>
      </c>
      <c r="B84" s="21">
        <v>1.3152999999999999</v>
      </c>
      <c r="C84" s="22">
        <v>123.2</v>
      </c>
      <c r="D84" s="22">
        <v>7.03</v>
      </c>
      <c r="E84" s="10">
        <v>7.86</v>
      </c>
      <c r="F84" s="22">
        <v>5.35</v>
      </c>
      <c r="G84" s="22">
        <v>412.64001500000001</v>
      </c>
      <c r="H84" s="22">
        <v>1687.0699460000001</v>
      </c>
      <c r="I84" s="18">
        <v>20858.300780000001</v>
      </c>
    </row>
    <row r="85" spans="1:9" x14ac:dyDescent="0.2">
      <c r="A85" s="4">
        <v>33625</v>
      </c>
      <c r="B85" s="21">
        <v>1.3150999999999999</v>
      </c>
      <c r="C85" s="22">
        <v>123.22</v>
      </c>
      <c r="D85" s="22">
        <v>7.09</v>
      </c>
      <c r="E85" s="10">
        <v>7.84</v>
      </c>
      <c r="F85" s="22">
        <v>5.28</v>
      </c>
      <c r="G85" s="22">
        <v>418.13000499999998</v>
      </c>
      <c r="H85" s="22">
        <v>1680.130005</v>
      </c>
      <c r="I85" s="18">
        <v>21534.119139999999</v>
      </c>
    </row>
    <row r="86" spans="1:9" x14ac:dyDescent="0.2">
      <c r="A86" s="4">
        <v>33626</v>
      </c>
      <c r="B86" s="21">
        <v>1.3062</v>
      </c>
      <c r="C86" s="22">
        <v>123.9</v>
      </c>
      <c r="D86" s="22">
        <v>7.2</v>
      </c>
      <c r="E86" s="10">
        <v>7.89</v>
      </c>
      <c r="F86" s="22">
        <v>5.31</v>
      </c>
      <c r="G86" s="22">
        <v>414.959991</v>
      </c>
      <c r="H86" s="22">
        <v>1671.839966</v>
      </c>
      <c r="I86" s="18">
        <v>21580.720700000002</v>
      </c>
    </row>
    <row r="87" spans="1:9" x14ac:dyDescent="0.2">
      <c r="A87" s="4">
        <v>33627</v>
      </c>
      <c r="B87" s="21">
        <v>1.3091999999999999</v>
      </c>
      <c r="C87" s="22">
        <v>123.42</v>
      </c>
      <c r="D87" s="22">
        <v>7.25</v>
      </c>
      <c r="E87" s="10">
        <v>7.89</v>
      </c>
      <c r="F87" s="22">
        <v>5.33</v>
      </c>
      <c r="G87" s="22">
        <v>415.48001099999999</v>
      </c>
      <c r="H87" s="22">
        <v>1669.5200199999999</v>
      </c>
      <c r="I87" s="18">
        <v>21072.150389999999</v>
      </c>
    </row>
    <row r="88" spans="1:9" x14ac:dyDescent="0.2">
      <c r="A88" s="4">
        <v>33630</v>
      </c>
      <c r="B88" s="21">
        <v>1.2911999999999999</v>
      </c>
      <c r="C88" s="22">
        <v>125.4</v>
      </c>
      <c r="D88" s="22">
        <v>7.24</v>
      </c>
      <c r="E88" s="10">
        <v>7.9</v>
      </c>
      <c r="F88" s="22">
        <v>5.33</v>
      </c>
      <c r="G88" s="22">
        <v>414.98998999999998</v>
      </c>
      <c r="H88" s="22">
        <v>1686.709961</v>
      </c>
      <c r="I88" s="18">
        <v>21007.109380000002</v>
      </c>
    </row>
    <row r="89" spans="1:9" x14ac:dyDescent="0.2">
      <c r="A89" s="4">
        <v>33631</v>
      </c>
      <c r="B89" s="21">
        <v>1.3041</v>
      </c>
      <c r="C89" s="22">
        <v>125.62</v>
      </c>
      <c r="D89" s="22">
        <v>7.16</v>
      </c>
      <c r="E89" s="10">
        <v>7.91</v>
      </c>
      <c r="F89" s="22">
        <v>5.35</v>
      </c>
      <c r="G89" s="22">
        <v>414.959991</v>
      </c>
      <c r="H89" s="22">
        <v>1685.51001</v>
      </c>
      <c r="I89" s="18">
        <v>21390.519530000001</v>
      </c>
    </row>
    <row r="90" spans="1:9" x14ac:dyDescent="0.2">
      <c r="A90" s="4">
        <v>33632</v>
      </c>
      <c r="B90" s="21">
        <v>1.3104</v>
      </c>
      <c r="C90" s="22">
        <v>125.45</v>
      </c>
      <c r="D90" s="22">
        <v>7.25</v>
      </c>
      <c r="E90" s="10">
        <v>7.88</v>
      </c>
      <c r="F90" s="22">
        <v>5.33</v>
      </c>
      <c r="G90" s="22">
        <v>410.33999599999999</v>
      </c>
      <c r="H90" s="22">
        <v>1671.01001</v>
      </c>
      <c r="I90" s="18">
        <v>21362.259770000001</v>
      </c>
    </row>
    <row r="91" spans="1:9" x14ac:dyDescent="0.2">
      <c r="A91" s="4">
        <v>33633</v>
      </c>
      <c r="B91" s="21">
        <v>1.2912999999999999</v>
      </c>
      <c r="C91" s="22">
        <v>126</v>
      </c>
      <c r="D91" s="22">
        <v>7.31</v>
      </c>
      <c r="E91" s="10">
        <v>7.89</v>
      </c>
      <c r="F91" s="22">
        <v>5.36</v>
      </c>
      <c r="G91" s="22">
        <v>411.61999500000002</v>
      </c>
      <c r="H91" s="22">
        <v>1683.0600589999999</v>
      </c>
      <c r="I91" s="18">
        <v>21557.66992</v>
      </c>
    </row>
    <row r="92" spans="1:9" x14ac:dyDescent="0.2">
      <c r="A92" s="4">
        <v>33634</v>
      </c>
      <c r="B92" s="21">
        <v>1.2974000000000001</v>
      </c>
      <c r="C92" s="22">
        <v>125.55</v>
      </c>
      <c r="D92" s="22">
        <v>7.31</v>
      </c>
      <c r="E92" s="10">
        <v>7.91</v>
      </c>
      <c r="F92" s="22">
        <v>5.43</v>
      </c>
      <c r="G92" s="22">
        <v>408.77999899999998</v>
      </c>
      <c r="H92" s="22">
        <v>1685.6999510000001</v>
      </c>
      <c r="I92" s="18">
        <v>22023.050780000001</v>
      </c>
    </row>
    <row r="93" spans="1:9" x14ac:dyDescent="0.2">
      <c r="A93" s="4">
        <v>33637</v>
      </c>
      <c r="B93" s="21">
        <v>1.3023</v>
      </c>
      <c r="C93" s="22">
        <v>125.95</v>
      </c>
      <c r="D93" s="22">
        <v>7.36</v>
      </c>
      <c r="E93" s="10">
        <v>7.86</v>
      </c>
      <c r="F93" s="22">
        <v>5.44</v>
      </c>
      <c r="G93" s="22">
        <v>409.52999899999998</v>
      </c>
      <c r="H93" s="22">
        <v>1685.660034</v>
      </c>
      <c r="I93" s="18">
        <v>22139.589840000001</v>
      </c>
    </row>
    <row r="94" spans="1:9" x14ac:dyDescent="0.2">
      <c r="A94" s="4">
        <v>33638</v>
      </c>
      <c r="B94" s="21">
        <v>1.3073999999999999</v>
      </c>
      <c r="C94" s="22">
        <v>126.15</v>
      </c>
      <c r="D94" s="22">
        <v>7.29</v>
      </c>
      <c r="E94" s="10">
        <v>7.91</v>
      </c>
      <c r="F94" s="22">
        <v>5.51</v>
      </c>
      <c r="G94" s="22">
        <v>413.85000600000001</v>
      </c>
      <c r="H94" s="22">
        <v>1678.7700199999999</v>
      </c>
      <c r="I94" s="18">
        <v>21999.599610000001</v>
      </c>
    </row>
    <row r="95" spans="1:9" x14ac:dyDescent="0.2">
      <c r="A95" s="4">
        <v>33639</v>
      </c>
      <c r="B95" s="21">
        <v>1.3129</v>
      </c>
      <c r="C95" s="22">
        <v>125.83</v>
      </c>
      <c r="D95" s="22">
        <v>7.21</v>
      </c>
      <c r="E95" s="10">
        <v>7.9</v>
      </c>
      <c r="F95" s="22">
        <v>5.55</v>
      </c>
      <c r="G95" s="22">
        <v>413.83999599999999</v>
      </c>
      <c r="H95" s="22">
        <v>1685.849976</v>
      </c>
      <c r="I95" s="18">
        <v>21936.369139999999</v>
      </c>
    </row>
    <row r="96" spans="1:9" x14ac:dyDescent="0.2">
      <c r="A96" s="4">
        <v>33640</v>
      </c>
      <c r="B96" s="21">
        <v>1.3186</v>
      </c>
      <c r="C96" s="22">
        <v>125.65</v>
      </c>
      <c r="D96" s="22">
        <v>7.2</v>
      </c>
      <c r="E96" s="10">
        <v>7.91</v>
      </c>
      <c r="F96" s="22">
        <v>5.49</v>
      </c>
      <c r="G96" s="22">
        <v>413.82000699999998</v>
      </c>
      <c r="H96" s="22">
        <v>1683.709961</v>
      </c>
      <c r="I96" s="18">
        <v>22104.91992</v>
      </c>
    </row>
    <row r="97" spans="1:9" x14ac:dyDescent="0.2">
      <c r="A97" s="4">
        <v>33641</v>
      </c>
      <c r="B97" s="21">
        <v>1.3315999999999999</v>
      </c>
      <c r="C97" s="22">
        <v>125.22</v>
      </c>
      <c r="D97" s="22">
        <v>7.2</v>
      </c>
      <c r="E97" s="10">
        <v>7.87</v>
      </c>
      <c r="F97" s="22">
        <v>5.49</v>
      </c>
      <c r="G97" s="22">
        <v>411.08999599999999</v>
      </c>
      <c r="H97" s="22">
        <v>1686.589966</v>
      </c>
      <c r="I97" s="18">
        <v>22107.119139999999</v>
      </c>
    </row>
    <row r="98" spans="1:9" x14ac:dyDescent="0.2">
      <c r="A98" s="4">
        <v>33644</v>
      </c>
      <c r="B98" s="21">
        <v>1.3263</v>
      </c>
      <c r="C98" s="22">
        <v>126.7</v>
      </c>
      <c r="D98" s="22">
        <v>7.21</v>
      </c>
      <c r="E98" s="10">
        <v>7.87</v>
      </c>
      <c r="F98" s="22">
        <v>5.53</v>
      </c>
      <c r="G98" s="22">
        <v>413.76998900000001</v>
      </c>
      <c r="H98" s="22">
        <v>1683.7299800000001</v>
      </c>
      <c r="I98" s="18">
        <v>21819.519530000001</v>
      </c>
    </row>
    <row r="99" spans="1:9" x14ac:dyDescent="0.2">
      <c r="A99" s="4">
        <v>33645</v>
      </c>
      <c r="B99" s="21">
        <v>1.3115000000000001</v>
      </c>
      <c r="C99" s="22">
        <v>126.93</v>
      </c>
      <c r="D99" s="22">
        <v>7.23</v>
      </c>
      <c r="E99" s="10">
        <v>7.85</v>
      </c>
      <c r="F99" s="22">
        <v>5.53</v>
      </c>
      <c r="G99" s="22">
        <v>413.76001000000002</v>
      </c>
      <c r="H99" s="22">
        <v>1679.1400149999999</v>
      </c>
      <c r="I99" s="18">
        <v>21819.519530000001</v>
      </c>
    </row>
    <row r="100" spans="1:9" x14ac:dyDescent="0.2">
      <c r="A100" s="4">
        <v>33646</v>
      </c>
      <c r="B100" s="21">
        <v>1.2958000000000001</v>
      </c>
      <c r="C100" s="22">
        <v>127.68</v>
      </c>
      <c r="D100" s="22">
        <v>7.3</v>
      </c>
      <c r="E100" s="10">
        <v>7.86</v>
      </c>
      <c r="F100" s="22">
        <v>5.59</v>
      </c>
      <c r="G100" s="22">
        <v>417.13000499999998</v>
      </c>
      <c r="H100" s="22">
        <v>1685.030029</v>
      </c>
      <c r="I100" s="18">
        <v>21541.640630000002</v>
      </c>
    </row>
    <row r="101" spans="1:9" x14ac:dyDescent="0.2">
      <c r="A101" s="4">
        <v>33647</v>
      </c>
      <c r="B101" s="21">
        <v>1.284</v>
      </c>
      <c r="C101" s="22">
        <v>127.68</v>
      </c>
      <c r="D101" s="22">
        <v>7.4</v>
      </c>
      <c r="E101" s="10">
        <v>7.85</v>
      </c>
      <c r="F101" s="22">
        <v>5.5</v>
      </c>
      <c r="G101" s="22">
        <v>413.69000199999999</v>
      </c>
      <c r="H101" s="22">
        <v>1680.8100589999999</v>
      </c>
      <c r="I101" s="18">
        <v>21391.019530000001</v>
      </c>
    </row>
    <row r="102" spans="1:9" x14ac:dyDescent="0.2">
      <c r="A102" s="4">
        <v>33648</v>
      </c>
      <c r="B102" s="21">
        <v>1.2799</v>
      </c>
      <c r="C102" s="22">
        <v>127.93</v>
      </c>
      <c r="D102" s="22">
        <v>7.41</v>
      </c>
      <c r="E102" s="10">
        <v>7.87</v>
      </c>
      <c r="F102" s="22">
        <v>5.56</v>
      </c>
      <c r="G102" s="22">
        <v>412.48001099999999</v>
      </c>
      <c r="H102" s="22">
        <v>1676.170044</v>
      </c>
      <c r="I102" s="18">
        <v>20883.859380000002</v>
      </c>
    </row>
    <row r="103" spans="1:9" x14ac:dyDescent="0.2">
      <c r="A103" s="4">
        <v>33651</v>
      </c>
      <c r="B103" s="21">
        <v>1.2842</v>
      </c>
      <c r="C103" s="22">
        <v>127</v>
      </c>
      <c r="D103" s="22">
        <v>7.41</v>
      </c>
      <c r="E103" s="10">
        <v>7.92</v>
      </c>
      <c r="F103" s="22">
        <v>5.47</v>
      </c>
      <c r="G103" s="22">
        <v>412.27</v>
      </c>
      <c r="H103" s="22">
        <v>1688.459961</v>
      </c>
      <c r="I103" s="18">
        <v>21324.980469999999</v>
      </c>
    </row>
    <row r="104" spans="1:9" x14ac:dyDescent="0.2">
      <c r="A104" s="4">
        <v>33652</v>
      </c>
      <c r="B104" s="21">
        <v>1.2645</v>
      </c>
      <c r="C104" s="22">
        <v>128</v>
      </c>
      <c r="D104" s="22">
        <v>7.47</v>
      </c>
      <c r="E104" s="10">
        <v>7.91</v>
      </c>
      <c r="F104" s="22">
        <v>5.47</v>
      </c>
      <c r="G104" s="22">
        <v>407.38000499999998</v>
      </c>
      <c r="H104" s="22">
        <v>1696.5500489999999</v>
      </c>
      <c r="I104" s="18">
        <v>20872.029299999998</v>
      </c>
    </row>
    <row r="105" spans="1:9" x14ac:dyDescent="0.2">
      <c r="A105" s="4">
        <v>33653</v>
      </c>
      <c r="B105" s="21">
        <v>1.2686999999999999</v>
      </c>
      <c r="C105" s="22">
        <v>128.4</v>
      </c>
      <c r="D105" s="22">
        <v>7.42</v>
      </c>
      <c r="E105" s="10">
        <v>7.93</v>
      </c>
      <c r="F105" s="22">
        <v>5.51</v>
      </c>
      <c r="G105" s="22">
        <v>408.26001000000002</v>
      </c>
      <c r="H105" s="22">
        <v>1690.23999</v>
      </c>
      <c r="I105" s="18">
        <v>20618.300780000001</v>
      </c>
    </row>
    <row r="106" spans="1:9" x14ac:dyDescent="0.2">
      <c r="A106" s="4">
        <v>33654</v>
      </c>
      <c r="B106" s="21">
        <v>1.2625</v>
      </c>
      <c r="C106" s="22">
        <v>128.65</v>
      </c>
      <c r="D106" s="22">
        <v>7.41</v>
      </c>
      <c r="E106" s="10">
        <v>7.92</v>
      </c>
      <c r="F106" s="22">
        <v>5.47</v>
      </c>
      <c r="G106" s="22">
        <v>413.89999399999999</v>
      </c>
      <c r="H106" s="22">
        <v>1711.349976</v>
      </c>
      <c r="I106" s="18">
        <v>20771.91992</v>
      </c>
    </row>
    <row r="107" spans="1:9" x14ac:dyDescent="0.2">
      <c r="A107" s="4">
        <v>33655</v>
      </c>
      <c r="B107" s="21">
        <v>1.2639</v>
      </c>
      <c r="C107" s="22">
        <v>128.72</v>
      </c>
      <c r="D107" s="22">
        <v>7.45</v>
      </c>
      <c r="E107" s="10">
        <v>7.92</v>
      </c>
      <c r="F107" s="22">
        <v>5.45</v>
      </c>
      <c r="G107" s="22">
        <v>411.42999300000002</v>
      </c>
      <c r="H107" s="22">
        <v>1711.290039</v>
      </c>
      <c r="I107" s="18">
        <v>21291.810549999998</v>
      </c>
    </row>
    <row r="108" spans="1:9" x14ac:dyDescent="0.2">
      <c r="A108" s="4">
        <v>33658</v>
      </c>
      <c r="B108" s="21">
        <v>1.2623</v>
      </c>
      <c r="C108" s="22">
        <v>129.1</v>
      </c>
      <c r="D108" s="22">
        <v>7.47</v>
      </c>
      <c r="E108" s="10">
        <v>7.93</v>
      </c>
      <c r="F108" s="22">
        <v>5.49</v>
      </c>
      <c r="G108" s="22">
        <v>412.26998900000001</v>
      </c>
      <c r="H108" s="22">
        <v>1729.8599850000001</v>
      </c>
      <c r="I108" s="18">
        <v>20973.240229999999</v>
      </c>
    </row>
    <row r="109" spans="1:9" x14ac:dyDescent="0.2">
      <c r="A109" s="4">
        <v>33659</v>
      </c>
      <c r="B109" s="21">
        <v>1.2751999999999999</v>
      </c>
      <c r="C109" s="22">
        <v>129.44999999999999</v>
      </c>
      <c r="D109" s="22">
        <v>7.44</v>
      </c>
      <c r="E109" s="10">
        <v>7.91</v>
      </c>
      <c r="F109" s="22">
        <v>5.49</v>
      </c>
      <c r="G109" s="22">
        <v>410.45001200000002</v>
      </c>
      <c r="H109" s="22">
        <v>1716.630005</v>
      </c>
      <c r="I109" s="18">
        <v>21025.550780000001</v>
      </c>
    </row>
    <row r="110" spans="1:9" x14ac:dyDescent="0.2">
      <c r="A110" s="4">
        <v>33660</v>
      </c>
      <c r="B110" s="21">
        <v>1.2614000000000001</v>
      </c>
      <c r="C110" s="22">
        <v>129.68</v>
      </c>
      <c r="D110" s="22">
        <v>7.33</v>
      </c>
      <c r="E110" s="10">
        <v>7.86</v>
      </c>
      <c r="F110" s="22">
        <v>5.47</v>
      </c>
      <c r="G110" s="22">
        <v>415.35000600000001</v>
      </c>
      <c r="H110" s="22">
        <v>1743.3599850000001</v>
      </c>
      <c r="I110" s="18">
        <v>21364.769530000001</v>
      </c>
    </row>
    <row r="111" spans="1:9" x14ac:dyDescent="0.2">
      <c r="A111" s="4">
        <v>33661</v>
      </c>
      <c r="B111" s="21">
        <v>1.2694000000000001</v>
      </c>
      <c r="C111" s="22">
        <v>129.41</v>
      </c>
      <c r="D111" s="22">
        <v>7.35</v>
      </c>
      <c r="E111" s="10">
        <v>7.83</v>
      </c>
      <c r="F111" s="22">
        <v>5.46</v>
      </c>
      <c r="G111" s="22">
        <v>413.85998499999999</v>
      </c>
      <c r="H111" s="22">
        <v>1745.170044</v>
      </c>
      <c r="I111" s="18">
        <v>21333.699219999999</v>
      </c>
    </row>
    <row r="112" spans="1:9" x14ac:dyDescent="0.2">
      <c r="A112" s="4">
        <v>33662</v>
      </c>
      <c r="B112" s="21">
        <v>1.2732000000000001</v>
      </c>
      <c r="C112" s="22">
        <v>129.15</v>
      </c>
      <c r="D112" s="22">
        <v>7.27</v>
      </c>
      <c r="E112" s="10">
        <v>7.83</v>
      </c>
      <c r="F112" s="22">
        <v>5.46</v>
      </c>
      <c r="G112" s="22">
        <v>412.70001200000002</v>
      </c>
      <c r="H112" s="22">
        <v>1746.76001</v>
      </c>
      <c r="I112" s="18">
        <v>21338.810549999998</v>
      </c>
    </row>
    <row r="113" spans="1:9" x14ac:dyDescent="0.2">
      <c r="A113" s="4">
        <v>33665</v>
      </c>
      <c r="B113" s="21">
        <v>1.2670999999999999</v>
      </c>
      <c r="C113" s="22">
        <v>129.63</v>
      </c>
      <c r="D113" s="22">
        <v>7.38</v>
      </c>
      <c r="E113" s="10">
        <v>7.84</v>
      </c>
      <c r="F113" s="22">
        <v>5.49</v>
      </c>
      <c r="G113" s="22">
        <v>412.45001200000002</v>
      </c>
      <c r="H113" s="22">
        <v>1749.290039</v>
      </c>
      <c r="I113" s="18">
        <v>21487.820309999999</v>
      </c>
    </row>
    <row r="114" spans="1:9" x14ac:dyDescent="0.2">
      <c r="A114" s="4">
        <v>33666</v>
      </c>
      <c r="B114" s="21">
        <v>1.2591000000000001</v>
      </c>
      <c r="C114" s="22">
        <v>130.84</v>
      </c>
      <c r="D114" s="22">
        <v>7.43</v>
      </c>
      <c r="E114" s="10">
        <v>7.85</v>
      </c>
      <c r="F114" s="22">
        <v>5.53</v>
      </c>
      <c r="G114" s="22">
        <v>412.85000600000001</v>
      </c>
      <c r="H114" s="22">
        <v>1763.8599850000001</v>
      </c>
      <c r="I114" s="18">
        <v>21051.710940000001</v>
      </c>
    </row>
    <row r="115" spans="1:9" x14ac:dyDescent="0.2">
      <c r="A115" s="4">
        <v>33667</v>
      </c>
      <c r="B115" s="21">
        <v>1.2503</v>
      </c>
      <c r="C115" s="22">
        <v>132.11000000000001</v>
      </c>
      <c r="D115" s="22">
        <v>7.43</v>
      </c>
      <c r="E115" s="10">
        <v>7.84</v>
      </c>
      <c r="F115" s="22">
        <v>5.55</v>
      </c>
      <c r="G115" s="22">
        <v>409.32998700000002</v>
      </c>
      <c r="H115" s="22">
        <v>1762.2700199999999</v>
      </c>
      <c r="I115" s="18">
        <v>21105.41992</v>
      </c>
    </row>
    <row r="116" spans="1:9" x14ac:dyDescent="0.2">
      <c r="A116" s="4">
        <v>33668</v>
      </c>
      <c r="B116" s="21">
        <v>1.2475000000000001</v>
      </c>
      <c r="C116" s="22">
        <v>131.85</v>
      </c>
      <c r="D116" s="22">
        <v>7.51</v>
      </c>
      <c r="E116" s="10">
        <v>7.88</v>
      </c>
      <c r="F116" s="22">
        <v>5.5</v>
      </c>
      <c r="G116" s="22">
        <v>406.51001000000002</v>
      </c>
      <c r="H116" s="22">
        <v>1762.290039</v>
      </c>
      <c r="I116" s="18">
        <v>20864.41992</v>
      </c>
    </row>
    <row r="117" spans="1:9" x14ac:dyDescent="0.2">
      <c r="A117" s="4">
        <v>33669</v>
      </c>
      <c r="B117" s="21">
        <v>1.2468999999999999</v>
      </c>
      <c r="C117" s="22">
        <v>131.76</v>
      </c>
      <c r="D117" s="22">
        <v>7.48</v>
      </c>
      <c r="E117" s="10">
        <v>7.91</v>
      </c>
      <c r="F117" s="22">
        <v>5.52</v>
      </c>
      <c r="G117" s="22">
        <v>404.44000199999999</v>
      </c>
      <c r="H117" s="22">
        <v>1746.7700199999999</v>
      </c>
      <c r="I117" s="18">
        <v>20992.990229999999</v>
      </c>
    </row>
    <row r="118" spans="1:9" x14ac:dyDescent="0.2">
      <c r="A118" s="4">
        <v>33672</v>
      </c>
      <c r="B118" s="21">
        <v>1.2533000000000001</v>
      </c>
      <c r="C118" s="22">
        <v>131.91999999999999</v>
      </c>
      <c r="D118" s="22">
        <v>7.42</v>
      </c>
      <c r="E118" s="10">
        <v>7.9</v>
      </c>
      <c r="F118" s="22">
        <v>5.5</v>
      </c>
      <c r="G118" s="22">
        <v>405.209991</v>
      </c>
      <c r="H118" s="22">
        <v>1753.5</v>
      </c>
      <c r="I118" s="18">
        <v>20797.679690000001</v>
      </c>
    </row>
    <row r="119" spans="1:9" x14ac:dyDescent="0.2">
      <c r="A119" s="4">
        <v>33673</v>
      </c>
      <c r="B119" s="21">
        <v>1.2491000000000001</v>
      </c>
      <c r="C119" s="22">
        <v>132.88</v>
      </c>
      <c r="D119" s="22">
        <v>7.43</v>
      </c>
      <c r="E119" s="10">
        <v>7.87</v>
      </c>
      <c r="F119" s="22">
        <v>5.45</v>
      </c>
      <c r="G119" s="22">
        <v>406.89001500000001</v>
      </c>
      <c r="H119" s="22">
        <v>1753.209961</v>
      </c>
      <c r="I119" s="18">
        <v>20854.589840000001</v>
      </c>
    </row>
    <row r="120" spans="1:9" x14ac:dyDescent="0.2">
      <c r="A120" s="4">
        <v>33674</v>
      </c>
      <c r="B120" s="21">
        <v>1.2527999999999999</v>
      </c>
      <c r="C120" s="22">
        <v>133.44999999999999</v>
      </c>
      <c r="D120" s="22">
        <v>7.51</v>
      </c>
      <c r="E120" s="10">
        <v>7.9</v>
      </c>
      <c r="F120" s="22">
        <v>5.46</v>
      </c>
      <c r="G120" s="22">
        <v>404.02999899999998</v>
      </c>
      <c r="H120" s="22">
        <v>1739.880005</v>
      </c>
      <c r="I120" s="18">
        <v>20592.140630000002</v>
      </c>
    </row>
    <row r="121" spans="1:9" x14ac:dyDescent="0.2">
      <c r="A121" s="4">
        <v>33675</v>
      </c>
      <c r="B121" s="21">
        <v>1.2439</v>
      </c>
      <c r="C121" s="22">
        <v>134.25</v>
      </c>
      <c r="D121" s="22">
        <v>7.62</v>
      </c>
      <c r="E121" s="10">
        <v>7.93</v>
      </c>
      <c r="F121" s="22">
        <v>5.48</v>
      </c>
      <c r="G121" s="22">
        <v>403.89001500000001</v>
      </c>
      <c r="H121" s="22">
        <v>1723.920044</v>
      </c>
      <c r="I121" s="18">
        <v>20561.880860000001</v>
      </c>
    </row>
    <row r="122" spans="1:9" x14ac:dyDescent="0.2">
      <c r="A122" s="4">
        <v>33676</v>
      </c>
      <c r="B122" s="21">
        <v>1.2495000000000001</v>
      </c>
      <c r="C122" s="22">
        <v>133.6</v>
      </c>
      <c r="D122" s="22">
        <v>7.71</v>
      </c>
      <c r="E122" s="10">
        <v>7.93</v>
      </c>
      <c r="F122" s="22">
        <v>5.46</v>
      </c>
      <c r="G122" s="22">
        <v>405.83999599999999</v>
      </c>
      <c r="H122" s="22">
        <v>1734.420044</v>
      </c>
      <c r="I122" s="18">
        <v>20456.060549999998</v>
      </c>
    </row>
    <row r="123" spans="1:9" x14ac:dyDescent="0.2">
      <c r="A123" s="4">
        <v>33679</v>
      </c>
      <c r="B123" s="21">
        <v>1.2516</v>
      </c>
      <c r="C123" s="22">
        <v>133.97999999999999</v>
      </c>
      <c r="D123" s="22">
        <v>7.69</v>
      </c>
      <c r="E123" s="10">
        <v>7.94</v>
      </c>
      <c r="F123" s="22">
        <v>5.46</v>
      </c>
      <c r="G123" s="22">
        <v>406.39001500000001</v>
      </c>
      <c r="H123" s="22">
        <v>1723.130005</v>
      </c>
      <c r="I123" s="18">
        <v>19837.160159999999</v>
      </c>
    </row>
    <row r="124" spans="1:9" x14ac:dyDescent="0.2">
      <c r="A124" s="4">
        <v>33680</v>
      </c>
      <c r="B124" s="21">
        <v>1.2622</v>
      </c>
      <c r="C124" s="22">
        <v>133.44999999999999</v>
      </c>
      <c r="D124" s="22">
        <v>7.62</v>
      </c>
      <c r="E124" s="10">
        <v>7.93</v>
      </c>
      <c r="F124" s="22">
        <v>5.42</v>
      </c>
      <c r="G124" s="22">
        <v>409.57998700000002</v>
      </c>
      <c r="H124" s="22">
        <v>1732.920044</v>
      </c>
      <c r="I124" s="18">
        <v>19917.630860000001</v>
      </c>
    </row>
    <row r="125" spans="1:9" x14ac:dyDescent="0.2">
      <c r="A125" s="4">
        <v>33681</v>
      </c>
      <c r="B125" s="21">
        <v>1.262</v>
      </c>
      <c r="C125" s="22">
        <v>132.05000000000001</v>
      </c>
      <c r="D125" s="22">
        <v>7.62</v>
      </c>
      <c r="E125" s="10">
        <v>7.91</v>
      </c>
      <c r="F125" s="22">
        <v>5.42</v>
      </c>
      <c r="G125" s="22">
        <v>409.14999399999999</v>
      </c>
      <c r="H125" s="22">
        <v>1729.8900149999999</v>
      </c>
      <c r="I125" s="18">
        <v>19764.310549999998</v>
      </c>
    </row>
    <row r="126" spans="1:9" x14ac:dyDescent="0.2">
      <c r="A126" s="4">
        <v>33682</v>
      </c>
      <c r="B126" s="21">
        <v>1.2483</v>
      </c>
      <c r="C126" s="22">
        <v>133.27000000000001</v>
      </c>
      <c r="D126" s="22">
        <v>7.57</v>
      </c>
      <c r="E126" s="10">
        <v>7.94</v>
      </c>
      <c r="F126" s="22">
        <v>5.38</v>
      </c>
      <c r="G126" s="22">
        <v>409.79998799999998</v>
      </c>
      <c r="H126" s="22">
        <v>1725.73999</v>
      </c>
      <c r="I126" s="18">
        <v>20185.089840000001</v>
      </c>
    </row>
    <row r="127" spans="1:9" x14ac:dyDescent="0.2">
      <c r="A127" s="4">
        <v>33683</v>
      </c>
      <c r="B127" s="21">
        <v>1.2383999999999999</v>
      </c>
      <c r="C127" s="22">
        <v>134.15</v>
      </c>
      <c r="D127" s="22">
        <v>7.64</v>
      </c>
      <c r="E127" s="10">
        <v>7.96</v>
      </c>
      <c r="F127" s="22">
        <v>5.38</v>
      </c>
      <c r="G127" s="22">
        <v>411.29998799999998</v>
      </c>
      <c r="H127" s="22">
        <v>1730.900024</v>
      </c>
      <c r="I127" s="18">
        <v>20185.089840000001</v>
      </c>
    </row>
    <row r="128" spans="1:9" x14ac:dyDescent="0.2">
      <c r="A128" s="4">
        <v>33686</v>
      </c>
      <c r="B128" s="21">
        <v>1.252</v>
      </c>
      <c r="C128" s="22">
        <v>133.69999999999999</v>
      </c>
      <c r="D128" s="22">
        <v>7.62</v>
      </c>
      <c r="E128" s="10">
        <v>8.0299999999999994</v>
      </c>
      <c r="F128" s="22">
        <v>5.38</v>
      </c>
      <c r="G128" s="22">
        <v>409.91000400000001</v>
      </c>
      <c r="H128" s="22">
        <v>1714.170044</v>
      </c>
      <c r="I128" s="18">
        <v>20239.599610000001</v>
      </c>
    </row>
    <row r="129" spans="1:9" x14ac:dyDescent="0.2">
      <c r="A129" s="4">
        <v>33687</v>
      </c>
      <c r="B129" s="21">
        <v>1.2516</v>
      </c>
      <c r="C129" s="22">
        <v>133.69</v>
      </c>
      <c r="D129" s="22">
        <v>7.53</v>
      </c>
      <c r="E129" s="10">
        <v>8.0399999999999991</v>
      </c>
      <c r="F129" s="22">
        <v>5.39</v>
      </c>
      <c r="G129" s="22">
        <v>408.88000499999998</v>
      </c>
      <c r="H129" s="22">
        <v>1716.1999510000001</v>
      </c>
      <c r="I129" s="18">
        <v>19891.570309999999</v>
      </c>
    </row>
    <row r="130" spans="1:9" x14ac:dyDescent="0.2">
      <c r="A130" s="4">
        <v>33688</v>
      </c>
      <c r="B130" s="21">
        <v>1.2595000000000001</v>
      </c>
      <c r="C130" s="22">
        <v>133.35</v>
      </c>
      <c r="D130" s="22">
        <v>7.53</v>
      </c>
      <c r="E130" s="10">
        <v>8.0299999999999994</v>
      </c>
      <c r="F130" s="22">
        <v>5.39</v>
      </c>
      <c r="G130" s="22">
        <v>407.51998900000001</v>
      </c>
      <c r="H130" s="22">
        <v>1719.0600589999999</v>
      </c>
      <c r="I130" s="18">
        <v>20226.779299999998</v>
      </c>
    </row>
    <row r="131" spans="1:9" x14ac:dyDescent="0.2">
      <c r="A131" s="4">
        <v>33689</v>
      </c>
      <c r="B131" s="21">
        <v>1.2575000000000001</v>
      </c>
      <c r="C131" s="22">
        <v>133.94999999999999</v>
      </c>
      <c r="D131" s="22">
        <v>7.57</v>
      </c>
      <c r="E131" s="10">
        <v>8.01</v>
      </c>
      <c r="F131" s="22">
        <v>5.38</v>
      </c>
      <c r="G131" s="22">
        <v>407.85998499999999</v>
      </c>
      <c r="H131" s="22">
        <v>1718.209961</v>
      </c>
      <c r="I131" s="18">
        <v>19885.490229999999</v>
      </c>
    </row>
    <row r="132" spans="1:9" x14ac:dyDescent="0.2">
      <c r="A132" s="4">
        <v>33690</v>
      </c>
      <c r="B132" s="21">
        <v>1.2670999999999999</v>
      </c>
      <c r="C132" s="22">
        <v>133.12</v>
      </c>
      <c r="D132" s="22">
        <v>7.54</v>
      </c>
      <c r="E132" s="10">
        <v>8.0399999999999991</v>
      </c>
      <c r="F132" s="22">
        <v>5.35</v>
      </c>
      <c r="G132" s="22">
        <v>403.5</v>
      </c>
      <c r="H132" s="22">
        <v>1698.839966</v>
      </c>
      <c r="I132" s="18">
        <v>19636.990229999999</v>
      </c>
    </row>
    <row r="133" spans="1:9" x14ac:dyDescent="0.2">
      <c r="A133" s="4">
        <v>33693</v>
      </c>
      <c r="B133" s="21">
        <v>1.2622</v>
      </c>
      <c r="C133" s="22">
        <v>133.06</v>
      </c>
      <c r="D133" s="22">
        <v>7.54</v>
      </c>
      <c r="E133" s="10">
        <v>8.0299999999999994</v>
      </c>
      <c r="F133" s="22">
        <v>5.35</v>
      </c>
      <c r="G133" s="22">
        <v>403</v>
      </c>
      <c r="H133" s="22">
        <v>1714.76001</v>
      </c>
      <c r="I133" s="18">
        <v>19669.310549999998</v>
      </c>
    </row>
    <row r="134" spans="1:9" x14ac:dyDescent="0.2">
      <c r="A134" s="4">
        <v>33694</v>
      </c>
      <c r="B134" s="21">
        <v>1.2646999999999999</v>
      </c>
      <c r="C134" s="22">
        <v>132.91999999999999</v>
      </c>
      <c r="D134" s="22">
        <v>7.54</v>
      </c>
      <c r="E134" s="10">
        <v>8</v>
      </c>
      <c r="F134" s="22">
        <v>5.38</v>
      </c>
      <c r="G134" s="22">
        <v>403.69000199999999</v>
      </c>
      <c r="H134" s="22">
        <v>1718.349976</v>
      </c>
      <c r="I134" s="18">
        <v>19345.949219999999</v>
      </c>
    </row>
    <row r="135" spans="1:9" x14ac:dyDescent="0.2">
      <c r="A135" s="4">
        <v>33695</v>
      </c>
      <c r="B135" s="21">
        <v>1.2595000000000001</v>
      </c>
      <c r="C135" s="22">
        <v>134.5</v>
      </c>
      <c r="D135" s="22">
        <v>7.46</v>
      </c>
      <c r="E135" s="10">
        <v>8.01</v>
      </c>
      <c r="F135" s="22">
        <v>5.57</v>
      </c>
      <c r="G135" s="22">
        <v>404.23001099999999</v>
      </c>
      <c r="H135" s="22">
        <v>1706.6899410000001</v>
      </c>
      <c r="I135" s="18">
        <v>18581.789059999999</v>
      </c>
    </row>
    <row r="136" spans="1:9" x14ac:dyDescent="0.2">
      <c r="A136" s="4">
        <v>33696</v>
      </c>
      <c r="B136" s="21">
        <v>1.2653000000000001</v>
      </c>
      <c r="C136" s="22">
        <v>133.83000000000001</v>
      </c>
      <c r="D136" s="22">
        <v>7.47</v>
      </c>
      <c r="E136" s="10">
        <v>8.0299999999999994</v>
      </c>
      <c r="F136" s="22">
        <v>5.68</v>
      </c>
      <c r="G136" s="22">
        <v>400.5</v>
      </c>
      <c r="H136" s="22">
        <v>1723.369995</v>
      </c>
      <c r="I136" s="18">
        <v>18286.029299999998</v>
      </c>
    </row>
    <row r="137" spans="1:9" x14ac:dyDescent="0.2">
      <c r="A137" s="4">
        <v>33697</v>
      </c>
      <c r="B137" s="21">
        <v>1.2767999999999999</v>
      </c>
      <c r="C137" s="22">
        <v>133.25</v>
      </c>
      <c r="D137" s="22">
        <v>7.42</v>
      </c>
      <c r="E137" s="10">
        <v>8.02</v>
      </c>
      <c r="F137" s="22">
        <v>5.79</v>
      </c>
      <c r="G137" s="22">
        <v>401.54998799999998</v>
      </c>
      <c r="H137" s="22">
        <v>1716.1800539999999</v>
      </c>
      <c r="I137" s="18">
        <v>18559.710940000001</v>
      </c>
    </row>
    <row r="138" spans="1:9" x14ac:dyDescent="0.2">
      <c r="A138" s="4">
        <v>33700</v>
      </c>
      <c r="B138" s="21">
        <v>1.2854000000000001</v>
      </c>
      <c r="C138" s="22">
        <v>132.72</v>
      </c>
      <c r="D138" s="22">
        <v>7.41</v>
      </c>
      <c r="E138" s="10">
        <v>7.96</v>
      </c>
      <c r="F138" s="22">
        <v>5.72</v>
      </c>
      <c r="G138" s="22">
        <v>405.58999599999999</v>
      </c>
      <c r="H138" s="22">
        <v>1738.780029</v>
      </c>
      <c r="I138" s="18">
        <v>18436.369139999999</v>
      </c>
    </row>
    <row r="139" spans="1:9" x14ac:dyDescent="0.2">
      <c r="A139" s="4">
        <v>33701</v>
      </c>
      <c r="B139" s="21">
        <v>1.2794000000000001</v>
      </c>
      <c r="C139" s="22">
        <v>133.28</v>
      </c>
      <c r="D139" s="22">
        <v>7.41</v>
      </c>
      <c r="E139" s="10">
        <v>7.94</v>
      </c>
      <c r="F139" s="22">
        <v>5.75</v>
      </c>
      <c r="G139" s="22">
        <v>398.05999800000001</v>
      </c>
      <c r="H139" s="22">
        <v>1737.410034</v>
      </c>
      <c r="I139" s="18">
        <v>17791.550780000001</v>
      </c>
    </row>
    <row r="140" spans="1:9" x14ac:dyDescent="0.2">
      <c r="A140" s="4">
        <v>33702</v>
      </c>
      <c r="B140" s="21">
        <v>1.2822</v>
      </c>
      <c r="C140" s="22">
        <v>132.6</v>
      </c>
      <c r="D140" s="22">
        <v>7.44</v>
      </c>
      <c r="E140" s="10">
        <v>7.91</v>
      </c>
      <c r="F140" s="22">
        <v>5.71</v>
      </c>
      <c r="G140" s="22">
        <v>394.5</v>
      </c>
      <c r="H140" s="22">
        <v>1714.7700199999999</v>
      </c>
      <c r="I140" s="18">
        <v>17175.529299999998</v>
      </c>
    </row>
    <row r="141" spans="1:9" x14ac:dyDescent="0.2">
      <c r="A141" s="4">
        <v>33703</v>
      </c>
      <c r="B141" s="21">
        <v>1.2745</v>
      </c>
      <c r="C141" s="22">
        <v>132.22999999999999</v>
      </c>
      <c r="D141" s="22">
        <v>7.35</v>
      </c>
      <c r="E141" s="10">
        <v>7.92</v>
      </c>
      <c r="F141" s="22">
        <v>5.74</v>
      </c>
      <c r="G141" s="22">
        <v>400.64001500000001</v>
      </c>
      <c r="H141" s="22">
        <v>1724.23999</v>
      </c>
      <c r="I141" s="18">
        <v>16598.150389999999</v>
      </c>
    </row>
    <row r="142" spans="1:9" x14ac:dyDescent="0.2">
      <c r="A142" s="4">
        <v>33704</v>
      </c>
      <c r="B142" s="21">
        <v>1.2834000000000001</v>
      </c>
      <c r="C142" s="22">
        <v>132.9</v>
      </c>
      <c r="D142" s="22">
        <v>7.37</v>
      </c>
      <c r="E142" s="10">
        <v>7.87</v>
      </c>
      <c r="F142" s="22">
        <v>5.64</v>
      </c>
      <c r="G142" s="22">
        <v>404.290009</v>
      </c>
      <c r="H142" s="22">
        <v>1733.7700199999999</v>
      </c>
      <c r="I142" s="18">
        <v>17850.660159999999</v>
      </c>
    </row>
    <row r="143" spans="1:9" x14ac:dyDescent="0.2">
      <c r="A143" s="4">
        <v>33707</v>
      </c>
      <c r="B143" s="21">
        <v>1.2636000000000001</v>
      </c>
      <c r="C143" s="22">
        <v>133.28</v>
      </c>
      <c r="D143" s="22">
        <v>7.33</v>
      </c>
      <c r="E143" s="10">
        <v>7.89</v>
      </c>
      <c r="F143" s="22">
        <v>5.68</v>
      </c>
      <c r="G143" s="22">
        <v>406.07998700000002</v>
      </c>
      <c r="H143" s="22">
        <v>1729.959961</v>
      </c>
      <c r="I143" s="18">
        <v>17236.650389999999</v>
      </c>
    </row>
    <row r="144" spans="1:9" x14ac:dyDescent="0.2">
      <c r="A144" s="4">
        <v>33708</v>
      </c>
      <c r="B144" s="21">
        <v>1.2678</v>
      </c>
      <c r="C144" s="22">
        <v>132.79</v>
      </c>
      <c r="D144" s="22">
        <v>7.35</v>
      </c>
      <c r="E144" s="10">
        <v>7.9</v>
      </c>
      <c r="F144" s="22">
        <v>5.68</v>
      </c>
      <c r="G144" s="22">
        <v>412.39001500000001</v>
      </c>
      <c r="H144" s="22">
        <v>1734.459961</v>
      </c>
      <c r="I144" s="18">
        <v>17439.58008</v>
      </c>
    </row>
    <row r="145" spans="1:9" x14ac:dyDescent="0.2">
      <c r="A145" s="4">
        <v>33709</v>
      </c>
      <c r="B145" s="21">
        <v>1.2596000000000001</v>
      </c>
      <c r="C145" s="22">
        <v>133.38999999999999</v>
      </c>
      <c r="D145" s="22">
        <v>7.37</v>
      </c>
      <c r="E145" s="10">
        <v>7.88</v>
      </c>
      <c r="F145" s="22">
        <v>5.65</v>
      </c>
      <c r="G145" s="22">
        <v>416.27999899999998</v>
      </c>
      <c r="H145" s="22">
        <v>1744.349976</v>
      </c>
      <c r="I145" s="18">
        <v>17948.009770000001</v>
      </c>
    </row>
    <row r="146" spans="1:9" x14ac:dyDescent="0.2">
      <c r="A146" s="4">
        <v>33710</v>
      </c>
      <c r="B146" s="21">
        <v>1.2514000000000001</v>
      </c>
      <c r="C146" s="22">
        <v>133.9</v>
      </c>
      <c r="D146" s="22">
        <v>7.45</v>
      </c>
      <c r="E146" s="10">
        <v>7.9</v>
      </c>
      <c r="F146" s="22">
        <v>5.66</v>
      </c>
      <c r="G146" s="22">
        <v>416.040009</v>
      </c>
      <c r="H146" s="22">
        <v>1746.880005</v>
      </c>
      <c r="I146" s="18">
        <v>17959.759770000001</v>
      </c>
    </row>
    <row r="147" spans="1:9" x14ac:dyDescent="0.2">
      <c r="A147" s="4">
        <v>33711</v>
      </c>
      <c r="B147" s="21">
        <v>1.2514000000000001</v>
      </c>
      <c r="C147" s="22">
        <v>134</v>
      </c>
      <c r="D147" s="22">
        <v>7.45</v>
      </c>
      <c r="E147" s="10">
        <v>7.9</v>
      </c>
      <c r="F147" s="22">
        <v>5.7</v>
      </c>
      <c r="G147" s="22">
        <v>409.02</v>
      </c>
      <c r="H147" s="22">
        <v>1746.880005</v>
      </c>
      <c r="I147" s="18">
        <v>17580.689450000002</v>
      </c>
    </row>
    <row r="148" spans="1:9" x14ac:dyDescent="0.2">
      <c r="A148" s="4">
        <v>33714</v>
      </c>
      <c r="B148" s="21">
        <v>1.2514000000000001</v>
      </c>
      <c r="C148" s="22">
        <v>134.5</v>
      </c>
      <c r="D148" s="22">
        <v>7.59</v>
      </c>
      <c r="E148" s="10">
        <v>7.9</v>
      </c>
      <c r="F148" s="22">
        <v>5.79</v>
      </c>
      <c r="G148" s="22">
        <v>410.17999300000002</v>
      </c>
      <c r="H148" s="22">
        <v>1746.880005</v>
      </c>
      <c r="I148" s="18">
        <v>17071.359380000002</v>
      </c>
    </row>
    <row r="149" spans="1:9" x14ac:dyDescent="0.2">
      <c r="A149" s="4">
        <v>33715</v>
      </c>
      <c r="B149" s="21">
        <v>1.2538</v>
      </c>
      <c r="C149" s="22">
        <v>134.22999999999999</v>
      </c>
      <c r="D149" s="22">
        <v>7.58</v>
      </c>
      <c r="E149" s="10">
        <v>7.93</v>
      </c>
      <c r="F149" s="22">
        <v>5.77</v>
      </c>
      <c r="G149" s="22">
        <v>410.26001000000002</v>
      </c>
      <c r="H149" s="22">
        <v>1747.469971</v>
      </c>
      <c r="I149" s="18">
        <v>16787.33008</v>
      </c>
    </row>
    <row r="150" spans="1:9" x14ac:dyDescent="0.2">
      <c r="A150" s="4">
        <v>33716</v>
      </c>
      <c r="B150" s="21">
        <v>1.2536</v>
      </c>
      <c r="C150" s="22">
        <v>134.15</v>
      </c>
      <c r="D150" s="22">
        <v>7.57</v>
      </c>
      <c r="E150" s="10">
        <v>7.93</v>
      </c>
      <c r="F150" s="22">
        <v>5.78</v>
      </c>
      <c r="G150" s="22">
        <v>409.80999800000001</v>
      </c>
      <c r="H150" s="22">
        <v>1753.099976</v>
      </c>
      <c r="I150" s="18">
        <v>16839.119139999999</v>
      </c>
    </row>
    <row r="151" spans="1:9" x14ac:dyDescent="0.2">
      <c r="A151" s="4">
        <v>33717</v>
      </c>
      <c r="B151" s="21">
        <v>1.2565999999999999</v>
      </c>
      <c r="C151" s="22">
        <v>134.53</v>
      </c>
      <c r="D151" s="22">
        <v>7.59</v>
      </c>
      <c r="E151" s="10">
        <v>7.92</v>
      </c>
      <c r="F151" s="22">
        <v>5.75</v>
      </c>
      <c r="G151" s="22">
        <v>411.60000600000001</v>
      </c>
      <c r="H151" s="22">
        <v>1745.170044</v>
      </c>
      <c r="I151" s="18">
        <v>17402.050780000001</v>
      </c>
    </row>
    <row r="152" spans="1:9" x14ac:dyDescent="0.2">
      <c r="A152" s="4">
        <v>33718</v>
      </c>
      <c r="B152" s="21">
        <v>1.2634000000000001</v>
      </c>
      <c r="C152" s="22">
        <v>134.53</v>
      </c>
      <c r="D152" s="22">
        <v>7.55</v>
      </c>
      <c r="E152" s="10">
        <v>7.98</v>
      </c>
      <c r="F152" s="22">
        <v>5.78</v>
      </c>
      <c r="G152" s="22">
        <v>409.01998900000001</v>
      </c>
      <c r="H152" s="22">
        <v>1745.719971</v>
      </c>
      <c r="I152" s="18">
        <v>17542.449219999999</v>
      </c>
    </row>
    <row r="153" spans="1:9" x14ac:dyDescent="0.2">
      <c r="A153" s="4">
        <v>33721</v>
      </c>
      <c r="B153" s="21">
        <v>1.2649999999999999</v>
      </c>
      <c r="C153" s="22">
        <v>133.13</v>
      </c>
      <c r="D153" s="22">
        <v>7.6</v>
      </c>
      <c r="E153" s="10">
        <v>8</v>
      </c>
      <c r="F153" s="22">
        <v>5.84</v>
      </c>
      <c r="G153" s="22">
        <v>408.45001200000002</v>
      </c>
      <c r="H153" s="22">
        <v>1742.920044</v>
      </c>
      <c r="I153" s="18">
        <v>17450.519530000001</v>
      </c>
    </row>
    <row r="154" spans="1:9" x14ac:dyDescent="0.2">
      <c r="A154" s="4">
        <v>33722</v>
      </c>
      <c r="B154" s="21">
        <v>1.2617</v>
      </c>
      <c r="C154" s="22">
        <v>133.33000000000001</v>
      </c>
      <c r="D154" s="22">
        <v>7.57</v>
      </c>
      <c r="E154" s="10">
        <v>7.98</v>
      </c>
      <c r="F154" s="22">
        <v>5.85</v>
      </c>
      <c r="G154" s="22">
        <v>409.10998499999999</v>
      </c>
      <c r="H154" s="22">
        <v>1731.6800539999999</v>
      </c>
      <c r="I154" s="18">
        <v>17527.400389999999</v>
      </c>
    </row>
    <row r="155" spans="1:9" x14ac:dyDescent="0.2">
      <c r="A155" s="4">
        <v>33723</v>
      </c>
      <c r="B155" s="21">
        <v>1.2612000000000001</v>
      </c>
      <c r="C155" s="22">
        <v>133.5</v>
      </c>
      <c r="D155" s="22">
        <v>7.6</v>
      </c>
      <c r="E155" s="10">
        <v>7.99</v>
      </c>
      <c r="F155" s="22">
        <v>5.85</v>
      </c>
      <c r="G155" s="22">
        <v>412.01998900000001</v>
      </c>
      <c r="H155" s="22">
        <v>1731.1800539999999</v>
      </c>
      <c r="I155" s="18">
        <v>17527.400389999999</v>
      </c>
    </row>
    <row r="156" spans="1:9" x14ac:dyDescent="0.2">
      <c r="A156" s="4">
        <v>33724</v>
      </c>
      <c r="B156" s="21">
        <v>1.2615000000000001</v>
      </c>
      <c r="C156" s="22">
        <v>133.30000000000001</v>
      </c>
      <c r="D156" s="22">
        <v>7.61</v>
      </c>
      <c r="E156" s="10">
        <v>8</v>
      </c>
      <c r="F156" s="22">
        <v>5.87</v>
      </c>
      <c r="G156" s="22">
        <v>414.95001200000002</v>
      </c>
      <c r="H156" s="22">
        <v>1728.089966</v>
      </c>
      <c r="I156" s="18">
        <v>17390.710940000001</v>
      </c>
    </row>
    <row r="157" spans="1:9" x14ac:dyDescent="0.2">
      <c r="A157" s="4">
        <v>33725</v>
      </c>
      <c r="B157" s="21">
        <v>1.2709999999999999</v>
      </c>
      <c r="C157" s="22">
        <v>132.75</v>
      </c>
      <c r="D157" s="22">
        <v>7.56</v>
      </c>
      <c r="E157" s="10">
        <v>8</v>
      </c>
      <c r="F157" s="22">
        <v>5.85</v>
      </c>
      <c r="G157" s="22">
        <v>412.52999899999998</v>
      </c>
      <c r="H157" s="22">
        <v>1728.089966</v>
      </c>
      <c r="I157" s="18">
        <v>17303.390630000002</v>
      </c>
    </row>
    <row r="158" spans="1:9" x14ac:dyDescent="0.2">
      <c r="A158" s="4">
        <v>33728</v>
      </c>
      <c r="B158" s="21">
        <v>1.2709999999999999</v>
      </c>
      <c r="C158" s="22">
        <v>132.69999999999999</v>
      </c>
      <c r="D158" s="22">
        <v>7.58</v>
      </c>
      <c r="E158" s="10">
        <v>8</v>
      </c>
      <c r="F158" s="22">
        <v>5.85</v>
      </c>
      <c r="G158" s="22">
        <v>416.91000400000001</v>
      </c>
      <c r="H158" s="22">
        <v>1731.290039</v>
      </c>
      <c r="I158" s="18">
        <v>17303.390630000002</v>
      </c>
    </row>
    <row r="159" spans="1:9" x14ac:dyDescent="0.2">
      <c r="A159" s="4">
        <v>33729</v>
      </c>
      <c r="B159" s="21">
        <v>1.2745</v>
      </c>
      <c r="C159" s="22">
        <v>133.07</v>
      </c>
      <c r="D159" s="22">
        <v>7.56</v>
      </c>
      <c r="E159" s="10">
        <v>8.0399999999999991</v>
      </c>
      <c r="F159" s="22">
        <v>5.85</v>
      </c>
      <c r="G159" s="22">
        <v>416.83999599999999</v>
      </c>
      <c r="H159" s="22">
        <v>1733.8199460000001</v>
      </c>
      <c r="I159" s="18">
        <v>17303.390630000002</v>
      </c>
    </row>
    <row r="160" spans="1:9" x14ac:dyDescent="0.2">
      <c r="A160" s="4">
        <v>33730</v>
      </c>
      <c r="B160" s="21">
        <v>1.2785</v>
      </c>
      <c r="C160" s="22">
        <v>132.5</v>
      </c>
      <c r="D160" s="22">
        <v>7.46</v>
      </c>
      <c r="E160" s="10">
        <v>8.01</v>
      </c>
      <c r="F160" s="22">
        <v>5.81</v>
      </c>
      <c r="G160" s="22">
        <v>416.790009</v>
      </c>
      <c r="H160" s="22">
        <v>1745.780029</v>
      </c>
      <c r="I160" s="18">
        <v>17878.660159999999</v>
      </c>
    </row>
    <row r="161" spans="1:9" x14ac:dyDescent="0.2">
      <c r="A161" s="4">
        <v>33731</v>
      </c>
      <c r="B161" s="21">
        <v>1.2767999999999999</v>
      </c>
      <c r="C161" s="22">
        <v>132.69999999999999</v>
      </c>
      <c r="D161" s="22">
        <v>7.49</v>
      </c>
      <c r="E161" s="10">
        <v>7.96</v>
      </c>
      <c r="F161" s="22">
        <v>5.79</v>
      </c>
      <c r="G161" s="22">
        <v>415.85000600000001</v>
      </c>
      <c r="H161" s="22">
        <v>1752.5699460000001</v>
      </c>
      <c r="I161" s="18">
        <v>18410.880860000001</v>
      </c>
    </row>
    <row r="162" spans="1:9" x14ac:dyDescent="0.2">
      <c r="A162" s="4">
        <v>33732</v>
      </c>
      <c r="B162" s="21">
        <v>1.2685999999999999</v>
      </c>
      <c r="C162" s="22">
        <v>133.4</v>
      </c>
      <c r="D162" s="22">
        <v>7.41</v>
      </c>
      <c r="E162" s="10">
        <v>7.96</v>
      </c>
      <c r="F162" s="22">
        <v>5.78</v>
      </c>
      <c r="G162" s="22">
        <v>416.04998799999998</v>
      </c>
      <c r="H162" s="22">
        <v>1748.130005</v>
      </c>
      <c r="I162" s="18">
        <v>18375.949219999999</v>
      </c>
    </row>
    <row r="163" spans="1:9" x14ac:dyDescent="0.2">
      <c r="A163" s="4">
        <v>33735</v>
      </c>
      <c r="B163" s="21">
        <v>1.2737000000000001</v>
      </c>
      <c r="C163" s="22">
        <v>133.16999999999999</v>
      </c>
      <c r="D163" s="22">
        <v>7.4</v>
      </c>
      <c r="E163" s="10">
        <v>7.97</v>
      </c>
      <c r="F163" s="22">
        <v>5.77</v>
      </c>
      <c r="G163" s="22">
        <v>418.48998999999998</v>
      </c>
      <c r="H163" s="22">
        <v>1750.6999510000001</v>
      </c>
      <c r="I163" s="18">
        <v>18608.089840000001</v>
      </c>
    </row>
    <row r="164" spans="1:9" x14ac:dyDescent="0.2">
      <c r="A164" s="4">
        <v>33736</v>
      </c>
      <c r="B164" s="21">
        <v>1.2848999999999999</v>
      </c>
      <c r="C164" s="22">
        <v>130.5</v>
      </c>
      <c r="D164" s="22">
        <v>7.36</v>
      </c>
      <c r="E164" s="10">
        <v>7.97</v>
      </c>
      <c r="F164" s="22">
        <v>5.77</v>
      </c>
      <c r="G164" s="22">
        <v>416.290009</v>
      </c>
      <c r="H164" s="22">
        <v>1747.910034</v>
      </c>
      <c r="I164" s="18">
        <v>18508.529299999998</v>
      </c>
    </row>
    <row r="165" spans="1:9" x14ac:dyDescent="0.2">
      <c r="A165" s="4">
        <v>33737</v>
      </c>
      <c r="B165" s="21">
        <v>1.2885</v>
      </c>
      <c r="C165" s="22">
        <v>130.4</v>
      </c>
      <c r="D165" s="22">
        <v>7.34</v>
      </c>
      <c r="E165" s="10">
        <v>7.95</v>
      </c>
      <c r="F165" s="22">
        <v>5.7</v>
      </c>
      <c r="G165" s="22">
        <v>416.45001200000002</v>
      </c>
      <c r="H165" s="22">
        <v>1745.790039</v>
      </c>
      <c r="I165" s="18">
        <v>18768.570309999999</v>
      </c>
    </row>
    <row r="166" spans="1:9" x14ac:dyDescent="0.2">
      <c r="A166" s="4">
        <v>33738</v>
      </c>
      <c r="B166" s="21">
        <v>1.2952999999999999</v>
      </c>
      <c r="C166" s="22">
        <v>130.19999999999999</v>
      </c>
      <c r="D166" s="22">
        <v>7.34</v>
      </c>
      <c r="E166" s="10">
        <v>7.96</v>
      </c>
      <c r="F166" s="22">
        <v>5.7</v>
      </c>
      <c r="G166" s="22">
        <v>413.14001500000001</v>
      </c>
      <c r="H166" s="22">
        <v>1735.339966</v>
      </c>
      <c r="I166" s="18">
        <v>18804.599610000001</v>
      </c>
    </row>
    <row r="167" spans="1:9" x14ac:dyDescent="0.2">
      <c r="A167" s="4">
        <v>33739</v>
      </c>
      <c r="B167" s="21">
        <v>1.3006</v>
      </c>
      <c r="C167" s="22">
        <v>130.25</v>
      </c>
      <c r="D167" s="22">
        <v>7.28</v>
      </c>
      <c r="E167" s="10">
        <v>7.99</v>
      </c>
      <c r="F167" s="22">
        <v>5.72</v>
      </c>
      <c r="G167" s="22">
        <v>410.08999599999999</v>
      </c>
      <c r="H167" s="22">
        <v>1719.920044</v>
      </c>
      <c r="I167" s="18">
        <v>18074.269530000001</v>
      </c>
    </row>
    <row r="168" spans="1:9" x14ac:dyDescent="0.2">
      <c r="A168" s="4">
        <v>33742</v>
      </c>
      <c r="B168" s="21">
        <v>1.3099000000000001</v>
      </c>
      <c r="C168" s="22">
        <v>128.80000000000001</v>
      </c>
      <c r="D168" s="22">
        <v>7.28</v>
      </c>
      <c r="E168" s="10">
        <v>7.95</v>
      </c>
      <c r="F168" s="22">
        <v>5.71</v>
      </c>
      <c r="G168" s="22">
        <v>412.80999800000001</v>
      </c>
      <c r="H168" s="22">
        <v>1763.589966</v>
      </c>
      <c r="I168" s="18">
        <v>18443.099610000001</v>
      </c>
    </row>
    <row r="169" spans="1:9" x14ac:dyDescent="0.2">
      <c r="A169" s="4">
        <v>33743</v>
      </c>
      <c r="B169" s="21">
        <v>1.3131999999999999</v>
      </c>
      <c r="C169" s="22">
        <v>129.1</v>
      </c>
      <c r="D169" s="22">
        <v>7.2</v>
      </c>
      <c r="E169" s="10">
        <v>7.95</v>
      </c>
      <c r="F169" s="22">
        <v>5.68</v>
      </c>
      <c r="G169" s="22">
        <v>416.36999500000002</v>
      </c>
      <c r="H169" s="22">
        <v>1766.76001</v>
      </c>
      <c r="I169" s="18">
        <v>18754.109380000002</v>
      </c>
    </row>
    <row r="170" spans="1:9" x14ac:dyDescent="0.2">
      <c r="A170" s="4">
        <v>33744</v>
      </c>
      <c r="B170" s="21">
        <v>1.3062</v>
      </c>
      <c r="C170" s="22">
        <v>129.58000000000001</v>
      </c>
      <c r="D170" s="22">
        <v>7.25</v>
      </c>
      <c r="E170" s="10">
        <v>7.94</v>
      </c>
      <c r="F170" s="22">
        <v>5.65</v>
      </c>
      <c r="G170" s="22">
        <v>415.39001500000001</v>
      </c>
      <c r="H170" s="22">
        <v>1785.400024</v>
      </c>
      <c r="I170" s="18">
        <v>18674.929690000001</v>
      </c>
    </row>
    <row r="171" spans="1:9" x14ac:dyDescent="0.2">
      <c r="A171" s="4">
        <v>33745</v>
      </c>
      <c r="B171" s="21">
        <v>1.2949999999999999</v>
      </c>
      <c r="C171" s="22">
        <v>130.25</v>
      </c>
      <c r="D171" s="22">
        <v>7.39</v>
      </c>
      <c r="E171" s="10">
        <v>7.94</v>
      </c>
      <c r="F171" s="22">
        <v>5.67</v>
      </c>
      <c r="G171" s="22">
        <v>412.60000600000001</v>
      </c>
      <c r="H171" s="22">
        <v>1783.5600589999999</v>
      </c>
      <c r="I171" s="18">
        <v>18691.289059999999</v>
      </c>
    </row>
    <row r="172" spans="1:9" x14ac:dyDescent="0.2">
      <c r="A172" s="4">
        <v>33746</v>
      </c>
      <c r="B172" s="21">
        <v>1.2922</v>
      </c>
      <c r="C172" s="22">
        <v>129.4</v>
      </c>
      <c r="D172" s="22">
        <v>7.35</v>
      </c>
      <c r="E172" s="10">
        <v>7.92</v>
      </c>
      <c r="F172" s="22">
        <v>5.7</v>
      </c>
      <c r="G172" s="22">
        <v>414.01998900000001</v>
      </c>
      <c r="H172" s="22">
        <v>1804.420044</v>
      </c>
      <c r="I172" s="18">
        <v>18221</v>
      </c>
    </row>
    <row r="173" spans="1:9" x14ac:dyDescent="0.2">
      <c r="A173" s="4">
        <v>33749</v>
      </c>
      <c r="B173" s="21">
        <v>1.2922</v>
      </c>
      <c r="C173" s="22">
        <v>129.15</v>
      </c>
      <c r="D173" s="22">
        <v>7.35</v>
      </c>
      <c r="E173" s="10">
        <v>7.93</v>
      </c>
      <c r="F173" s="22">
        <v>5.69</v>
      </c>
      <c r="G173" s="22">
        <v>417.3</v>
      </c>
      <c r="H173" s="22">
        <v>1812.329956</v>
      </c>
      <c r="I173" s="18">
        <v>18555</v>
      </c>
    </row>
    <row r="174" spans="1:9" x14ac:dyDescent="0.2">
      <c r="A174" s="4">
        <v>33750</v>
      </c>
      <c r="B174" s="21">
        <v>1.2974000000000001</v>
      </c>
      <c r="C174" s="22">
        <v>129.33000000000001</v>
      </c>
      <c r="D174" s="22">
        <v>7.46</v>
      </c>
      <c r="E174" s="10">
        <v>7.92</v>
      </c>
      <c r="F174" s="22">
        <v>5.71</v>
      </c>
      <c r="G174" s="22">
        <v>411.41000400000001</v>
      </c>
      <c r="H174" s="22">
        <v>1799.51001</v>
      </c>
      <c r="I174" s="18">
        <v>18204.640630000002</v>
      </c>
    </row>
    <row r="175" spans="1:9" x14ac:dyDescent="0.2">
      <c r="A175" s="4">
        <v>33751</v>
      </c>
      <c r="B175" s="21">
        <v>1.2801</v>
      </c>
      <c r="C175" s="22">
        <v>129.94999999999999</v>
      </c>
      <c r="D175" s="22">
        <v>7.44</v>
      </c>
      <c r="E175" s="10">
        <v>7.95</v>
      </c>
      <c r="F175" s="22">
        <v>5.77</v>
      </c>
      <c r="G175" s="22">
        <v>412.17001299999998</v>
      </c>
      <c r="H175" s="22">
        <v>1792.8000489999999</v>
      </c>
      <c r="I175" s="18">
        <v>17822.560549999998</v>
      </c>
    </row>
    <row r="176" spans="1:9" x14ac:dyDescent="0.2">
      <c r="A176" s="4">
        <v>33752</v>
      </c>
      <c r="B176" s="21">
        <v>1.2844</v>
      </c>
      <c r="C176" s="22">
        <v>129.62</v>
      </c>
      <c r="D176" s="22">
        <v>7.36</v>
      </c>
      <c r="E176" s="10">
        <v>7.95</v>
      </c>
      <c r="F176" s="22">
        <v>5.75</v>
      </c>
      <c r="G176" s="22">
        <v>416.73998999999998</v>
      </c>
      <c r="H176" s="22">
        <v>1792.8000489999999</v>
      </c>
      <c r="I176" s="18">
        <v>17931.25</v>
      </c>
    </row>
    <row r="177" spans="1:9" x14ac:dyDescent="0.2">
      <c r="A177" s="4">
        <v>33753</v>
      </c>
      <c r="B177" s="21">
        <v>1.3028999999999999</v>
      </c>
      <c r="C177" s="22">
        <v>127.75</v>
      </c>
      <c r="D177" s="22">
        <v>7.33</v>
      </c>
      <c r="E177" s="10">
        <v>7.93</v>
      </c>
      <c r="F177" s="22">
        <v>5.7</v>
      </c>
      <c r="G177" s="22">
        <v>415.35000600000001</v>
      </c>
      <c r="H177" s="22">
        <v>1806.3599850000001</v>
      </c>
      <c r="I177" s="18">
        <v>18347.75</v>
      </c>
    </row>
    <row r="178" spans="1:9" x14ac:dyDescent="0.2">
      <c r="A178" s="4">
        <v>33756</v>
      </c>
      <c r="B178" s="21">
        <v>1.2988999999999999</v>
      </c>
      <c r="C178" s="22">
        <v>127.45</v>
      </c>
      <c r="D178" s="22">
        <v>7.39</v>
      </c>
      <c r="E178" s="10">
        <v>8.06</v>
      </c>
      <c r="F178" s="22">
        <v>5.69</v>
      </c>
      <c r="G178" s="22">
        <v>417.29998799999998</v>
      </c>
      <c r="H178" s="22">
        <v>1798.2299800000001</v>
      </c>
      <c r="I178" s="18">
        <v>18004.109380000002</v>
      </c>
    </row>
    <row r="179" spans="1:9" x14ac:dyDescent="0.2">
      <c r="A179" s="4">
        <v>33757</v>
      </c>
      <c r="B179" s="21">
        <v>1.3010999999999999</v>
      </c>
      <c r="C179" s="22">
        <v>127.53</v>
      </c>
      <c r="D179" s="22">
        <v>7.35</v>
      </c>
      <c r="E179" s="10">
        <v>8.08</v>
      </c>
      <c r="F179" s="22">
        <v>5.72</v>
      </c>
      <c r="G179" s="22">
        <v>413.5</v>
      </c>
      <c r="H179" s="22">
        <v>1800.619995</v>
      </c>
      <c r="I179" s="18">
        <v>18125.550780000001</v>
      </c>
    </row>
    <row r="180" spans="1:9" x14ac:dyDescent="0.2">
      <c r="A180" s="4">
        <v>33758</v>
      </c>
      <c r="B180" s="21">
        <v>1.2989999999999999</v>
      </c>
      <c r="C180" s="22">
        <v>127.8</v>
      </c>
      <c r="D180" s="22">
        <v>7.34</v>
      </c>
      <c r="E180" s="10">
        <v>8.09</v>
      </c>
      <c r="F180" s="22">
        <v>5.69</v>
      </c>
      <c r="G180" s="22">
        <v>414.58999599999999</v>
      </c>
      <c r="H180" s="22">
        <v>1786.1899410000001</v>
      </c>
      <c r="I180" s="18">
        <v>18188.679690000001</v>
      </c>
    </row>
    <row r="181" spans="1:9" x14ac:dyDescent="0.2">
      <c r="A181" s="4">
        <v>33759</v>
      </c>
      <c r="B181" s="21">
        <v>1.304</v>
      </c>
      <c r="C181" s="22">
        <v>127.57</v>
      </c>
      <c r="D181" s="22">
        <v>7.34</v>
      </c>
      <c r="E181" s="10">
        <v>8.11</v>
      </c>
      <c r="F181" s="22">
        <v>5.7</v>
      </c>
      <c r="G181" s="22">
        <v>413.26001000000002</v>
      </c>
      <c r="H181" s="22">
        <v>1791.349976</v>
      </c>
      <c r="I181" s="18">
        <v>17964.070309999999</v>
      </c>
    </row>
    <row r="182" spans="1:9" x14ac:dyDescent="0.2">
      <c r="A182" s="4">
        <v>33760</v>
      </c>
      <c r="B182" s="21">
        <v>1.3127</v>
      </c>
      <c r="C182" s="22">
        <v>126.8</v>
      </c>
      <c r="D182" s="22">
        <v>7.31</v>
      </c>
      <c r="E182" s="10">
        <v>8.1</v>
      </c>
      <c r="F182" s="22">
        <v>5.7</v>
      </c>
      <c r="G182" s="22">
        <v>413.48001099999999</v>
      </c>
      <c r="H182" s="22">
        <v>1789.0500489999999</v>
      </c>
      <c r="I182" s="18">
        <v>17790.039059999999</v>
      </c>
    </row>
    <row r="183" spans="1:9" x14ac:dyDescent="0.2">
      <c r="A183" s="4">
        <v>33763</v>
      </c>
      <c r="B183" s="21">
        <v>1.3110999999999999</v>
      </c>
      <c r="C183" s="22">
        <v>127.2</v>
      </c>
      <c r="D183" s="22">
        <v>7.31</v>
      </c>
      <c r="E183" s="10">
        <v>8.1</v>
      </c>
      <c r="F183" s="22">
        <v>5.72</v>
      </c>
      <c r="G183" s="22">
        <v>413.35998499999999</v>
      </c>
      <c r="H183" s="22">
        <v>1789.0500489999999</v>
      </c>
      <c r="I183" s="18">
        <v>17655.060549999998</v>
      </c>
    </row>
    <row r="184" spans="1:9" x14ac:dyDescent="0.2">
      <c r="A184" s="4">
        <v>33764</v>
      </c>
      <c r="B184" s="21">
        <v>1.3117000000000001</v>
      </c>
      <c r="C184" s="22">
        <v>127.55</v>
      </c>
      <c r="D184" s="22">
        <v>7.33</v>
      </c>
      <c r="E184" s="10">
        <v>8.07</v>
      </c>
      <c r="F184" s="22">
        <v>5.72</v>
      </c>
      <c r="G184" s="22">
        <v>410.05999800000001</v>
      </c>
      <c r="H184" s="22">
        <v>1784.709961</v>
      </c>
      <c r="I184" s="18">
        <v>17845.039059999999</v>
      </c>
    </row>
    <row r="185" spans="1:9" x14ac:dyDescent="0.2">
      <c r="A185" s="4">
        <v>33765</v>
      </c>
      <c r="B185" s="21">
        <v>1.3103</v>
      </c>
      <c r="C185" s="22">
        <v>127.65</v>
      </c>
      <c r="D185" s="22">
        <v>7.35</v>
      </c>
      <c r="E185" s="10">
        <v>8.08</v>
      </c>
      <c r="F185" s="22">
        <v>5.73</v>
      </c>
      <c r="G185" s="22">
        <v>407.25</v>
      </c>
      <c r="H185" s="22">
        <v>1789.4499510000001</v>
      </c>
      <c r="I185" s="18">
        <v>17742.869139999999</v>
      </c>
    </row>
    <row r="186" spans="1:9" x14ac:dyDescent="0.2">
      <c r="A186" s="4">
        <v>33766</v>
      </c>
      <c r="B186" s="21">
        <v>1.3213999999999999</v>
      </c>
      <c r="C186" s="22">
        <v>126.75</v>
      </c>
      <c r="D186" s="22">
        <v>7.33</v>
      </c>
      <c r="E186" s="10">
        <v>8.1</v>
      </c>
      <c r="F186" s="22">
        <v>5.71</v>
      </c>
      <c r="G186" s="22">
        <v>409.04998799999998</v>
      </c>
      <c r="H186" s="22">
        <v>1779.73999</v>
      </c>
      <c r="I186" s="18">
        <v>17709.050780000001</v>
      </c>
    </row>
    <row r="187" spans="1:9" x14ac:dyDescent="0.2">
      <c r="A187" s="4">
        <v>33767</v>
      </c>
      <c r="B187" s="21">
        <v>1.3226</v>
      </c>
      <c r="C187" s="22">
        <v>126.65</v>
      </c>
      <c r="D187" s="22">
        <v>7.29</v>
      </c>
      <c r="E187" s="10">
        <v>8.09</v>
      </c>
      <c r="F187" s="22">
        <v>5.71</v>
      </c>
      <c r="G187" s="22">
        <v>409.76001000000002</v>
      </c>
      <c r="H187" s="22">
        <v>1786.969971</v>
      </c>
      <c r="I187" s="18">
        <v>17383.679690000001</v>
      </c>
    </row>
    <row r="188" spans="1:9" x14ac:dyDescent="0.2">
      <c r="A188" s="4">
        <v>33770</v>
      </c>
      <c r="B188" s="21">
        <v>1.3287</v>
      </c>
      <c r="C188" s="22">
        <v>126.8</v>
      </c>
      <c r="D188" s="22">
        <v>7.28</v>
      </c>
      <c r="E188" s="10">
        <v>8.11</v>
      </c>
      <c r="F188" s="22">
        <v>5.71</v>
      </c>
      <c r="G188" s="22">
        <v>410.290009</v>
      </c>
      <c r="H188" s="22">
        <v>1773.25</v>
      </c>
      <c r="I188" s="18">
        <v>16953.230469999999</v>
      </c>
    </row>
    <row r="189" spans="1:9" x14ac:dyDescent="0.2">
      <c r="A189" s="4">
        <v>33771</v>
      </c>
      <c r="B189" s="21">
        <v>1.3282</v>
      </c>
      <c r="C189" s="22">
        <v>126.7</v>
      </c>
      <c r="D189" s="22">
        <v>7.24</v>
      </c>
      <c r="E189" s="10">
        <v>8.1199999999999992</v>
      </c>
      <c r="F189" s="22">
        <v>5.71</v>
      </c>
      <c r="G189" s="22">
        <v>408.32000699999998</v>
      </c>
      <c r="H189" s="22">
        <v>1781.619995</v>
      </c>
      <c r="I189" s="18">
        <v>16953.529299999998</v>
      </c>
    </row>
    <row r="190" spans="1:9" x14ac:dyDescent="0.2">
      <c r="A190" s="4">
        <v>33772</v>
      </c>
      <c r="B190" s="21">
        <v>1.3255999999999999</v>
      </c>
      <c r="C190" s="22">
        <v>127.05</v>
      </c>
      <c r="D190" s="22">
        <v>7.23</v>
      </c>
      <c r="E190" s="10">
        <v>8.1199999999999992</v>
      </c>
      <c r="F190" s="22">
        <v>5.65</v>
      </c>
      <c r="G190" s="22">
        <v>402.26001000000002</v>
      </c>
      <c r="H190" s="22">
        <v>1773.75</v>
      </c>
      <c r="I190" s="18">
        <v>16445.800780000001</v>
      </c>
    </row>
    <row r="191" spans="1:9" x14ac:dyDescent="0.2">
      <c r="A191" s="4">
        <v>33773</v>
      </c>
      <c r="B191" s="21">
        <v>1.3326</v>
      </c>
      <c r="C191" s="22">
        <v>126.65</v>
      </c>
      <c r="D191" s="22">
        <v>7.19</v>
      </c>
      <c r="E191" s="10">
        <v>8.1199999999999992</v>
      </c>
      <c r="F191" s="22">
        <v>5.64</v>
      </c>
      <c r="G191" s="22">
        <v>400.959991</v>
      </c>
      <c r="H191" s="22">
        <v>1773.75</v>
      </c>
      <c r="I191" s="18">
        <v>16045.559569999999</v>
      </c>
    </row>
    <row r="192" spans="1:9" x14ac:dyDescent="0.2">
      <c r="A192" s="4">
        <v>33774</v>
      </c>
      <c r="B192" s="21">
        <v>1.3305</v>
      </c>
      <c r="C192" s="22">
        <v>126.93</v>
      </c>
      <c r="D192" s="22">
        <v>7.24</v>
      </c>
      <c r="E192" s="10">
        <v>8.1199999999999992</v>
      </c>
      <c r="F192" s="22">
        <v>5.62</v>
      </c>
      <c r="G192" s="22">
        <v>403.67001299999998</v>
      </c>
      <c r="H192" s="22">
        <v>1776.339966</v>
      </c>
      <c r="I192" s="18">
        <v>16519.869139999999</v>
      </c>
    </row>
    <row r="193" spans="1:9" x14ac:dyDescent="0.2">
      <c r="A193" s="4">
        <v>33777</v>
      </c>
      <c r="B193" s="21">
        <v>1.3313999999999999</v>
      </c>
      <c r="C193" s="22">
        <v>127.1</v>
      </c>
      <c r="D193" s="22">
        <v>7.24</v>
      </c>
      <c r="E193" s="10">
        <v>8.14</v>
      </c>
      <c r="F193" s="22">
        <v>5.61</v>
      </c>
      <c r="G193" s="22">
        <v>403.39999399999999</v>
      </c>
      <c r="H193" s="22">
        <v>1770.719971</v>
      </c>
      <c r="I193" s="18">
        <v>15921.219730000001</v>
      </c>
    </row>
    <row r="194" spans="1:9" x14ac:dyDescent="0.2">
      <c r="A194" s="4">
        <v>33778</v>
      </c>
      <c r="B194" s="21">
        <v>1.3323</v>
      </c>
      <c r="C194" s="22">
        <v>127.23</v>
      </c>
      <c r="D194" s="22">
        <v>7.25</v>
      </c>
      <c r="E194" s="10">
        <v>8.18</v>
      </c>
      <c r="F194" s="22">
        <v>5.62</v>
      </c>
      <c r="G194" s="22">
        <v>404.040009</v>
      </c>
      <c r="H194" s="22">
        <v>1772.3900149999999</v>
      </c>
      <c r="I194" s="18">
        <v>16106.990229999999</v>
      </c>
    </row>
    <row r="195" spans="1:9" x14ac:dyDescent="0.2">
      <c r="A195" s="4">
        <v>33779</v>
      </c>
      <c r="B195" s="21">
        <v>1.3446</v>
      </c>
      <c r="C195" s="22">
        <v>126.68</v>
      </c>
      <c r="D195" s="22">
        <v>7.2</v>
      </c>
      <c r="E195" s="10">
        <v>8.18</v>
      </c>
      <c r="F195" s="22">
        <v>5.59</v>
      </c>
      <c r="G195" s="22">
        <v>403.83999599999999</v>
      </c>
      <c r="H195" s="22">
        <v>1762.5500489999999</v>
      </c>
      <c r="I195" s="18">
        <v>15853.66992</v>
      </c>
    </row>
    <row r="196" spans="1:9" x14ac:dyDescent="0.2">
      <c r="A196" s="4">
        <v>33780</v>
      </c>
      <c r="B196" s="21">
        <v>1.355</v>
      </c>
      <c r="C196" s="22">
        <v>125.45</v>
      </c>
      <c r="D196" s="22">
        <v>7.14</v>
      </c>
      <c r="E196" s="10">
        <v>8.18</v>
      </c>
      <c r="F196" s="22">
        <v>5.58</v>
      </c>
      <c r="G196" s="22">
        <v>403.11999500000002</v>
      </c>
      <c r="H196" s="22">
        <v>1764.349976</v>
      </c>
      <c r="I196" s="18">
        <v>16143.719730000001</v>
      </c>
    </row>
    <row r="197" spans="1:9" x14ac:dyDescent="0.2">
      <c r="A197" s="4">
        <v>33781</v>
      </c>
      <c r="B197" s="21">
        <v>1.3585</v>
      </c>
      <c r="C197" s="22">
        <v>125.72</v>
      </c>
      <c r="D197" s="22">
        <v>7.15</v>
      </c>
      <c r="E197" s="10">
        <v>8.18</v>
      </c>
      <c r="F197" s="22">
        <v>5.53</v>
      </c>
      <c r="G197" s="22">
        <v>403.45001200000002</v>
      </c>
      <c r="H197" s="22">
        <v>1752.829956</v>
      </c>
      <c r="I197" s="18">
        <v>15812.73047</v>
      </c>
    </row>
    <row r="198" spans="1:9" x14ac:dyDescent="0.2">
      <c r="A198" s="4">
        <v>33784</v>
      </c>
      <c r="B198" s="21">
        <v>1.3737999999999999</v>
      </c>
      <c r="C198" s="22">
        <v>125.25</v>
      </c>
      <c r="D198" s="22">
        <v>7.12</v>
      </c>
      <c r="E198" s="10">
        <v>8.18</v>
      </c>
      <c r="F198" s="22">
        <v>5.54</v>
      </c>
      <c r="G198" s="22">
        <v>408.94000199999999</v>
      </c>
      <c r="H198" s="22">
        <v>1755.9799800000001</v>
      </c>
      <c r="I198" s="18">
        <v>15741.26953</v>
      </c>
    </row>
    <row r="199" spans="1:9" x14ac:dyDescent="0.2">
      <c r="A199" s="4">
        <v>33785</v>
      </c>
      <c r="B199" s="21">
        <v>1.3694999999999999</v>
      </c>
      <c r="C199" s="22">
        <v>125.87</v>
      </c>
      <c r="D199" s="22">
        <v>7.14</v>
      </c>
      <c r="E199" s="10">
        <v>8.17</v>
      </c>
      <c r="F199" s="22">
        <v>5.52</v>
      </c>
      <c r="G199" s="22">
        <v>408.14001500000001</v>
      </c>
      <c r="H199" s="22">
        <v>1754.9499510000001</v>
      </c>
      <c r="I199" s="18">
        <v>15951.73047</v>
      </c>
    </row>
    <row r="200" spans="1:9" x14ac:dyDescent="0.2">
      <c r="A200" s="4">
        <v>33786</v>
      </c>
      <c r="B200" s="21">
        <v>1.3774</v>
      </c>
      <c r="C200" s="22">
        <v>124.92</v>
      </c>
      <c r="D200" s="22">
        <v>7.1</v>
      </c>
      <c r="E200" s="10">
        <v>8.17</v>
      </c>
      <c r="F200" s="22">
        <v>5.51</v>
      </c>
      <c r="G200" s="22">
        <v>412.88000499999998</v>
      </c>
      <c r="H200" s="22">
        <v>1759.900024</v>
      </c>
      <c r="I200" s="18">
        <v>16325.070309999999</v>
      </c>
    </row>
    <row r="201" spans="1:9" x14ac:dyDescent="0.2">
      <c r="A201" s="4">
        <v>33787</v>
      </c>
      <c r="B201" s="21">
        <v>1.3779999999999999</v>
      </c>
      <c r="C201" s="22">
        <v>124.6</v>
      </c>
      <c r="D201" s="22">
        <v>6.93</v>
      </c>
      <c r="E201" s="10">
        <v>8.15</v>
      </c>
      <c r="F201" s="22">
        <v>5.49</v>
      </c>
      <c r="G201" s="22">
        <v>411.76998900000001</v>
      </c>
      <c r="H201" s="22">
        <v>1759.839966</v>
      </c>
      <c r="I201" s="18">
        <v>16757.630860000001</v>
      </c>
    </row>
    <row r="202" spans="1:9" x14ac:dyDescent="0.2">
      <c r="A202" s="4">
        <v>33788</v>
      </c>
      <c r="B202" s="21">
        <v>1.3733</v>
      </c>
      <c r="C202" s="22">
        <v>124.8</v>
      </c>
      <c r="D202" s="22">
        <v>6.93</v>
      </c>
      <c r="E202" s="10">
        <v>8.1</v>
      </c>
      <c r="F202" s="22">
        <v>5.5</v>
      </c>
      <c r="G202" s="22">
        <v>414.62</v>
      </c>
      <c r="H202" s="22">
        <v>1776.5</v>
      </c>
      <c r="I202" s="18">
        <v>16717.779299999998</v>
      </c>
    </row>
    <row r="203" spans="1:9" x14ac:dyDescent="0.2">
      <c r="A203" s="4">
        <v>33791</v>
      </c>
      <c r="B203" s="21">
        <v>1.3779999999999999</v>
      </c>
      <c r="C203" s="22">
        <v>124.55</v>
      </c>
      <c r="D203" s="22">
        <v>6.9</v>
      </c>
      <c r="E203" s="10">
        <v>8.11</v>
      </c>
      <c r="F203" s="22">
        <v>5.44</v>
      </c>
      <c r="G203" s="22">
        <v>413.83999599999999</v>
      </c>
      <c r="H203" s="22">
        <v>1769.9799800000001</v>
      </c>
      <c r="I203" s="18">
        <v>16657.070309999999</v>
      </c>
    </row>
    <row r="204" spans="1:9" x14ac:dyDescent="0.2">
      <c r="A204" s="4">
        <v>33792</v>
      </c>
      <c r="B204" s="21">
        <v>1.3900999999999999</v>
      </c>
      <c r="C204" s="22">
        <v>124.42</v>
      </c>
      <c r="D204" s="22">
        <v>6.87</v>
      </c>
      <c r="E204" s="10">
        <v>8.1</v>
      </c>
      <c r="F204" s="22">
        <v>5.47</v>
      </c>
      <c r="G204" s="22">
        <v>409.16000400000001</v>
      </c>
      <c r="H204" s="22">
        <v>1766.9799800000001</v>
      </c>
      <c r="I204" s="18">
        <v>16459.550780000001</v>
      </c>
    </row>
    <row r="205" spans="1:9" x14ac:dyDescent="0.2">
      <c r="A205" s="4">
        <v>33793</v>
      </c>
      <c r="B205" s="21">
        <v>1.3955</v>
      </c>
      <c r="C205" s="22">
        <v>124.85</v>
      </c>
      <c r="D205" s="22">
        <v>6.91</v>
      </c>
      <c r="E205" s="10">
        <v>8.11</v>
      </c>
      <c r="F205" s="22">
        <v>5.45</v>
      </c>
      <c r="G205" s="22">
        <v>410.27999899999998</v>
      </c>
      <c r="H205" s="22">
        <v>1752.290039</v>
      </c>
      <c r="I205" s="18">
        <v>16600.259770000001</v>
      </c>
    </row>
    <row r="206" spans="1:9" x14ac:dyDescent="0.2">
      <c r="A206" s="4">
        <v>33794</v>
      </c>
      <c r="B206" s="21">
        <v>1.3831</v>
      </c>
      <c r="C206" s="22">
        <v>125.8</v>
      </c>
      <c r="D206" s="22">
        <v>6.91</v>
      </c>
      <c r="E206" s="10">
        <v>8.11</v>
      </c>
      <c r="F206" s="22">
        <v>5.44</v>
      </c>
      <c r="G206" s="22">
        <v>414.23001099999999</v>
      </c>
      <c r="H206" s="22">
        <v>1760.170044</v>
      </c>
      <c r="I206" s="18">
        <v>16848.660159999999</v>
      </c>
    </row>
    <row r="207" spans="1:9" x14ac:dyDescent="0.2">
      <c r="A207" s="4">
        <v>33795</v>
      </c>
      <c r="B207" s="21">
        <v>1.3919999999999999</v>
      </c>
      <c r="C207" s="22">
        <v>125.4</v>
      </c>
      <c r="D207" s="22">
        <v>6.93</v>
      </c>
      <c r="E207" s="10">
        <v>8.11</v>
      </c>
      <c r="F207" s="22">
        <v>5.44</v>
      </c>
      <c r="G207" s="22">
        <v>414.61999500000002</v>
      </c>
      <c r="H207" s="22">
        <v>1750.3199460000001</v>
      </c>
      <c r="I207" s="18">
        <v>16783.720700000002</v>
      </c>
    </row>
    <row r="208" spans="1:9" x14ac:dyDescent="0.2">
      <c r="A208" s="4">
        <v>33798</v>
      </c>
      <c r="B208" s="21">
        <v>1.4060999999999999</v>
      </c>
      <c r="C208" s="22">
        <v>124.95</v>
      </c>
      <c r="D208" s="22">
        <v>6.97</v>
      </c>
      <c r="E208" s="10">
        <v>8.17</v>
      </c>
      <c r="F208" s="22">
        <v>5.45</v>
      </c>
      <c r="G208" s="22">
        <v>414.86999500000002</v>
      </c>
      <c r="H208" s="22">
        <v>1731.4399410000001</v>
      </c>
      <c r="I208" s="18">
        <v>17201.730469999999</v>
      </c>
    </row>
    <row r="209" spans="1:9" x14ac:dyDescent="0.2">
      <c r="A209" s="4">
        <v>33799</v>
      </c>
      <c r="B209" s="21">
        <v>1.4008</v>
      </c>
      <c r="C209" s="22">
        <v>125.3</v>
      </c>
      <c r="D209" s="22">
        <v>6.97</v>
      </c>
      <c r="E209" s="10">
        <v>8.15</v>
      </c>
      <c r="F209" s="22">
        <v>5.43</v>
      </c>
      <c r="G209" s="22">
        <v>417.67999300000002</v>
      </c>
      <c r="H209" s="22">
        <v>1735.51001</v>
      </c>
      <c r="I209" s="18">
        <v>17064.630860000001</v>
      </c>
    </row>
    <row r="210" spans="1:9" x14ac:dyDescent="0.2">
      <c r="A210" s="4">
        <v>33800</v>
      </c>
      <c r="B210" s="21">
        <v>1.4087000000000001</v>
      </c>
      <c r="C210" s="22">
        <v>125</v>
      </c>
      <c r="D210" s="22">
        <v>6.9</v>
      </c>
      <c r="E210" s="10">
        <v>8.15</v>
      </c>
      <c r="F210" s="22">
        <v>5.42</v>
      </c>
      <c r="G210" s="22">
        <v>417.10000600000001</v>
      </c>
      <c r="H210" s="22">
        <v>1733.839966</v>
      </c>
      <c r="I210" s="18">
        <v>17116.91992</v>
      </c>
    </row>
    <row r="211" spans="1:9" x14ac:dyDescent="0.2">
      <c r="A211" s="4">
        <v>33801</v>
      </c>
      <c r="B211" s="21">
        <v>1.4097999999999999</v>
      </c>
      <c r="C211" s="22">
        <v>125.45</v>
      </c>
      <c r="D211" s="22">
        <v>6.87</v>
      </c>
      <c r="E211" s="10">
        <v>8.14</v>
      </c>
      <c r="F211" s="22">
        <v>5.42</v>
      </c>
      <c r="G211" s="22">
        <v>417.540009</v>
      </c>
      <c r="H211" s="22">
        <v>1730.780029</v>
      </c>
      <c r="I211" s="18">
        <v>16987.660159999999</v>
      </c>
    </row>
    <row r="212" spans="1:9" x14ac:dyDescent="0.2">
      <c r="A212" s="4">
        <v>33802</v>
      </c>
      <c r="B212" s="21">
        <v>1.4218999999999999</v>
      </c>
      <c r="C212" s="22">
        <v>124.55</v>
      </c>
      <c r="D212" s="22">
        <v>6.9</v>
      </c>
      <c r="E212" s="10">
        <v>8.16</v>
      </c>
      <c r="F212" s="22">
        <v>5.4050000000000002</v>
      </c>
      <c r="G212" s="22">
        <v>415.61999500000002</v>
      </c>
      <c r="H212" s="22">
        <v>1699.459961</v>
      </c>
      <c r="I212" s="18">
        <v>16548.070309999999</v>
      </c>
    </row>
    <row r="213" spans="1:9" x14ac:dyDescent="0.2">
      <c r="A213" s="4">
        <v>33805</v>
      </c>
      <c r="B213" s="21">
        <v>1.4015</v>
      </c>
      <c r="C213" s="22">
        <v>125.25</v>
      </c>
      <c r="D213" s="22">
        <v>6.9</v>
      </c>
      <c r="E213" s="10">
        <v>8.2200000000000006</v>
      </c>
      <c r="F213" s="22">
        <v>5.4050000000000002</v>
      </c>
      <c r="G213" s="22">
        <v>413.75</v>
      </c>
      <c r="H213" s="22">
        <v>1652.709961</v>
      </c>
      <c r="I213" s="18">
        <v>15884.48047</v>
      </c>
    </row>
    <row r="214" spans="1:9" x14ac:dyDescent="0.2">
      <c r="A214" s="4">
        <v>33806</v>
      </c>
      <c r="B214" s="21">
        <v>1.397</v>
      </c>
      <c r="C214" s="22">
        <v>125.3</v>
      </c>
      <c r="D214" s="22">
        <v>6.89</v>
      </c>
      <c r="E214" s="10">
        <v>8.14</v>
      </c>
      <c r="F214" s="22">
        <v>5.4050000000000002</v>
      </c>
      <c r="G214" s="22">
        <v>413.76001000000002</v>
      </c>
      <c r="H214" s="22">
        <v>1654.089966</v>
      </c>
      <c r="I214" s="18">
        <v>16002.410159999999</v>
      </c>
    </row>
    <row r="215" spans="1:9" x14ac:dyDescent="0.2">
      <c r="A215" s="4">
        <v>33807</v>
      </c>
      <c r="B215" s="21">
        <v>1.3976</v>
      </c>
      <c r="C215" s="22">
        <v>126.9</v>
      </c>
      <c r="D215" s="22">
        <v>6.85</v>
      </c>
      <c r="E215" s="10">
        <v>8.15</v>
      </c>
      <c r="F215" s="22">
        <v>5.31</v>
      </c>
      <c r="G215" s="22">
        <v>410.92999300000002</v>
      </c>
      <c r="H215" s="22">
        <v>1636.8100589999999</v>
      </c>
      <c r="I215" s="18">
        <v>15541.950199999999</v>
      </c>
    </row>
    <row r="216" spans="1:9" x14ac:dyDescent="0.2">
      <c r="A216" s="4">
        <v>33808</v>
      </c>
      <c r="B216" s="21">
        <v>1.4004000000000001</v>
      </c>
      <c r="C216" s="22">
        <v>126.63</v>
      </c>
      <c r="D216" s="22">
        <v>6.72</v>
      </c>
      <c r="E216" s="10">
        <v>8.14</v>
      </c>
      <c r="F216" s="22">
        <v>5.2850000000000001</v>
      </c>
      <c r="G216" s="22">
        <v>412.07998700000002</v>
      </c>
      <c r="H216" s="22">
        <v>1622.8100589999999</v>
      </c>
      <c r="I216" s="18">
        <v>16039.940430000001</v>
      </c>
    </row>
    <row r="217" spans="1:9" x14ac:dyDescent="0.2">
      <c r="A217" s="4">
        <v>33809</v>
      </c>
      <c r="B217" s="21">
        <v>1.3872</v>
      </c>
      <c r="C217" s="22">
        <v>128.1</v>
      </c>
      <c r="D217" s="22">
        <v>6.73</v>
      </c>
      <c r="E217" s="10">
        <v>8.11</v>
      </c>
      <c r="F217" s="22">
        <v>5.29</v>
      </c>
      <c r="G217" s="22">
        <v>411.60000600000001</v>
      </c>
      <c r="H217" s="22">
        <v>1613.3599850000001</v>
      </c>
      <c r="I217" s="18">
        <v>15497.79004</v>
      </c>
    </row>
    <row r="218" spans="1:9" x14ac:dyDescent="0.2">
      <c r="A218" s="4">
        <v>33812</v>
      </c>
      <c r="B218" s="21">
        <v>1.4043000000000001</v>
      </c>
      <c r="C218" s="22">
        <v>127.55</v>
      </c>
      <c r="D218" s="22">
        <v>6.69</v>
      </c>
      <c r="E218" s="10">
        <v>8.1199999999999992</v>
      </c>
      <c r="F218" s="22">
        <v>5.26</v>
      </c>
      <c r="G218" s="22">
        <v>411.540009</v>
      </c>
      <c r="H218" s="22">
        <v>1617.780029</v>
      </c>
      <c r="I218" s="18">
        <v>15373.339840000001</v>
      </c>
    </row>
    <row r="219" spans="1:9" x14ac:dyDescent="0.2">
      <c r="A219" s="4">
        <v>33813</v>
      </c>
      <c r="B219" s="21">
        <v>1.4108000000000001</v>
      </c>
      <c r="C219" s="22">
        <v>127.39</v>
      </c>
      <c r="D219" s="22">
        <v>6.63</v>
      </c>
      <c r="E219" s="10">
        <v>8.11</v>
      </c>
      <c r="F219" s="22">
        <v>5.24</v>
      </c>
      <c r="G219" s="22">
        <v>417.51998900000001</v>
      </c>
      <c r="H219" s="22">
        <v>1617.1800539999999</v>
      </c>
      <c r="I219" s="18">
        <v>15426.639649999999</v>
      </c>
    </row>
    <row r="220" spans="1:9" x14ac:dyDescent="0.2">
      <c r="A220" s="4">
        <v>33814</v>
      </c>
      <c r="B220" s="21">
        <v>1.4073</v>
      </c>
      <c r="C220" s="22">
        <v>127.83</v>
      </c>
      <c r="D220" s="22">
        <v>6.6</v>
      </c>
      <c r="E220" s="10">
        <v>8.1300000000000008</v>
      </c>
      <c r="F220" s="22">
        <v>5.2149999999999999</v>
      </c>
      <c r="G220" s="22">
        <v>422.23001099999999</v>
      </c>
      <c r="H220" s="22">
        <v>1637.619995</v>
      </c>
      <c r="I220" s="18">
        <v>15095.950199999999</v>
      </c>
    </row>
    <row r="221" spans="1:9" x14ac:dyDescent="0.2">
      <c r="A221" s="4">
        <v>33815</v>
      </c>
      <c r="B221" s="21">
        <v>1.4040999999999999</v>
      </c>
      <c r="C221" s="22">
        <v>127.55</v>
      </c>
      <c r="D221" s="22">
        <v>6.69</v>
      </c>
      <c r="E221" s="10">
        <v>8.15</v>
      </c>
      <c r="F221" s="22">
        <v>5.2</v>
      </c>
      <c r="G221" s="22">
        <v>423.92001299999998</v>
      </c>
      <c r="H221" s="22">
        <v>1622.1999510000001</v>
      </c>
      <c r="I221" s="18">
        <v>15555.599609999999</v>
      </c>
    </row>
    <row r="222" spans="1:9" x14ac:dyDescent="0.2">
      <c r="A222" s="4">
        <v>33816</v>
      </c>
      <c r="B222" s="21">
        <v>1.4119999999999999</v>
      </c>
      <c r="C222" s="22">
        <v>127.2</v>
      </c>
      <c r="D222" s="22">
        <v>6.72</v>
      </c>
      <c r="E222" s="10">
        <v>8.19</v>
      </c>
      <c r="F222" s="22">
        <v>5.2240000000000002</v>
      </c>
      <c r="G222" s="22">
        <v>424.209991</v>
      </c>
      <c r="H222" s="22">
        <v>1608.48999</v>
      </c>
      <c r="I222" s="18">
        <v>15910.280269999999</v>
      </c>
    </row>
    <row r="223" spans="1:9" x14ac:dyDescent="0.2">
      <c r="A223" s="4">
        <v>33819</v>
      </c>
      <c r="B223" s="21">
        <v>1.4097999999999999</v>
      </c>
      <c r="C223" s="22">
        <v>127.18</v>
      </c>
      <c r="D223" s="22">
        <v>6.72</v>
      </c>
      <c r="E223" s="10">
        <v>8.14</v>
      </c>
      <c r="F223" s="22">
        <v>5.2549999999999999</v>
      </c>
      <c r="G223" s="22">
        <v>425.08999599999999</v>
      </c>
      <c r="H223" s="22">
        <v>1605.1099850000001</v>
      </c>
      <c r="I223" s="18">
        <v>15709.450199999999</v>
      </c>
    </row>
    <row r="224" spans="1:9" x14ac:dyDescent="0.2">
      <c r="A224" s="4">
        <v>33820</v>
      </c>
      <c r="B224" s="21">
        <v>1.4124000000000001</v>
      </c>
      <c r="C224" s="22">
        <v>127.25</v>
      </c>
      <c r="D224" s="22">
        <v>6.66</v>
      </c>
      <c r="E224" s="10">
        <v>8.09</v>
      </c>
      <c r="F224" s="22">
        <v>5.17</v>
      </c>
      <c r="G224" s="22">
        <v>424.35998499999999</v>
      </c>
      <c r="H224" s="22">
        <v>1609.6099850000001</v>
      </c>
      <c r="I224" s="18">
        <v>15692.589840000001</v>
      </c>
    </row>
    <row r="225" spans="1:9" x14ac:dyDescent="0.2">
      <c r="A225" s="4">
        <v>33821</v>
      </c>
      <c r="B225" s="21">
        <v>1.4101999999999999</v>
      </c>
      <c r="C225" s="22">
        <v>127.6</v>
      </c>
      <c r="D225" s="22">
        <v>6.64</v>
      </c>
      <c r="E225" s="10">
        <v>8.1</v>
      </c>
      <c r="F225" s="22">
        <v>5.1849999999999996</v>
      </c>
      <c r="G225" s="22">
        <v>422.19000199999999</v>
      </c>
      <c r="H225" s="22">
        <v>1624.9399410000001</v>
      </c>
      <c r="I225" s="18">
        <v>15983.639649999999</v>
      </c>
    </row>
    <row r="226" spans="1:9" x14ac:dyDescent="0.2">
      <c r="A226" s="4">
        <v>33822</v>
      </c>
      <c r="B226" s="21">
        <v>1.4049</v>
      </c>
      <c r="C226" s="22">
        <v>127.7</v>
      </c>
      <c r="D226" s="22">
        <v>6.65</v>
      </c>
      <c r="E226" s="10">
        <v>8.07</v>
      </c>
      <c r="F226" s="22">
        <v>5.2060000000000004</v>
      </c>
      <c r="G226" s="22">
        <v>420.58999599999999</v>
      </c>
      <c r="H226" s="22">
        <v>1618.0699460000001</v>
      </c>
      <c r="I226" s="18">
        <v>15926.440430000001</v>
      </c>
    </row>
    <row r="227" spans="1:9" x14ac:dyDescent="0.2">
      <c r="A227" s="4">
        <v>33823</v>
      </c>
      <c r="B227" s="21">
        <v>1.419</v>
      </c>
      <c r="C227" s="22">
        <v>127.48</v>
      </c>
      <c r="D227" s="22">
        <v>6.57</v>
      </c>
      <c r="E227" s="10">
        <v>8.0500000000000007</v>
      </c>
      <c r="F227" s="22">
        <v>5.2249999999999996</v>
      </c>
      <c r="G227" s="22">
        <v>418.88000499999998</v>
      </c>
      <c r="H227" s="22">
        <v>1611.959961</v>
      </c>
      <c r="I227" s="18">
        <v>15518.26953</v>
      </c>
    </row>
    <row r="228" spans="1:9" x14ac:dyDescent="0.2">
      <c r="A228" s="4">
        <v>33826</v>
      </c>
      <c r="B228" s="21">
        <v>1.4184000000000001</v>
      </c>
      <c r="C228" s="22">
        <v>127.92</v>
      </c>
      <c r="D228" s="22">
        <v>6.52</v>
      </c>
      <c r="E228" s="10">
        <v>8.0299999999999994</v>
      </c>
      <c r="F228" s="22">
        <v>5.2050000000000001</v>
      </c>
      <c r="G228" s="22">
        <v>419.42001299999998</v>
      </c>
      <c r="H228" s="22">
        <v>1578.9499510000001</v>
      </c>
      <c r="I228" s="18">
        <v>15066.339840000001</v>
      </c>
    </row>
    <row r="229" spans="1:9" x14ac:dyDescent="0.2">
      <c r="A229" s="4">
        <v>33827</v>
      </c>
      <c r="B229" s="21">
        <v>1.4134</v>
      </c>
      <c r="C229" s="22">
        <v>128</v>
      </c>
      <c r="D229" s="22">
        <v>6.5</v>
      </c>
      <c r="E229" s="10">
        <v>8.0500000000000007</v>
      </c>
      <c r="F229" s="22">
        <v>5.1859999999999999</v>
      </c>
      <c r="G229" s="22">
        <v>418.89999399999999</v>
      </c>
      <c r="H229" s="22">
        <v>1561.3900149999999</v>
      </c>
      <c r="I229" s="18">
        <v>14822.559569999999</v>
      </c>
    </row>
    <row r="230" spans="1:9" x14ac:dyDescent="0.2">
      <c r="A230" s="4">
        <v>33828</v>
      </c>
      <c r="B230" s="21">
        <v>1.4200999999999999</v>
      </c>
      <c r="C230" s="22">
        <v>127.27</v>
      </c>
      <c r="D230" s="22">
        <v>6.48</v>
      </c>
      <c r="E230" s="10">
        <v>8.0399999999999991</v>
      </c>
      <c r="F230" s="22">
        <v>5.1550000000000002</v>
      </c>
      <c r="G230" s="22">
        <v>417.77999899999998</v>
      </c>
      <c r="H230" s="22">
        <v>1547.869995</v>
      </c>
      <c r="I230" s="18">
        <v>14773.79004</v>
      </c>
    </row>
    <row r="231" spans="1:9" x14ac:dyDescent="0.2">
      <c r="A231" s="4">
        <v>33829</v>
      </c>
      <c r="B231" s="21">
        <v>1.4242999999999999</v>
      </c>
      <c r="C231" s="22">
        <v>126.37</v>
      </c>
      <c r="D231" s="22">
        <v>6.55</v>
      </c>
      <c r="E231" s="10">
        <v>8.06</v>
      </c>
      <c r="F231" s="22">
        <v>5.1289999999999996</v>
      </c>
      <c r="G231" s="22">
        <v>417.73001099999999</v>
      </c>
      <c r="H231" s="22">
        <v>1548.630005</v>
      </c>
      <c r="I231" s="18">
        <v>14768.16992</v>
      </c>
    </row>
    <row r="232" spans="1:9" x14ac:dyDescent="0.2">
      <c r="A232" s="4">
        <v>33830</v>
      </c>
      <c r="B232" s="21">
        <v>1.4157999999999999</v>
      </c>
      <c r="C232" s="22">
        <v>126.05</v>
      </c>
      <c r="D232" s="22">
        <v>6.53</v>
      </c>
      <c r="E232" s="10">
        <v>8.0399999999999991</v>
      </c>
      <c r="F232" s="22">
        <v>5.0650000000000004</v>
      </c>
      <c r="G232" s="22">
        <v>419.91000400000001</v>
      </c>
      <c r="H232" s="22">
        <v>1560.160034</v>
      </c>
      <c r="I232" s="18">
        <v>14820.25</v>
      </c>
    </row>
    <row r="233" spans="1:9" x14ac:dyDescent="0.2">
      <c r="A233" s="4">
        <v>33833</v>
      </c>
      <c r="B233" s="21">
        <v>1.4209000000000001</v>
      </c>
      <c r="C233" s="22">
        <v>125.69</v>
      </c>
      <c r="D233" s="22">
        <v>6.56</v>
      </c>
      <c r="E233" s="10">
        <v>7.94</v>
      </c>
      <c r="F233" s="22">
        <v>5.0289999999999999</v>
      </c>
      <c r="G233" s="22">
        <v>420.73998999999998</v>
      </c>
      <c r="H233" s="22">
        <v>1554.76001</v>
      </c>
      <c r="I233" s="18">
        <v>14929.54981</v>
      </c>
    </row>
    <row r="234" spans="1:9" x14ac:dyDescent="0.2">
      <c r="A234" s="4">
        <v>33834</v>
      </c>
      <c r="B234" s="21">
        <v>1.4257</v>
      </c>
      <c r="C234" s="22">
        <v>126.17</v>
      </c>
      <c r="D234" s="22">
        <v>6.48</v>
      </c>
      <c r="E234" s="10">
        <v>7.96</v>
      </c>
      <c r="F234" s="22">
        <v>4.9859999999999998</v>
      </c>
      <c r="G234" s="22">
        <v>421.33999599999999</v>
      </c>
      <c r="H234" s="22">
        <v>1531.869995</v>
      </c>
      <c r="I234" s="18">
        <v>14309.410159999999</v>
      </c>
    </row>
    <row r="235" spans="1:9" x14ac:dyDescent="0.2">
      <c r="A235" s="4">
        <v>33835</v>
      </c>
      <c r="B235" s="21">
        <v>1.4274</v>
      </c>
      <c r="C235" s="22">
        <v>126.53</v>
      </c>
      <c r="D235" s="22">
        <v>6.47</v>
      </c>
      <c r="E235" s="10">
        <v>7.97</v>
      </c>
      <c r="F235" s="22">
        <v>4.97</v>
      </c>
      <c r="G235" s="22">
        <v>418.19000199999999</v>
      </c>
      <c r="H235" s="22">
        <v>1526.1400149999999</v>
      </c>
      <c r="I235" s="18">
        <v>14650.740229999999</v>
      </c>
    </row>
    <row r="236" spans="1:9" x14ac:dyDescent="0.2">
      <c r="A236" s="4">
        <v>33836</v>
      </c>
      <c r="B236" s="21">
        <v>1.4331</v>
      </c>
      <c r="C236" s="22">
        <v>126.5</v>
      </c>
      <c r="D236" s="22">
        <v>6.46</v>
      </c>
      <c r="E236" s="10">
        <v>7.94</v>
      </c>
      <c r="F236" s="22">
        <v>4.9649999999999999</v>
      </c>
      <c r="G236" s="22">
        <v>418.26001000000002</v>
      </c>
      <c r="H236" s="22">
        <v>1509.030029</v>
      </c>
      <c r="I236" s="18">
        <v>15267.759770000001</v>
      </c>
    </row>
    <row r="237" spans="1:9" x14ac:dyDescent="0.2">
      <c r="A237" s="4">
        <v>33837</v>
      </c>
      <c r="B237" s="21">
        <v>1.4296</v>
      </c>
      <c r="C237" s="22">
        <v>125.73</v>
      </c>
      <c r="D237" s="22">
        <v>6.53</v>
      </c>
      <c r="E237" s="10">
        <v>7.9</v>
      </c>
      <c r="F237" s="22">
        <v>5.0060000000000002</v>
      </c>
      <c r="G237" s="22">
        <v>414.85000600000001</v>
      </c>
      <c r="H237" s="22">
        <v>1530.030029</v>
      </c>
      <c r="I237" s="18">
        <v>16216.87988</v>
      </c>
    </row>
    <row r="238" spans="1:9" x14ac:dyDescent="0.2">
      <c r="A238" s="4">
        <v>33840</v>
      </c>
      <c r="B238" s="21">
        <v>1.478</v>
      </c>
      <c r="C238" s="22">
        <v>124.53</v>
      </c>
      <c r="D238" s="22">
        <v>6.68</v>
      </c>
      <c r="E238" s="10">
        <v>7.91</v>
      </c>
      <c r="F238" s="22">
        <v>4.9550000000000001</v>
      </c>
      <c r="G238" s="22">
        <v>410.72000100000002</v>
      </c>
      <c r="H238" s="22">
        <v>1484.969971</v>
      </c>
      <c r="I238" s="18">
        <v>16627.960940000001</v>
      </c>
    </row>
    <row r="239" spans="1:9" x14ac:dyDescent="0.2">
      <c r="A239" s="4">
        <v>33841</v>
      </c>
      <c r="B239" s="21">
        <v>1.4791000000000001</v>
      </c>
      <c r="C239" s="22">
        <v>124.51</v>
      </c>
      <c r="D239" s="22">
        <v>6.73</v>
      </c>
      <c r="E239" s="10">
        <v>7.87</v>
      </c>
      <c r="F239" s="22">
        <v>4.87</v>
      </c>
      <c r="G239" s="22">
        <v>411.60998499999999</v>
      </c>
      <c r="H239" s="22">
        <v>1464.030029</v>
      </c>
      <c r="I239" s="18">
        <v>16380.76953</v>
      </c>
    </row>
    <row r="240" spans="1:9" x14ac:dyDescent="0.2">
      <c r="A240" s="4">
        <v>33842</v>
      </c>
      <c r="B240" s="21">
        <v>1.4705999999999999</v>
      </c>
      <c r="C240" s="22">
        <v>124.82</v>
      </c>
      <c r="D240" s="22">
        <v>6.68</v>
      </c>
      <c r="E240" s="10">
        <v>7.9</v>
      </c>
      <c r="F240" s="22">
        <v>4.8949999999999996</v>
      </c>
      <c r="G240" s="22">
        <v>413.51001000000002</v>
      </c>
      <c r="H240" s="22">
        <v>1475.1099850000001</v>
      </c>
      <c r="I240" s="18">
        <v>16541.650389999999</v>
      </c>
    </row>
    <row r="241" spans="1:9" x14ac:dyDescent="0.2">
      <c r="A241" s="4">
        <v>33843</v>
      </c>
      <c r="B241" s="21">
        <v>1.4676</v>
      </c>
      <c r="C241" s="22">
        <v>124.78</v>
      </c>
      <c r="D241" s="22">
        <v>6.64</v>
      </c>
      <c r="E241" s="10">
        <v>7.88</v>
      </c>
      <c r="F241" s="22">
        <v>4.8899999999999997</v>
      </c>
      <c r="G241" s="22">
        <v>413.52999899999998</v>
      </c>
      <c r="H241" s="22">
        <v>1516.119995</v>
      </c>
      <c r="I241" s="18">
        <v>17555</v>
      </c>
    </row>
    <row r="242" spans="1:9" x14ac:dyDescent="0.2">
      <c r="A242" s="4">
        <v>33844</v>
      </c>
      <c r="B242" s="21">
        <v>1.4746999999999999</v>
      </c>
      <c r="C242" s="22">
        <v>123.3</v>
      </c>
      <c r="D242" s="22">
        <v>6.63</v>
      </c>
      <c r="E242" s="10">
        <v>7.92</v>
      </c>
      <c r="F242" s="22">
        <v>4.976</v>
      </c>
      <c r="G242" s="22">
        <v>414.83999599999999</v>
      </c>
      <c r="H242" s="22">
        <v>1519.6899410000001</v>
      </c>
      <c r="I242" s="18">
        <v>17970.789059999999</v>
      </c>
    </row>
    <row r="243" spans="1:9" x14ac:dyDescent="0.2">
      <c r="A243" s="4">
        <v>33847</v>
      </c>
      <c r="B243" s="21">
        <v>1.4746999999999999</v>
      </c>
      <c r="C243" s="22">
        <v>123.08</v>
      </c>
      <c r="D243" s="22">
        <v>6.62</v>
      </c>
      <c r="E243" s="10">
        <v>7.89</v>
      </c>
      <c r="F243" s="22">
        <v>5.0599999999999996</v>
      </c>
      <c r="G243" s="22">
        <v>414.02999899999998</v>
      </c>
      <c r="H243" s="22">
        <v>1529.969971</v>
      </c>
      <c r="I243" s="18">
        <v>18061.119139999999</v>
      </c>
    </row>
    <row r="244" spans="1:9" x14ac:dyDescent="0.2">
      <c r="A244" s="4">
        <v>33848</v>
      </c>
      <c r="B244" s="21">
        <v>1.4870000000000001</v>
      </c>
      <c r="C244" s="22">
        <v>122.88</v>
      </c>
      <c r="D244" s="22">
        <v>6.56</v>
      </c>
      <c r="E244" s="10">
        <v>7.89</v>
      </c>
      <c r="F244" s="22">
        <v>5.08</v>
      </c>
      <c r="G244" s="22">
        <v>416.07000699999998</v>
      </c>
      <c r="H244" s="22">
        <v>1516.4399410000001</v>
      </c>
      <c r="I244" s="18">
        <v>17740.060549999998</v>
      </c>
    </row>
    <row r="245" spans="1:9" x14ac:dyDescent="0.2">
      <c r="A245" s="4">
        <v>33849</v>
      </c>
      <c r="B245" s="21">
        <v>1.4899</v>
      </c>
      <c r="C245" s="22">
        <v>123.12</v>
      </c>
      <c r="D245" s="22">
        <v>6.54</v>
      </c>
      <c r="E245" s="10">
        <v>7.9</v>
      </c>
      <c r="F245" s="22">
        <v>5.0449999999999999</v>
      </c>
      <c r="G245" s="22">
        <v>417.98001099999999</v>
      </c>
      <c r="H245" s="22">
        <v>1515.530029</v>
      </c>
      <c r="I245" s="18">
        <v>17587.720700000002</v>
      </c>
    </row>
    <row r="246" spans="1:9" x14ac:dyDescent="0.2">
      <c r="A246" s="4">
        <v>33850</v>
      </c>
      <c r="B246" s="21">
        <v>1.4678</v>
      </c>
      <c r="C246" s="22">
        <v>124.15</v>
      </c>
      <c r="D246" s="22">
        <v>6.54</v>
      </c>
      <c r="E246" s="10">
        <v>7.9</v>
      </c>
      <c r="F246" s="22">
        <v>5.0410000000000004</v>
      </c>
      <c r="G246" s="22">
        <v>417.98001099999999</v>
      </c>
      <c r="H246" s="22">
        <v>1543.8900149999999</v>
      </c>
      <c r="I246" s="18">
        <v>18386.490229999999</v>
      </c>
    </row>
    <row r="247" spans="1:9" x14ac:dyDescent="0.2">
      <c r="A247" s="4">
        <v>33851</v>
      </c>
      <c r="B247" s="21">
        <v>1.4734</v>
      </c>
      <c r="C247" s="22">
        <v>123.14</v>
      </c>
      <c r="D247" s="22">
        <v>6.4</v>
      </c>
      <c r="E247" s="10">
        <v>7.91</v>
      </c>
      <c r="F247" s="22">
        <v>4.9649999999999999</v>
      </c>
      <c r="G247" s="22">
        <v>417.07998700000002</v>
      </c>
      <c r="H247" s="22">
        <v>1534.719971</v>
      </c>
      <c r="I247" s="18">
        <v>18555.300780000001</v>
      </c>
    </row>
    <row r="248" spans="1:9" x14ac:dyDescent="0.2">
      <c r="A248" s="4">
        <v>33854</v>
      </c>
      <c r="B248" s="21">
        <v>1.4782</v>
      </c>
      <c r="C248" s="22">
        <v>123.5</v>
      </c>
      <c r="D248" s="22">
        <v>6.4</v>
      </c>
      <c r="E248" s="10">
        <v>7.79</v>
      </c>
      <c r="F248" s="22">
        <v>4.835</v>
      </c>
      <c r="G248" s="22">
        <v>425.27</v>
      </c>
      <c r="H248" s="22">
        <v>1538.660034</v>
      </c>
      <c r="I248" s="18">
        <v>18440.179690000001</v>
      </c>
    </row>
    <row r="249" spans="1:9" x14ac:dyDescent="0.2">
      <c r="A249" s="4">
        <v>33855</v>
      </c>
      <c r="B249" s="21">
        <v>1.4843</v>
      </c>
      <c r="C249" s="22">
        <v>122.87</v>
      </c>
      <c r="D249" s="22">
        <v>6.29</v>
      </c>
      <c r="E249" s="10">
        <v>7.76</v>
      </c>
      <c r="F249" s="22">
        <v>4.915</v>
      </c>
      <c r="G249" s="22">
        <v>414.44000199999999</v>
      </c>
      <c r="H249" s="22">
        <v>1536.709961</v>
      </c>
      <c r="I249" s="18">
        <v>18282.41992</v>
      </c>
    </row>
    <row r="250" spans="1:9" x14ac:dyDescent="0.2">
      <c r="A250" s="4">
        <v>33856</v>
      </c>
      <c r="B250" s="21">
        <v>1.4652000000000001</v>
      </c>
      <c r="C250" s="22">
        <v>123.37</v>
      </c>
      <c r="D250" s="22">
        <v>6.31</v>
      </c>
      <c r="E250" s="10">
        <v>7.78</v>
      </c>
      <c r="F250" s="22">
        <v>4.915</v>
      </c>
      <c r="G250" s="22">
        <v>416.35998499999999</v>
      </c>
      <c r="H250" s="22">
        <v>1523.829956</v>
      </c>
      <c r="I250" s="18">
        <v>18875.550780000001</v>
      </c>
    </row>
    <row r="251" spans="1:9" x14ac:dyDescent="0.2">
      <c r="A251" s="4">
        <v>33857</v>
      </c>
      <c r="B251" s="21">
        <v>1.4662999999999999</v>
      </c>
      <c r="C251" s="22">
        <v>123</v>
      </c>
      <c r="D251" s="22">
        <v>6.31</v>
      </c>
      <c r="E251" s="10">
        <v>7.77</v>
      </c>
      <c r="F251" s="22">
        <v>4.9000000000000004</v>
      </c>
      <c r="G251" s="22">
        <v>419.95001200000002</v>
      </c>
      <c r="H251" s="22">
        <v>1527.099976</v>
      </c>
      <c r="I251" s="18">
        <v>18908.470700000002</v>
      </c>
    </row>
    <row r="252" spans="1:9" x14ac:dyDescent="0.2">
      <c r="A252" s="4">
        <v>33858</v>
      </c>
      <c r="B252" s="21">
        <v>1.4345000000000001</v>
      </c>
      <c r="C252" s="22">
        <v>124.31</v>
      </c>
      <c r="D252" s="22">
        <v>6.37</v>
      </c>
      <c r="E252" s="10">
        <v>7.76</v>
      </c>
      <c r="F252" s="22">
        <v>4.9349999999999996</v>
      </c>
      <c r="G252" s="22">
        <v>419.57998700000002</v>
      </c>
      <c r="H252" s="22">
        <v>1530.1999510000001</v>
      </c>
      <c r="I252" s="18">
        <v>18107.689450000002</v>
      </c>
    </row>
    <row r="253" spans="1:9" x14ac:dyDescent="0.2">
      <c r="A253" s="4">
        <v>33861</v>
      </c>
      <c r="B253" s="21">
        <v>1.3868</v>
      </c>
      <c r="C253" s="22">
        <v>124.48</v>
      </c>
      <c r="D253" s="22">
        <v>6.32</v>
      </c>
      <c r="E253" s="10">
        <v>7.6</v>
      </c>
      <c r="F253" s="22">
        <v>4.9000000000000004</v>
      </c>
      <c r="G253" s="22">
        <v>425.26998900000001</v>
      </c>
      <c r="H253" s="22">
        <v>1601.5</v>
      </c>
      <c r="I253" s="18">
        <v>18471.400389999999</v>
      </c>
    </row>
    <row r="254" spans="1:9" x14ac:dyDescent="0.2">
      <c r="A254" s="4">
        <v>33862</v>
      </c>
      <c r="B254" s="21">
        <v>1.3940999999999999</v>
      </c>
      <c r="C254" s="22">
        <v>124.34</v>
      </c>
      <c r="D254" s="22">
        <v>6.4</v>
      </c>
      <c r="E254" s="10">
        <v>7.63</v>
      </c>
      <c r="F254" s="22">
        <v>4.9000000000000004</v>
      </c>
      <c r="G254" s="22">
        <v>419.76998900000001</v>
      </c>
      <c r="H254" s="22">
        <v>1580.290039</v>
      </c>
      <c r="I254" s="18">
        <v>18471.400389999999</v>
      </c>
    </row>
    <row r="255" spans="1:9" x14ac:dyDescent="0.2">
      <c r="A255" s="4">
        <v>33863</v>
      </c>
      <c r="B255" s="21">
        <v>1.3563000000000001</v>
      </c>
      <c r="C255" s="22">
        <v>125.5</v>
      </c>
      <c r="D255" s="22">
        <v>6.41</v>
      </c>
      <c r="E255" s="10">
        <v>7.53</v>
      </c>
      <c r="F255" s="22">
        <v>4.96</v>
      </c>
      <c r="G255" s="22">
        <v>419.92001299999998</v>
      </c>
      <c r="H255" s="22">
        <v>1595.089966</v>
      </c>
      <c r="I255" s="18">
        <v>17944.699219999999</v>
      </c>
    </row>
    <row r="256" spans="1:9" x14ac:dyDescent="0.2">
      <c r="A256" s="4">
        <v>33864</v>
      </c>
      <c r="B256" s="21">
        <v>1.3677999999999999</v>
      </c>
      <c r="C256" s="22">
        <v>124.4</v>
      </c>
      <c r="D256" s="22">
        <v>6.4</v>
      </c>
      <c r="E256" s="10">
        <v>7.51</v>
      </c>
      <c r="F256" s="22">
        <v>4.9850000000000003</v>
      </c>
      <c r="G256" s="22">
        <v>419.92999300000002</v>
      </c>
      <c r="H256" s="22">
        <v>1579.469971</v>
      </c>
      <c r="I256" s="18">
        <v>18116.519530000001</v>
      </c>
    </row>
    <row r="257" spans="1:9" x14ac:dyDescent="0.2">
      <c r="A257" s="4">
        <v>33865</v>
      </c>
      <c r="B257" s="21">
        <v>1.3526</v>
      </c>
      <c r="C257" s="22">
        <v>124.48</v>
      </c>
      <c r="D257" s="22">
        <v>6.41</v>
      </c>
      <c r="E257" s="10">
        <v>7.45</v>
      </c>
      <c r="F257" s="22">
        <v>4.9909999999999997</v>
      </c>
      <c r="G257" s="22">
        <v>422.92999300000002</v>
      </c>
      <c r="H257" s="22">
        <v>1600.589966</v>
      </c>
      <c r="I257" s="18">
        <v>18166.800780000001</v>
      </c>
    </row>
    <row r="258" spans="1:9" x14ac:dyDescent="0.2">
      <c r="A258" s="4">
        <v>33868</v>
      </c>
      <c r="B258" s="21">
        <v>1.3622000000000001</v>
      </c>
      <c r="C258" s="22">
        <v>123.73</v>
      </c>
      <c r="D258" s="22">
        <v>6.42</v>
      </c>
      <c r="E258" s="10">
        <v>7.51</v>
      </c>
      <c r="F258" s="22">
        <v>5</v>
      </c>
      <c r="G258" s="22">
        <v>422.14001500000001</v>
      </c>
      <c r="H258" s="22">
        <v>1566</v>
      </c>
      <c r="I258" s="18">
        <v>18066.240229999999</v>
      </c>
    </row>
    <row r="259" spans="1:9" x14ac:dyDescent="0.2">
      <c r="A259" s="4">
        <v>33869</v>
      </c>
      <c r="B259" s="21">
        <v>1.3595999999999999</v>
      </c>
      <c r="C259" s="22">
        <v>121.04</v>
      </c>
      <c r="D259" s="22">
        <v>6.5</v>
      </c>
      <c r="E259" s="10">
        <v>7.54</v>
      </c>
      <c r="F259" s="22">
        <v>4.97</v>
      </c>
      <c r="G259" s="22">
        <v>417.14001500000001</v>
      </c>
      <c r="H259" s="22">
        <v>1557.01001</v>
      </c>
      <c r="I259" s="18">
        <v>18282.720700000002</v>
      </c>
    </row>
    <row r="260" spans="1:9" x14ac:dyDescent="0.2">
      <c r="A260" s="4">
        <v>33870</v>
      </c>
      <c r="B260" s="21">
        <v>1.3541000000000001</v>
      </c>
      <c r="C260" s="22">
        <v>120.07</v>
      </c>
      <c r="D260" s="22">
        <v>6.54</v>
      </c>
      <c r="E260" s="10">
        <v>7.45</v>
      </c>
      <c r="F260" s="22">
        <v>4.97</v>
      </c>
      <c r="G260" s="22">
        <v>417.44000199999999</v>
      </c>
      <c r="H260" s="22">
        <v>1542.73999</v>
      </c>
      <c r="I260" s="18">
        <v>18282.720700000002</v>
      </c>
    </row>
    <row r="261" spans="1:9" x14ac:dyDescent="0.2">
      <c r="A261" s="4">
        <v>33871</v>
      </c>
      <c r="B261" s="21">
        <v>1.3628</v>
      </c>
      <c r="C261" s="22">
        <v>120.49</v>
      </c>
      <c r="D261" s="22">
        <v>6.48</v>
      </c>
      <c r="E261" s="10">
        <v>7.46</v>
      </c>
      <c r="F261" s="22">
        <v>4.9000000000000004</v>
      </c>
      <c r="G261" s="22">
        <v>418.47000100000002</v>
      </c>
      <c r="H261" s="22">
        <v>1536.3000489999999</v>
      </c>
      <c r="I261" s="18">
        <v>18609.949219999999</v>
      </c>
    </row>
    <row r="262" spans="1:9" x14ac:dyDescent="0.2">
      <c r="A262" s="4">
        <v>33872</v>
      </c>
      <c r="B262" s="21">
        <v>1.3712</v>
      </c>
      <c r="C262" s="22">
        <v>120.71</v>
      </c>
      <c r="D262" s="22">
        <v>6.41</v>
      </c>
      <c r="E262" s="10">
        <v>7.5</v>
      </c>
      <c r="F262" s="22">
        <v>4.9050000000000002</v>
      </c>
      <c r="G262" s="22">
        <v>414.35000600000001</v>
      </c>
      <c r="H262" s="22">
        <v>1510.660034</v>
      </c>
      <c r="I262" s="18">
        <v>18394.759770000001</v>
      </c>
    </row>
    <row r="263" spans="1:9" x14ac:dyDescent="0.2">
      <c r="A263" s="4">
        <v>33875</v>
      </c>
      <c r="B263" s="21">
        <v>1.3972</v>
      </c>
      <c r="C263" s="22">
        <v>119.71</v>
      </c>
      <c r="D263" s="22">
        <v>6.37</v>
      </c>
      <c r="E263" s="10">
        <v>7.54</v>
      </c>
      <c r="F263" s="22">
        <v>4.9009999999999998</v>
      </c>
      <c r="G263" s="22">
        <v>416.61999500000002</v>
      </c>
      <c r="H263" s="22">
        <v>1481.030029</v>
      </c>
      <c r="I263" s="18">
        <v>17972.609380000002</v>
      </c>
    </row>
    <row r="264" spans="1:9" x14ac:dyDescent="0.2">
      <c r="A264" s="4">
        <v>33876</v>
      </c>
      <c r="B264" s="21">
        <v>1.4198999999999999</v>
      </c>
      <c r="C264" s="22">
        <v>119.31</v>
      </c>
      <c r="D264" s="22">
        <v>6.37</v>
      </c>
      <c r="E264" s="10">
        <v>7.56</v>
      </c>
      <c r="F264" s="22">
        <v>4.9189999999999996</v>
      </c>
      <c r="G264" s="22">
        <v>416.79998799999998</v>
      </c>
      <c r="H264" s="22">
        <v>1483.829956</v>
      </c>
      <c r="I264" s="18">
        <v>17748.089840000001</v>
      </c>
    </row>
    <row r="265" spans="1:9" x14ac:dyDescent="0.2">
      <c r="A265" s="4">
        <v>33877</v>
      </c>
      <c r="B265" s="21">
        <v>1.4283999999999999</v>
      </c>
      <c r="C265" s="22">
        <v>120.07</v>
      </c>
      <c r="D265" s="22">
        <v>6.37</v>
      </c>
      <c r="E265" s="10">
        <v>7.51</v>
      </c>
      <c r="F265" s="22">
        <v>4.9210000000000003</v>
      </c>
      <c r="G265" s="22">
        <v>417.79998799999998</v>
      </c>
      <c r="H265" s="22">
        <v>1470.089966</v>
      </c>
      <c r="I265" s="18">
        <v>17399.08008</v>
      </c>
    </row>
    <row r="266" spans="1:9" x14ac:dyDescent="0.2">
      <c r="A266" s="4">
        <v>33878</v>
      </c>
      <c r="B266" s="21">
        <v>1.4211</v>
      </c>
      <c r="C266" s="22">
        <v>119.87</v>
      </c>
      <c r="D266" s="22">
        <v>6.23</v>
      </c>
      <c r="E266" s="10">
        <v>7.4</v>
      </c>
      <c r="F266" s="22">
        <v>4.91</v>
      </c>
      <c r="G266" s="22">
        <v>416.290009</v>
      </c>
      <c r="H266" s="22">
        <v>1484.780029</v>
      </c>
      <c r="I266" s="18">
        <v>17369.910159999999</v>
      </c>
    </row>
    <row r="267" spans="1:9" x14ac:dyDescent="0.2">
      <c r="A267" s="4">
        <v>33879</v>
      </c>
      <c r="B267" s="21">
        <v>1.4238999999999999</v>
      </c>
      <c r="C267" s="22">
        <v>119.35</v>
      </c>
      <c r="D267" s="22">
        <v>6.26</v>
      </c>
      <c r="E267" s="10">
        <v>7.43</v>
      </c>
      <c r="F267" s="22">
        <v>4.87</v>
      </c>
      <c r="G267" s="22">
        <v>410.47000100000002</v>
      </c>
      <c r="H267" s="22">
        <v>1475.410034</v>
      </c>
      <c r="I267" s="18">
        <v>17324.070309999999</v>
      </c>
    </row>
    <row r="268" spans="1:9" x14ac:dyDescent="0.2">
      <c r="A268" s="4">
        <v>33882</v>
      </c>
      <c r="B268" s="21">
        <v>1.4296</v>
      </c>
      <c r="C268" s="22">
        <v>119.78</v>
      </c>
      <c r="D268" s="22">
        <v>6.24</v>
      </c>
      <c r="E268" s="10">
        <v>7.35</v>
      </c>
      <c r="F268" s="22">
        <v>4.88</v>
      </c>
      <c r="G268" s="22">
        <v>407.57000699999998</v>
      </c>
      <c r="H268" s="22">
        <v>1402.339966</v>
      </c>
      <c r="I268" s="18">
        <v>17101.5</v>
      </c>
    </row>
    <row r="269" spans="1:9" x14ac:dyDescent="0.2">
      <c r="A269" s="4">
        <v>33883</v>
      </c>
      <c r="B269" s="21">
        <v>1.4006000000000001</v>
      </c>
      <c r="C269" s="22">
        <v>119.74</v>
      </c>
      <c r="D269" s="22">
        <v>6.3</v>
      </c>
      <c r="E269" s="10">
        <v>7.39</v>
      </c>
      <c r="F269" s="22">
        <v>4.875</v>
      </c>
      <c r="G269" s="22">
        <v>407.17999300000002</v>
      </c>
      <c r="H269" s="22">
        <v>1421.48999</v>
      </c>
      <c r="I269" s="18">
        <v>17268.099610000001</v>
      </c>
    </row>
    <row r="270" spans="1:9" x14ac:dyDescent="0.2">
      <c r="A270" s="4">
        <v>33884</v>
      </c>
      <c r="B270" s="21">
        <v>1.4</v>
      </c>
      <c r="C270" s="22">
        <v>120.45</v>
      </c>
      <c r="D270" s="22">
        <v>6.46</v>
      </c>
      <c r="E270" s="10">
        <v>7.38</v>
      </c>
      <c r="F270" s="22">
        <v>4.9050000000000002</v>
      </c>
      <c r="G270" s="22">
        <v>404.25</v>
      </c>
      <c r="H270" s="22">
        <v>1434.6099850000001</v>
      </c>
      <c r="I270" s="18">
        <v>17111.740229999999</v>
      </c>
    </row>
    <row r="271" spans="1:9" x14ac:dyDescent="0.2">
      <c r="A271" s="4">
        <v>33885</v>
      </c>
      <c r="B271" s="21">
        <v>1.3686</v>
      </c>
      <c r="C271" s="22">
        <v>122.05</v>
      </c>
      <c r="D271" s="22">
        <v>6.41</v>
      </c>
      <c r="E271" s="10">
        <v>7.41</v>
      </c>
      <c r="F271" s="22">
        <v>4.9539999999999997</v>
      </c>
      <c r="G271" s="22">
        <v>407.75</v>
      </c>
      <c r="H271" s="22">
        <v>1446.3199460000001</v>
      </c>
      <c r="I271" s="18">
        <v>17335.509770000001</v>
      </c>
    </row>
    <row r="272" spans="1:9" x14ac:dyDescent="0.2">
      <c r="A272" s="4">
        <v>33886</v>
      </c>
      <c r="B272" s="21">
        <v>1.3609</v>
      </c>
      <c r="C272" s="22">
        <v>121.84</v>
      </c>
      <c r="D272" s="22">
        <v>6.52</v>
      </c>
      <c r="E272" s="10">
        <v>7.41</v>
      </c>
      <c r="F272" s="22">
        <v>4.9349999999999996</v>
      </c>
      <c r="G272" s="22">
        <v>402.66000400000001</v>
      </c>
      <c r="H272" s="22">
        <v>1437.650024</v>
      </c>
      <c r="I272" s="18">
        <v>17059.779299999998</v>
      </c>
    </row>
    <row r="273" spans="1:9" x14ac:dyDescent="0.2">
      <c r="A273" s="4">
        <v>33889</v>
      </c>
      <c r="B273" s="21">
        <v>1.3638999999999999</v>
      </c>
      <c r="C273" s="22">
        <v>120.75</v>
      </c>
      <c r="D273" s="22">
        <v>6.52</v>
      </c>
      <c r="E273" s="10">
        <v>7.47</v>
      </c>
      <c r="F273" s="22">
        <v>4.97</v>
      </c>
      <c r="G273" s="22">
        <v>407.44000199999999</v>
      </c>
      <c r="H273" s="22">
        <v>1441.5699460000001</v>
      </c>
      <c r="I273" s="18">
        <v>17302.009770000001</v>
      </c>
    </row>
    <row r="274" spans="1:9" x14ac:dyDescent="0.2">
      <c r="A274" s="4">
        <v>33890</v>
      </c>
      <c r="B274" s="21">
        <v>1.3655999999999999</v>
      </c>
      <c r="C274" s="22">
        <v>121.38</v>
      </c>
      <c r="D274" s="22">
        <v>6.51</v>
      </c>
      <c r="E274" s="10">
        <v>7.45</v>
      </c>
      <c r="F274" s="22">
        <v>4.9409999999999998</v>
      </c>
      <c r="G274" s="22">
        <v>409.29998799999998</v>
      </c>
      <c r="H274" s="22">
        <v>1471.6400149999999</v>
      </c>
      <c r="I274" s="18">
        <v>17490.66992</v>
      </c>
    </row>
    <row r="275" spans="1:9" x14ac:dyDescent="0.2">
      <c r="A275" s="4">
        <v>33891</v>
      </c>
      <c r="B275" s="21">
        <v>1.3729</v>
      </c>
      <c r="C275" s="22">
        <v>121.14</v>
      </c>
      <c r="D275" s="22">
        <v>6.51</v>
      </c>
      <c r="E275" s="10">
        <v>7.43</v>
      </c>
      <c r="F275" s="22">
        <v>4.9240000000000004</v>
      </c>
      <c r="G275" s="22">
        <v>409.36999500000002</v>
      </c>
      <c r="H275" s="22">
        <v>1453.9499510000001</v>
      </c>
      <c r="I275" s="18">
        <v>17344.029299999998</v>
      </c>
    </row>
    <row r="276" spans="1:9" x14ac:dyDescent="0.2">
      <c r="A276" s="4">
        <v>33892</v>
      </c>
      <c r="B276" s="21">
        <v>1.3868</v>
      </c>
      <c r="C276" s="22">
        <v>120.23</v>
      </c>
      <c r="D276" s="22">
        <v>6.53</v>
      </c>
      <c r="E276" s="10">
        <v>7.43</v>
      </c>
      <c r="F276" s="22">
        <v>4.9400000000000004</v>
      </c>
      <c r="G276" s="22">
        <v>409.60000600000001</v>
      </c>
      <c r="H276" s="22">
        <v>1453.790039</v>
      </c>
      <c r="I276" s="18">
        <v>17628.490229999999</v>
      </c>
    </row>
    <row r="277" spans="1:9" x14ac:dyDescent="0.2">
      <c r="A277" s="4">
        <v>33893</v>
      </c>
      <c r="B277" s="21">
        <v>1.3677999999999999</v>
      </c>
      <c r="C277" s="22">
        <v>119.41</v>
      </c>
      <c r="D277" s="22">
        <v>6.6</v>
      </c>
      <c r="E277" s="10">
        <v>7.37</v>
      </c>
      <c r="F277" s="22">
        <v>4.8949999999999996</v>
      </c>
      <c r="G277" s="22">
        <v>411.73001099999999</v>
      </c>
      <c r="H277" s="22">
        <v>1458.0200199999999</v>
      </c>
      <c r="I277" s="18">
        <v>17369.810549999998</v>
      </c>
    </row>
    <row r="278" spans="1:9" x14ac:dyDescent="0.2">
      <c r="A278" s="4">
        <v>33896</v>
      </c>
      <c r="B278" s="21">
        <v>1.3577999999999999</v>
      </c>
      <c r="C278" s="22">
        <v>120.57</v>
      </c>
      <c r="D278" s="22">
        <v>6.69</v>
      </c>
      <c r="E278" s="10">
        <v>7.34</v>
      </c>
      <c r="F278" s="22">
        <v>4.8849999999999998</v>
      </c>
      <c r="G278" s="22">
        <v>414.98001099999999</v>
      </c>
      <c r="H278" s="22">
        <v>1479.589966</v>
      </c>
      <c r="I278" s="18">
        <v>16903.810549999998</v>
      </c>
    </row>
    <row r="279" spans="1:9" x14ac:dyDescent="0.2">
      <c r="A279" s="4">
        <v>33897</v>
      </c>
      <c r="B279" s="21">
        <v>1.3277000000000001</v>
      </c>
      <c r="C279" s="22">
        <v>122.5</v>
      </c>
      <c r="D279" s="22">
        <v>6.86</v>
      </c>
      <c r="E279" s="10">
        <v>7.32</v>
      </c>
      <c r="F279" s="22">
        <v>4.9109999999999996</v>
      </c>
      <c r="G279" s="22">
        <v>415.48001099999999</v>
      </c>
      <c r="H279" s="22">
        <v>1504.8900149999999</v>
      </c>
      <c r="I279" s="18">
        <v>16987.660159999999</v>
      </c>
    </row>
    <row r="280" spans="1:9" x14ac:dyDescent="0.2">
      <c r="A280" s="4">
        <v>33898</v>
      </c>
      <c r="B280" s="21">
        <v>1.3387</v>
      </c>
      <c r="C280" s="22">
        <v>122.65</v>
      </c>
      <c r="D280" s="22">
        <v>6.8</v>
      </c>
      <c r="E280" s="10">
        <v>7.35</v>
      </c>
      <c r="F280" s="22">
        <v>4.931</v>
      </c>
      <c r="G280" s="22">
        <v>415.67001299999998</v>
      </c>
      <c r="H280" s="22">
        <v>1496.540039</v>
      </c>
      <c r="I280" s="18">
        <v>17141.519530000001</v>
      </c>
    </row>
    <row r="281" spans="1:9" x14ac:dyDescent="0.2">
      <c r="A281" s="4">
        <v>33899</v>
      </c>
      <c r="B281" s="21">
        <v>1.3313999999999999</v>
      </c>
      <c r="C281" s="22">
        <v>120.75</v>
      </c>
      <c r="D281" s="22">
        <v>6.74</v>
      </c>
      <c r="E281" s="10">
        <v>7.36</v>
      </c>
      <c r="F281" s="22">
        <v>4.8959999999999999</v>
      </c>
      <c r="G281" s="22">
        <v>414.89999399999999</v>
      </c>
      <c r="H281" s="22">
        <v>1511</v>
      </c>
      <c r="I281" s="18">
        <v>17013.039059999999</v>
      </c>
    </row>
    <row r="282" spans="1:9" x14ac:dyDescent="0.2">
      <c r="A282" s="4">
        <v>33900</v>
      </c>
      <c r="B282" s="21">
        <v>1.3173999999999999</v>
      </c>
      <c r="C282" s="22">
        <v>121.63</v>
      </c>
      <c r="D282" s="22">
        <v>6.83</v>
      </c>
      <c r="E282" s="10">
        <v>7.34</v>
      </c>
      <c r="F282" s="22">
        <v>4.88</v>
      </c>
      <c r="G282" s="22">
        <v>414.10000600000001</v>
      </c>
      <c r="H282" s="22">
        <v>1528.8599850000001</v>
      </c>
      <c r="I282" s="18">
        <v>17117.650389999999</v>
      </c>
    </row>
    <row r="283" spans="1:9" x14ac:dyDescent="0.2">
      <c r="A283" s="4">
        <v>33903</v>
      </c>
      <c r="B283" s="21">
        <v>1.3161</v>
      </c>
      <c r="C283" s="22">
        <v>122.05</v>
      </c>
      <c r="D283" s="22">
        <v>6.83</v>
      </c>
      <c r="E283" s="10">
        <v>7.32</v>
      </c>
      <c r="F283" s="22">
        <v>4.8890000000000002</v>
      </c>
      <c r="G283" s="22">
        <v>418.16000400000001</v>
      </c>
      <c r="H283" s="22">
        <v>1534.0200199999999</v>
      </c>
      <c r="I283" s="18">
        <v>17011.33008</v>
      </c>
    </row>
    <row r="284" spans="1:9" x14ac:dyDescent="0.2">
      <c r="A284" s="4">
        <v>33904</v>
      </c>
      <c r="B284" s="21">
        <v>1.3173999999999999</v>
      </c>
      <c r="C284" s="22">
        <v>122.2</v>
      </c>
      <c r="D284" s="22">
        <v>6.78</v>
      </c>
      <c r="E284" s="10">
        <v>7.34</v>
      </c>
      <c r="F284" s="22">
        <v>4.875</v>
      </c>
      <c r="G284" s="22">
        <v>418.48998999999998</v>
      </c>
      <c r="H284" s="22">
        <v>1536.599976</v>
      </c>
      <c r="I284" s="18">
        <v>17185.259770000001</v>
      </c>
    </row>
    <row r="285" spans="1:9" x14ac:dyDescent="0.2">
      <c r="A285" s="4">
        <v>33905</v>
      </c>
      <c r="B285" s="21">
        <v>1.3127</v>
      </c>
      <c r="C285" s="22">
        <v>123.19</v>
      </c>
      <c r="D285" s="22">
        <v>6.76</v>
      </c>
      <c r="E285" s="10">
        <v>7.37</v>
      </c>
      <c r="F285" s="22">
        <v>4.8540000000000001</v>
      </c>
      <c r="G285" s="22">
        <v>420.13000499999998</v>
      </c>
      <c r="H285" s="22">
        <v>1508.1899410000001</v>
      </c>
      <c r="I285" s="18">
        <v>17068.410159999999</v>
      </c>
    </row>
    <row r="286" spans="1:9" x14ac:dyDescent="0.2">
      <c r="A286" s="4">
        <v>33906</v>
      </c>
      <c r="B286" s="21">
        <v>1.3161</v>
      </c>
      <c r="C286" s="22">
        <v>123.27</v>
      </c>
      <c r="D286" s="22">
        <v>6.71</v>
      </c>
      <c r="E286" s="10">
        <v>7.37</v>
      </c>
      <c r="F286" s="22">
        <v>4.83</v>
      </c>
      <c r="G286" s="22">
        <v>420.85998499999999</v>
      </c>
      <c r="H286" s="22">
        <v>1493.540039</v>
      </c>
      <c r="I286" s="18">
        <v>16937.710940000001</v>
      </c>
    </row>
    <row r="287" spans="1:9" x14ac:dyDescent="0.2">
      <c r="A287" s="4">
        <v>33907</v>
      </c>
      <c r="B287" s="21">
        <v>1.3112999999999999</v>
      </c>
      <c r="C287" s="22">
        <v>123.45</v>
      </c>
      <c r="D287" s="22">
        <v>6.8</v>
      </c>
      <c r="E287" s="10">
        <v>7.38</v>
      </c>
      <c r="F287" s="22">
        <v>4.83</v>
      </c>
      <c r="G287" s="22">
        <v>418.67999300000002</v>
      </c>
      <c r="H287" s="22">
        <v>1489.6800539999999</v>
      </c>
      <c r="I287" s="18">
        <v>16767.400389999999</v>
      </c>
    </row>
    <row r="288" spans="1:9" x14ac:dyDescent="0.2">
      <c r="A288" s="4">
        <v>33910</v>
      </c>
      <c r="B288" s="21">
        <v>1.2911999999999999</v>
      </c>
      <c r="C288" s="22">
        <v>123.75</v>
      </c>
      <c r="D288" s="22">
        <v>6.88</v>
      </c>
      <c r="E288" s="10">
        <v>7.34</v>
      </c>
      <c r="F288" s="22">
        <v>4.82</v>
      </c>
      <c r="G288" s="22">
        <v>422.75</v>
      </c>
      <c r="H288" s="22">
        <v>1482.4399410000001</v>
      </c>
      <c r="I288" s="18">
        <v>16853.359380000002</v>
      </c>
    </row>
    <row r="289" spans="1:9" x14ac:dyDescent="0.2">
      <c r="A289" s="4">
        <v>33911</v>
      </c>
      <c r="B289" s="21">
        <v>1.2905</v>
      </c>
      <c r="C289" s="22">
        <v>122.65</v>
      </c>
      <c r="D289" s="22">
        <v>6.87</v>
      </c>
      <c r="E289" s="10">
        <v>7.33</v>
      </c>
      <c r="F289" s="22">
        <v>4.82</v>
      </c>
      <c r="G289" s="22">
        <v>419.92001299999998</v>
      </c>
      <c r="H289" s="22">
        <v>1483.339966</v>
      </c>
      <c r="I289" s="18">
        <v>16853.359380000002</v>
      </c>
    </row>
    <row r="290" spans="1:9" x14ac:dyDescent="0.2">
      <c r="A290" s="4">
        <v>33912</v>
      </c>
      <c r="B290" s="21">
        <v>1.2907</v>
      </c>
      <c r="C290" s="22">
        <v>123.2</v>
      </c>
      <c r="D290" s="22">
        <v>6.89</v>
      </c>
      <c r="E290" s="10">
        <v>7.33</v>
      </c>
      <c r="F290" s="22">
        <v>4.8140000000000001</v>
      </c>
      <c r="G290" s="22">
        <v>417.10998499999999</v>
      </c>
      <c r="H290" s="22">
        <v>1470.5699460000001</v>
      </c>
      <c r="I290" s="18">
        <v>17065.199219999999</v>
      </c>
    </row>
    <row r="291" spans="1:9" x14ac:dyDescent="0.2">
      <c r="A291" s="4">
        <v>33913</v>
      </c>
      <c r="B291" s="21">
        <v>1.2811999999999999</v>
      </c>
      <c r="C291" s="22">
        <v>122.84</v>
      </c>
      <c r="D291" s="22">
        <v>6.87</v>
      </c>
      <c r="E291" s="10">
        <v>7.33</v>
      </c>
      <c r="F291" s="22">
        <v>4.83</v>
      </c>
      <c r="G291" s="22">
        <v>418.33999599999999</v>
      </c>
      <c r="H291" s="22">
        <v>1484.839966</v>
      </c>
      <c r="I291" s="18">
        <v>17031.589840000001</v>
      </c>
    </row>
    <row r="292" spans="1:9" x14ac:dyDescent="0.2">
      <c r="A292" s="4">
        <v>33914</v>
      </c>
      <c r="B292" s="21">
        <v>1.2739</v>
      </c>
      <c r="C292" s="22">
        <v>123.44</v>
      </c>
      <c r="D292" s="22">
        <v>6.97</v>
      </c>
      <c r="E292" s="10">
        <v>7.31</v>
      </c>
      <c r="F292" s="22">
        <v>4.8499999999999996</v>
      </c>
      <c r="G292" s="22">
        <v>417.57998700000002</v>
      </c>
      <c r="H292" s="22">
        <v>1487.709961</v>
      </c>
      <c r="I292" s="18">
        <v>16869.810549999998</v>
      </c>
    </row>
    <row r="293" spans="1:9" x14ac:dyDescent="0.2">
      <c r="A293" s="4">
        <v>33917</v>
      </c>
      <c r="B293" s="21">
        <v>1.2765</v>
      </c>
      <c r="C293" s="22">
        <v>124.25</v>
      </c>
      <c r="D293" s="22">
        <v>7</v>
      </c>
      <c r="E293" s="10">
        <v>7.28</v>
      </c>
      <c r="F293" s="22">
        <v>4.7910000000000004</v>
      </c>
      <c r="G293" s="22">
        <v>418.58999599999999</v>
      </c>
      <c r="H293" s="22">
        <v>1508.630005</v>
      </c>
      <c r="I293" s="18">
        <v>16417.050780000001</v>
      </c>
    </row>
    <row r="294" spans="1:9" x14ac:dyDescent="0.2">
      <c r="A294" s="4">
        <v>33918</v>
      </c>
      <c r="B294" s="21">
        <v>1.2679</v>
      </c>
      <c r="C294" s="22">
        <v>124.25</v>
      </c>
      <c r="D294" s="22">
        <v>6.91</v>
      </c>
      <c r="E294" s="10">
        <v>7.29</v>
      </c>
      <c r="F294" s="22">
        <v>4.78</v>
      </c>
      <c r="G294" s="22">
        <v>418.61999500000002</v>
      </c>
      <c r="H294" s="22">
        <v>1515.2700199999999</v>
      </c>
      <c r="I294" s="18">
        <v>16437.109380000002</v>
      </c>
    </row>
    <row r="295" spans="1:9" x14ac:dyDescent="0.2">
      <c r="A295" s="4">
        <v>33919</v>
      </c>
      <c r="B295" s="21">
        <v>1.2767999999999999</v>
      </c>
      <c r="C295" s="22">
        <v>124.1</v>
      </c>
      <c r="D295" s="22">
        <v>6.91</v>
      </c>
      <c r="E295" s="10">
        <v>7.29</v>
      </c>
      <c r="F295" s="22">
        <v>4.7640000000000002</v>
      </c>
      <c r="G295" s="22">
        <v>422.20001200000002</v>
      </c>
      <c r="H295" s="22">
        <v>1509.839966</v>
      </c>
      <c r="I295" s="18">
        <v>16318.150390000001</v>
      </c>
    </row>
    <row r="296" spans="1:9" x14ac:dyDescent="0.2">
      <c r="A296" s="4">
        <v>33920</v>
      </c>
      <c r="B296" s="21">
        <v>1.276</v>
      </c>
      <c r="C296" s="22">
        <v>123.92</v>
      </c>
      <c r="D296" s="22">
        <v>6.79</v>
      </c>
      <c r="E296" s="10">
        <v>7.29</v>
      </c>
      <c r="F296" s="22">
        <v>4.7640000000000002</v>
      </c>
      <c r="G296" s="22">
        <v>422.86999500000002</v>
      </c>
      <c r="H296" s="22">
        <v>1542.280029</v>
      </c>
      <c r="I296" s="18">
        <v>16376.929690000001</v>
      </c>
    </row>
    <row r="297" spans="1:9" x14ac:dyDescent="0.2">
      <c r="A297" s="4">
        <v>33921</v>
      </c>
      <c r="B297" s="21">
        <v>1.29</v>
      </c>
      <c r="C297" s="22">
        <v>124.03</v>
      </c>
      <c r="D297" s="22">
        <v>6.82</v>
      </c>
      <c r="E297" s="10">
        <v>7.33</v>
      </c>
      <c r="F297" s="22">
        <v>4.74</v>
      </c>
      <c r="G297" s="22">
        <v>422.42999300000002</v>
      </c>
      <c r="H297" s="22">
        <v>1541.790039</v>
      </c>
      <c r="I297" s="18">
        <v>16330.79004</v>
      </c>
    </row>
    <row r="298" spans="1:9" x14ac:dyDescent="0.2">
      <c r="A298" s="4">
        <v>33924</v>
      </c>
      <c r="B298" s="21">
        <v>1.2754000000000001</v>
      </c>
      <c r="C298" s="22">
        <v>124.78</v>
      </c>
      <c r="D298" s="22">
        <v>6.9</v>
      </c>
      <c r="E298" s="10">
        <v>7.34</v>
      </c>
      <c r="F298" s="22">
        <v>4.7389999999999999</v>
      </c>
      <c r="G298" s="22">
        <v>420.67999300000002</v>
      </c>
      <c r="H298" s="22">
        <v>1542.4799800000001</v>
      </c>
      <c r="I298" s="18">
        <v>16162.990229999999</v>
      </c>
    </row>
    <row r="299" spans="1:9" x14ac:dyDescent="0.2">
      <c r="A299" s="4">
        <v>33925</v>
      </c>
      <c r="B299" s="21">
        <v>1.2644</v>
      </c>
      <c r="C299" s="22">
        <v>124.35</v>
      </c>
      <c r="D299" s="22">
        <v>6.86</v>
      </c>
      <c r="E299" s="10">
        <v>7.36</v>
      </c>
      <c r="F299" s="22">
        <v>4.7050000000000001</v>
      </c>
      <c r="G299" s="22">
        <v>419.26998900000001</v>
      </c>
      <c r="H299" s="22">
        <v>1550.2700199999999</v>
      </c>
      <c r="I299" s="18">
        <v>15993.48047</v>
      </c>
    </row>
    <row r="300" spans="1:9" x14ac:dyDescent="0.2">
      <c r="A300" s="4">
        <v>33926</v>
      </c>
      <c r="B300" s="21">
        <v>1.2748999999999999</v>
      </c>
      <c r="C300" s="22">
        <v>123.75</v>
      </c>
      <c r="D300" s="22">
        <v>6.78</v>
      </c>
      <c r="E300" s="10">
        <v>7.36</v>
      </c>
      <c r="F300" s="22">
        <v>4.7249999999999996</v>
      </c>
      <c r="G300" s="22">
        <v>422.85000600000001</v>
      </c>
      <c r="H300" s="22">
        <v>1550.2700199999999</v>
      </c>
      <c r="I300" s="18">
        <v>16778.839840000001</v>
      </c>
    </row>
    <row r="301" spans="1:9" x14ac:dyDescent="0.2">
      <c r="A301" s="4">
        <v>33927</v>
      </c>
      <c r="B301" s="21">
        <v>1.2831999999999999</v>
      </c>
      <c r="C301" s="22">
        <v>123.48</v>
      </c>
      <c r="D301" s="22">
        <v>6.81</v>
      </c>
      <c r="E301" s="10">
        <v>7.33</v>
      </c>
      <c r="F301" s="22">
        <v>4.8099999999999996</v>
      </c>
      <c r="G301" s="22">
        <v>423.60998499999999</v>
      </c>
      <c r="H301" s="22">
        <v>1543.369995</v>
      </c>
      <c r="I301" s="18">
        <v>16871.310549999998</v>
      </c>
    </row>
    <row r="302" spans="1:9" x14ac:dyDescent="0.2">
      <c r="A302" s="4">
        <v>33928</v>
      </c>
      <c r="B302" s="21">
        <v>1.2669999999999999</v>
      </c>
      <c r="C302" s="22">
        <v>124.33</v>
      </c>
      <c r="D302" s="22">
        <v>6.84</v>
      </c>
      <c r="E302" s="10">
        <v>7.29</v>
      </c>
      <c r="F302" s="22">
        <v>4.8150000000000004</v>
      </c>
      <c r="G302" s="22">
        <v>426.64999399999999</v>
      </c>
      <c r="H302" s="22">
        <v>1547.839966</v>
      </c>
      <c r="I302" s="18">
        <v>17033.599610000001</v>
      </c>
    </row>
    <row r="303" spans="1:9" x14ac:dyDescent="0.2">
      <c r="A303" s="4">
        <v>33931</v>
      </c>
      <c r="B303" s="21">
        <v>1.2579</v>
      </c>
      <c r="C303" s="22">
        <v>124.13</v>
      </c>
      <c r="D303" s="22">
        <v>6.86</v>
      </c>
      <c r="E303" s="10">
        <v>7.29</v>
      </c>
      <c r="F303" s="22">
        <v>4.8150000000000004</v>
      </c>
      <c r="G303" s="22">
        <v>425.11999500000002</v>
      </c>
      <c r="H303" s="22">
        <v>1523.619995</v>
      </c>
      <c r="I303" s="18">
        <v>17033.599610000001</v>
      </c>
    </row>
    <row r="304" spans="1:9" x14ac:dyDescent="0.2">
      <c r="A304" s="4">
        <v>33932</v>
      </c>
      <c r="B304" s="21">
        <v>1.2572000000000001</v>
      </c>
      <c r="C304" s="22">
        <v>123.88</v>
      </c>
      <c r="D304" s="22">
        <v>6.82</v>
      </c>
      <c r="E304" s="10">
        <v>7.28</v>
      </c>
      <c r="F304" s="22">
        <v>4.8</v>
      </c>
      <c r="G304" s="22">
        <v>427.58999599999999</v>
      </c>
      <c r="H304" s="22">
        <v>1526.6800539999999</v>
      </c>
      <c r="I304" s="18">
        <v>17096.089840000001</v>
      </c>
    </row>
    <row r="305" spans="1:9" x14ac:dyDescent="0.2">
      <c r="A305" s="4">
        <v>33933</v>
      </c>
      <c r="B305" s="21">
        <v>1.2705</v>
      </c>
      <c r="C305" s="22">
        <v>123.77</v>
      </c>
      <c r="D305" s="22">
        <v>6.84</v>
      </c>
      <c r="E305" s="10">
        <v>7.27</v>
      </c>
      <c r="F305" s="22">
        <v>4.8049999999999997</v>
      </c>
      <c r="G305" s="22">
        <v>429.19000199999999</v>
      </c>
      <c r="H305" s="22">
        <v>1513.420044</v>
      </c>
      <c r="I305" s="18">
        <v>17302.009770000001</v>
      </c>
    </row>
    <row r="306" spans="1:9" x14ac:dyDescent="0.2">
      <c r="A306" s="4">
        <v>33934</v>
      </c>
      <c r="B306" s="21">
        <v>1.2648999999999999</v>
      </c>
      <c r="C306" s="22">
        <v>124.15</v>
      </c>
      <c r="D306" s="22">
        <v>6.84</v>
      </c>
      <c r="E306" s="10">
        <v>7.29</v>
      </c>
      <c r="F306" s="22">
        <v>4.84</v>
      </c>
      <c r="G306" s="22">
        <v>429.91</v>
      </c>
      <c r="H306" s="22">
        <v>1523.0200199999999</v>
      </c>
      <c r="I306" s="18">
        <v>17479.039059999999</v>
      </c>
    </row>
    <row r="307" spans="1:9" x14ac:dyDescent="0.2">
      <c r="A307" s="4">
        <v>33935</v>
      </c>
      <c r="B307" s="21">
        <v>1.2575000000000001</v>
      </c>
      <c r="C307" s="22">
        <v>124.45</v>
      </c>
      <c r="D307" s="22">
        <v>6.93</v>
      </c>
      <c r="E307" s="10">
        <v>7.32</v>
      </c>
      <c r="F307" s="22">
        <v>4.8449999999999998</v>
      </c>
      <c r="G307" s="22">
        <v>430.16000400000001</v>
      </c>
      <c r="H307" s="22">
        <v>1529.6899410000001</v>
      </c>
      <c r="I307" s="18">
        <v>17470.609380000002</v>
      </c>
    </row>
    <row r="308" spans="1:9" x14ac:dyDescent="0.2">
      <c r="A308" s="4">
        <v>33938</v>
      </c>
      <c r="B308" s="21">
        <v>1.2623</v>
      </c>
      <c r="C308" s="22">
        <v>124.75</v>
      </c>
      <c r="D308" s="22">
        <v>6.95</v>
      </c>
      <c r="E308" s="10">
        <v>7.34</v>
      </c>
      <c r="F308" s="22">
        <v>4.88</v>
      </c>
      <c r="G308" s="22">
        <v>431.35000600000001</v>
      </c>
      <c r="H308" s="22">
        <v>1545.119995</v>
      </c>
      <c r="I308" s="18">
        <v>17683.650389999999</v>
      </c>
    </row>
    <row r="309" spans="1:9" x14ac:dyDescent="0.2">
      <c r="A309" s="4">
        <v>33939</v>
      </c>
      <c r="B309" s="21">
        <v>1.2648999999999999</v>
      </c>
      <c r="C309" s="22">
        <v>124.15</v>
      </c>
      <c r="D309" s="22">
        <v>6.94</v>
      </c>
      <c r="E309" s="10">
        <v>7.36</v>
      </c>
      <c r="F309" s="22">
        <v>4.835</v>
      </c>
      <c r="G309" s="22">
        <v>430.77999899999998</v>
      </c>
      <c r="H309" s="22">
        <v>1546.8199460000001</v>
      </c>
      <c r="I309" s="18">
        <v>17313.039059999999</v>
      </c>
    </row>
    <row r="310" spans="1:9" x14ac:dyDescent="0.2">
      <c r="A310" s="4">
        <v>33940</v>
      </c>
      <c r="B310" s="21">
        <v>1.2783</v>
      </c>
      <c r="C310" s="22">
        <v>124.49</v>
      </c>
      <c r="D310" s="22">
        <v>6.93</v>
      </c>
      <c r="E310" s="10">
        <v>7.37</v>
      </c>
      <c r="F310" s="22">
        <v>4.8099999999999996</v>
      </c>
      <c r="G310" s="22">
        <v>429.89001500000001</v>
      </c>
      <c r="H310" s="22">
        <v>1528.119995</v>
      </c>
      <c r="I310" s="18">
        <v>17393.679690000001</v>
      </c>
    </row>
    <row r="311" spans="1:9" x14ac:dyDescent="0.2">
      <c r="A311" s="4">
        <v>33941</v>
      </c>
      <c r="B311" s="21">
        <v>1.2728999999999999</v>
      </c>
      <c r="C311" s="22">
        <v>124.7</v>
      </c>
      <c r="D311" s="22">
        <v>6.91</v>
      </c>
      <c r="E311" s="10">
        <v>7.35</v>
      </c>
      <c r="F311" s="22">
        <v>4.8150000000000004</v>
      </c>
      <c r="G311" s="22">
        <v>429.91000400000001</v>
      </c>
      <c r="H311" s="22">
        <v>1530.650024</v>
      </c>
      <c r="I311" s="18">
        <v>17260.08008</v>
      </c>
    </row>
    <row r="312" spans="1:9" x14ac:dyDescent="0.2">
      <c r="A312" s="4">
        <v>33942</v>
      </c>
      <c r="B312" s="21">
        <v>1.2637</v>
      </c>
      <c r="C312" s="22">
        <v>124.95</v>
      </c>
      <c r="D312" s="22">
        <v>6.84</v>
      </c>
      <c r="E312" s="10">
        <v>7.33</v>
      </c>
      <c r="F312" s="22">
        <v>4.82</v>
      </c>
      <c r="G312" s="22">
        <v>432.05999800000001</v>
      </c>
      <c r="H312" s="22">
        <v>1526.25</v>
      </c>
      <c r="I312" s="18">
        <v>17295.689450000002</v>
      </c>
    </row>
    <row r="313" spans="1:9" x14ac:dyDescent="0.2">
      <c r="A313" s="4">
        <v>33945</v>
      </c>
      <c r="B313" s="21">
        <v>1.2785</v>
      </c>
      <c r="C313" s="22">
        <v>123.83</v>
      </c>
      <c r="D313" s="22">
        <v>6.78</v>
      </c>
      <c r="E313" s="10">
        <v>7.34</v>
      </c>
      <c r="F313" s="22">
        <v>4.82</v>
      </c>
      <c r="G313" s="22">
        <v>435.30999800000001</v>
      </c>
      <c r="H313" s="22">
        <v>1519.4799800000001</v>
      </c>
      <c r="I313" s="18">
        <v>17207.119139999999</v>
      </c>
    </row>
    <row r="314" spans="1:9" x14ac:dyDescent="0.2">
      <c r="A314" s="4">
        <v>33946</v>
      </c>
      <c r="B314" s="21">
        <v>1.2873000000000001</v>
      </c>
      <c r="C314" s="22">
        <v>123.8</v>
      </c>
      <c r="D314" s="22">
        <v>6.73</v>
      </c>
      <c r="E314" s="10">
        <v>7.35</v>
      </c>
      <c r="F314" s="22">
        <v>4.835</v>
      </c>
      <c r="G314" s="22">
        <v>436.98998999999998</v>
      </c>
      <c r="H314" s="22">
        <v>1506.650024</v>
      </c>
      <c r="I314" s="18">
        <v>17281.849610000001</v>
      </c>
    </row>
    <row r="315" spans="1:9" x14ac:dyDescent="0.2">
      <c r="A315" s="4">
        <v>33947</v>
      </c>
      <c r="B315" s="21">
        <v>1.2781</v>
      </c>
      <c r="C315" s="22">
        <v>124.05</v>
      </c>
      <c r="D315" s="22">
        <v>6.76</v>
      </c>
      <c r="E315" s="10">
        <v>7.34</v>
      </c>
      <c r="F315" s="22">
        <v>4.835</v>
      </c>
      <c r="G315" s="22">
        <v>435.64999399999999</v>
      </c>
      <c r="H315" s="22">
        <v>1504.3000489999999</v>
      </c>
      <c r="I315" s="18">
        <v>17406.220700000002</v>
      </c>
    </row>
    <row r="316" spans="1:9" x14ac:dyDescent="0.2">
      <c r="A316" s="4">
        <v>33948</v>
      </c>
      <c r="B316" s="21">
        <v>1.2767999999999999</v>
      </c>
      <c r="C316" s="22">
        <v>123.71</v>
      </c>
      <c r="D316" s="22">
        <v>6.77</v>
      </c>
      <c r="E316" s="10">
        <v>7.34</v>
      </c>
      <c r="F316" s="22">
        <v>4.835</v>
      </c>
      <c r="G316" s="22">
        <v>434.64001500000001</v>
      </c>
      <c r="H316" s="22">
        <v>1480.650024</v>
      </c>
      <c r="I316" s="18">
        <v>17501.300780000001</v>
      </c>
    </row>
    <row r="317" spans="1:9" x14ac:dyDescent="0.2">
      <c r="A317" s="4">
        <v>33949</v>
      </c>
      <c r="B317" s="21">
        <v>1.2739</v>
      </c>
      <c r="C317" s="22">
        <v>123.92</v>
      </c>
      <c r="D317" s="22">
        <v>6.8</v>
      </c>
      <c r="E317" s="10">
        <v>7.35</v>
      </c>
      <c r="F317" s="22">
        <v>4.84</v>
      </c>
      <c r="G317" s="22">
        <v>433.73001099999999</v>
      </c>
      <c r="H317" s="22">
        <v>1476.6999510000001</v>
      </c>
      <c r="I317" s="18">
        <v>17441.019530000001</v>
      </c>
    </row>
    <row r="318" spans="1:9" x14ac:dyDescent="0.2">
      <c r="A318" s="4">
        <v>33952</v>
      </c>
      <c r="B318" s="21">
        <v>1.2785</v>
      </c>
      <c r="C318" s="22">
        <v>123.7</v>
      </c>
      <c r="D318" s="22">
        <v>6.83</v>
      </c>
      <c r="E318" s="10">
        <v>7.36</v>
      </c>
      <c r="F318" s="22">
        <v>4.8949999999999996</v>
      </c>
      <c r="G318" s="22">
        <v>432.83999599999999</v>
      </c>
      <c r="H318" s="22">
        <v>1478.0699460000001</v>
      </c>
      <c r="I318" s="18">
        <v>17289.970700000002</v>
      </c>
    </row>
    <row r="319" spans="1:9" x14ac:dyDescent="0.2">
      <c r="A319" s="4">
        <v>33953</v>
      </c>
      <c r="B319" s="21">
        <v>1.2796000000000001</v>
      </c>
      <c r="C319" s="22">
        <v>124.09</v>
      </c>
      <c r="D319" s="22">
        <v>6.83</v>
      </c>
      <c r="E319" s="10">
        <v>7.35</v>
      </c>
      <c r="F319" s="22">
        <v>4.8849999999999998</v>
      </c>
      <c r="G319" s="22">
        <v>432.57000699999998</v>
      </c>
      <c r="H319" s="22">
        <v>1479.619995</v>
      </c>
      <c r="I319" s="18">
        <v>17480.740229999999</v>
      </c>
    </row>
    <row r="320" spans="1:9" x14ac:dyDescent="0.2">
      <c r="A320" s="4">
        <v>33954</v>
      </c>
      <c r="B320" s="21">
        <v>1.2892999999999999</v>
      </c>
      <c r="C320" s="22">
        <v>123</v>
      </c>
      <c r="D320" s="22">
        <v>6.77</v>
      </c>
      <c r="E320" s="10">
        <v>7.35</v>
      </c>
      <c r="F320" s="22">
        <v>4.8600000000000003</v>
      </c>
      <c r="G320" s="22">
        <v>431.51998900000001</v>
      </c>
      <c r="H320" s="22">
        <v>1477.5500489999999</v>
      </c>
      <c r="I320" s="18">
        <v>17268.710940000001</v>
      </c>
    </row>
    <row r="321" spans="1:9" x14ac:dyDescent="0.2">
      <c r="A321" s="4">
        <v>33955</v>
      </c>
      <c r="B321" s="21">
        <v>1.288</v>
      </c>
      <c r="C321" s="22">
        <v>122.72</v>
      </c>
      <c r="D321" s="22">
        <v>6.77</v>
      </c>
      <c r="E321" s="10">
        <v>7.36</v>
      </c>
      <c r="F321" s="22">
        <v>4.8600000000000003</v>
      </c>
      <c r="G321" s="22">
        <v>435.42999300000002</v>
      </c>
      <c r="H321" s="22">
        <v>1472.589966</v>
      </c>
      <c r="I321" s="18">
        <v>17437.910159999999</v>
      </c>
    </row>
    <row r="322" spans="1:9" x14ac:dyDescent="0.2">
      <c r="A322" s="4">
        <v>33956</v>
      </c>
      <c r="B322" s="21">
        <v>1.2806999999999999</v>
      </c>
      <c r="C322" s="22">
        <v>123.2</v>
      </c>
      <c r="D322" s="22">
        <v>6.76</v>
      </c>
      <c r="E322" s="10">
        <v>7.31</v>
      </c>
      <c r="F322" s="22">
        <v>4.8449999999999998</v>
      </c>
      <c r="G322" s="22">
        <v>441.27999899999998</v>
      </c>
      <c r="H322" s="22">
        <v>1495.599976</v>
      </c>
      <c r="I322" s="18">
        <v>17680.740229999999</v>
      </c>
    </row>
    <row r="323" spans="1:9" x14ac:dyDescent="0.2">
      <c r="A323" s="4">
        <v>33959</v>
      </c>
      <c r="B323" s="21">
        <v>1.2785</v>
      </c>
      <c r="C323" s="22">
        <v>123.1</v>
      </c>
      <c r="D323" s="22">
        <v>6.71</v>
      </c>
      <c r="E323" s="10">
        <v>7.31</v>
      </c>
      <c r="F323" s="22">
        <v>4.84</v>
      </c>
      <c r="G323" s="22">
        <v>440.70001200000002</v>
      </c>
      <c r="H323" s="22">
        <v>1517.4499510000001</v>
      </c>
      <c r="I323" s="18">
        <v>17645.439450000002</v>
      </c>
    </row>
    <row r="324" spans="1:9" x14ac:dyDescent="0.2">
      <c r="A324" s="4">
        <v>33960</v>
      </c>
      <c r="B324" s="21">
        <v>1.2639</v>
      </c>
      <c r="C324" s="22">
        <v>123.85</v>
      </c>
      <c r="D324" s="22">
        <v>6.65</v>
      </c>
      <c r="E324" s="10">
        <v>7.22</v>
      </c>
      <c r="F324" s="22">
        <v>4.8150000000000004</v>
      </c>
      <c r="G324" s="22">
        <v>440.30999800000001</v>
      </c>
      <c r="H324" s="22">
        <v>1520.9300539999999</v>
      </c>
      <c r="I324" s="18">
        <v>17690.66992</v>
      </c>
    </row>
    <row r="325" spans="1:9" x14ac:dyDescent="0.2">
      <c r="A325" s="4">
        <v>33961</v>
      </c>
      <c r="B325" s="21">
        <v>1.2593000000000001</v>
      </c>
      <c r="C325" s="22">
        <v>123.86</v>
      </c>
      <c r="D325" s="22">
        <v>6.68</v>
      </c>
      <c r="E325" s="10">
        <v>7.21</v>
      </c>
      <c r="F325" s="22">
        <v>4.8150000000000004</v>
      </c>
      <c r="G325" s="22">
        <v>439.02999899999998</v>
      </c>
      <c r="H325" s="22">
        <v>1527.0600589999999</v>
      </c>
      <c r="I325" s="18">
        <v>17690.66992</v>
      </c>
    </row>
    <row r="326" spans="1:9" x14ac:dyDescent="0.2">
      <c r="A326" s="4">
        <v>33962</v>
      </c>
      <c r="B326" s="21">
        <v>1.2602</v>
      </c>
      <c r="C326" s="22">
        <v>123.95</v>
      </c>
      <c r="D326" s="22">
        <v>6.69</v>
      </c>
      <c r="E326" s="10">
        <v>7.21</v>
      </c>
      <c r="F326" s="22">
        <v>4.8</v>
      </c>
      <c r="G326" s="22">
        <v>439.76998900000001</v>
      </c>
      <c r="H326" s="22">
        <v>1527.0600589999999</v>
      </c>
      <c r="I326" s="18">
        <v>17648.849610000001</v>
      </c>
    </row>
    <row r="327" spans="1:9" x14ac:dyDescent="0.2">
      <c r="A327" s="4">
        <v>33963</v>
      </c>
      <c r="B327" s="21">
        <v>1.2602</v>
      </c>
      <c r="C327" s="22">
        <v>123.7</v>
      </c>
      <c r="D327" s="22">
        <v>6.69</v>
      </c>
      <c r="E327" s="10">
        <v>7.21</v>
      </c>
      <c r="F327" s="22">
        <v>4.79</v>
      </c>
      <c r="G327" s="22">
        <v>435.71</v>
      </c>
      <c r="H327" s="22">
        <v>1527.0600589999999</v>
      </c>
      <c r="I327" s="18">
        <v>17557.039059999999</v>
      </c>
    </row>
    <row r="328" spans="1:9" x14ac:dyDescent="0.2">
      <c r="A328" s="4">
        <v>33966</v>
      </c>
      <c r="B328" s="21">
        <v>1.2602</v>
      </c>
      <c r="C328" s="22">
        <v>124.95</v>
      </c>
      <c r="D328" s="22">
        <v>6.72</v>
      </c>
      <c r="E328" s="10">
        <v>7.17</v>
      </c>
      <c r="F328" s="22">
        <v>4.79</v>
      </c>
      <c r="G328" s="22">
        <v>439.14999399999999</v>
      </c>
      <c r="H328" s="22">
        <v>1547.51001</v>
      </c>
      <c r="I328" s="18">
        <v>17188.619139999999</v>
      </c>
    </row>
    <row r="329" spans="1:9" x14ac:dyDescent="0.2">
      <c r="A329" s="4">
        <v>33967</v>
      </c>
      <c r="B329" s="21">
        <v>1.2372000000000001</v>
      </c>
      <c r="C329" s="22">
        <v>124.73</v>
      </c>
      <c r="D329" s="22">
        <v>6.69</v>
      </c>
      <c r="E329" s="10">
        <v>7.2</v>
      </c>
      <c r="F329" s="22">
        <v>4.8049999999999997</v>
      </c>
      <c r="G329" s="22">
        <v>437.98001099999999</v>
      </c>
      <c r="H329" s="22">
        <v>1545.8199460000001</v>
      </c>
      <c r="I329" s="18">
        <v>17285.640630000002</v>
      </c>
    </row>
    <row r="330" spans="1:9" x14ac:dyDescent="0.2">
      <c r="A330" s="4">
        <v>33968</v>
      </c>
      <c r="B330" s="21">
        <v>1.2408999999999999</v>
      </c>
      <c r="C330" s="22">
        <v>124.65</v>
      </c>
      <c r="D330" s="22">
        <v>6.68</v>
      </c>
      <c r="E330" s="10">
        <v>7.19</v>
      </c>
      <c r="F330" s="22">
        <v>4.7750000000000004</v>
      </c>
      <c r="G330" s="22">
        <v>438.82000699999998</v>
      </c>
      <c r="H330" s="22">
        <v>1538.4300539999999</v>
      </c>
      <c r="I330" s="18">
        <v>16924.949219999999</v>
      </c>
    </row>
    <row r="331" spans="1:9" x14ac:dyDescent="0.2">
      <c r="A331" s="4">
        <v>33969</v>
      </c>
      <c r="B331" s="21">
        <v>1.2369000000000001</v>
      </c>
      <c r="C331" s="22">
        <v>124.86</v>
      </c>
      <c r="D331" s="22">
        <v>6.7</v>
      </c>
      <c r="E331" s="10">
        <v>7.19</v>
      </c>
      <c r="F331" s="22">
        <v>4.7750000000000004</v>
      </c>
      <c r="G331" s="22">
        <v>435.709991</v>
      </c>
      <c r="H331" s="22">
        <v>1538.4300539999999</v>
      </c>
      <c r="I331" s="18">
        <v>16924.949219999999</v>
      </c>
    </row>
    <row r="332" spans="1:9" x14ac:dyDescent="0.2">
      <c r="A332" s="4">
        <v>33970</v>
      </c>
      <c r="B332" s="21">
        <v>1.2369000000000001</v>
      </c>
      <c r="C332" s="22">
        <v>124.86</v>
      </c>
      <c r="D332" s="22">
        <v>6.7</v>
      </c>
      <c r="E332" s="10">
        <v>7.26</v>
      </c>
      <c r="F332" s="22">
        <v>4.7750000000000004</v>
      </c>
      <c r="G332" s="22">
        <v>429.05</v>
      </c>
      <c r="H332" s="22">
        <v>1538.4300539999999</v>
      </c>
      <c r="I332" s="18">
        <v>16924.949219999999</v>
      </c>
    </row>
    <row r="333" spans="1:9" x14ac:dyDescent="0.2">
      <c r="A333" s="4">
        <v>33973</v>
      </c>
      <c r="B333" s="21">
        <v>1.2179</v>
      </c>
      <c r="C333" s="22">
        <v>125.35</v>
      </c>
      <c r="D333" s="22">
        <v>6.6</v>
      </c>
      <c r="E333" s="10">
        <v>7.27</v>
      </c>
      <c r="F333" s="22">
        <v>4.7850000000000001</v>
      </c>
      <c r="G333" s="22">
        <v>435.38000499999998</v>
      </c>
      <c r="H333" s="22">
        <v>1538.040039</v>
      </c>
      <c r="I333" s="18">
        <v>16994.08008</v>
      </c>
    </row>
    <row r="334" spans="1:9" x14ac:dyDescent="0.2">
      <c r="A334" s="4">
        <v>33974</v>
      </c>
      <c r="B334" s="21">
        <v>1.2215</v>
      </c>
      <c r="C334" s="22">
        <v>124.85</v>
      </c>
      <c r="D334" s="22">
        <v>6.61</v>
      </c>
      <c r="E334" s="10">
        <v>7.18</v>
      </c>
      <c r="F334" s="22">
        <v>4.7549999999999999</v>
      </c>
      <c r="G334" s="22">
        <v>434.33999599999999</v>
      </c>
      <c r="H334" s="22">
        <v>1554.030029</v>
      </c>
      <c r="I334" s="18">
        <v>16842.58008</v>
      </c>
    </row>
    <row r="335" spans="1:9" x14ac:dyDescent="0.2">
      <c r="A335" s="4">
        <v>33975</v>
      </c>
      <c r="B335" s="21">
        <v>1.2194</v>
      </c>
      <c r="C335" s="22">
        <v>125.17</v>
      </c>
      <c r="D335" s="22">
        <v>6.63</v>
      </c>
      <c r="E335" s="10">
        <v>7.18</v>
      </c>
      <c r="F335" s="22">
        <v>4.7450000000000001</v>
      </c>
      <c r="G335" s="22">
        <v>434.51998900000001</v>
      </c>
      <c r="H335" s="22">
        <v>1551.170044</v>
      </c>
      <c r="I335" s="18">
        <v>16782.880860000001</v>
      </c>
    </row>
    <row r="336" spans="1:9" x14ac:dyDescent="0.2">
      <c r="A336" s="4">
        <v>33976</v>
      </c>
      <c r="B336" s="21">
        <v>1.2215</v>
      </c>
      <c r="C336" s="22">
        <v>125.29</v>
      </c>
      <c r="D336" s="22">
        <v>6.76</v>
      </c>
      <c r="E336" s="10">
        <v>7.18</v>
      </c>
      <c r="F336" s="22">
        <v>4.72</v>
      </c>
      <c r="G336" s="22">
        <v>430.73001099999999</v>
      </c>
      <c r="H336" s="22">
        <v>1538.369995</v>
      </c>
      <c r="I336" s="18">
        <v>16780.980469999999</v>
      </c>
    </row>
    <row r="337" spans="1:9" x14ac:dyDescent="0.2">
      <c r="A337" s="4">
        <v>33977</v>
      </c>
      <c r="B337" s="21">
        <v>1.2189000000000001</v>
      </c>
      <c r="C337" s="22">
        <v>125.45</v>
      </c>
      <c r="D337" s="22">
        <v>6.75</v>
      </c>
      <c r="E337" s="10">
        <v>7.17</v>
      </c>
      <c r="F337" s="22">
        <v>4.7300000000000004</v>
      </c>
      <c r="G337" s="22">
        <v>429.04998799999998</v>
      </c>
      <c r="H337" s="22">
        <v>1529.099976</v>
      </c>
      <c r="I337" s="18">
        <v>16634.689450000002</v>
      </c>
    </row>
    <row r="338" spans="1:9" x14ac:dyDescent="0.2">
      <c r="A338" s="4">
        <v>33980</v>
      </c>
      <c r="B338" s="21">
        <v>1.2304999999999999</v>
      </c>
      <c r="C338" s="22">
        <v>125.15</v>
      </c>
      <c r="D338" s="22">
        <v>6.71</v>
      </c>
      <c r="E338" s="10">
        <v>7.15</v>
      </c>
      <c r="F338" s="22">
        <v>4.7439999999999998</v>
      </c>
      <c r="G338" s="22">
        <v>430.95001200000002</v>
      </c>
      <c r="H338" s="22">
        <v>1522.26001</v>
      </c>
      <c r="I338" s="18">
        <v>16589.550780000001</v>
      </c>
    </row>
    <row r="339" spans="1:9" x14ac:dyDescent="0.2">
      <c r="A339" s="4">
        <v>33981</v>
      </c>
      <c r="B339" s="21">
        <v>1.2256</v>
      </c>
      <c r="C339" s="22">
        <v>125.35</v>
      </c>
      <c r="D339" s="22">
        <v>6.72</v>
      </c>
      <c r="E339" s="10">
        <v>7.14</v>
      </c>
      <c r="F339" s="22">
        <v>4.7050000000000001</v>
      </c>
      <c r="G339" s="22">
        <v>431.040009</v>
      </c>
      <c r="H339" s="22">
        <v>1533.790039</v>
      </c>
      <c r="I339" s="18">
        <v>16681.050780000001</v>
      </c>
    </row>
    <row r="340" spans="1:9" x14ac:dyDescent="0.2">
      <c r="A340" s="4">
        <v>33982</v>
      </c>
      <c r="B340" s="21">
        <v>1.2253000000000001</v>
      </c>
      <c r="C340" s="22">
        <v>125.67</v>
      </c>
      <c r="D340" s="22">
        <v>6.71</v>
      </c>
      <c r="E340" s="10">
        <v>7.16</v>
      </c>
      <c r="F340" s="22">
        <v>4.6749999999999998</v>
      </c>
      <c r="G340" s="22">
        <v>433.02999899999998</v>
      </c>
      <c r="H340" s="22">
        <v>1510.1800539999999</v>
      </c>
      <c r="I340" s="18">
        <v>16517.910159999999</v>
      </c>
    </row>
    <row r="341" spans="1:9" x14ac:dyDescent="0.2">
      <c r="A341" s="4">
        <v>33983</v>
      </c>
      <c r="B341" s="21">
        <v>1.232</v>
      </c>
      <c r="C341" s="22">
        <v>125.88</v>
      </c>
      <c r="D341" s="22">
        <v>6.65</v>
      </c>
      <c r="E341" s="10">
        <v>7.14</v>
      </c>
      <c r="F341" s="22">
        <v>4.6900000000000004</v>
      </c>
      <c r="G341" s="22">
        <v>435.94000199999999</v>
      </c>
      <c r="H341" s="22">
        <v>1526.910034</v>
      </c>
      <c r="I341" s="18">
        <v>16515.599610000001</v>
      </c>
    </row>
    <row r="342" spans="1:9" x14ac:dyDescent="0.2">
      <c r="A342" s="4">
        <v>33984</v>
      </c>
      <c r="B342" s="21">
        <v>1.2281</v>
      </c>
      <c r="C342" s="22">
        <v>126.1</v>
      </c>
      <c r="D342" s="22">
        <v>6.6</v>
      </c>
      <c r="E342" s="10">
        <v>7.13</v>
      </c>
      <c r="F342" s="22">
        <v>4.6900000000000004</v>
      </c>
      <c r="G342" s="22">
        <v>437.14999399999999</v>
      </c>
      <c r="H342" s="22">
        <v>1555.5200199999999</v>
      </c>
      <c r="I342" s="18">
        <v>16515.599610000001</v>
      </c>
    </row>
    <row r="343" spans="1:9" x14ac:dyDescent="0.2">
      <c r="A343" s="4">
        <v>33987</v>
      </c>
      <c r="B343" s="21">
        <v>1.2359</v>
      </c>
      <c r="C343" s="22">
        <v>125.65</v>
      </c>
      <c r="D343" s="22">
        <v>6.6</v>
      </c>
      <c r="E343" s="10">
        <v>7.11</v>
      </c>
      <c r="F343" s="22">
        <v>4.6100000000000003</v>
      </c>
      <c r="G343" s="22">
        <v>436.83999599999999</v>
      </c>
      <c r="H343" s="22">
        <v>1581.48999</v>
      </c>
      <c r="I343" s="18">
        <v>16617.240229999999</v>
      </c>
    </row>
    <row r="344" spans="1:9" x14ac:dyDescent="0.2">
      <c r="A344" s="4">
        <v>33988</v>
      </c>
      <c r="B344" s="21">
        <v>1.2425999999999999</v>
      </c>
      <c r="C344" s="22">
        <v>125.47</v>
      </c>
      <c r="D344" s="22">
        <v>6.59</v>
      </c>
      <c r="E344" s="10">
        <v>7.11</v>
      </c>
      <c r="F344" s="22">
        <v>4.5949999999999998</v>
      </c>
      <c r="G344" s="22">
        <v>435.13000499999998</v>
      </c>
      <c r="H344" s="22">
        <v>1572.6099850000001</v>
      </c>
      <c r="I344" s="18">
        <v>16798.640630000002</v>
      </c>
    </row>
    <row r="345" spans="1:9" x14ac:dyDescent="0.2">
      <c r="A345" s="4">
        <v>33989</v>
      </c>
      <c r="B345" s="21">
        <v>1.2468999999999999</v>
      </c>
      <c r="C345" s="22">
        <v>124.7</v>
      </c>
      <c r="D345" s="22">
        <v>6.61</v>
      </c>
      <c r="E345" s="10">
        <v>7.13</v>
      </c>
      <c r="F345" s="22">
        <v>4.5750000000000002</v>
      </c>
      <c r="G345" s="22">
        <v>433.36999500000002</v>
      </c>
      <c r="H345" s="22">
        <v>1572.6899410000001</v>
      </c>
      <c r="I345" s="18">
        <v>16510.179690000001</v>
      </c>
    </row>
    <row r="346" spans="1:9" x14ac:dyDescent="0.2">
      <c r="A346" s="4">
        <v>33990</v>
      </c>
      <c r="B346" s="21">
        <v>1.2393000000000001</v>
      </c>
      <c r="C346" s="22">
        <v>124.95</v>
      </c>
      <c r="D346" s="22">
        <v>6.6</v>
      </c>
      <c r="E346" s="10">
        <v>7.14</v>
      </c>
      <c r="F346" s="22">
        <v>4.5910000000000002</v>
      </c>
      <c r="G346" s="22">
        <v>435.48998999999998</v>
      </c>
      <c r="H346" s="22">
        <v>1580.6400149999999</v>
      </c>
      <c r="I346" s="18">
        <v>16538.679690000001</v>
      </c>
    </row>
    <row r="347" spans="1:9" x14ac:dyDescent="0.2">
      <c r="A347" s="4">
        <v>33991</v>
      </c>
      <c r="B347" s="21">
        <v>1.2491000000000001</v>
      </c>
      <c r="C347" s="22">
        <v>125.19</v>
      </c>
      <c r="D347" s="22">
        <v>6.57</v>
      </c>
      <c r="E347" s="10">
        <v>7.13</v>
      </c>
      <c r="F347" s="22">
        <v>4.5810000000000004</v>
      </c>
      <c r="G347" s="22">
        <v>436.10998499999999</v>
      </c>
      <c r="H347" s="22">
        <v>1593.349976</v>
      </c>
      <c r="I347" s="18">
        <v>16336.809569999999</v>
      </c>
    </row>
    <row r="348" spans="1:9" x14ac:dyDescent="0.2">
      <c r="A348" s="4">
        <v>33994</v>
      </c>
      <c r="B348" s="21">
        <v>1.2724</v>
      </c>
      <c r="C348" s="22">
        <v>123.35</v>
      </c>
      <c r="D348" s="22">
        <v>6.48</v>
      </c>
      <c r="E348" s="10">
        <v>7.16</v>
      </c>
      <c r="F348" s="22">
        <v>4.57</v>
      </c>
      <c r="G348" s="22">
        <v>440.01001000000002</v>
      </c>
      <c r="H348" s="22">
        <v>1571.280029</v>
      </c>
      <c r="I348" s="18">
        <v>16287.450199999999</v>
      </c>
    </row>
    <row r="349" spans="1:9" x14ac:dyDescent="0.2">
      <c r="A349" s="4">
        <v>33995</v>
      </c>
      <c r="B349" s="21">
        <v>1.2689999999999999</v>
      </c>
      <c r="C349" s="22">
        <v>123.58</v>
      </c>
      <c r="D349" s="22">
        <v>6.5</v>
      </c>
      <c r="E349" s="10">
        <v>7.16</v>
      </c>
      <c r="F349" s="22">
        <v>4.5759999999999996</v>
      </c>
      <c r="G349" s="22">
        <v>439.95001200000002</v>
      </c>
      <c r="H349" s="22">
        <v>1575.589966</v>
      </c>
      <c r="I349" s="18">
        <v>16492.630860000001</v>
      </c>
    </row>
    <row r="350" spans="1:9" x14ac:dyDescent="0.2">
      <c r="A350" s="4">
        <v>33996</v>
      </c>
      <c r="B350" s="21">
        <v>1.2623</v>
      </c>
      <c r="C350" s="22">
        <v>124.16</v>
      </c>
      <c r="D350" s="22">
        <v>6.48</v>
      </c>
      <c r="E350" s="10">
        <v>7.18</v>
      </c>
      <c r="F350" s="22">
        <v>4.5890000000000004</v>
      </c>
      <c r="G350" s="22">
        <v>438.10998499999999</v>
      </c>
      <c r="H350" s="22">
        <v>1561.780029</v>
      </c>
      <c r="I350" s="18">
        <v>16509.679690000001</v>
      </c>
    </row>
    <row r="351" spans="1:9" x14ac:dyDescent="0.2">
      <c r="A351" s="4">
        <v>33997</v>
      </c>
      <c r="B351" s="21">
        <v>1.2575000000000001</v>
      </c>
      <c r="C351" s="22">
        <v>124.17</v>
      </c>
      <c r="D351" s="22">
        <v>6.44</v>
      </c>
      <c r="E351" s="10">
        <v>7.17</v>
      </c>
      <c r="F351" s="22">
        <v>4.5709999999999997</v>
      </c>
      <c r="G351" s="22">
        <v>438.66000400000001</v>
      </c>
      <c r="H351" s="22">
        <v>1572.6800539999999</v>
      </c>
      <c r="I351" s="18">
        <v>17063.410159999999</v>
      </c>
    </row>
    <row r="352" spans="1:9" x14ac:dyDescent="0.2">
      <c r="A352" s="4">
        <v>33998</v>
      </c>
      <c r="B352" s="21">
        <v>1.2403999999999999</v>
      </c>
      <c r="C352" s="22">
        <v>124.73</v>
      </c>
      <c r="D352" s="22">
        <v>6.39</v>
      </c>
      <c r="E352" s="10">
        <v>7.14</v>
      </c>
      <c r="F352" s="22">
        <v>4.5880000000000001</v>
      </c>
      <c r="G352" s="22">
        <v>438.77999899999998</v>
      </c>
      <c r="H352" s="22">
        <v>1574.040039</v>
      </c>
      <c r="I352" s="18">
        <v>17023.779299999998</v>
      </c>
    </row>
    <row r="353" spans="1:9" x14ac:dyDescent="0.2">
      <c r="A353" s="4">
        <v>34001</v>
      </c>
      <c r="B353" s="21">
        <v>1.2216</v>
      </c>
      <c r="C353" s="22">
        <v>125.1</v>
      </c>
      <c r="D353" s="22">
        <v>6.38</v>
      </c>
      <c r="E353" s="10">
        <v>7.05</v>
      </c>
      <c r="F353" s="22">
        <v>4.5590000000000002</v>
      </c>
      <c r="G353" s="22">
        <v>442.51998900000001</v>
      </c>
      <c r="H353" s="22">
        <v>1590.329956</v>
      </c>
      <c r="I353" s="18">
        <v>17133.640630000002</v>
      </c>
    </row>
    <row r="354" spans="1:9" x14ac:dyDescent="0.2">
      <c r="A354" s="4">
        <v>34002</v>
      </c>
      <c r="B354" s="21">
        <v>1.2136</v>
      </c>
      <c r="C354" s="22">
        <v>124.65</v>
      </c>
      <c r="D354" s="22">
        <v>6.46</v>
      </c>
      <c r="E354" s="10">
        <v>7.04</v>
      </c>
      <c r="F354" s="22">
        <v>4.5179999999999998</v>
      </c>
      <c r="G354" s="22">
        <v>442.54998799999998</v>
      </c>
      <c r="H354" s="22">
        <v>1584.1400149999999</v>
      </c>
      <c r="I354" s="18">
        <v>17186.310549999998</v>
      </c>
    </row>
    <row r="355" spans="1:9" x14ac:dyDescent="0.2">
      <c r="A355" s="4">
        <v>34003</v>
      </c>
      <c r="B355" s="21">
        <v>1.2122999999999999</v>
      </c>
      <c r="C355" s="22">
        <v>124.45</v>
      </c>
      <c r="D355" s="22">
        <v>6.45</v>
      </c>
      <c r="E355" s="10">
        <v>7.02</v>
      </c>
      <c r="F355" s="22">
        <v>4.569</v>
      </c>
      <c r="G355" s="22">
        <v>447.20001200000002</v>
      </c>
      <c r="H355" s="22">
        <v>1605.910034</v>
      </c>
      <c r="I355" s="18">
        <v>17222.029299999998</v>
      </c>
    </row>
    <row r="356" spans="1:9" x14ac:dyDescent="0.2">
      <c r="A356" s="4">
        <v>34004</v>
      </c>
      <c r="B356" s="21">
        <v>1.2035</v>
      </c>
      <c r="C356" s="22">
        <v>124.75</v>
      </c>
      <c r="D356" s="22">
        <v>6.39</v>
      </c>
      <c r="E356" s="10">
        <v>7.01</v>
      </c>
      <c r="F356" s="22">
        <v>4.5739999999999998</v>
      </c>
      <c r="G356" s="22">
        <v>449.55999800000001</v>
      </c>
      <c r="H356" s="22">
        <v>1615.9799800000001</v>
      </c>
      <c r="I356" s="18">
        <v>17190.630860000001</v>
      </c>
    </row>
    <row r="357" spans="1:9" x14ac:dyDescent="0.2">
      <c r="A357" s="4">
        <v>34005</v>
      </c>
      <c r="B357" s="21">
        <v>1.2085999999999999</v>
      </c>
      <c r="C357" s="22">
        <v>124.45</v>
      </c>
      <c r="D357" s="22">
        <v>6.32</v>
      </c>
      <c r="E357" s="10">
        <v>7.01</v>
      </c>
      <c r="F357" s="22">
        <v>4.5030000000000001</v>
      </c>
      <c r="G357" s="22">
        <v>448.92999300000002</v>
      </c>
      <c r="H357" s="22">
        <v>1643.829956</v>
      </c>
      <c r="I357" s="18">
        <v>17332.900389999999</v>
      </c>
    </row>
    <row r="358" spans="1:9" x14ac:dyDescent="0.2">
      <c r="A358" s="4">
        <v>34008</v>
      </c>
      <c r="B358" s="21">
        <v>1.2054</v>
      </c>
      <c r="C358" s="22">
        <v>123.81</v>
      </c>
      <c r="D358" s="22">
        <v>6.37</v>
      </c>
      <c r="E358" s="10">
        <v>7.01</v>
      </c>
      <c r="F358" s="22">
        <v>4.54</v>
      </c>
      <c r="G358" s="22">
        <v>447.85000600000001</v>
      </c>
      <c r="H358" s="22">
        <v>1646.849976</v>
      </c>
      <c r="I358" s="18">
        <v>17281.730469999999</v>
      </c>
    </row>
    <row r="359" spans="1:9" x14ac:dyDescent="0.2">
      <c r="A359" s="4">
        <v>34009</v>
      </c>
      <c r="B359" s="21">
        <v>1.2076</v>
      </c>
      <c r="C359" s="22">
        <v>121.25</v>
      </c>
      <c r="D359" s="22">
        <v>6.41</v>
      </c>
      <c r="E359" s="10">
        <v>7.02</v>
      </c>
      <c r="F359" s="22">
        <v>4.47</v>
      </c>
      <c r="G359" s="22">
        <v>445.32998700000002</v>
      </c>
      <c r="H359" s="22">
        <v>1639.119995</v>
      </c>
      <c r="I359" s="18">
        <v>17022.269530000001</v>
      </c>
    </row>
    <row r="360" spans="1:9" x14ac:dyDescent="0.2">
      <c r="A360" s="4">
        <v>34010</v>
      </c>
      <c r="B360" s="21">
        <v>1.2069000000000001</v>
      </c>
      <c r="C360" s="22">
        <v>121.45</v>
      </c>
      <c r="D360" s="22">
        <v>6.4</v>
      </c>
      <c r="E360" s="10">
        <v>7</v>
      </c>
      <c r="F360" s="22">
        <v>4.4409999999999998</v>
      </c>
      <c r="G360" s="22">
        <v>446.23001099999999</v>
      </c>
      <c r="H360" s="22">
        <v>1642.8000489999999</v>
      </c>
      <c r="I360" s="18">
        <v>17089.900389999999</v>
      </c>
    </row>
    <row r="361" spans="1:9" x14ac:dyDescent="0.2">
      <c r="A361" s="4">
        <v>34011</v>
      </c>
      <c r="B361" s="21">
        <v>1.2015</v>
      </c>
      <c r="C361" s="22">
        <v>121.3</v>
      </c>
      <c r="D361" s="22">
        <v>6.37</v>
      </c>
      <c r="E361" s="10">
        <v>6.99</v>
      </c>
      <c r="F361" s="22">
        <v>4.4409999999999998</v>
      </c>
      <c r="G361" s="22">
        <v>447.66000400000001</v>
      </c>
      <c r="H361" s="22">
        <v>1659.0699460000001</v>
      </c>
      <c r="I361" s="18">
        <v>17089.900389999999</v>
      </c>
    </row>
    <row r="362" spans="1:9" x14ac:dyDescent="0.2">
      <c r="A362" s="4">
        <v>34012</v>
      </c>
      <c r="B362" s="21">
        <v>1.2011000000000001</v>
      </c>
      <c r="C362" s="22">
        <v>120.7</v>
      </c>
      <c r="D362" s="22">
        <v>6.35</v>
      </c>
      <c r="E362" s="10">
        <v>6.99</v>
      </c>
      <c r="F362" s="22">
        <v>4.415</v>
      </c>
      <c r="G362" s="22">
        <v>444.57998700000002</v>
      </c>
      <c r="H362" s="22">
        <v>1649.6400149999999</v>
      </c>
      <c r="I362" s="18">
        <v>16851.509770000001</v>
      </c>
    </row>
    <row r="363" spans="1:9" x14ac:dyDescent="0.2">
      <c r="A363" s="4">
        <v>34015</v>
      </c>
      <c r="B363" s="21">
        <v>1.2008000000000001</v>
      </c>
      <c r="C363" s="22">
        <v>120.94</v>
      </c>
      <c r="D363" s="22">
        <v>6.35</v>
      </c>
      <c r="E363" s="10">
        <v>6.98</v>
      </c>
      <c r="F363" s="22">
        <v>4.4349999999999996</v>
      </c>
      <c r="G363" s="22">
        <v>435.24</v>
      </c>
      <c r="H363" s="22">
        <v>1674.9300539999999</v>
      </c>
      <c r="I363" s="18">
        <v>17117.990229999999</v>
      </c>
    </row>
    <row r="364" spans="1:9" x14ac:dyDescent="0.2">
      <c r="A364" s="4">
        <v>34016</v>
      </c>
      <c r="B364" s="21">
        <v>1.2157</v>
      </c>
      <c r="C364" s="22">
        <v>119.99</v>
      </c>
      <c r="D364" s="22">
        <v>6.34</v>
      </c>
      <c r="E364" s="10">
        <v>6.97</v>
      </c>
      <c r="F364" s="22">
        <v>4.4000000000000004</v>
      </c>
      <c r="G364" s="22">
        <v>433.91000400000001</v>
      </c>
      <c r="H364" s="22">
        <v>1651.599976</v>
      </c>
      <c r="I364" s="18">
        <v>16916.320309999999</v>
      </c>
    </row>
    <row r="365" spans="1:9" x14ac:dyDescent="0.2">
      <c r="A365" s="4">
        <v>34017</v>
      </c>
      <c r="B365" s="21">
        <v>1.2197</v>
      </c>
      <c r="C365" s="22">
        <v>119.7</v>
      </c>
      <c r="D365" s="22">
        <v>6.28</v>
      </c>
      <c r="E365" s="10">
        <v>6.92</v>
      </c>
      <c r="F365" s="22">
        <v>4.335</v>
      </c>
      <c r="G365" s="22">
        <v>433.29998799999998</v>
      </c>
      <c r="H365" s="22">
        <v>1656.349976</v>
      </c>
      <c r="I365" s="18">
        <v>17009.630860000001</v>
      </c>
    </row>
    <row r="366" spans="1:9" x14ac:dyDescent="0.2">
      <c r="A366" s="4">
        <v>34018</v>
      </c>
      <c r="B366" s="21">
        <v>1.2130000000000001</v>
      </c>
      <c r="C366" s="22">
        <v>119.2</v>
      </c>
      <c r="D366" s="22">
        <v>6.17</v>
      </c>
      <c r="E366" s="10">
        <v>6.9</v>
      </c>
      <c r="F366" s="22">
        <v>4.3209999999999997</v>
      </c>
      <c r="G366" s="22">
        <v>431.89999399999999</v>
      </c>
      <c r="H366" s="22">
        <v>1670.900024</v>
      </c>
      <c r="I366" s="18">
        <v>16982.140630000002</v>
      </c>
    </row>
    <row r="367" spans="1:9" x14ac:dyDescent="0.2">
      <c r="A367" s="4">
        <v>34019</v>
      </c>
      <c r="B367" s="21">
        <v>1.2136</v>
      </c>
      <c r="C367" s="22">
        <v>118.35</v>
      </c>
      <c r="D367" s="22">
        <v>6.15</v>
      </c>
      <c r="E367" s="10">
        <v>6.87</v>
      </c>
      <c r="F367" s="22">
        <v>4.2910000000000004</v>
      </c>
      <c r="G367" s="22">
        <v>434.22000100000002</v>
      </c>
      <c r="H367" s="22">
        <v>1683.3000489999999</v>
      </c>
      <c r="I367" s="18">
        <v>17010.029299999998</v>
      </c>
    </row>
    <row r="368" spans="1:9" x14ac:dyDescent="0.2">
      <c r="A368" s="4">
        <v>34022</v>
      </c>
      <c r="B368" s="21">
        <v>1.2123999999999999</v>
      </c>
      <c r="C368" s="22">
        <v>116.35</v>
      </c>
      <c r="D368" s="22">
        <v>6.09</v>
      </c>
      <c r="E368" s="10">
        <v>6.8</v>
      </c>
      <c r="F368" s="22">
        <v>4.2409999999999997</v>
      </c>
      <c r="G368" s="22">
        <v>435.23998999999998</v>
      </c>
      <c r="H368" s="22">
        <v>1679.410034</v>
      </c>
      <c r="I368" s="18">
        <v>16820.609380000002</v>
      </c>
    </row>
    <row r="369" spans="1:9" x14ac:dyDescent="0.2">
      <c r="A369" s="4">
        <v>34023</v>
      </c>
      <c r="B369" s="21">
        <v>1.2201</v>
      </c>
      <c r="C369" s="22">
        <v>117.1</v>
      </c>
      <c r="D369" s="22">
        <v>5.92</v>
      </c>
      <c r="E369" s="10">
        <v>6.78</v>
      </c>
      <c r="F369" s="22">
        <v>4.1509999999999998</v>
      </c>
      <c r="G369" s="22">
        <v>434.79998799999998</v>
      </c>
      <c r="H369" s="22">
        <v>1658.089966</v>
      </c>
      <c r="I369" s="18">
        <v>16863.150389999999</v>
      </c>
    </row>
    <row r="370" spans="1:9" x14ac:dyDescent="0.2">
      <c r="A370" s="4">
        <v>34024</v>
      </c>
      <c r="B370" s="21">
        <v>1.2194</v>
      </c>
      <c r="C370" s="22">
        <v>117.7</v>
      </c>
      <c r="D370" s="22">
        <v>6.01</v>
      </c>
      <c r="E370" s="10">
        <v>6.81</v>
      </c>
      <c r="F370" s="22">
        <v>4.0970000000000004</v>
      </c>
      <c r="G370" s="22">
        <v>440.86999500000002</v>
      </c>
      <c r="H370" s="22">
        <v>1652.920044</v>
      </c>
      <c r="I370" s="18">
        <v>16798.939450000002</v>
      </c>
    </row>
    <row r="371" spans="1:9" x14ac:dyDescent="0.2">
      <c r="A371" s="4">
        <v>34025</v>
      </c>
      <c r="B371" s="21">
        <v>1.2111000000000001</v>
      </c>
      <c r="C371" s="22">
        <v>117.5</v>
      </c>
      <c r="D371" s="22">
        <v>6.03</v>
      </c>
      <c r="E371" s="10">
        <v>6.81</v>
      </c>
      <c r="F371" s="22">
        <v>4.0209999999999999</v>
      </c>
      <c r="G371" s="22">
        <v>442.33999599999999</v>
      </c>
      <c r="H371" s="22">
        <v>1661.959961</v>
      </c>
      <c r="I371" s="18">
        <v>16907.390630000002</v>
      </c>
    </row>
    <row r="372" spans="1:9" x14ac:dyDescent="0.2">
      <c r="A372" s="4">
        <v>34026</v>
      </c>
      <c r="B372" s="21">
        <v>1.2034</v>
      </c>
      <c r="C372" s="22">
        <v>118.25</v>
      </c>
      <c r="D372" s="22">
        <v>6.03</v>
      </c>
      <c r="E372" s="10">
        <v>6.69</v>
      </c>
      <c r="F372" s="22">
        <v>4.0309999999999997</v>
      </c>
      <c r="G372" s="22">
        <v>443.38000499999998</v>
      </c>
      <c r="H372" s="22">
        <v>1680.0200199999999</v>
      </c>
      <c r="I372" s="18">
        <v>16953.349610000001</v>
      </c>
    </row>
    <row r="373" spans="1:9" x14ac:dyDescent="0.2">
      <c r="A373" s="4">
        <v>34029</v>
      </c>
      <c r="B373" s="21">
        <v>1.2034</v>
      </c>
      <c r="C373" s="22">
        <v>118.76</v>
      </c>
      <c r="D373" s="22">
        <v>5.94</v>
      </c>
      <c r="E373" s="10">
        <v>6.64</v>
      </c>
      <c r="F373" s="22">
        <v>4.1479999999999997</v>
      </c>
      <c r="G373" s="22">
        <v>442.01001000000002</v>
      </c>
      <c r="H373" s="22">
        <v>1691.369995</v>
      </c>
      <c r="I373" s="18">
        <v>16879.599610000001</v>
      </c>
    </row>
    <row r="374" spans="1:9" x14ac:dyDescent="0.2">
      <c r="A374" s="4">
        <v>34030</v>
      </c>
      <c r="B374" s="21">
        <v>1.2085999999999999</v>
      </c>
      <c r="C374" s="22">
        <v>117.75</v>
      </c>
      <c r="D374" s="22">
        <v>5.95</v>
      </c>
      <c r="E374" s="10">
        <v>6.67</v>
      </c>
      <c r="F374" s="22">
        <v>4.1589999999999998</v>
      </c>
      <c r="G374" s="22">
        <v>447.89999399999999</v>
      </c>
      <c r="H374" s="22">
        <v>1701.459961</v>
      </c>
      <c r="I374" s="18">
        <v>16864.25</v>
      </c>
    </row>
    <row r="375" spans="1:9" x14ac:dyDescent="0.2">
      <c r="A375" s="4">
        <v>34031</v>
      </c>
      <c r="B375" s="21">
        <v>1.2062999999999999</v>
      </c>
      <c r="C375" s="22">
        <v>116.65</v>
      </c>
      <c r="D375" s="22">
        <v>5.88</v>
      </c>
      <c r="E375" s="10">
        <v>6.63</v>
      </c>
      <c r="F375" s="22">
        <v>4.1639999999999997</v>
      </c>
      <c r="G375" s="22">
        <v>449.26001000000002</v>
      </c>
      <c r="H375" s="22">
        <v>1690.4799800000001</v>
      </c>
      <c r="I375" s="18">
        <v>16853.91992</v>
      </c>
    </row>
    <row r="376" spans="1:9" x14ac:dyDescent="0.2">
      <c r="A376" s="4">
        <v>34032</v>
      </c>
      <c r="B376" s="21">
        <v>1.212</v>
      </c>
      <c r="C376" s="22">
        <v>116.8</v>
      </c>
      <c r="D376" s="22">
        <v>5.83</v>
      </c>
      <c r="E376" s="10">
        <v>6.65</v>
      </c>
      <c r="F376" s="22">
        <v>4.1680000000000001</v>
      </c>
      <c r="G376" s="22">
        <v>447.33999599999999</v>
      </c>
      <c r="H376" s="22">
        <v>1685.459961</v>
      </c>
      <c r="I376" s="18">
        <v>16759.609380000002</v>
      </c>
    </row>
    <row r="377" spans="1:9" x14ac:dyDescent="0.2">
      <c r="A377" s="4">
        <v>34033</v>
      </c>
      <c r="B377" s="21">
        <v>1.1946000000000001</v>
      </c>
      <c r="C377" s="22">
        <v>117.65</v>
      </c>
      <c r="D377" s="22">
        <v>5.9</v>
      </c>
      <c r="E377" s="10">
        <v>6.53</v>
      </c>
      <c r="F377" s="22">
        <v>4.1520000000000001</v>
      </c>
      <c r="G377" s="22">
        <v>446.10998499999999</v>
      </c>
      <c r="H377" s="22">
        <v>1686.150024</v>
      </c>
      <c r="I377" s="18">
        <v>16817.699219999999</v>
      </c>
    </row>
    <row r="378" spans="1:9" x14ac:dyDescent="0.2">
      <c r="A378" s="4">
        <v>34036</v>
      </c>
      <c r="B378" s="21">
        <v>1.1953</v>
      </c>
      <c r="C378" s="22">
        <v>116.87</v>
      </c>
      <c r="D378" s="22">
        <v>5.85</v>
      </c>
      <c r="E378" s="10">
        <v>6.53</v>
      </c>
      <c r="F378" s="22">
        <v>4.1840000000000002</v>
      </c>
      <c r="G378" s="22">
        <v>454.709991</v>
      </c>
      <c r="H378" s="22">
        <v>1702.2700199999999</v>
      </c>
      <c r="I378" s="18">
        <v>17686.470700000002</v>
      </c>
    </row>
    <row r="379" spans="1:9" x14ac:dyDescent="0.2">
      <c r="A379" s="4">
        <v>34037</v>
      </c>
      <c r="B379" s="21">
        <v>1.1884999999999999</v>
      </c>
      <c r="C379" s="22">
        <v>117.7</v>
      </c>
      <c r="D379" s="22">
        <v>5.91</v>
      </c>
      <c r="E379" s="10">
        <v>6.56</v>
      </c>
      <c r="F379" s="22">
        <v>4.2690000000000001</v>
      </c>
      <c r="G379" s="22">
        <v>454.39999399999999</v>
      </c>
      <c r="H379" s="22">
        <v>1711.910034</v>
      </c>
      <c r="I379" s="18">
        <v>17848.300780000001</v>
      </c>
    </row>
    <row r="380" spans="1:9" x14ac:dyDescent="0.2">
      <c r="A380" s="4">
        <v>34038</v>
      </c>
      <c r="B380" s="21">
        <v>1.1910000000000001</v>
      </c>
      <c r="C380" s="22">
        <v>118.05</v>
      </c>
      <c r="D380" s="22">
        <v>5.97</v>
      </c>
      <c r="E380" s="10">
        <v>6.53</v>
      </c>
      <c r="F380" s="22">
        <v>4.2380000000000004</v>
      </c>
      <c r="G380" s="22">
        <v>456.32998700000002</v>
      </c>
      <c r="H380" s="22">
        <v>1714.4799800000001</v>
      </c>
      <c r="I380" s="18">
        <v>17858.630860000001</v>
      </c>
    </row>
    <row r="381" spans="1:9" x14ac:dyDescent="0.2">
      <c r="A381" s="4">
        <v>34039</v>
      </c>
      <c r="B381" s="21">
        <v>1.1908000000000001</v>
      </c>
      <c r="C381" s="22">
        <v>117.63</v>
      </c>
      <c r="D381" s="22">
        <v>5.96</v>
      </c>
      <c r="E381" s="10">
        <v>6.51</v>
      </c>
      <c r="F381" s="22">
        <v>4.2590000000000003</v>
      </c>
      <c r="G381" s="22">
        <v>453.72000100000002</v>
      </c>
      <c r="H381" s="22">
        <v>1708.650024</v>
      </c>
      <c r="I381" s="18">
        <v>17904.789059999999</v>
      </c>
    </row>
    <row r="382" spans="1:9" x14ac:dyDescent="0.2">
      <c r="A382" s="4">
        <v>34040</v>
      </c>
      <c r="B382" s="21">
        <v>1.1883999999999999</v>
      </c>
      <c r="C382" s="22">
        <v>118.08</v>
      </c>
      <c r="D382" s="22">
        <v>6.11</v>
      </c>
      <c r="E382" s="10">
        <v>6.55</v>
      </c>
      <c r="F382" s="22">
        <v>4.2439999999999998</v>
      </c>
      <c r="G382" s="22">
        <v>449.82998700000002</v>
      </c>
      <c r="H382" s="22">
        <v>1688.73999</v>
      </c>
      <c r="I382" s="18">
        <v>18037.519530000001</v>
      </c>
    </row>
    <row r="383" spans="1:9" x14ac:dyDescent="0.2">
      <c r="A383" s="4">
        <v>34043</v>
      </c>
      <c r="B383" s="21">
        <v>1.1898</v>
      </c>
      <c r="C383" s="22">
        <v>118.58</v>
      </c>
      <c r="D383" s="22">
        <v>6.17</v>
      </c>
      <c r="E383" s="10">
        <v>6.59</v>
      </c>
      <c r="F383" s="22">
        <v>4.3099999999999996</v>
      </c>
      <c r="G383" s="22">
        <v>451.42999300000002</v>
      </c>
      <c r="H383" s="22">
        <v>1705.0500489999999</v>
      </c>
      <c r="I383" s="18">
        <v>18086.179690000001</v>
      </c>
    </row>
    <row r="384" spans="1:9" x14ac:dyDescent="0.2">
      <c r="A384" s="4">
        <v>34044</v>
      </c>
      <c r="B384" s="21">
        <v>1.1919999999999999</v>
      </c>
      <c r="C384" s="22">
        <v>117</v>
      </c>
      <c r="D384" s="22">
        <v>6.06</v>
      </c>
      <c r="E384" s="10">
        <v>6.62</v>
      </c>
      <c r="F384" s="22">
        <v>4.3099999999999996</v>
      </c>
      <c r="G384" s="22">
        <v>451.36999500000002</v>
      </c>
      <c r="H384" s="22">
        <v>1700.280029</v>
      </c>
      <c r="I384" s="18">
        <v>17968.300780000001</v>
      </c>
    </row>
    <row r="385" spans="1:9" x14ac:dyDescent="0.2">
      <c r="A385" s="4">
        <v>34045</v>
      </c>
      <c r="B385" s="21">
        <v>1.1881999999999999</v>
      </c>
      <c r="C385" s="22">
        <v>117.28</v>
      </c>
      <c r="D385" s="22">
        <v>6.02</v>
      </c>
      <c r="E385" s="10">
        <v>6.6</v>
      </c>
      <c r="F385" s="22">
        <v>4.335</v>
      </c>
      <c r="G385" s="22">
        <v>448.30999800000001</v>
      </c>
      <c r="H385" s="22">
        <v>1689.709961</v>
      </c>
      <c r="I385" s="18">
        <v>18173.369139999999</v>
      </c>
    </row>
    <row r="386" spans="1:9" x14ac:dyDescent="0.2">
      <c r="A386" s="4">
        <v>34046</v>
      </c>
      <c r="B386" s="21">
        <v>1.1928000000000001</v>
      </c>
      <c r="C386" s="22">
        <v>115.75</v>
      </c>
      <c r="D386" s="22">
        <v>5.93</v>
      </c>
      <c r="E386" s="10">
        <v>6.64</v>
      </c>
      <c r="F386" s="22">
        <v>4.3689999999999998</v>
      </c>
      <c r="G386" s="22">
        <v>451.89001500000001</v>
      </c>
      <c r="H386" s="22">
        <v>1696.380005</v>
      </c>
      <c r="I386" s="18">
        <v>18727.900389999999</v>
      </c>
    </row>
    <row r="387" spans="1:9" x14ac:dyDescent="0.2">
      <c r="A387" s="4">
        <v>34047</v>
      </c>
      <c r="B387" s="21">
        <v>1.2134</v>
      </c>
      <c r="C387" s="22">
        <v>116.15</v>
      </c>
      <c r="D387" s="22">
        <v>5.95</v>
      </c>
      <c r="E387" s="10">
        <v>6.65</v>
      </c>
      <c r="F387" s="22">
        <v>4.3289999999999997</v>
      </c>
      <c r="G387" s="22">
        <v>450.17999300000002</v>
      </c>
      <c r="H387" s="22">
        <v>1686.5699460000001</v>
      </c>
      <c r="I387" s="18">
        <v>18537.16992</v>
      </c>
    </row>
    <row r="388" spans="1:9" x14ac:dyDescent="0.2">
      <c r="A388" s="4">
        <v>34050</v>
      </c>
      <c r="B388" s="21">
        <v>1.2093</v>
      </c>
      <c r="C388" s="22">
        <v>115.77</v>
      </c>
      <c r="D388" s="22">
        <v>5.96</v>
      </c>
      <c r="E388" s="10">
        <v>6.71</v>
      </c>
      <c r="F388" s="22">
        <v>4.42</v>
      </c>
      <c r="G388" s="22">
        <v>448.88000499999998</v>
      </c>
      <c r="H388" s="22">
        <v>1656.589966</v>
      </c>
      <c r="I388" s="18">
        <v>18784.390630000002</v>
      </c>
    </row>
    <row r="389" spans="1:9" x14ac:dyDescent="0.2">
      <c r="A389" s="4">
        <v>34051</v>
      </c>
      <c r="B389" s="21">
        <v>1.2103999999999999</v>
      </c>
      <c r="C389" s="22">
        <v>116.15</v>
      </c>
      <c r="D389" s="22">
        <v>5.91</v>
      </c>
      <c r="E389" s="10">
        <v>6.71</v>
      </c>
      <c r="F389" s="22">
        <v>4.42</v>
      </c>
      <c r="G389" s="22">
        <v>448.76001000000002</v>
      </c>
      <c r="H389" s="22">
        <v>1653.1999510000001</v>
      </c>
      <c r="I389" s="18">
        <v>18491.619139999999</v>
      </c>
    </row>
    <row r="390" spans="1:9" x14ac:dyDescent="0.2">
      <c r="A390" s="4">
        <v>34052</v>
      </c>
      <c r="B390" s="21">
        <v>1.2129000000000001</v>
      </c>
      <c r="C390" s="22">
        <v>117.6</v>
      </c>
      <c r="D390" s="22">
        <v>5.95</v>
      </c>
      <c r="E390" s="10">
        <v>6.73</v>
      </c>
      <c r="F390" s="22">
        <v>4.4000000000000004</v>
      </c>
      <c r="G390" s="22">
        <v>448.07000699999998</v>
      </c>
      <c r="H390" s="22">
        <v>1666.719971</v>
      </c>
      <c r="I390" s="18">
        <v>18450.689450000002</v>
      </c>
    </row>
    <row r="391" spans="1:9" x14ac:dyDescent="0.2">
      <c r="A391" s="4">
        <v>34053</v>
      </c>
      <c r="B391" s="21">
        <v>1.2035</v>
      </c>
      <c r="C391" s="22">
        <v>117.3</v>
      </c>
      <c r="D391" s="22">
        <v>5.98</v>
      </c>
      <c r="E391" s="10">
        <v>6.73</v>
      </c>
      <c r="F391" s="22">
        <v>4.47</v>
      </c>
      <c r="G391" s="22">
        <v>450.88000499999998</v>
      </c>
      <c r="H391" s="22">
        <v>1663.2700199999999</v>
      </c>
      <c r="I391" s="18">
        <v>18764.91992</v>
      </c>
    </row>
    <row r="392" spans="1:9" x14ac:dyDescent="0.2">
      <c r="A392" s="4">
        <v>34054</v>
      </c>
      <c r="B392" s="21">
        <v>1.2110000000000001</v>
      </c>
      <c r="C392" s="22">
        <v>116.55</v>
      </c>
      <c r="D392" s="22">
        <v>6.09</v>
      </c>
      <c r="E392" s="10">
        <v>6.68</v>
      </c>
      <c r="F392" s="22">
        <v>4.55</v>
      </c>
      <c r="G392" s="22">
        <v>447.77999899999998</v>
      </c>
      <c r="H392" s="22">
        <v>1667.26001</v>
      </c>
      <c r="I392" s="18">
        <v>18788.699219999999</v>
      </c>
    </row>
    <row r="393" spans="1:9" x14ac:dyDescent="0.2">
      <c r="A393" s="4">
        <v>34057</v>
      </c>
      <c r="B393" s="21">
        <v>1.2085999999999999</v>
      </c>
      <c r="C393" s="22">
        <v>116.8</v>
      </c>
      <c r="D393" s="22">
        <v>6.06</v>
      </c>
      <c r="E393" s="10">
        <v>6.68</v>
      </c>
      <c r="F393" s="22">
        <v>4.6349999999999998</v>
      </c>
      <c r="G393" s="22">
        <v>450.76998900000001</v>
      </c>
      <c r="H393" s="22">
        <v>1675.1800539999999</v>
      </c>
      <c r="I393" s="18">
        <v>19048.380860000001</v>
      </c>
    </row>
    <row r="394" spans="1:9" x14ac:dyDescent="0.2">
      <c r="A394" s="4">
        <v>34058</v>
      </c>
      <c r="B394" s="21">
        <v>1.2162999999999999</v>
      </c>
      <c r="C394" s="22">
        <v>116.65</v>
      </c>
      <c r="D394" s="22">
        <v>6.02</v>
      </c>
      <c r="E394" s="10">
        <v>6.67</v>
      </c>
      <c r="F394" s="22">
        <v>4.5750000000000002</v>
      </c>
      <c r="G394" s="22">
        <v>451.97000100000002</v>
      </c>
      <c r="H394" s="22">
        <v>1686.6400149999999</v>
      </c>
      <c r="I394" s="18">
        <v>18963.160159999999</v>
      </c>
    </row>
    <row r="395" spans="1:9" x14ac:dyDescent="0.2">
      <c r="A395" s="4">
        <v>34059</v>
      </c>
      <c r="B395" s="21">
        <v>1.2242999999999999</v>
      </c>
      <c r="C395" s="22">
        <v>114.88</v>
      </c>
      <c r="D395" s="22">
        <v>6.03</v>
      </c>
      <c r="E395" s="10">
        <v>6.7</v>
      </c>
      <c r="F395" s="22">
        <v>4.5890000000000004</v>
      </c>
      <c r="G395" s="22">
        <v>451.67001299999998</v>
      </c>
      <c r="H395" s="22">
        <v>1676.839966</v>
      </c>
      <c r="I395" s="18">
        <v>18591.449219999999</v>
      </c>
    </row>
    <row r="396" spans="1:9" x14ac:dyDescent="0.2">
      <c r="A396" s="4">
        <v>34060</v>
      </c>
      <c r="B396" s="21">
        <v>1.2290000000000001</v>
      </c>
      <c r="C396" s="22">
        <v>114.05</v>
      </c>
      <c r="D396" s="22">
        <v>6.06</v>
      </c>
      <c r="E396" s="10">
        <v>6.73</v>
      </c>
      <c r="F396" s="22">
        <v>4.58</v>
      </c>
      <c r="G396" s="22">
        <v>450.29998799999998</v>
      </c>
      <c r="H396" s="22">
        <v>1670.040039</v>
      </c>
      <c r="I396" s="18">
        <v>19099.089840000001</v>
      </c>
    </row>
    <row r="397" spans="1:9" x14ac:dyDescent="0.2">
      <c r="A397" s="4">
        <v>34061</v>
      </c>
      <c r="B397" s="21">
        <v>1.2307999999999999</v>
      </c>
      <c r="C397" s="22">
        <v>113.8</v>
      </c>
      <c r="D397" s="22">
        <v>6.16</v>
      </c>
      <c r="E397" s="10">
        <v>6.78</v>
      </c>
      <c r="F397" s="22">
        <v>4.5990000000000002</v>
      </c>
      <c r="G397" s="22">
        <v>441.39001500000001</v>
      </c>
      <c r="H397" s="22">
        <v>1657.0600589999999</v>
      </c>
      <c r="I397" s="18">
        <v>19446.939450000002</v>
      </c>
    </row>
    <row r="398" spans="1:9" x14ac:dyDescent="0.2">
      <c r="A398" s="4">
        <v>34064</v>
      </c>
      <c r="B398" s="21">
        <v>1.2353000000000001</v>
      </c>
      <c r="C398" s="22">
        <v>113.69</v>
      </c>
      <c r="D398" s="22">
        <v>6.13</v>
      </c>
      <c r="E398" s="10">
        <v>6.73</v>
      </c>
      <c r="F398" s="22">
        <v>4.6449999999999996</v>
      </c>
      <c r="G398" s="22">
        <v>442.290009</v>
      </c>
      <c r="H398" s="22">
        <v>1658.3599850000001</v>
      </c>
      <c r="I398" s="18">
        <v>19759.460940000001</v>
      </c>
    </row>
    <row r="399" spans="1:9" x14ac:dyDescent="0.2">
      <c r="A399" s="4">
        <v>34065</v>
      </c>
      <c r="B399" s="21">
        <v>1.2238</v>
      </c>
      <c r="C399" s="22">
        <v>114</v>
      </c>
      <c r="D399" s="22">
        <v>6.08</v>
      </c>
      <c r="E399" s="10">
        <v>6.69</v>
      </c>
      <c r="F399" s="22">
        <v>4.6559999999999997</v>
      </c>
      <c r="G399" s="22">
        <v>441.16000400000001</v>
      </c>
      <c r="H399" s="22">
        <v>1667.6400149999999</v>
      </c>
      <c r="I399" s="18">
        <v>19486.800780000001</v>
      </c>
    </row>
    <row r="400" spans="1:9" x14ac:dyDescent="0.2">
      <c r="A400" s="4">
        <v>34066</v>
      </c>
      <c r="B400" s="21">
        <v>1.2206999999999999</v>
      </c>
      <c r="C400" s="22">
        <v>113.55</v>
      </c>
      <c r="D400" s="22">
        <v>6.07</v>
      </c>
      <c r="E400" s="10">
        <v>6.67</v>
      </c>
      <c r="F400" s="22">
        <v>4.694</v>
      </c>
      <c r="G400" s="22">
        <v>442.73001099999999</v>
      </c>
      <c r="H400" s="22">
        <v>1654.599976</v>
      </c>
      <c r="I400" s="18">
        <v>19829.230469999999</v>
      </c>
    </row>
    <row r="401" spans="1:9" x14ac:dyDescent="0.2">
      <c r="A401" s="4">
        <v>34067</v>
      </c>
      <c r="B401" s="21">
        <v>1.2296</v>
      </c>
      <c r="C401" s="22">
        <v>113.35</v>
      </c>
      <c r="D401" s="22">
        <v>5.97</v>
      </c>
      <c r="E401" s="10">
        <v>6.61</v>
      </c>
      <c r="F401" s="22">
        <v>4.72</v>
      </c>
      <c r="G401" s="22">
        <v>441.83999599999999</v>
      </c>
      <c r="H401" s="22">
        <v>1658.130005</v>
      </c>
      <c r="I401" s="18">
        <v>19967.269530000001</v>
      </c>
    </row>
    <row r="402" spans="1:9" x14ac:dyDescent="0.2">
      <c r="A402" s="4">
        <v>34068</v>
      </c>
      <c r="B402" s="21">
        <v>1.2296</v>
      </c>
      <c r="C402" s="22">
        <v>113.2</v>
      </c>
      <c r="D402" s="22">
        <v>5.97</v>
      </c>
      <c r="E402" s="10">
        <v>6.61</v>
      </c>
      <c r="F402" s="22">
        <v>4.6390000000000002</v>
      </c>
      <c r="G402" s="22">
        <v>448.94</v>
      </c>
      <c r="H402" s="22">
        <v>1658.130005</v>
      </c>
      <c r="I402" s="18">
        <v>19892.179690000001</v>
      </c>
    </row>
    <row r="403" spans="1:9" x14ac:dyDescent="0.2">
      <c r="A403" s="4">
        <v>34071</v>
      </c>
      <c r="B403" s="21">
        <v>1.2296</v>
      </c>
      <c r="C403" s="22">
        <v>112.9</v>
      </c>
      <c r="D403" s="22">
        <v>5.92</v>
      </c>
      <c r="E403" s="10">
        <v>6.61</v>
      </c>
      <c r="F403" s="22">
        <v>4.585</v>
      </c>
      <c r="G403" s="22">
        <v>448.36999500000002</v>
      </c>
      <c r="H403" s="22">
        <v>1658.130005</v>
      </c>
      <c r="I403" s="18">
        <v>19882.140630000002</v>
      </c>
    </row>
    <row r="404" spans="1:9" x14ac:dyDescent="0.2">
      <c r="A404" s="4">
        <v>34072</v>
      </c>
      <c r="B404" s="21">
        <v>1.2533000000000001</v>
      </c>
      <c r="C404" s="22">
        <v>113.5</v>
      </c>
      <c r="D404" s="22">
        <v>5.93</v>
      </c>
      <c r="E404" s="10">
        <v>6.56</v>
      </c>
      <c r="F404" s="22">
        <v>4.5999999999999996</v>
      </c>
      <c r="G404" s="22">
        <v>449.22000100000002</v>
      </c>
      <c r="H404" s="22">
        <v>1671.540039</v>
      </c>
      <c r="I404" s="18">
        <v>20740.289059999999</v>
      </c>
    </row>
    <row r="405" spans="1:9" x14ac:dyDescent="0.2">
      <c r="A405" s="4">
        <v>34073</v>
      </c>
      <c r="B405" s="21">
        <v>1.2455000000000001</v>
      </c>
      <c r="C405" s="22">
        <v>113.71</v>
      </c>
      <c r="D405" s="22">
        <v>5.9</v>
      </c>
      <c r="E405" s="10">
        <v>6.56</v>
      </c>
      <c r="F405" s="22">
        <v>4.55</v>
      </c>
      <c r="G405" s="22">
        <v>448.66000400000001</v>
      </c>
      <c r="H405" s="22">
        <v>1674.9499510000001</v>
      </c>
      <c r="I405" s="18">
        <v>20533.380860000001</v>
      </c>
    </row>
    <row r="406" spans="1:9" x14ac:dyDescent="0.2">
      <c r="A406" s="4">
        <v>34074</v>
      </c>
      <c r="B406" s="21">
        <v>1.2403999999999999</v>
      </c>
      <c r="C406" s="22">
        <v>113.18</v>
      </c>
      <c r="D406" s="22">
        <v>5.88</v>
      </c>
      <c r="E406" s="10">
        <v>6.56</v>
      </c>
      <c r="F406" s="22">
        <v>4.5650000000000004</v>
      </c>
      <c r="G406" s="22">
        <v>448.39999399999999</v>
      </c>
      <c r="H406" s="22">
        <v>1674.670044</v>
      </c>
      <c r="I406" s="18">
        <v>20675.839840000001</v>
      </c>
    </row>
    <row r="407" spans="1:9" x14ac:dyDescent="0.2">
      <c r="A407" s="4">
        <v>34075</v>
      </c>
      <c r="B407" s="21">
        <v>1.2279</v>
      </c>
      <c r="C407" s="22">
        <v>112.3</v>
      </c>
      <c r="D407" s="22">
        <v>5.89</v>
      </c>
      <c r="E407" s="10">
        <v>6.58</v>
      </c>
      <c r="F407" s="22">
        <v>4.59</v>
      </c>
      <c r="G407" s="22">
        <v>448.94000199999999</v>
      </c>
      <c r="H407" s="22">
        <v>1678.650024</v>
      </c>
      <c r="I407" s="18">
        <v>20297.859380000002</v>
      </c>
    </row>
    <row r="408" spans="1:9" x14ac:dyDescent="0.2">
      <c r="A408" s="4">
        <v>34078</v>
      </c>
      <c r="B408" s="21">
        <v>1.2404999999999999</v>
      </c>
      <c r="C408" s="22">
        <v>111.08</v>
      </c>
      <c r="D408" s="22">
        <v>5.87</v>
      </c>
      <c r="E408" s="10">
        <v>6.57</v>
      </c>
      <c r="F408" s="22">
        <v>4.6189999999999998</v>
      </c>
      <c r="G408" s="22">
        <v>447.459991</v>
      </c>
      <c r="H408" s="22">
        <v>1687.1400149999999</v>
      </c>
      <c r="I408" s="18">
        <v>20112.339840000001</v>
      </c>
    </row>
    <row r="409" spans="1:9" x14ac:dyDescent="0.2">
      <c r="A409" s="4">
        <v>34079</v>
      </c>
      <c r="B409" s="21">
        <v>1.2416</v>
      </c>
      <c r="C409" s="22">
        <v>110.55</v>
      </c>
      <c r="D409" s="22">
        <v>5.87</v>
      </c>
      <c r="E409" s="10">
        <v>6.59</v>
      </c>
      <c r="F409" s="22">
        <v>4.5949999999999998</v>
      </c>
      <c r="G409" s="22">
        <v>445.10000600000001</v>
      </c>
      <c r="H409" s="22">
        <v>1680.0600589999999</v>
      </c>
      <c r="I409" s="18">
        <v>19828.429690000001</v>
      </c>
    </row>
    <row r="410" spans="1:9" x14ac:dyDescent="0.2">
      <c r="A410" s="4">
        <v>34080</v>
      </c>
      <c r="B410" s="21">
        <v>1.2375</v>
      </c>
      <c r="C410" s="22">
        <v>110.65</v>
      </c>
      <c r="D410" s="22">
        <v>5.86</v>
      </c>
      <c r="E410" s="10">
        <v>6.63</v>
      </c>
      <c r="F410" s="22">
        <v>4.5949999999999998</v>
      </c>
      <c r="G410" s="22">
        <v>443.63000499999998</v>
      </c>
      <c r="H410" s="22">
        <v>1666.48999</v>
      </c>
      <c r="I410" s="18">
        <v>19773.009770000001</v>
      </c>
    </row>
    <row r="411" spans="1:9" x14ac:dyDescent="0.2">
      <c r="A411" s="4">
        <v>34081</v>
      </c>
      <c r="B411" s="21">
        <v>1.2349000000000001</v>
      </c>
      <c r="C411" s="22">
        <v>109.99</v>
      </c>
      <c r="D411" s="22">
        <v>5.85</v>
      </c>
      <c r="E411" s="10">
        <v>6.65</v>
      </c>
      <c r="F411" s="22">
        <v>4.53</v>
      </c>
      <c r="G411" s="22">
        <v>439.459991</v>
      </c>
      <c r="H411" s="22">
        <v>1680.01001</v>
      </c>
      <c r="I411" s="18">
        <v>19591.310549999998</v>
      </c>
    </row>
    <row r="412" spans="1:9" x14ac:dyDescent="0.2">
      <c r="A412" s="4">
        <v>34082</v>
      </c>
      <c r="B412" s="21">
        <v>1.2564</v>
      </c>
      <c r="C412" s="22">
        <v>110.7</v>
      </c>
      <c r="D412" s="22">
        <v>5.89</v>
      </c>
      <c r="E412" s="10">
        <v>6.63</v>
      </c>
      <c r="F412" s="22">
        <v>4.5199999999999996</v>
      </c>
      <c r="G412" s="22">
        <v>437.02999899999998</v>
      </c>
      <c r="H412" s="22">
        <v>1656.030029</v>
      </c>
      <c r="I412" s="18">
        <v>19704.150389999999</v>
      </c>
    </row>
    <row r="413" spans="1:9" x14ac:dyDescent="0.2">
      <c r="A413" s="4">
        <v>34085</v>
      </c>
      <c r="B413" s="21">
        <v>1.2679</v>
      </c>
      <c r="C413" s="22">
        <v>110.58</v>
      </c>
      <c r="D413" s="22">
        <v>5.94</v>
      </c>
      <c r="E413" s="10">
        <v>6.69</v>
      </c>
      <c r="F413" s="22">
        <v>4.5350000000000001</v>
      </c>
      <c r="G413" s="22">
        <v>433.540009</v>
      </c>
      <c r="H413" s="22">
        <v>1643.530029</v>
      </c>
      <c r="I413" s="18">
        <v>19623.630860000001</v>
      </c>
    </row>
    <row r="414" spans="1:9" x14ac:dyDescent="0.2">
      <c r="A414" s="4">
        <v>34086</v>
      </c>
      <c r="B414" s="21">
        <v>1.2601</v>
      </c>
      <c r="C414" s="22">
        <v>111.98</v>
      </c>
      <c r="D414" s="22">
        <v>6.02</v>
      </c>
      <c r="E414" s="10">
        <v>6.72</v>
      </c>
      <c r="F414" s="22">
        <v>4.6050000000000004</v>
      </c>
      <c r="G414" s="22">
        <v>438.01001000000002</v>
      </c>
      <c r="H414" s="22">
        <v>1636.589966</v>
      </c>
      <c r="I414" s="18">
        <v>20206.710940000001</v>
      </c>
    </row>
    <row r="415" spans="1:9" x14ac:dyDescent="0.2">
      <c r="A415" s="4">
        <v>34087</v>
      </c>
      <c r="B415" s="21">
        <v>1.2553000000000001</v>
      </c>
      <c r="C415" s="22">
        <v>112.07</v>
      </c>
      <c r="D415" s="22">
        <v>6.03</v>
      </c>
      <c r="E415" s="10">
        <v>6.75</v>
      </c>
      <c r="F415" s="22">
        <v>4.7590000000000003</v>
      </c>
      <c r="G415" s="22">
        <v>438.01998900000001</v>
      </c>
      <c r="H415" s="22">
        <v>1630.880005</v>
      </c>
      <c r="I415" s="18">
        <v>20454.570309999999</v>
      </c>
    </row>
    <row r="416" spans="1:9" x14ac:dyDescent="0.2">
      <c r="A416" s="4">
        <v>34088</v>
      </c>
      <c r="B416" s="21">
        <v>1.2625999999999999</v>
      </c>
      <c r="C416" s="22">
        <v>111.4</v>
      </c>
      <c r="D416" s="22">
        <v>5.99</v>
      </c>
      <c r="E416" s="10">
        <v>6.81</v>
      </c>
      <c r="F416" s="22">
        <v>4.7590000000000003</v>
      </c>
      <c r="G416" s="22">
        <v>438.89001500000001</v>
      </c>
      <c r="H416" s="22">
        <v>1618.599976</v>
      </c>
      <c r="I416" s="18">
        <v>20454.570309999999</v>
      </c>
    </row>
    <row r="417" spans="1:9" x14ac:dyDescent="0.2">
      <c r="A417" s="4">
        <v>34089</v>
      </c>
      <c r="B417" s="21">
        <v>1.2535000000000001</v>
      </c>
      <c r="C417" s="22">
        <v>111.05</v>
      </c>
      <c r="D417" s="22">
        <v>6.05</v>
      </c>
      <c r="E417" s="10">
        <v>6.8</v>
      </c>
      <c r="F417" s="22">
        <v>4.734</v>
      </c>
      <c r="G417" s="22">
        <v>440.19000199999999</v>
      </c>
      <c r="H417" s="22">
        <v>1626.829956</v>
      </c>
      <c r="I417" s="18">
        <v>20919.179690000001</v>
      </c>
    </row>
    <row r="418" spans="1:9" x14ac:dyDescent="0.2">
      <c r="A418" s="4">
        <v>34092</v>
      </c>
      <c r="B418" s="21">
        <v>1.2535000000000001</v>
      </c>
      <c r="C418" s="22">
        <v>110.88</v>
      </c>
      <c r="D418" s="22">
        <v>5.96</v>
      </c>
      <c r="E418" s="10">
        <v>6.79</v>
      </c>
      <c r="F418" s="22">
        <v>4.734</v>
      </c>
      <c r="G418" s="22">
        <v>442.459991</v>
      </c>
      <c r="H418" s="22">
        <v>1632</v>
      </c>
      <c r="I418" s="18">
        <v>20919.179690000001</v>
      </c>
    </row>
    <row r="419" spans="1:9" x14ac:dyDescent="0.2">
      <c r="A419" s="4">
        <v>34093</v>
      </c>
      <c r="B419" s="21">
        <v>1.2667999999999999</v>
      </c>
      <c r="C419" s="22">
        <v>110.15</v>
      </c>
      <c r="D419" s="22">
        <v>5.92</v>
      </c>
      <c r="E419" s="10">
        <v>6.79</v>
      </c>
      <c r="F419" s="22">
        <v>4.734</v>
      </c>
      <c r="G419" s="22">
        <v>444.04998799999998</v>
      </c>
      <c r="H419" s="22">
        <v>1619.920044</v>
      </c>
      <c r="I419" s="18">
        <v>20919.179690000001</v>
      </c>
    </row>
    <row r="420" spans="1:9" x14ac:dyDescent="0.2">
      <c r="A420" s="4">
        <v>34094</v>
      </c>
      <c r="B420" s="21">
        <v>1.2617</v>
      </c>
      <c r="C420" s="22">
        <v>110.2</v>
      </c>
      <c r="D420" s="22">
        <v>5.93</v>
      </c>
      <c r="E420" s="10">
        <v>6.76</v>
      </c>
      <c r="F420" s="22">
        <v>4.734</v>
      </c>
      <c r="G420" s="22">
        <v>444.51998900000001</v>
      </c>
      <c r="H420" s="22">
        <v>1628.880005</v>
      </c>
      <c r="I420" s="18">
        <v>20919.179690000001</v>
      </c>
    </row>
    <row r="421" spans="1:9" x14ac:dyDescent="0.2">
      <c r="A421" s="4">
        <v>34095</v>
      </c>
      <c r="B421" s="21">
        <v>1.262</v>
      </c>
      <c r="C421" s="22">
        <v>110.05</v>
      </c>
      <c r="D421" s="22">
        <v>5.89</v>
      </c>
      <c r="E421" s="10">
        <v>6.73</v>
      </c>
      <c r="F421" s="22">
        <v>4.6740000000000004</v>
      </c>
      <c r="G421" s="22">
        <v>443.26001000000002</v>
      </c>
      <c r="H421" s="22">
        <v>1617.73999</v>
      </c>
      <c r="I421" s="18">
        <v>20622.029299999998</v>
      </c>
    </row>
    <row r="422" spans="1:9" x14ac:dyDescent="0.2">
      <c r="A422" s="4">
        <v>34096</v>
      </c>
      <c r="B422" s="21">
        <v>1.2639</v>
      </c>
      <c r="C422" s="22">
        <v>110.4</v>
      </c>
      <c r="D422" s="22">
        <v>5.92</v>
      </c>
      <c r="E422" s="10">
        <v>6.78</v>
      </c>
      <c r="F422" s="22">
        <v>4.6790000000000003</v>
      </c>
      <c r="G422" s="22">
        <v>442.30999800000001</v>
      </c>
      <c r="H422" s="22">
        <v>1607.6999510000001</v>
      </c>
      <c r="I422" s="18">
        <v>20811.359380000002</v>
      </c>
    </row>
    <row r="423" spans="1:9" x14ac:dyDescent="0.2">
      <c r="A423" s="4">
        <v>34099</v>
      </c>
      <c r="B423" s="21">
        <v>1.2450000000000001</v>
      </c>
      <c r="C423" s="22">
        <v>111.83</v>
      </c>
      <c r="D423" s="22">
        <v>5.89</v>
      </c>
      <c r="E423" s="10">
        <v>6.8</v>
      </c>
      <c r="F423" s="22">
        <v>4.7610000000000001</v>
      </c>
      <c r="G423" s="22">
        <v>442.79998799999998</v>
      </c>
      <c r="H423" s="22">
        <v>1616.4499510000001</v>
      </c>
      <c r="I423" s="18">
        <v>21054.710940000001</v>
      </c>
    </row>
    <row r="424" spans="1:9" x14ac:dyDescent="0.2">
      <c r="A424" s="4">
        <v>34100</v>
      </c>
      <c r="B424" s="21">
        <v>1.2403999999999999</v>
      </c>
      <c r="C424" s="22">
        <v>111.38</v>
      </c>
      <c r="D424" s="22">
        <v>5.89</v>
      </c>
      <c r="E424" s="10">
        <v>6.79</v>
      </c>
      <c r="F424" s="22">
        <v>4.819</v>
      </c>
      <c r="G424" s="22">
        <v>444.35998499999999</v>
      </c>
      <c r="H424" s="22">
        <v>1613.459961</v>
      </c>
      <c r="I424" s="18">
        <v>20940.369139999999</v>
      </c>
    </row>
    <row r="425" spans="1:9" x14ac:dyDescent="0.2">
      <c r="A425" s="4">
        <v>34101</v>
      </c>
      <c r="B425" s="21">
        <v>1.2401</v>
      </c>
      <c r="C425" s="22">
        <v>111.55</v>
      </c>
      <c r="D425" s="22">
        <v>5.96</v>
      </c>
      <c r="E425" s="10">
        <v>6.73</v>
      </c>
      <c r="F425" s="22">
        <v>4.8890000000000002</v>
      </c>
      <c r="G425" s="22">
        <v>444.79998799999998</v>
      </c>
      <c r="H425" s="22">
        <v>1632.98999</v>
      </c>
      <c r="I425" s="18">
        <v>20615.199219999999</v>
      </c>
    </row>
    <row r="426" spans="1:9" x14ac:dyDescent="0.2">
      <c r="A426" s="4">
        <v>34102</v>
      </c>
      <c r="B426" s="21">
        <v>1.2315</v>
      </c>
      <c r="C426" s="22">
        <v>111.95</v>
      </c>
      <c r="D426" s="22">
        <v>6.02</v>
      </c>
      <c r="E426" s="10">
        <v>6.7</v>
      </c>
      <c r="F426" s="22">
        <v>4.8639999999999999</v>
      </c>
      <c r="G426" s="22">
        <v>439.23001099999999</v>
      </c>
      <c r="H426" s="22">
        <v>1636.0200199999999</v>
      </c>
      <c r="I426" s="18">
        <v>20532.779299999998</v>
      </c>
    </row>
    <row r="427" spans="1:9" x14ac:dyDescent="0.2">
      <c r="A427" s="4">
        <v>34103</v>
      </c>
      <c r="B427" s="21">
        <v>1.2376</v>
      </c>
      <c r="C427" s="22">
        <v>110.73</v>
      </c>
      <c r="D427" s="22">
        <v>6.03</v>
      </c>
      <c r="E427" s="10">
        <v>6.73</v>
      </c>
      <c r="F427" s="22">
        <v>4.9189999999999996</v>
      </c>
      <c r="G427" s="22">
        <v>439.55999800000001</v>
      </c>
      <c r="H427" s="22">
        <v>1632.349976</v>
      </c>
      <c r="I427" s="18">
        <v>20474.150389999999</v>
      </c>
    </row>
    <row r="428" spans="1:9" x14ac:dyDescent="0.2">
      <c r="A428" s="4">
        <v>34106</v>
      </c>
      <c r="B428" s="21">
        <v>1.2355</v>
      </c>
      <c r="C428" s="22">
        <v>111.34</v>
      </c>
      <c r="D428" s="22">
        <v>6.07</v>
      </c>
      <c r="E428" s="10">
        <v>6.79</v>
      </c>
      <c r="F428" s="22">
        <v>4.9189999999999996</v>
      </c>
      <c r="G428" s="22">
        <v>440.36999500000002</v>
      </c>
      <c r="H428" s="22">
        <v>1630.369995</v>
      </c>
      <c r="I428" s="18">
        <v>20565.509770000001</v>
      </c>
    </row>
    <row r="429" spans="1:9" x14ac:dyDescent="0.2">
      <c r="A429" s="4">
        <v>34107</v>
      </c>
      <c r="B429" s="21">
        <v>1.2275</v>
      </c>
      <c r="C429" s="22">
        <v>111.46</v>
      </c>
      <c r="D429" s="22">
        <v>6.15</v>
      </c>
      <c r="E429" s="10">
        <v>6.8</v>
      </c>
      <c r="F429" s="22">
        <v>5.0439999999999996</v>
      </c>
      <c r="G429" s="22">
        <v>440.32000699999998</v>
      </c>
      <c r="H429" s="22">
        <v>1619.26001</v>
      </c>
      <c r="I429" s="18">
        <v>20229.390630000002</v>
      </c>
    </row>
    <row r="430" spans="1:9" x14ac:dyDescent="0.2">
      <c r="A430" s="4">
        <v>34108</v>
      </c>
      <c r="B430" s="21">
        <v>1.2283999999999999</v>
      </c>
      <c r="C430" s="22">
        <v>110.8</v>
      </c>
      <c r="D430" s="22">
        <v>6.11</v>
      </c>
      <c r="E430" s="10">
        <v>6.86</v>
      </c>
      <c r="F430" s="22">
        <v>5.0490000000000004</v>
      </c>
      <c r="G430" s="22">
        <v>447.57000699999998</v>
      </c>
      <c r="H430" s="22">
        <v>1606.6400149999999</v>
      </c>
      <c r="I430" s="18">
        <v>20380.789059999999</v>
      </c>
    </row>
    <row r="431" spans="1:9" x14ac:dyDescent="0.2">
      <c r="A431" s="4">
        <v>34109</v>
      </c>
      <c r="B431" s="21">
        <v>1.2343</v>
      </c>
      <c r="C431" s="22">
        <v>110.75</v>
      </c>
      <c r="D431" s="22">
        <v>6.09</v>
      </c>
      <c r="E431" s="10">
        <v>6.86</v>
      </c>
      <c r="F431" s="22">
        <v>4.9989999999999997</v>
      </c>
      <c r="G431" s="22">
        <v>450.58999599999999</v>
      </c>
      <c r="H431" s="22">
        <v>1606.6400149999999</v>
      </c>
      <c r="I431" s="18">
        <v>20330.390630000002</v>
      </c>
    </row>
    <row r="432" spans="1:9" x14ac:dyDescent="0.2">
      <c r="A432" s="4">
        <v>34110</v>
      </c>
      <c r="B432" s="21">
        <v>1.2246999999999999</v>
      </c>
      <c r="C432" s="22">
        <v>110.5</v>
      </c>
      <c r="D432" s="22">
        <v>6.16</v>
      </c>
      <c r="E432" s="10">
        <v>6.87</v>
      </c>
      <c r="F432" s="22">
        <v>4.9630000000000001</v>
      </c>
      <c r="G432" s="22">
        <v>445.83999599999999</v>
      </c>
      <c r="H432" s="22">
        <v>1613.9799800000001</v>
      </c>
      <c r="I432" s="18">
        <v>20557.470700000002</v>
      </c>
    </row>
    <row r="433" spans="1:9" x14ac:dyDescent="0.2">
      <c r="A433" s="4">
        <v>34113</v>
      </c>
      <c r="B433" s="21">
        <v>1.22</v>
      </c>
      <c r="C433" s="22">
        <v>110.65</v>
      </c>
      <c r="D433" s="22">
        <v>6.16</v>
      </c>
      <c r="E433" s="10">
        <v>6.91</v>
      </c>
      <c r="F433" s="22">
        <v>4.9989999999999997</v>
      </c>
      <c r="G433" s="22">
        <v>448</v>
      </c>
      <c r="H433" s="22">
        <v>1608.579956</v>
      </c>
      <c r="I433" s="18">
        <v>20476.160159999999</v>
      </c>
    </row>
    <row r="434" spans="1:9" x14ac:dyDescent="0.2">
      <c r="A434" s="4">
        <v>34114</v>
      </c>
      <c r="B434" s="21">
        <v>1.2253000000000001</v>
      </c>
      <c r="C434" s="22">
        <v>109.35</v>
      </c>
      <c r="D434" s="22">
        <v>6.17</v>
      </c>
      <c r="E434" s="10">
        <v>6.85</v>
      </c>
      <c r="F434" s="22">
        <v>4.9989999999999997</v>
      </c>
      <c r="G434" s="22">
        <v>448.85000600000001</v>
      </c>
      <c r="H434" s="22">
        <v>1623.0500489999999</v>
      </c>
      <c r="I434" s="18">
        <v>20631.759770000001</v>
      </c>
    </row>
    <row r="435" spans="1:9" x14ac:dyDescent="0.2">
      <c r="A435" s="4">
        <v>34115</v>
      </c>
      <c r="B435" s="21">
        <v>1.2212000000000001</v>
      </c>
      <c r="C435" s="22">
        <v>108.5</v>
      </c>
      <c r="D435" s="22">
        <v>6.12</v>
      </c>
      <c r="E435" s="10">
        <v>6.84</v>
      </c>
      <c r="F435" s="22">
        <v>4.9039999999999999</v>
      </c>
      <c r="G435" s="22">
        <v>453.44000199999999</v>
      </c>
      <c r="H435" s="22">
        <v>1617.1800539999999</v>
      </c>
      <c r="I435" s="18">
        <v>20895.990229999999</v>
      </c>
    </row>
    <row r="436" spans="1:9" x14ac:dyDescent="0.2">
      <c r="A436" s="4">
        <v>34116</v>
      </c>
      <c r="B436" s="21">
        <v>1.2311000000000001</v>
      </c>
      <c r="C436" s="22">
        <v>107.37</v>
      </c>
      <c r="D436" s="22">
        <v>6.11</v>
      </c>
      <c r="E436" s="10">
        <v>6.82</v>
      </c>
      <c r="F436" s="22">
        <v>4.8789999999999996</v>
      </c>
      <c r="G436" s="22">
        <v>452.41000400000001</v>
      </c>
      <c r="H436" s="22">
        <v>1633.1800539999999</v>
      </c>
      <c r="I436" s="18">
        <v>20852.630860000001</v>
      </c>
    </row>
    <row r="437" spans="1:9" x14ac:dyDescent="0.2">
      <c r="A437" s="4">
        <v>34117</v>
      </c>
      <c r="B437" s="21">
        <v>1.2492000000000001</v>
      </c>
      <c r="C437" s="22">
        <v>106.95</v>
      </c>
      <c r="D437" s="22">
        <v>6.16</v>
      </c>
      <c r="E437" s="10">
        <v>6.82</v>
      </c>
      <c r="F437" s="22">
        <v>4.9240000000000004</v>
      </c>
      <c r="G437" s="22">
        <v>450.19000199999999</v>
      </c>
      <c r="H437" s="22">
        <v>1627.209961</v>
      </c>
      <c r="I437" s="18">
        <v>20843.689450000002</v>
      </c>
    </row>
    <row r="438" spans="1:9" x14ac:dyDescent="0.2">
      <c r="A438" s="4">
        <v>34120</v>
      </c>
      <c r="B438" s="21">
        <v>1.2492000000000001</v>
      </c>
      <c r="C438" s="22">
        <v>107.08</v>
      </c>
      <c r="D438" s="22">
        <v>6.16</v>
      </c>
      <c r="E438" s="10">
        <v>6.82</v>
      </c>
      <c r="F438" s="22">
        <v>4.8890000000000002</v>
      </c>
      <c r="G438" s="22">
        <v>447.69</v>
      </c>
      <c r="H438" s="22">
        <v>1627.209961</v>
      </c>
      <c r="I438" s="18">
        <v>20552.349610000001</v>
      </c>
    </row>
    <row r="439" spans="1:9" x14ac:dyDescent="0.2">
      <c r="A439" s="4">
        <v>34121</v>
      </c>
      <c r="B439" s="21">
        <v>1.2464</v>
      </c>
      <c r="C439" s="22">
        <v>107.1</v>
      </c>
      <c r="D439" s="22">
        <v>6.07</v>
      </c>
      <c r="E439" s="10">
        <v>6.9</v>
      </c>
      <c r="F439" s="22">
        <v>4.8760000000000003</v>
      </c>
      <c r="G439" s="22">
        <v>453.82998700000002</v>
      </c>
      <c r="H439" s="22">
        <v>1625.589966</v>
      </c>
      <c r="I439" s="18">
        <v>20591.410159999999</v>
      </c>
    </row>
    <row r="440" spans="1:9" x14ac:dyDescent="0.2">
      <c r="A440" s="4">
        <v>34122</v>
      </c>
      <c r="B440" s="21">
        <v>1.2452000000000001</v>
      </c>
      <c r="C440" s="22">
        <v>107.2</v>
      </c>
      <c r="D440" s="22">
        <v>6.06</v>
      </c>
      <c r="E440" s="10">
        <v>6.92</v>
      </c>
      <c r="F440" s="22">
        <v>4.9370000000000003</v>
      </c>
      <c r="G440" s="22">
        <v>453.85000600000001</v>
      </c>
      <c r="H440" s="22">
        <v>1628.530029</v>
      </c>
      <c r="I440" s="18">
        <v>20691.699219999999</v>
      </c>
    </row>
    <row r="441" spans="1:9" x14ac:dyDescent="0.2">
      <c r="A441" s="4">
        <v>34123</v>
      </c>
      <c r="B441" s="21">
        <v>1.2415</v>
      </c>
      <c r="C441" s="22">
        <v>107.2</v>
      </c>
      <c r="D441" s="22">
        <v>6.02</v>
      </c>
      <c r="E441" s="10">
        <v>6.87</v>
      </c>
      <c r="F441" s="22">
        <v>4.9409999999999998</v>
      </c>
      <c r="G441" s="22">
        <v>452.48998999999998</v>
      </c>
      <c r="H441" s="22">
        <v>1630.5600589999999</v>
      </c>
      <c r="I441" s="18">
        <v>21076</v>
      </c>
    </row>
    <row r="442" spans="1:9" x14ac:dyDescent="0.2">
      <c r="A442" s="4">
        <v>34124</v>
      </c>
      <c r="B442" s="21">
        <v>1.2273000000000001</v>
      </c>
      <c r="C442" s="22">
        <v>107.79</v>
      </c>
      <c r="D442" s="22">
        <v>6.11</v>
      </c>
      <c r="E442" s="10">
        <v>6.87</v>
      </c>
      <c r="F442" s="22">
        <v>4.8719999999999999</v>
      </c>
      <c r="G442" s="22">
        <v>450.05999800000001</v>
      </c>
      <c r="H442" s="22">
        <v>1638.469971</v>
      </c>
      <c r="I442" s="18">
        <v>20882.240229999999</v>
      </c>
    </row>
    <row r="443" spans="1:9" x14ac:dyDescent="0.2">
      <c r="A443" s="4">
        <v>34127</v>
      </c>
      <c r="B443" s="21">
        <v>1.2290000000000001</v>
      </c>
      <c r="C443" s="22">
        <v>107.24</v>
      </c>
      <c r="D443" s="22">
        <v>6.08</v>
      </c>
      <c r="E443" s="10">
        <v>6.92</v>
      </c>
      <c r="F443" s="22">
        <v>4.8899999999999997</v>
      </c>
      <c r="G443" s="22">
        <v>447.69000199999999</v>
      </c>
      <c r="H443" s="22">
        <v>1660.880005</v>
      </c>
      <c r="I443" s="18">
        <v>20844.189450000002</v>
      </c>
    </row>
    <row r="444" spans="1:9" x14ac:dyDescent="0.2">
      <c r="A444" s="4">
        <v>34128</v>
      </c>
      <c r="B444" s="21">
        <v>1.2290000000000001</v>
      </c>
      <c r="C444" s="22">
        <v>106.25</v>
      </c>
      <c r="D444" s="22">
        <v>6.09</v>
      </c>
      <c r="E444" s="10">
        <v>6.9</v>
      </c>
      <c r="F444" s="22">
        <v>4.8609999999999998</v>
      </c>
      <c r="G444" s="22">
        <v>444.709991</v>
      </c>
      <c r="H444" s="22">
        <v>1662.280029</v>
      </c>
      <c r="I444" s="18">
        <v>20575.240229999999</v>
      </c>
    </row>
    <row r="445" spans="1:9" x14ac:dyDescent="0.2">
      <c r="A445" s="4">
        <v>34129</v>
      </c>
      <c r="B445" s="21">
        <v>1.2173</v>
      </c>
      <c r="C445" s="22">
        <v>106.37</v>
      </c>
      <c r="D445" s="22">
        <v>6.07</v>
      </c>
      <c r="E445" s="10">
        <v>6.84</v>
      </c>
      <c r="F445" s="22">
        <v>4.8609999999999998</v>
      </c>
      <c r="G445" s="22">
        <v>445.77999899999998</v>
      </c>
      <c r="H445" s="22">
        <v>1679.6899410000001</v>
      </c>
      <c r="I445" s="18">
        <v>20575.240229999999</v>
      </c>
    </row>
    <row r="446" spans="1:9" x14ac:dyDescent="0.2">
      <c r="A446" s="4">
        <v>34130</v>
      </c>
      <c r="B446" s="21">
        <v>1.2192000000000001</v>
      </c>
      <c r="C446" s="22">
        <v>106.05</v>
      </c>
      <c r="D446" s="22">
        <v>6.07</v>
      </c>
      <c r="E446" s="10">
        <v>6.84</v>
      </c>
      <c r="F446" s="22">
        <v>4.8259999999999996</v>
      </c>
      <c r="G446" s="22">
        <v>445.38000499999998</v>
      </c>
      <c r="H446" s="22">
        <v>1679.6899410000001</v>
      </c>
      <c r="I446" s="18">
        <v>20493.320309999999</v>
      </c>
    </row>
    <row r="447" spans="1:9" x14ac:dyDescent="0.2">
      <c r="A447" s="4">
        <v>34131</v>
      </c>
      <c r="B447" s="21">
        <v>1.2270000000000001</v>
      </c>
      <c r="C447" s="22">
        <v>106.18</v>
      </c>
      <c r="D447" s="22">
        <v>5.97</v>
      </c>
      <c r="E447" s="10">
        <v>6.82</v>
      </c>
      <c r="F447" s="22">
        <v>4.8150000000000004</v>
      </c>
      <c r="G447" s="22">
        <v>447.26001000000002</v>
      </c>
      <c r="H447" s="22">
        <v>1685.849976</v>
      </c>
      <c r="I447" s="18">
        <v>20500.949219999999</v>
      </c>
    </row>
    <row r="448" spans="1:9" x14ac:dyDescent="0.2">
      <c r="A448" s="4">
        <v>34134</v>
      </c>
      <c r="B448" s="21">
        <v>1.2264999999999999</v>
      </c>
      <c r="C448" s="22">
        <v>105.09</v>
      </c>
      <c r="D448" s="22">
        <v>5.97</v>
      </c>
      <c r="E448" s="10">
        <v>6.77</v>
      </c>
      <c r="F448" s="22">
        <v>4.8239999999999998</v>
      </c>
      <c r="G448" s="22">
        <v>447.709991</v>
      </c>
      <c r="H448" s="22">
        <v>1686.4399410000001</v>
      </c>
      <c r="I448" s="18">
        <v>20397.349610000001</v>
      </c>
    </row>
    <row r="449" spans="1:9" x14ac:dyDescent="0.2">
      <c r="A449" s="4">
        <v>34135</v>
      </c>
      <c r="B449" s="21">
        <v>1.2188000000000001</v>
      </c>
      <c r="C449" s="22">
        <v>106.05</v>
      </c>
      <c r="D449" s="22">
        <v>5.96</v>
      </c>
      <c r="E449" s="10">
        <v>6.79</v>
      </c>
      <c r="F449" s="22">
        <v>4.7789999999999999</v>
      </c>
      <c r="G449" s="22">
        <v>446.26998900000001</v>
      </c>
      <c r="H449" s="22">
        <v>1684.5699460000001</v>
      </c>
      <c r="I449" s="18">
        <v>20045.880860000001</v>
      </c>
    </row>
    <row r="450" spans="1:9" x14ac:dyDescent="0.2">
      <c r="A450" s="4">
        <v>34136</v>
      </c>
      <c r="B450" s="21">
        <v>1.2027000000000001</v>
      </c>
      <c r="C450" s="22">
        <v>106.6</v>
      </c>
      <c r="D450" s="22">
        <v>5.96</v>
      </c>
      <c r="E450" s="10">
        <v>6.75</v>
      </c>
      <c r="F450" s="22">
        <v>4.7889999999999997</v>
      </c>
      <c r="G450" s="22">
        <v>447.42999300000002</v>
      </c>
      <c r="H450" s="22">
        <v>1689.9300539999999</v>
      </c>
      <c r="I450" s="18">
        <v>19902.41992</v>
      </c>
    </row>
    <row r="451" spans="1:9" x14ac:dyDescent="0.2">
      <c r="A451" s="4">
        <v>34137</v>
      </c>
      <c r="B451" s="21">
        <v>1.2040999999999999</v>
      </c>
      <c r="C451" s="22">
        <v>107.29</v>
      </c>
      <c r="D451" s="22">
        <v>5.93</v>
      </c>
      <c r="E451" s="10">
        <v>6.78</v>
      </c>
      <c r="F451" s="22">
        <v>4.7089999999999996</v>
      </c>
      <c r="G451" s="22">
        <v>448.540009</v>
      </c>
      <c r="H451" s="22">
        <v>1681.469971</v>
      </c>
      <c r="I451" s="18">
        <v>19925.509770000001</v>
      </c>
    </row>
    <row r="452" spans="1:9" x14ac:dyDescent="0.2">
      <c r="A452" s="4">
        <v>34138</v>
      </c>
      <c r="B452" s="21">
        <v>1.1879</v>
      </c>
      <c r="C452" s="22">
        <v>109.6</v>
      </c>
      <c r="D452" s="22">
        <v>5.97</v>
      </c>
      <c r="E452" s="10">
        <v>6.74</v>
      </c>
      <c r="F452" s="22">
        <v>4.6890000000000001</v>
      </c>
      <c r="G452" s="22">
        <v>443.67999300000002</v>
      </c>
      <c r="H452" s="22">
        <v>1687.1400149999999</v>
      </c>
      <c r="I452" s="18">
        <v>19804.539059999999</v>
      </c>
    </row>
    <row r="453" spans="1:9" x14ac:dyDescent="0.2">
      <c r="A453" s="4">
        <v>34141</v>
      </c>
      <c r="B453" s="21">
        <v>1.1830000000000001</v>
      </c>
      <c r="C453" s="22">
        <v>110.67</v>
      </c>
      <c r="D453" s="22">
        <v>5.92</v>
      </c>
      <c r="E453" s="10">
        <v>6.72</v>
      </c>
      <c r="F453" s="22">
        <v>4.7140000000000004</v>
      </c>
      <c r="G453" s="22">
        <v>446.22000100000002</v>
      </c>
      <c r="H453" s="22">
        <v>1697.26001</v>
      </c>
      <c r="I453" s="18">
        <v>19212.429690000001</v>
      </c>
    </row>
    <row r="454" spans="1:9" x14ac:dyDescent="0.2">
      <c r="A454" s="4">
        <v>34142</v>
      </c>
      <c r="B454" s="21">
        <v>1.179</v>
      </c>
      <c r="C454" s="22">
        <v>110.93</v>
      </c>
      <c r="D454" s="22">
        <v>5.91</v>
      </c>
      <c r="E454" s="10">
        <v>6.72</v>
      </c>
      <c r="F454" s="22">
        <v>4.8140000000000001</v>
      </c>
      <c r="G454" s="22">
        <v>445.92999300000002</v>
      </c>
      <c r="H454" s="22">
        <v>1698.329956</v>
      </c>
      <c r="I454" s="18">
        <v>19538.300780000001</v>
      </c>
    </row>
    <row r="455" spans="1:9" x14ac:dyDescent="0.2">
      <c r="A455" s="4">
        <v>34143</v>
      </c>
      <c r="B455" s="21">
        <v>1.1801999999999999</v>
      </c>
      <c r="C455" s="22">
        <v>108.85</v>
      </c>
      <c r="D455" s="22">
        <v>5.91</v>
      </c>
      <c r="E455" s="10">
        <v>6.75</v>
      </c>
      <c r="F455" s="22">
        <v>4.8639999999999999</v>
      </c>
      <c r="G455" s="22">
        <v>443.19000199999999</v>
      </c>
      <c r="H455" s="22">
        <v>1690.959961</v>
      </c>
      <c r="I455" s="18">
        <v>19492.519530000001</v>
      </c>
    </row>
    <row r="456" spans="1:9" x14ac:dyDescent="0.2">
      <c r="A456" s="4">
        <v>34144</v>
      </c>
      <c r="B456" s="21">
        <v>1.1671</v>
      </c>
      <c r="C456" s="22">
        <v>108.6</v>
      </c>
      <c r="D456" s="22">
        <v>5.88</v>
      </c>
      <c r="E456" s="10">
        <v>6.73</v>
      </c>
      <c r="F456" s="22">
        <v>4.7990000000000004</v>
      </c>
      <c r="G456" s="22">
        <v>446.61999500000002</v>
      </c>
      <c r="H456" s="22">
        <v>1692.160034</v>
      </c>
      <c r="I456" s="18">
        <v>19685.070309999999</v>
      </c>
    </row>
    <row r="457" spans="1:9" x14ac:dyDescent="0.2">
      <c r="A457" s="4">
        <v>34145</v>
      </c>
      <c r="B457" s="21">
        <v>1.1752</v>
      </c>
      <c r="C457" s="22">
        <v>106.25</v>
      </c>
      <c r="D457" s="22">
        <v>5.84</v>
      </c>
      <c r="E457" s="10">
        <v>6.72</v>
      </c>
      <c r="F457" s="22">
        <v>4.7990000000000004</v>
      </c>
      <c r="G457" s="22">
        <v>447.60000600000001</v>
      </c>
      <c r="H457" s="22">
        <v>1699.5200199999999</v>
      </c>
      <c r="I457" s="18">
        <v>19659.570309999999</v>
      </c>
    </row>
    <row r="458" spans="1:9" x14ac:dyDescent="0.2">
      <c r="A458" s="4">
        <v>34148</v>
      </c>
      <c r="B458" s="21">
        <v>1.1718</v>
      </c>
      <c r="C458" s="22">
        <v>106.27</v>
      </c>
      <c r="D458" s="22">
        <v>5.8</v>
      </c>
      <c r="E458" s="10">
        <v>6.69</v>
      </c>
      <c r="F458" s="22">
        <v>4.7590000000000003</v>
      </c>
      <c r="G458" s="22">
        <v>451.85000600000001</v>
      </c>
      <c r="H458" s="22">
        <v>1712.329956</v>
      </c>
      <c r="I458" s="18">
        <v>19886.759770000001</v>
      </c>
    </row>
    <row r="459" spans="1:9" x14ac:dyDescent="0.2">
      <c r="A459" s="4">
        <v>34149</v>
      </c>
      <c r="B459" s="21">
        <v>1.1811</v>
      </c>
      <c r="C459" s="22">
        <v>106.42</v>
      </c>
      <c r="D459" s="22">
        <v>5.79</v>
      </c>
      <c r="E459" s="10">
        <v>6.65</v>
      </c>
      <c r="F459" s="22">
        <v>4.7439999999999998</v>
      </c>
      <c r="G459" s="22">
        <v>450.69000199999999</v>
      </c>
      <c r="H459" s="22">
        <v>1703.0500489999999</v>
      </c>
      <c r="I459" s="18">
        <v>19543.41992</v>
      </c>
    </row>
    <row r="460" spans="1:9" x14ac:dyDescent="0.2">
      <c r="A460" s="4">
        <v>34150</v>
      </c>
      <c r="B460" s="21">
        <v>1.1729000000000001</v>
      </c>
      <c r="C460" s="22">
        <v>107.3</v>
      </c>
      <c r="D460" s="22">
        <v>5.8</v>
      </c>
      <c r="E460" s="10">
        <v>6.66</v>
      </c>
      <c r="F460" s="22">
        <v>4.6989999999999998</v>
      </c>
      <c r="G460" s="22">
        <v>450.52999899999998</v>
      </c>
      <c r="H460" s="22">
        <v>1700.9300539999999</v>
      </c>
      <c r="I460" s="18">
        <v>19590</v>
      </c>
    </row>
    <row r="461" spans="1:9" x14ac:dyDescent="0.2">
      <c r="A461" s="4">
        <v>34151</v>
      </c>
      <c r="B461" s="21">
        <v>1.1756</v>
      </c>
      <c r="C461" s="22">
        <v>107.37</v>
      </c>
      <c r="D461" s="22">
        <v>5.8</v>
      </c>
      <c r="E461" s="10">
        <v>6.65</v>
      </c>
      <c r="F461" s="22">
        <v>4.6340000000000003</v>
      </c>
      <c r="G461" s="22">
        <v>449.01998900000001</v>
      </c>
      <c r="H461" s="22">
        <v>1698.3599850000001</v>
      </c>
      <c r="I461" s="18">
        <v>19924.609380000002</v>
      </c>
    </row>
    <row r="462" spans="1:9" x14ac:dyDescent="0.2">
      <c r="A462" s="4">
        <v>34152</v>
      </c>
      <c r="B462" s="21">
        <v>1.1752</v>
      </c>
      <c r="C462" s="22">
        <v>108.6</v>
      </c>
      <c r="D462" s="22">
        <v>5.76</v>
      </c>
      <c r="E462" s="10">
        <v>6.71</v>
      </c>
      <c r="F462" s="22">
        <v>4.6189999999999998</v>
      </c>
      <c r="G462" s="22">
        <v>445.83999599999999</v>
      </c>
      <c r="H462" s="22">
        <v>1697.3900149999999</v>
      </c>
      <c r="I462" s="18">
        <v>19621.460940000001</v>
      </c>
    </row>
    <row r="463" spans="1:9" x14ac:dyDescent="0.2">
      <c r="A463" s="4">
        <v>34155</v>
      </c>
      <c r="B463" s="21">
        <v>1.1745000000000001</v>
      </c>
      <c r="C463" s="22">
        <v>109.05</v>
      </c>
      <c r="D463" s="22">
        <v>5.76</v>
      </c>
      <c r="E463" s="10">
        <v>6.74</v>
      </c>
      <c r="F463" s="22">
        <v>4.609</v>
      </c>
      <c r="G463" s="22">
        <v>448.98</v>
      </c>
      <c r="H463" s="22">
        <v>1694.829956</v>
      </c>
      <c r="I463" s="18">
        <v>19623.060549999998</v>
      </c>
    </row>
    <row r="464" spans="1:9" x14ac:dyDescent="0.2">
      <c r="A464" s="4">
        <v>34156</v>
      </c>
      <c r="B464" s="21">
        <v>1.1717</v>
      </c>
      <c r="C464" s="22">
        <v>108.99</v>
      </c>
      <c r="D464" s="22">
        <v>5.8</v>
      </c>
      <c r="E464" s="10">
        <v>6.72</v>
      </c>
      <c r="F464" s="22">
        <v>4.5490000000000004</v>
      </c>
      <c r="G464" s="22">
        <v>441.42999300000002</v>
      </c>
      <c r="H464" s="22">
        <v>1705.660034</v>
      </c>
      <c r="I464" s="18">
        <v>19829.779299999998</v>
      </c>
    </row>
    <row r="465" spans="1:9" x14ac:dyDescent="0.2">
      <c r="A465" s="4">
        <v>34157</v>
      </c>
      <c r="B465" s="21">
        <v>1.1702999999999999</v>
      </c>
      <c r="C465" s="22">
        <v>107.58</v>
      </c>
      <c r="D465" s="22">
        <v>5.8</v>
      </c>
      <c r="E465" s="10">
        <v>6.69</v>
      </c>
      <c r="F465" s="22">
        <v>4.5490000000000004</v>
      </c>
      <c r="G465" s="22">
        <v>442.82998700000002</v>
      </c>
      <c r="H465" s="22">
        <v>1739.4799800000001</v>
      </c>
      <c r="I465" s="18">
        <v>19720.66992</v>
      </c>
    </row>
    <row r="466" spans="1:9" x14ac:dyDescent="0.2">
      <c r="A466" s="4">
        <v>34158</v>
      </c>
      <c r="B466" s="21">
        <v>1.1633</v>
      </c>
      <c r="C466" s="22">
        <v>108.6</v>
      </c>
      <c r="D466" s="22">
        <v>5.78</v>
      </c>
      <c r="E466" s="10">
        <v>6.71</v>
      </c>
      <c r="F466" s="22">
        <v>4.5890000000000004</v>
      </c>
      <c r="G466" s="22">
        <v>448.64001500000001</v>
      </c>
      <c r="H466" s="22">
        <v>1798.630005</v>
      </c>
      <c r="I466" s="18">
        <v>19688.66992</v>
      </c>
    </row>
    <row r="467" spans="1:9" x14ac:dyDescent="0.2">
      <c r="A467" s="4">
        <v>34159</v>
      </c>
      <c r="B467" s="21">
        <v>1.1527000000000001</v>
      </c>
      <c r="C467" s="22">
        <v>110</v>
      </c>
      <c r="D467" s="22">
        <v>5.76</v>
      </c>
      <c r="E467" s="10">
        <v>6.58</v>
      </c>
      <c r="F467" s="22">
        <v>4.5149999999999997</v>
      </c>
      <c r="G467" s="22">
        <v>448.10998499999999</v>
      </c>
      <c r="H467" s="22">
        <v>1798.3599850000001</v>
      </c>
      <c r="I467" s="18">
        <v>19877.390630000002</v>
      </c>
    </row>
    <row r="468" spans="1:9" x14ac:dyDescent="0.2">
      <c r="A468" s="4">
        <v>34162</v>
      </c>
      <c r="B468" s="21">
        <v>1.1464000000000001</v>
      </c>
      <c r="C468" s="22">
        <v>109.35</v>
      </c>
      <c r="D468" s="22">
        <v>5.75</v>
      </c>
      <c r="E468" s="10">
        <v>6.58</v>
      </c>
      <c r="F468" s="22">
        <v>4.51</v>
      </c>
      <c r="G468" s="22">
        <v>448.98001099999999</v>
      </c>
      <c r="H468" s="22">
        <v>1808.73999</v>
      </c>
      <c r="I468" s="18">
        <v>19980</v>
      </c>
    </row>
    <row r="469" spans="1:9" x14ac:dyDescent="0.2">
      <c r="A469" s="4">
        <v>34163</v>
      </c>
      <c r="B469" s="21">
        <v>1.1517999999999999</v>
      </c>
      <c r="C469" s="22">
        <v>108.13</v>
      </c>
      <c r="D469" s="22">
        <v>5.78</v>
      </c>
      <c r="E469" s="10">
        <v>6.57</v>
      </c>
      <c r="F469" s="22">
        <v>4.49</v>
      </c>
      <c r="G469" s="22">
        <v>448.08999599999999</v>
      </c>
      <c r="H469" s="22">
        <v>1806.5200199999999</v>
      </c>
      <c r="I469" s="18">
        <v>20180.41992</v>
      </c>
    </row>
    <row r="470" spans="1:9" x14ac:dyDescent="0.2">
      <c r="A470" s="4">
        <v>34164</v>
      </c>
      <c r="B470" s="21">
        <v>1.151</v>
      </c>
      <c r="C470" s="22">
        <v>107.05</v>
      </c>
      <c r="D470" s="22">
        <v>5.72</v>
      </c>
      <c r="E470" s="10">
        <v>6.57</v>
      </c>
      <c r="F470" s="22">
        <v>4.51</v>
      </c>
      <c r="G470" s="22">
        <v>450.07998700000002</v>
      </c>
      <c r="H470" s="22">
        <v>1815.630005</v>
      </c>
      <c r="I470" s="18">
        <v>20139.109380000002</v>
      </c>
    </row>
    <row r="471" spans="1:9" x14ac:dyDescent="0.2">
      <c r="A471" s="4">
        <v>34165</v>
      </c>
      <c r="B471" s="21">
        <v>1.1467000000000001</v>
      </c>
      <c r="C471" s="22">
        <v>108.25</v>
      </c>
      <c r="D471" s="22">
        <v>5.72</v>
      </c>
      <c r="E471" s="10">
        <v>6.58</v>
      </c>
      <c r="F471" s="22">
        <v>4.51</v>
      </c>
      <c r="G471" s="22">
        <v>449.22000100000002</v>
      </c>
      <c r="H471" s="22">
        <v>1807.119995</v>
      </c>
      <c r="I471" s="18">
        <v>20158.019530000001</v>
      </c>
    </row>
    <row r="472" spans="1:9" x14ac:dyDescent="0.2">
      <c r="A472" s="4">
        <v>34166</v>
      </c>
      <c r="B472" s="21">
        <v>1.1433</v>
      </c>
      <c r="C472" s="22">
        <v>107.55</v>
      </c>
      <c r="D472" s="22">
        <v>5.71</v>
      </c>
      <c r="E472" s="10">
        <v>6.58</v>
      </c>
      <c r="F472" s="22">
        <v>4.49</v>
      </c>
      <c r="G472" s="22">
        <v>445.75</v>
      </c>
      <c r="H472" s="22">
        <v>1829.3599850000001</v>
      </c>
      <c r="I472" s="18">
        <v>20331.529299999998</v>
      </c>
    </row>
    <row r="473" spans="1:9" x14ac:dyDescent="0.2">
      <c r="A473" s="4">
        <v>34169</v>
      </c>
      <c r="B473" s="21">
        <v>1.1593</v>
      </c>
      <c r="C473" s="22">
        <v>108.55</v>
      </c>
      <c r="D473" s="22">
        <v>5.71</v>
      </c>
      <c r="E473" s="10">
        <v>6.55</v>
      </c>
      <c r="F473" s="22">
        <v>4.4800000000000004</v>
      </c>
      <c r="G473" s="22">
        <v>446.02999899999998</v>
      </c>
      <c r="H473" s="22">
        <v>1835.089966</v>
      </c>
      <c r="I473" s="18">
        <v>20150.91992</v>
      </c>
    </row>
    <row r="474" spans="1:9" x14ac:dyDescent="0.2">
      <c r="A474" s="4">
        <v>34170</v>
      </c>
      <c r="B474" s="21">
        <v>1.1537999999999999</v>
      </c>
      <c r="C474" s="22">
        <v>108.17</v>
      </c>
      <c r="D474" s="22">
        <v>5.75</v>
      </c>
      <c r="E474" s="10">
        <v>6.57</v>
      </c>
      <c r="F474" s="22">
        <v>4.5</v>
      </c>
      <c r="G474" s="22">
        <v>447.30999800000001</v>
      </c>
      <c r="H474" s="22">
        <v>1826.4499510000001</v>
      </c>
      <c r="I474" s="18">
        <v>20038</v>
      </c>
    </row>
    <row r="475" spans="1:9" x14ac:dyDescent="0.2">
      <c r="A475" s="4">
        <v>34171</v>
      </c>
      <c r="B475" s="21">
        <v>1.1609</v>
      </c>
      <c r="C475" s="22">
        <v>108.15</v>
      </c>
      <c r="D475" s="22">
        <v>5.83</v>
      </c>
      <c r="E475" s="10">
        <v>6.59</v>
      </c>
      <c r="F475" s="22">
        <v>4.45</v>
      </c>
      <c r="G475" s="22">
        <v>447.17999300000002</v>
      </c>
      <c r="H475" s="22">
        <v>1821.280029</v>
      </c>
      <c r="I475" s="18">
        <v>20080.910159999999</v>
      </c>
    </row>
    <row r="476" spans="1:9" x14ac:dyDescent="0.2">
      <c r="A476" s="4">
        <v>34172</v>
      </c>
      <c r="B476" s="21">
        <v>1.1509</v>
      </c>
      <c r="C476" s="22">
        <v>105.7</v>
      </c>
      <c r="D476" s="22">
        <v>5.9</v>
      </c>
      <c r="E476" s="10">
        <v>6.63</v>
      </c>
      <c r="F476" s="22">
        <v>4.42</v>
      </c>
      <c r="G476" s="22">
        <v>444.51001000000002</v>
      </c>
      <c r="H476" s="22">
        <v>1828.530029</v>
      </c>
      <c r="I476" s="18">
        <v>20115.810549999998</v>
      </c>
    </row>
    <row r="477" spans="1:9" x14ac:dyDescent="0.2">
      <c r="A477" s="4">
        <v>34173</v>
      </c>
      <c r="B477" s="21">
        <v>1.1456999999999999</v>
      </c>
      <c r="C477" s="22">
        <v>107.07</v>
      </c>
      <c r="D477" s="22">
        <v>5.95</v>
      </c>
      <c r="E477" s="10">
        <v>6.56</v>
      </c>
      <c r="F477" s="22">
        <v>4.3650000000000002</v>
      </c>
      <c r="G477" s="22">
        <v>447.10000600000001</v>
      </c>
      <c r="H477" s="22">
        <v>1830.6099850000001</v>
      </c>
      <c r="I477" s="18">
        <v>19734.570309999999</v>
      </c>
    </row>
    <row r="478" spans="1:9" x14ac:dyDescent="0.2">
      <c r="A478" s="4">
        <v>34176</v>
      </c>
      <c r="B478" s="21">
        <v>1.1427</v>
      </c>
      <c r="C478" s="22">
        <v>106.75</v>
      </c>
      <c r="D478" s="22">
        <v>5.93</v>
      </c>
      <c r="E478" s="10">
        <v>6.54</v>
      </c>
      <c r="F478" s="22">
        <v>4.3600000000000003</v>
      </c>
      <c r="G478" s="22">
        <v>449.08999599999999</v>
      </c>
      <c r="H478" s="22">
        <v>1859.48999</v>
      </c>
      <c r="I478" s="18">
        <v>19822.08008</v>
      </c>
    </row>
    <row r="479" spans="1:9" x14ac:dyDescent="0.2">
      <c r="A479" s="4">
        <v>34177</v>
      </c>
      <c r="B479" s="21">
        <v>1.1417999999999999</v>
      </c>
      <c r="C479" s="22">
        <v>106.21</v>
      </c>
      <c r="D479" s="22">
        <v>5.92</v>
      </c>
      <c r="E479" s="10">
        <v>6.56</v>
      </c>
      <c r="F479" s="22">
        <v>4.3849999999999998</v>
      </c>
      <c r="G479" s="22">
        <v>448.23998999999998</v>
      </c>
      <c r="H479" s="22">
        <v>1846.0200199999999</v>
      </c>
      <c r="I479" s="18">
        <v>19891.390630000002</v>
      </c>
    </row>
    <row r="480" spans="1:9" x14ac:dyDescent="0.2">
      <c r="A480" s="4">
        <v>34178</v>
      </c>
      <c r="B480" s="21">
        <v>1.1477999999999999</v>
      </c>
      <c r="C480" s="22">
        <v>106.02</v>
      </c>
      <c r="D480" s="22">
        <v>5.9</v>
      </c>
      <c r="E480" s="10">
        <v>6.58</v>
      </c>
      <c r="F480" s="22">
        <v>4.38</v>
      </c>
      <c r="G480" s="22">
        <v>447.19000199999999</v>
      </c>
      <c r="H480" s="22">
        <v>1832.1999510000001</v>
      </c>
      <c r="I480" s="18">
        <v>19829.58008</v>
      </c>
    </row>
    <row r="481" spans="1:9" x14ac:dyDescent="0.2">
      <c r="A481" s="4">
        <v>34179</v>
      </c>
      <c r="B481" s="21">
        <v>1.1338999999999999</v>
      </c>
      <c r="C481" s="22">
        <v>106.55</v>
      </c>
      <c r="D481" s="22">
        <v>5.81</v>
      </c>
      <c r="E481" s="10">
        <v>6.6</v>
      </c>
      <c r="F481" s="22">
        <v>4.41</v>
      </c>
      <c r="G481" s="22">
        <v>450.23998999999998</v>
      </c>
      <c r="H481" s="22">
        <v>1823.400024</v>
      </c>
      <c r="I481" s="18">
        <v>20456.849610000001</v>
      </c>
    </row>
    <row r="482" spans="1:9" x14ac:dyDescent="0.2">
      <c r="A482" s="4">
        <v>34180</v>
      </c>
      <c r="B482" s="21">
        <v>1.1258999999999999</v>
      </c>
      <c r="C482" s="22">
        <v>105.1</v>
      </c>
      <c r="D482" s="22">
        <v>5.83</v>
      </c>
      <c r="E482" s="10">
        <v>6.55</v>
      </c>
      <c r="F482" s="22">
        <v>4.3499999999999996</v>
      </c>
      <c r="G482" s="22">
        <v>448.13000499999998</v>
      </c>
      <c r="H482" s="22">
        <v>1823.0699460000001</v>
      </c>
      <c r="I482" s="18">
        <v>20380.140630000002</v>
      </c>
    </row>
    <row r="483" spans="1:9" x14ac:dyDescent="0.2">
      <c r="A483" s="4">
        <v>34183</v>
      </c>
      <c r="B483" s="21">
        <v>1.1288</v>
      </c>
      <c r="C483" s="22">
        <v>104.34</v>
      </c>
      <c r="D483" s="22">
        <v>5.85</v>
      </c>
      <c r="E483" s="10">
        <v>6.53</v>
      </c>
      <c r="F483" s="22">
        <v>4.3099999999999996</v>
      </c>
      <c r="G483" s="22">
        <v>450.14999399999999</v>
      </c>
      <c r="H483" s="22">
        <v>1818.099976</v>
      </c>
      <c r="I483" s="18">
        <v>20343.529299999998</v>
      </c>
    </row>
    <row r="484" spans="1:9" x14ac:dyDescent="0.2">
      <c r="A484" s="4">
        <v>34184</v>
      </c>
      <c r="B484" s="21">
        <v>1.1458999999999999</v>
      </c>
      <c r="C484" s="22">
        <v>104.45</v>
      </c>
      <c r="D484" s="22">
        <v>5.83</v>
      </c>
      <c r="E484" s="10">
        <v>6.49</v>
      </c>
      <c r="F484" s="22">
        <v>4.3099999999999996</v>
      </c>
      <c r="G484" s="22">
        <v>449.26998900000001</v>
      </c>
      <c r="H484" s="22">
        <v>1857.3599850000001</v>
      </c>
      <c r="I484" s="18">
        <v>20357.640630000002</v>
      </c>
    </row>
    <row r="485" spans="1:9" x14ac:dyDescent="0.2">
      <c r="A485" s="4">
        <v>34185</v>
      </c>
      <c r="B485" s="21">
        <v>1.1452</v>
      </c>
      <c r="C485" s="22">
        <v>104.9</v>
      </c>
      <c r="D485" s="22">
        <v>5.87</v>
      </c>
      <c r="E485" s="10">
        <v>6.46</v>
      </c>
      <c r="F485" s="22">
        <v>4.33</v>
      </c>
      <c r="G485" s="22">
        <v>448.540009</v>
      </c>
      <c r="H485" s="22">
        <v>1861.219971</v>
      </c>
      <c r="I485" s="18">
        <v>20497.550780000001</v>
      </c>
    </row>
    <row r="486" spans="1:9" x14ac:dyDescent="0.2">
      <c r="A486" s="4">
        <v>34186</v>
      </c>
      <c r="B486" s="21">
        <v>1.1406000000000001</v>
      </c>
      <c r="C486" s="22">
        <v>104.38</v>
      </c>
      <c r="D486" s="22">
        <v>5.86</v>
      </c>
      <c r="E486" s="10">
        <v>6.47</v>
      </c>
      <c r="F486" s="22">
        <v>4.2949999999999999</v>
      </c>
      <c r="G486" s="22">
        <v>448.13000499999998</v>
      </c>
      <c r="H486" s="22">
        <v>1870.8000489999999</v>
      </c>
      <c r="I486" s="18">
        <v>20425.640630000002</v>
      </c>
    </row>
    <row r="487" spans="1:9" x14ac:dyDescent="0.2">
      <c r="A487" s="4">
        <v>34187</v>
      </c>
      <c r="B487" s="21">
        <v>1.1446000000000001</v>
      </c>
      <c r="C487" s="22">
        <v>104.4</v>
      </c>
      <c r="D487" s="22">
        <v>5.86</v>
      </c>
      <c r="E487" s="10">
        <v>6.42</v>
      </c>
      <c r="F487" s="22">
        <v>4.2850000000000001</v>
      </c>
      <c r="G487" s="22">
        <v>448.67999300000002</v>
      </c>
      <c r="H487" s="22">
        <v>1878.9399410000001</v>
      </c>
      <c r="I487" s="18">
        <v>20357.939450000002</v>
      </c>
    </row>
    <row r="488" spans="1:9" x14ac:dyDescent="0.2">
      <c r="A488" s="4">
        <v>34190</v>
      </c>
      <c r="B488" s="21">
        <v>1.1484000000000001</v>
      </c>
      <c r="C488" s="22">
        <v>104.95</v>
      </c>
      <c r="D488" s="22">
        <v>5.82</v>
      </c>
      <c r="E488" s="10">
        <v>6.42</v>
      </c>
      <c r="F488" s="22">
        <v>4.2300000000000004</v>
      </c>
      <c r="G488" s="22">
        <v>450.72000100000002</v>
      </c>
      <c r="H488" s="22">
        <v>1870.23999</v>
      </c>
      <c r="I488" s="18">
        <v>20493.050780000001</v>
      </c>
    </row>
    <row r="489" spans="1:9" x14ac:dyDescent="0.2">
      <c r="A489" s="4">
        <v>34191</v>
      </c>
      <c r="B489" s="21">
        <v>1.1386000000000001</v>
      </c>
      <c r="C489" s="22">
        <v>104.64</v>
      </c>
      <c r="D489" s="22">
        <v>5.82</v>
      </c>
      <c r="E489" s="10">
        <v>6.41</v>
      </c>
      <c r="F489" s="22">
        <v>4.2050000000000001</v>
      </c>
      <c r="G489" s="22">
        <v>449.45001200000002</v>
      </c>
      <c r="H489" s="22">
        <v>1864.51001</v>
      </c>
      <c r="I489" s="18">
        <v>20493.75</v>
      </c>
    </row>
    <row r="490" spans="1:9" x14ac:dyDescent="0.2">
      <c r="A490" s="4">
        <v>34192</v>
      </c>
      <c r="B490" s="21">
        <v>1.1371</v>
      </c>
      <c r="C490" s="22">
        <v>103.69</v>
      </c>
      <c r="D490" s="22">
        <v>5.75</v>
      </c>
      <c r="E490" s="10">
        <v>6.36</v>
      </c>
      <c r="F490" s="22">
        <v>4.1950000000000003</v>
      </c>
      <c r="G490" s="22">
        <v>450.459991</v>
      </c>
      <c r="H490" s="22">
        <v>1894.5600589999999</v>
      </c>
      <c r="I490" s="18">
        <v>20732.570309999999</v>
      </c>
    </row>
    <row r="491" spans="1:9" x14ac:dyDescent="0.2">
      <c r="A491" s="4">
        <v>34193</v>
      </c>
      <c r="B491" s="21">
        <v>1.1273</v>
      </c>
      <c r="C491" s="22">
        <v>102.99</v>
      </c>
      <c r="D491" s="22">
        <v>5.77</v>
      </c>
      <c r="E491" s="10">
        <v>6.36</v>
      </c>
      <c r="F491" s="22">
        <v>4.1449999999999996</v>
      </c>
      <c r="G491" s="22">
        <v>448.959991</v>
      </c>
      <c r="H491" s="22">
        <v>1908.6899410000001</v>
      </c>
      <c r="I491" s="18">
        <v>20765.279299999998</v>
      </c>
    </row>
    <row r="492" spans="1:9" x14ac:dyDescent="0.2">
      <c r="A492" s="4">
        <v>34194</v>
      </c>
      <c r="B492" s="21">
        <v>1.1323000000000001</v>
      </c>
      <c r="C492" s="22">
        <v>101.85</v>
      </c>
      <c r="D492" s="22">
        <v>5.72</v>
      </c>
      <c r="E492" s="10">
        <v>6.39</v>
      </c>
      <c r="F492" s="22">
        <v>4.1849999999999996</v>
      </c>
      <c r="G492" s="22">
        <v>450.14001500000001</v>
      </c>
      <c r="H492" s="22">
        <v>1917.6899410000001</v>
      </c>
      <c r="I492" s="18">
        <v>20745.16992</v>
      </c>
    </row>
    <row r="493" spans="1:9" x14ac:dyDescent="0.2">
      <c r="A493" s="4">
        <v>34197</v>
      </c>
      <c r="B493" s="21">
        <v>1.1479999999999999</v>
      </c>
      <c r="C493" s="22">
        <v>101.62</v>
      </c>
      <c r="D493" s="22">
        <v>5.68</v>
      </c>
      <c r="E493" s="10">
        <v>6.35</v>
      </c>
      <c r="F493" s="22">
        <v>4.1749999999999998</v>
      </c>
      <c r="G493" s="22">
        <v>452.38000499999998</v>
      </c>
      <c r="H493" s="22">
        <v>1903.4399410000001</v>
      </c>
      <c r="I493" s="18">
        <v>20901.490229999999</v>
      </c>
    </row>
    <row r="494" spans="1:9" x14ac:dyDescent="0.2">
      <c r="A494" s="4">
        <v>34198</v>
      </c>
      <c r="B494" s="21">
        <v>1.1509</v>
      </c>
      <c r="C494" s="22">
        <v>101.02</v>
      </c>
      <c r="D494" s="22">
        <v>5.7</v>
      </c>
      <c r="E494" s="10">
        <v>6.41</v>
      </c>
      <c r="F494" s="22">
        <v>4.1749999999999998</v>
      </c>
      <c r="G494" s="22">
        <v>453.13000499999998</v>
      </c>
      <c r="H494" s="22">
        <v>1918.75</v>
      </c>
      <c r="I494" s="18">
        <v>20841.980469999999</v>
      </c>
    </row>
    <row r="495" spans="1:9" x14ac:dyDescent="0.2">
      <c r="A495" s="4">
        <v>34199</v>
      </c>
      <c r="B495" s="21">
        <v>1.1567000000000001</v>
      </c>
      <c r="C495" s="22">
        <v>101.63</v>
      </c>
      <c r="D495" s="22">
        <v>5.69</v>
      </c>
      <c r="E495" s="10">
        <v>6.39</v>
      </c>
      <c r="F495" s="22">
        <v>4.1950000000000003</v>
      </c>
      <c r="G495" s="22">
        <v>456.040009</v>
      </c>
      <c r="H495" s="22">
        <v>1930.290039</v>
      </c>
      <c r="I495" s="18">
        <v>20773.179690000001</v>
      </c>
    </row>
    <row r="496" spans="1:9" x14ac:dyDescent="0.2">
      <c r="A496" s="4">
        <v>34200</v>
      </c>
      <c r="B496" s="21">
        <v>1.1563000000000001</v>
      </c>
      <c r="C496" s="22">
        <v>105.84</v>
      </c>
      <c r="D496" s="22">
        <v>5.64</v>
      </c>
      <c r="E496" s="10">
        <v>6.38</v>
      </c>
      <c r="F496" s="22">
        <v>4.2249999999999996</v>
      </c>
      <c r="G496" s="22">
        <v>456.42999300000002</v>
      </c>
      <c r="H496" s="22">
        <v>1937.7700199999999</v>
      </c>
      <c r="I496" s="18">
        <v>20687.470700000002</v>
      </c>
    </row>
    <row r="497" spans="1:9" x14ac:dyDescent="0.2">
      <c r="A497" s="4">
        <v>34201</v>
      </c>
      <c r="B497" s="21">
        <v>1.1629</v>
      </c>
      <c r="C497" s="22">
        <v>104.43</v>
      </c>
      <c r="D497" s="22">
        <v>5.61</v>
      </c>
      <c r="E497" s="10">
        <v>6.4</v>
      </c>
      <c r="F497" s="22">
        <v>4.26</v>
      </c>
      <c r="G497" s="22">
        <v>456.16000400000001</v>
      </c>
      <c r="H497" s="22">
        <v>1909.530029</v>
      </c>
      <c r="I497" s="18">
        <v>20607.259770000001</v>
      </c>
    </row>
    <row r="498" spans="1:9" x14ac:dyDescent="0.2">
      <c r="A498" s="4">
        <v>34204</v>
      </c>
      <c r="B498" s="21">
        <v>1.1566000000000001</v>
      </c>
      <c r="C498" s="22">
        <v>103.05</v>
      </c>
      <c r="D498" s="22">
        <v>5.6</v>
      </c>
      <c r="E498" s="10">
        <v>6.4</v>
      </c>
      <c r="F498" s="22">
        <v>4.26</v>
      </c>
      <c r="G498" s="22">
        <v>455.23001099999999</v>
      </c>
      <c r="H498" s="22">
        <v>1893.4799800000001</v>
      </c>
      <c r="I498" s="18">
        <v>20414.140630000002</v>
      </c>
    </row>
    <row r="499" spans="1:9" x14ac:dyDescent="0.2">
      <c r="A499" s="4">
        <v>34205</v>
      </c>
      <c r="B499" s="21">
        <v>1.1633</v>
      </c>
      <c r="C499" s="22">
        <v>103.73</v>
      </c>
      <c r="D499" s="22">
        <v>5.54</v>
      </c>
      <c r="E499" s="10">
        <v>6.39</v>
      </c>
      <c r="F499" s="22">
        <v>4.29</v>
      </c>
      <c r="G499" s="22">
        <v>459.76998900000001</v>
      </c>
      <c r="H499" s="22">
        <v>1907.650024</v>
      </c>
      <c r="I499" s="18">
        <v>20431.839840000001</v>
      </c>
    </row>
    <row r="500" spans="1:9" x14ac:dyDescent="0.2">
      <c r="A500" s="4">
        <v>34206</v>
      </c>
      <c r="B500" s="21">
        <v>1.1571</v>
      </c>
      <c r="C500" s="22">
        <v>105.05</v>
      </c>
      <c r="D500" s="22">
        <v>5.51</v>
      </c>
      <c r="E500" s="10">
        <v>6.36</v>
      </c>
      <c r="F500" s="22">
        <v>4.2549999999999999</v>
      </c>
      <c r="G500" s="22">
        <v>460.13000499999998</v>
      </c>
      <c r="H500" s="22">
        <v>1915.589966</v>
      </c>
      <c r="I500" s="18">
        <v>20521.449219999999</v>
      </c>
    </row>
    <row r="501" spans="1:9" x14ac:dyDescent="0.2">
      <c r="A501" s="4">
        <v>34207</v>
      </c>
      <c r="B501" s="21">
        <v>1.1640999999999999</v>
      </c>
      <c r="C501" s="22">
        <v>104.41</v>
      </c>
      <c r="D501" s="22">
        <v>5.42</v>
      </c>
      <c r="E501" s="10">
        <v>6.36</v>
      </c>
      <c r="F501" s="22">
        <v>4.1609999999999996</v>
      </c>
      <c r="G501" s="22">
        <v>461.040009</v>
      </c>
      <c r="H501" s="22">
        <v>1890.579956</v>
      </c>
      <c r="I501" s="18">
        <v>20591.759770000001</v>
      </c>
    </row>
    <row r="502" spans="1:9" x14ac:dyDescent="0.2">
      <c r="A502" s="4">
        <v>34208</v>
      </c>
      <c r="B502" s="21">
        <v>1.1655</v>
      </c>
      <c r="C502" s="22">
        <v>103.8</v>
      </c>
      <c r="D502" s="22">
        <v>5.48</v>
      </c>
      <c r="E502" s="10">
        <v>6.33</v>
      </c>
      <c r="F502" s="22">
        <v>4.1550000000000002</v>
      </c>
      <c r="G502" s="22">
        <v>460.540009</v>
      </c>
      <c r="H502" s="22">
        <v>1909.540039</v>
      </c>
      <c r="I502" s="18">
        <v>20791.679690000001</v>
      </c>
    </row>
    <row r="503" spans="1:9" x14ac:dyDescent="0.2">
      <c r="A503" s="4">
        <v>34211</v>
      </c>
      <c r="B503" s="21">
        <v>1.1655</v>
      </c>
      <c r="C503" s="22">
        <v>103.8</v>
      </c>
      <c r="D503" s="22">
        <v>5.44</v>
      </c>
      <c r="E503" s="10">
        <v>6.31</v>
      </c>
      <c r="F503" s="22">
        <v>4.13</v>
      </c>
      <c r="G503" s="22">
        <v>461.89999399999999</v>
      </c>
      <c r="H503" s="22">
        <v>1929.5600589999999</v>
      </c>
      <c r="I503" s="18">
        <v>20912.689450000002</v>
      </c>
    </row>
    <row r="504" spans="1:9" x14ac:dyDescent="0.2">
      <c r="A504" s="4">
        <v>34212</v>
      </c>
      <c r="B504" s="21">
        <v>1.1601999999999999</v>
      </c>
      <c r="C504" s="22">
        <v>104.75</v>
      </c>
      <c r="D504" s="22">
        <v>5.45</v>
      </c>
      <c r="E504" s="10">
        <v>6.25</v>
      </c>
      <c r="F504" s="22">
        <v>4.1159999999999997</v>
      </c>
      <c r="G504" s="22">
        <v>463.55999800000001</v>
      </c>
      <c r="H504" s="22">
        <v>1931.880005</v>
      </c>
      <c r="I504" s="18">
        <v>21026.599610000001</v>
      </c>
    </row>
    <row r="505" spans="1:9" x14ac:dyDescent="0.2">
      <c r="A505" s="4">
        <v>34213</v>
      </c>
      <c r="B505" s="21">
        <v>1.1715</v>
      </c>
      <c r="C505" s="22">
        <v>105.35</v>
      </c>
      <c r="D505" s="22">
        <v>5.46</v>
      </c>
      <c r="E505" s="10">
        <v>6.14</v>
      </c>
      <c r="F505" s="22">
        <v>4.0609999999999999</v>
      </c>
      <c r="G505" s="22">
        <v>463.14999399999999</v>
      </c>
      <c r="H505" s="22">
        <v>1923.670044</v>
      </c>
      <c r="I505" s="18">
        <v>20953.300780000001</v>
      </c>
    </row>
    <row r="506" spans="1:9" x14ac:dyDescent="0.2">
      <c r="A506" s="4">
        <v>34214</v>
      </c>
      <c r="B506" s="21">
        <v>1.1739999999999999</v>
      </c>
      <c r="C506" s="22">
        <v>105.95</v>
      </c>
      <c r="D506" s="22">
        <v>5.41</v>
      </c>
      <c r="E506" s="10">
        <v>6.17</v>
      </c>
      <c r="F506" s="22">
        <v>4.1109999999999998</v>
      </c>
      <c r="G506" s="22">
        <v>461.29998799999998</v>
      </c>
      <c r="H506" s="22">
        <v>1928.630005</v>
      </c>
      <c r="I506" s="18">
        <v>20983.199219999999</v>
      </c>
    </row>
    <row r="507" spans="1:9" x14ac:dyDescent="0.2">
      <c r="A507" s="4">
        <v>34215</v>
      </c>
      <c r="B507" s="21">
        <v>1.1893</v>
      </c>
      <c r="C507" s="22">
        <v>104.69</v>
      </c>
      <c r="D507" s="22">
        <v>5.31</v>
      </c>
      <c r="E507" s="10">
        <v>6.14</v>
      </c>
      <c r="F507" s="22">
        <v>4.1159999999999997</v>
      </c>
      <c r="G507" s="22">
        <v>461.33999599999999</v>
      </c>
      <c r="H507" s="22">
        <v>1920.4300539999999</v>
      </c>
      <c r="I507" s="18">
        <v>21116.210940000001</v>
      </c>
    </row>
    <row r="508" spans="1:9" x14ac:dyDescent="0.2">
      <c r="A508" s="4">
        <v>34218</v>
      </c>
      <c r="B508" s="21">
        <v>1.2014</v>
      </c>
      <c r="C508" s="22">
        <v>104.41</v>
      </c>
      <c r="D508" s="22">
        <v>5.31</v>
      </c>
      <c r="E508" s="10">
        <v>6.15</v>
      </c>
      <c r="F508" s="22">
        <v>4.0510000000000002</v>
      </c>
      <c r="G508" s="22">
        <v>462.06</v>
      </c>
      <c r="H508" s="22">
        <v>1911.150024</v>
      </c>
      <c r="I508" s="18">
        <v>21060.810549999998</v>
      </c>
    </row>
    <row r="509" spans="1:9" x14ac:dyDescent="0.2">
      <c r="A509" s="4">
        <v>34219</v>
      </c>
      <c r="B509" s="21">
        <v>1.2002999999999999</v>
      </c>
      <c r="C509" s="22">
        <v>104.28</v>
      </c>
      <c r="D509" s="22">
        <v>5.23</v>
      </c>
      <c r="E509" s="10">
        <v>6.14</v>
      </c>
      <c r="F509" s="22">
        <v>4.056</v>
      </c>
      <c r="G509" s="22">
        <v>458.51998900000001</v>
      </c>
      <c r="H509" s="22">
        <v>1878.7700199999999</v>
      </c>
      <c r="I509" s="18">
        <v>20962.099610000001</v>
      </c>
    </row>
    <row r="510" spans="1:9" x14ac:dyDescent="0.2">
      <c r="A510" s="4">
        <v>34220</v>
      </c>
      <c r="B510" s="21">
        <v>1.1968000000000001</v>
      </c>
      <c r="C510" s="22">
        <v>105.49</v>
      </c>
      <c r="D510" s="22">
        <v>5.23</v>
      </c>
      <c r="E510" s="10">
        <v>6.13</v>
      </c>
      <c r="F510" s="22">
        <v>4.0209999999999999</v>
      </c>
      <c r="G510" s="22">
        <v>456.64999399999999</v>
      </c>
      <c r="H510" s="22">
        <v>1870.3199460000001</v>
      </c>
      <c r="I510" s="18">
        <v>20918.189450000002</v>
      </c>
    </row>
    <row r="511" spans="1:9" x14ac:dyDescent="0.2">
      <c r="A511" s="4">
        <v>34221</v>
      </c>
      <c r="B511" s="21">
        <v>1.2098</v>
      </c>
      <c r="C511" s="22">
        <v>105.35</v>
      </c>
      <c r="D511" s="22">
        <v>5.35</v>
      </c>
      <c r="E511" s="10">
        <v>6.14</v>
      </c>
      <c r="F511" s="22">
        <v>4.016</v>
      </c>
      <c r="G511" s="22">
        <v>457.5</v>
      </c>
      <c r="H511" s="22">
        <v>1870.459961</v>
      </c>
      <c r="I511" s="18">
        <v>20825.58008</v>
      </c>
    </row>
    <row r="512" spans="1:9" x14ac:dyDescent="0.2">
      <c r="A512" s="4">
        <v>34222</v>
      </c>
      <c r="B512" s="21">
        <v>1.2136</v>
      </c>
      <c r="C512" s="22">
        <v>106.15</v>
      </c>
      <c r="D512" s="22">
        <v>5.29</v>
      </c>
      <c r="E512" s="10">
        <v>6.14</v>
      </c>
      <c r="F512" s="22">
        <v>4.0609999999999999</v>
      </c>
      <c r="G512" s="22">
        <v>461.72000100000002</v>
      </c>
      <c r="H512" s="22">
        <v>1868.280029</v>
      </c>
      <c r="I512" s="18">
        <v>20817.980469999999</v>
      </c>
    </row>
    <row r="513" spans="1:9" x14ac:dyDescent="0.2">
      <c r="A513" s="4">
        <v>34225</v>
      </c>
      <c r="B513" s="21">
        <v>1.2111000000000001</v>
      </c>
      <c r="C513" s="22">
        <v>106.3</v>
      </c>
      <c r="D513" s="22">
        <v>5.26</v>
      </c>
      <c r="E513" s="10">
        <v>6.13</v>
      </c>
      <c r="F513" s="22">
        <v>4.1059999999999999</v>
      </c>
      <c r="G513" s="22">
        <v>462.05999800000001</v>
      </c>
      <c r="H513" s="22">
        <v>1874.380005</v>
      </c>
      <c r="I513" s="18">
        <v>21148.109380000002</v>
      </c>
    </row>
    <row r="514" spans="1:9" x14ac:dyDescent="0.2">
      <c r="A514" s="4">
        <v>34226</v>
      </c>
      <c r="B514" s="21">
        <v>1.2107000000000001</v>
      </c>
      <c r="C514" s="22">
        <v>105.95</v>
      </c>
      <c r="D514" s="22">
        <v>5.37</v>
      </c>
      <c r="E514" s="10">
        <v>6.13</v>
      </c>
      <c r="F514" s="22">
        <v>4.1310000000000002</v>
      </c>
      <c r="G514" s="22">
        <v>459.89999399999999</v>
      </c>
      <c r="H514" s="22">
        <v>1869.25</v>
      </c>
      <c r="I514" s="18">
        <v>20947.789059999999</v>
      </c>
    </row>
    <row r="515" spans="1:9" x14ac:dyDescent="0.2">
      <c r="A515" s="4">
        <v>34227</v>
      </c>
      <c r="B515" s="21">
        <v>1.2232000000000001</v>
      </c>
      <c r="C515" s="22">
        <v>105.93</v>
      </c>
      <c r="D515" s="22">
        <v>5.39</v>
      </c>
      <c r="E515" s="10">
        <v>6.15</v>
      </c>
      <c r="F515" s="22">
        <v>4.1310000000000002</v>
      </c>
      <c r="G515" s="22">
        <v>461.60000600000001</v>
      </c>
      <c r="H515" s="22">
        <v>1852.8100589999999</v>
      </c>
      <c r="I515" s="18">
        <v>20947.789059999999</v>
      </c>
    </row>
    <row r="516" spans="1:9" x14ac:dyDescent="0.2">
      <c r="A516" s="4">
        <v>34228</v>
      </c>
      <c r="B516" s="21">
        <v>1.2103999999999999</v>
      </c>
      <c r="C516" s="22">
        <v>104.25</v>
      </c>
      <c r="D516" s="22">
        <v>5.37</v>
      </c>
      <c r="E516" s="10">
        <v>6.15</v>
      </c>
      <c r="F516" s="22">
        <v>4.0659999999999998</v>
      </c>
      <c r="G516" s="22">
        <v>459.42999300000002</v>
      </c>
      <c r="H516" s="22">
        <v>1862.619995</v>
      </c>
      <c r="I516" s="18">
        <v>20502.150389999999</v>
      </c>
    </row>
    <row r="517" spans="1:9" x14ac:dyDescent="0.2">
      <c r="A517" s="4">
        <v>34229</v>
      </c>
      <c r="B517" s="21">
        <v>1.2081999999999999</v>
      </c>
      <c r="C517" s="22">
        <v>104.5</v>
      </c>
      <c r="D517" s="22">
        <v>5.38</v>
      </c>
      <c r="E517" s="10">
        <v>6.13</v>
      </c>
      <c r="F517" s="22">
        <v>4.0410000000000004</v>
      </c>
      <c r="G517" s="22">
        <v>458.82998700000002</v>
      </c>
      <c r="H517" s="22">
        <v>1884.670044</v>
      </c>
      <c r="I517" s="18">
        <v>20391.039059999999</v>
      </c>
    </row>
    <row r="518" spans="1:9" x14ac:dyDescent="0.2">
      <c r="A518" s="4">
        <v>34232</v>
      </c>
      <c r="B518" s="21">
        <v>1.2040999999999999</v>
      </c>
      <c r="C518" s="22">
        <v>104.61</v>
      </c>
      <c r="D518" s="22">
        <v>5.42</v>
      </c>
      <c r="E518" s="10">
        <v>6.07</v>
      </c>
      <c r="F518" s="22">
        <v>4.0389999999999997</v>
      </c>
      <c r="G518" s="22">
        <v>455.04998799999998</v>
      </c>
      <c r="H518" s="22">
        <v>1922.6899410000001</v>
      </c>
      <c r="I518" s="18">
        <v>20266.029299999998</v>
      </c>
    </row>
    <row r="519" spans="1:9" x14ac:dyDescent="0.2">
      <c r="A519" s="4">
        <v>34233</v>
      </c>
      <c r="B519" s="21">
        <v>1.2047000000000001</v>
      </c>
      <c r="C519" s="22">
        <v>106.5</v>
      </c>
      <c r="D519" s="22">
        <v>5.47</v>
      </c>
      <c r="E519" s="10">
        <v>6.08</v>
      </c>
      <c r="F519" s="22">
        <v>3.9510000000000001</v>
      </c>
      <c r="G519" s="22">
        <v>452.95001200000002</v>
      </c>
      <c r="H519" s="22">
        <v>1922.0500489999999</v>
      </c>
      <c r="I519" s="18">
        <v>20466.650389999999</v>
      </c>
    </row>
    <row r="520" spans="1:9" x14ac:dyDescent="0.2">
      <c r="A520" s="4">
        <v>34234</v>
      </c>
      <c r="B520" s="21">
        <v>1.1949000000000001</v>
      </c>
      <c r="C520" s="22">
        <v>106.32</v>
      </c>
      <c r="D520" s="22">
        <v>5.45</v>
      </c>
      <c r="E520" s="10">
        <v>6.12</v>
      </c>
      <c r="F520" s="22">
        <v>3.976</v>
      </c>
      <c r="G520" s="22">
        <v>456.20001200000002</v>
      </c>
      <c r="H520" s="22">
        <v>1899.540039</v>
      </c>
      <c r="I520" s="18">
        <v>20174.619139999999</v>
      </c>
    </row>
    <row r="521" spans="1:9" x14ac:dyDescent="0.2">
      <c r="A521" s="4">
        <v>34235</v>
      </c>
      <c r="B521" s="21">
        <v>1.1819999999999999</v>
      </c>
      <c r="C521" s="22">
        <v>105.87</v>
      </c>
      <c r="D521" s="22">
        <v>5.42</v>
      </c>
      <c r="E521" s="10">
        <v>6.11</v>
      </c>
      <c r="F521" s="22">
        <v>3.976</v>
      </c>
      <c r="G521" s="22">
        <v>457.73998999999998</v>
      </c>
      <c r="H521" s="22">
        <v>1902.1400149999999</v>
      </c>
      <c r="I521" s="18">
        <v>20174.619139999999</v>
      </c>
    </row>
    <row r="522" spans="1:9" x14ac:dyDescent="0.2">
      <c r="A522" s="20">
        <v>34236</v>
      </c>
      <c r="B522" s="21">
        <v>1.1827000000000001</v>
      </c>
      <c r="C522" s="22">
        <v>106</v>
      </c>
      <c r="D522" s="22">
        <v>5.42</v>
      </c>
      <c r="E522" s="10">
        <v>6.18</v>
      </c>
      <c r="F522" s="22">
        <v>3.931</v>
      </c>
      <c r="G522" s="22">
        <v>457.63000499999998</v>
      </c>
      <c r="H522" s="22">
        <v>1890.1800539999999</v>
      </c>
      <c r="I522" s="18">
        <v>20307.529299999998</v>
      </c>
    </row>
    <row r="523" spans="1:9" x14ac:dyDescent="0.2">
      <c r="A523" s="4">
        <v>34239</v>
      </c>
      <c r="B523" s="21">
        <v>1.1919999999999999</v>
      </c>
      <c r="C523" s="22">
        <v>106.2</v>
      </c>
      <c r="D523" s="22">
        <v>5.3</v>
      </c>
      <c r="E523" s="10">
        <v>6.1</v>
      </c>
      <c r="F523" s="22">
        <v>3.8610000000000002</v>
      </c>
      <c r="G523" s="22">
        <v>461.79998799999998</v>
      </c>
      <c r="H523" s="22">
        <v>1914.400024</v>
      </c>
      <c r="I523" s="18">
        <v>20094.109380000002</v>
      </c>
    </row>
    <row r="524" spans="1:9" x14ac:dyDescent="0.2">
      <c r="A524" s="4">
        <v>34240</v>
      </c>
      <c r="B524" s="21">
        <v>1.1906000000000001</v>
      </c>
      <c r="C524" s="22">
        <v>105.03</v>
      </c>
      <c r="D524" s="22">
        <v>5.28</v>
      </c>
      <c r="E524" s="10">
        <v>6.06</v>
      </c>
      <c r="F524" s="22">
        <v>3.831</v>
      </c>
      <c r="G524" s="22">
        <v>461.52999899999998</v>
      </c>
      <c r="H524" s="22">
        <v>1915.6099850000001</v>
      </c>
      <c r="I524" s="18">
        <v>20172.720700000002</v>
      </c>
    </row>
    <row r="525" spans="1:9" x14ac:dyDescent="0.2">
      <c r="A525" s="4">
        <v>34241</v>
      </c>
      <c r="B525" s="21">
        <v>1.2019</v>
      </c>
      <c r="C525" s="22">
        <v>105.05</v>
      </c>
      <c r="D525" s="22">
        <v>5.35</v>
      </c>
      <c r="E525" s="10">
        <v>6.07</v>
      </c>
      <c r="F525" s="22">
        <v>3.871</v>
      </c>
      <c r="G525" s="22">
        <v>460.10998499999999</v>
      </c>
      <c r="H525" s="22">
        <v>1908.969971</v>
      </c>
      <c r="I525" s="18">
        <v>20077.410159999999</v>
      </c>
    </row>
    <row r="526" spans="1:9" x14ac:dyDescent="0.2">
      <c r="A526" s="4">
        <v>34242</v>
      </c>
      <c r="B526" s="21">
        <v>1.1892</v>
      </c>
      <c r="C526" s="22">
        <v>106.3</v>
      </c>
      <c r="D526" s="22">
        <v>5.4</v>
      </c>
      <c r="E526" s="10">
        <v>6.07</v>
      </c>
      <c r="F526" s="22">
        <v>3.7970000000000002</v>
      </c>
      <c r="G526" s="22">
        <v>458.92999300000002</v>
      </c>
      <c r="H526" s="22">
        <v>1910.2299800000001</v>
      </c>
      <c r="I526" s="18">
        <v>20105.710940000001</v>
      </c>
    </row>
    <row r="527" spans="1:9" x14ac:dyDescent="0.2">
      <c r="A527" s="4">
        <v>34243</v>
      </c>
      <c r="B527" s="21">
        <v>1.1891</v>
      </c>
      <c r="C527" s="22">
        <v>105.9</v>
      </c>
      <c r="D527" s="22">
        <v>5.34</v>
      </c>
      <c r="E527" s="10">
        <v>6.09</v>
      </c>
      <c r="F527" s="22">
        <v>3.831</v>
      </c>
      <c r="G527" s="22">
        <v>461.27999899999998</v>
      </c>
      <c r="H527" s="22">
        <v>1920.459961</v>
      </c>
      <c r="I527" s="18">
        <v>20283.130860000001</v>
      </c>
    </row>
    <row r="528" spans="1:9" x14ac:dyDescent="0.2">
      <c r="A528" s="4">
        <v>34246</v>
      </c>
      <c r="B528" s="21">
        <v>1.1921999999999999</v>
      </c>
      <c r="C528" s="22">
        <v>105.65</v>
      </c>
      <c r="D528" s="22">
        <v>5.34</v>
      </c>
      <c r="E528" s="10">
        <v>6.11</v>
      </c>
      <c r="F528" s="22">
        <v>3.8260000000000001</v>
      </c>
      <c r="G528" s="22">
        <v>461.33999599999999</v>
      </c>
      <c r="H528" s="22">
        <v>1934.98999</v>
      </c>
      <c r="I528" s="18">
        <v>20264.429690000001</v>
      </c>
    </row>
    <row r="529" spans="1:9" x14ac:dyDescent="0.2">
      <c r="A529" s="4">
        <v>34247</v>
      </c>
      <c r="B529" s="21">
        <v>1.1904999999999999</v>
      </c>
      <c r="C529" s="22">
        <v>105.8</v>
      </c>
      <c r="D529" s="22">
        <v>5.35</v>
      </c>
      <c r="E529" s="10">
        <v>6.04</v>
      </c>
      <c r="F529" s="22">
        <v>3.7919999999999998</v>
      </c>
      <c r="G529" s="22">
        <v>461.20001200000002</v>
      </c>
      <c r="H529" s="22">
        <v>1973.4499510000001</v>
      </c>
      <c r="I529" s="18">
        <v>20321.929690000001</v>
      </c>
    </row>
    <row r="530" spans="1:9" x14ac:dyDescent="0.2">
      <c r="A530" s="4">
        <v>34248</v>
      </c>
      <c r="B530" s="21">
        <v>1.1898</v>
      </c>
      <c r="C530" s="22">
        <v>105.66</v>
      </c>
      <c r="D530" s="22">
        <v>5.35</v>
      </c>
      <c r="E530" s="10">
        <v>5.98</v>
      </c>
      <c r="F530" s="22">
        <v>3.871</v>
      </c>
      <c r="G530" s="22">
        <v>460.73998999999998</v>
      </c>
      <c r="H530" s="22">
        <v>1994.089966</v>
      </c>
      <c r="I530" s="18">
        <v>20500.25</v>
      </c>
    </row>
    <row r="531" spans="1:9" x14ac:dyDescent="0.2">
      <c r="A531" s="4">
        <v>34249</v>
      </c>
      <c r="B531" s="21">
        <v>1.1895</v>
      </c>
      <c r="C531" s="22">
        <v>105</v>
      </c>
      <c r="D531" s="22">
        <v>5.33</v>
      </c>
      <c r="E531" s="10">
        <v>6</v>
      </c>
      <c r="F531" s="22">
        <v>3.8410000000000002</v>
      </c>
      <c r="G531" s="22">
        <v>459.17999300000002</v>
      </c>
      <c r="H531" s="22">
        <v>1991.9499510000001</v>
      </c>
      <c r="I531" s="18">
        <v>20265.630860000001</v>
      </c>
    </row>
    <row r="532" spans="1:9" x14ac:dyDescent="0.2">
      <c r="A532" s="4">
        <v>34250</v>
      </c>
      <c r="B532" s="21">
        <v>1.2041999999999999</v>
      </c>
      <c r="C532" s="22">
        <v>106.15</v>
      </c>
      <c r="D532" s="22">
        <v>5.26</v>
      </c>
      <c r="E532" s="10">
        <v>5.99</v>
      </c>
      <c r="F532" s="22">
        <v>3.8319999999999999</v>
      </c>
      <c r="G532" s="22">
        <v>460.30999800000001</v>
      </c>
      <c r="H532" s="22">
        <v>2015.709961</v>
      </c>
      <c r="I532" s="18">
        <v>20378.640630000002</v>
      </c>
    </row>
    <row r="533" spans="1:9" x14ac:dyDescent="0.2">
      <c r="A533" s="4">
        <v>34253</v>
      </c>
      <c r="B533" s="21">
        <v>1.2037</v>
      </c>
      <c r="C533" s="22">
        <v>106.2</v>
      </c>
      <c r="D533" s="22">
        <v>5.26</v>
      </c>
      <c r="E533" s="10">
        <v>5.96</v>
      </c>
      <c r="F533" s="22">
        <v>3.8319999999999999</v>
      </c>
      <c r="G533" s="22">
        <v>460.88000499999998</v>
      </c>
      <c r="H533" s="22">
        <v>2009.280029</v>
      </c>
      <c r="I533" s="18">
        <v>20378.640630000002</v>
      </c>
    </row>
    <row r="534" spans="1:9" x14ac:dyDescent="0.2">
      <c r="A534" s="4">
        <v>34254</v>
      </c>
      <c r="B534" s="21">
        <v>1.2111000000000001</v>
      </c>
      <c r="C534" s="22">
        <v>106.05</v>
      </c>
      <c r="D534" s="22">
        <v>5.27</v>
      </c>
      <c r="E534" s="10">
        <v>5.96</v>
      </c>
      <c r="F534" s="22">
        <v>3.7759999999999998</v>
      </c>
      <c r="G534" s="22">
        <v>461.11999500000002</v>
      </c>
      <c r="H534" s="22">
        <v>2004.1099850000001</v>
      </c>
      <c r="I534" s="18">
        <v>20137.310549999998</v>
      </c>
    </row>
    <row r="535" spans="1:9" x14ac:dyDescent="0.2">
      <c r="A535" s="4">
        <v>34255</v>
      </c>
      <c r="B535" s="21">
        <v>1.2019</v>
      </c>
      <c r="C535" s="22">
        <v>105.95</v>
      </c>
      <c r="D535" s="22">
        <v>5.27</v>
      </c>
      <c r="E535" s="10">
        <v>5.94</v>
      </c>
      <c r="F535" s="22">
        <v>3.7610000000000001</v>
      </c>
      <c r="G535" s="22">
        <v>461.48998999999998</v>
      </c>
      <c r="H535" s="22">
        <v>1999.599976</v>
      </c>
      <c r="I535" s="18">
        <v>20038.400389999999</v>
      </c>
    </row>
    <row r="536" spans="1:9" x14ac:dyDescent="0.2">
      <c r="A536" s="4">
        <v>34256</v>
      </c>
      <c r="B536" s="21">
        <v>1.1973</v>
      </c>
      <c r="C536" s="22">
        <v>107.25</v>
      </c>
      <c r="D536" s="22">
        <v>5.23</v>
      </c>
      <c r="E536" s="10">
        <v>5.93</v>
      </c>
      <c r="F536" s="22">
        <v>3.7759999999999998</v>
      </c>
      <c r="G536" s="22">
        <v>466.82998700000002</v>
      </c>
      <c r="H536" s="22">
        <v>1995.349976</v>
      </c>
      <c r="I536" s="18">
        <v>20082.810549999998</v>
      </c>
    </row>
    <row r="537" spans="1:9" x14ac:dyDescent="0.2">
      <c r="A537" s="4">
        <v>34257</v>
      </c>
      <c r="B537" s="21">
        <v>1.1939</v>
      </c>
      <c r="C537" s="22">
        <v>107.2</v>
      </c>
      <c r="D537" s="22">
        <v>5.19</v>
      </c>
      <c r="E537" s="10">
        <v>5.92</v>
      </c>
      <c r="F537" s="22">
        <v>3.7909999999999999</v>
      </c>
      <c r="G537" s="22">
        <v>469.5</v>
      </c>
      <c r="H537" s="22">
        <v>2023.26001</v>
      </c>
      <c r="I537" s="18">
        <v>20174.41992</v>
      </c>
    </row>
    <row r="538" spans="1:9" x14ac:dyDescent="0.2">
      <c r="A538" s="4">
        <v>34260</v>
      </c>
      <c r="B538" s="21">
        <v>1.1871</v>
      </c>
      <c r="C538" s="22">
        <v>107.5</v>
      </c>
      <c r="D538" s="22">
        <v>5.27</v>
      </c>
      <c r="E538" s="10">
        <v>5.89</v>
      </c>
      <c r="F538" s="22">
        <v>3.8410000000000002</v>
      </c>
      <c r="G538" s="22">
        <v>468.45001200000002</v>
      </c>
      <c r="H538" s="22">
        <v>2032.25</v>
      </c>
      <c r="I538" s="18">
        <v>20072.210940000001</v>
      </c>
    </row>
    <row r="539" spans="1:9" x14ac:dyDescent="0.2">
      <c r="A539" s="4">
        <v>34261</v>
      </c>
      <c r="B539" s="21">
        <v>1.1774</v>
      </c>
      <c r="C539" s="22">
        <v>107.1</v>
      </c>
      <c r="D539" s="22">
        <v>5.27</v>
      </c>
      <c r="E539" s="10">
        <v>5.88</v>
      </c>
      <c r="F539" s="22">
        <v>3.8010000000000002</v>
      </c>
      <c r="G539" s="22">
        <v>466.209991</v>
      </c>
      <c r="H539" s="22">
        <v>2036.9300539999999</v>
      </c>
      <c r="I539" s="18">
        <v>20069.910159999999</v>
      </c>
    </row>
    <row r="540" spans="1:9" x14ac:dyDescent="0.2">
      <c r="A540" s="4">
        <v>34262</v>
      </c>
      <c r="B540" s="21">
        <v>1.1737</v>
      </c>
      <c r="C540" s="22">
        <v>107.39</v>
      </c>
      <c r="D540" s="22">
        <v>5.26</v>
      </c>
      <c r="E540" s="10">
        <v>5.86</v>
      </c>
      <c r="F540" s="22">
        <v>3.7509999999999999</v>
      </c>
      <c r="G540" s="22">
        <v>466.07000699999998</v>
      </c>
      <c r="H540" s="22">
        <v>2029.869995</v>
      </c>
      <c r="I540" s="18">
        <v>20173.41992</v>
      </c>
    </row>
    <row r="541" spans="1:9" x14ac:dyDescent="0.2">
      <c r="A541" s="4">
        <v>34263</v>
      </c>
      <c r="B541" s="21">
        <v>1.1684000000000001</v>
      </c>
      <c r="C541" s="22">
        <v>108.3</v>
      </c>
      <c r="D541" s="22">
        <v>5.35</v>
      </c>
      <c r="E541" s="10">
        <v>5.86</v>
      </c>
      <c r="F541" s="22">
        <v>3.742</v>
      </c>
      <c r="G541" s="22">
        <v>465.35998499999999</v>
      </c>
      <c r="H541" s="22">
        <v>2048.0500489999999</v>
      </c>
      <c r="I541" s="18">
        <v>20179.41992</v>
      </c>
    </row>
    <row r="542" spans="1:9" x14ac:dyDescent="0.2">
      <c r="A542" s="4">
        <v>34264</v>
      </c>
      <c r="B542" s="21">
        <v>1.1625000000000001</v>
      </c>
      <c r="C542" s="22">
        <v>108.1</v>
      </c>
      <c r="D542" s="22">
        <v>5.42</v>
      </c>
      <c r="E542" s="10">
        <v>5.87</v>
      </c>
      <c r="F542" s="22">
        <v>3.7120000000000002</v>
      </c>
      <c r="G542" s="22">
        <v>463.26998900000001</v>
      </c>
      <c r="H542" s="22">
        <v>2083.6201169999999</v>
      </c>
      <c r="I542" s="18">
        <v>20264.83008</v>
      </c>
    </row>
    <row r="543" spans="1:9" x14ac:dyDescent="0.2">
      <c r="A543" s="4">
        <v>34267</v>
      </c>
      <c r="B543" s="21">
        <v>1.1619999999999999</v>
      </c>
      <c r="C543" s="22">
        <v>108.58</v>
      </c>
      <c r="D543" s="22">
        <v>5.47</v>
      </c>
      <c r="E543" s="10">
        <v>5.88</v>
      </c>
      <c r="F543" s="22">
        <v>3.7109999999999999</v>
      </c>
      <c r="G543" s="22">
        <v>464.20001200000002</v>
      </c>
      <c r="H543" s="22">
        <v>2061.179932</v>
      </c>
      <c r="I543" s="18">
        <v>20309.33008</v>
      </c>
    </row>
    <row r="544" spans="1:9" x14ac:dyDescent="0.2">
      <c r="A544" s="4">
        <v>34268</v>
      </c>
      <c r="B544" s="21">
        <v>1.1558999999999999</v>
      </c>
      <c r="C544" s="22">
        <v>108.35</v>
      </c>
      <c r="D544" s="22">
        <v>5.43</v>
      </c>
      <c r="E544" s="10">
        <v>5.89</v>
      </c>
      <c r="F544" s="22">
        <v>3.6970000000000001</v>
      </c>
      <c r="G544" s="22">
        <v>464.29998799999998</v>
      </c>
      <c r="H544" s="22">
        <v>2048.75</v>
      </c>
      <c r="I544" s="18">
        <v>20023.599610000001</v>
      </c>
    </row>
    <row r="545" spans="1:9" x14ac:dyDescent="0.2">
      <c r="A545" s="4">
        <v>34269</v>
      </c>
      <c r="B545" s="21">
        <v>1.1551</v>
      </c>
      <c r="C545" s="22">
        <v>108.7</v>
      </c>
      <c r="D545" s="22">
        <v>5.44</v>
      </c>
      <c r="E545" s="10">
        <v>5.89</v>
      </c>
      <c r="F545" s="22">
        <v>3.6720000000000002</v>
      </c>
      <c r="G545" s="22">
        <v>464.60998499999999</v>
      </c>
      <c r="H545" s="22">
        <v>2040.969971</v>
      </c>
      <c r="I545" s="18">
        <v>19838.779299999998</v>
      </c>
    </row>
    <row r="546" spans="1:9" x14ac:dyDescent="0.2">
      <c r="A546" s="4">
        <v>34270</v>
      </c>
      <c r="B546" s="21">
        <v>1.1506000000000001</v>
      </c>
      <c r="C546" s="22">
        <v>108.17</v>
      </c>
      <c r="D546" s="22">
        <v>5.41</v>
      </c>
      <c r="E546" s="10">
        <v>5.92</v>
      </c>
      <c r="F546" s="22">
        <v>3.6619999999999999</v>
      </c>
      <c r="G546" s="22">
        <v>467.73001099999999</v>
      </c>
      <c r="H546" s="22">
        <v>2053.6599120000001</v>
      </c>
      <c r="I546" s="18">
        <v>19479.449219999999</v>
      </c>
    </row>
    <row r="547" spans="1:9" x14ac:dyDescent="0.2">
      <c r="A547" s="4">
        <v>34271</v>
      </c>
      <c r="B547" s="21">
        <v>1.157</v>
      </c>
      <c r="C547" s="22">
        <v>108.6</v>
      </c>
      <c r="D547" s="22">
        <v>5.3879999999999999</v>
      </c>
      <c r="E547" s="10">
        <v>5.88</v>
      </c>
      <c r="F547" s="22">
        <v>3.6269999999999998</v>
      </c>
      <c r="G547" s="22">
        <v>467.82998700000002</v>
      </c>
      <c r="H547" s="22">
        <v>2064.9799800000001</v>
      </c>
      <c r="I547" s="18">
        <v>19702.970700000002</v>
      </c>
    </row>
    <row r="548" spans="1:9" x14ac:dyDescent="0.2">
      <c r="A548" s="4">
        <v>34274</v>
      </c>
      <c r="B548" s="21">
        <v>1.1434</v>
      </c>
      <c r="C548" s="22">
        <v>108.25</v>
      </c>
      <c r="D548" s="22">
        <v>5.56</v>
      </c>
      <c r="E548" s="10">
        <v>5.86</v>
      </c>
      <c r="F548" s="22">
        <v>3.577</v>
      </c>
      <c r="G548" s="22">
        <v>469.10000600000001</v>
      </c>
      <c r="H548" s="22">
        <v>2068.51001</v>
      </c>
      <c r="I548" s="18">
        <v>19438.240229999999</v>
      </c>
    </row>
    <row r="549" spans="1:9" x14ac:dyDescent="0.2">
      <c r="A549" s="4">
        <v>34275</v>
      </c>
      <c r="B549" s="21">
        <v>1.1467000000000001</v>
      </c>
      <c r="C549" s="22">
        <v>107.85</v>
      </c>
      <c r="D549" s="22">
        <v>5.6059999999999999</v>
      </c>
      <c r="E549" s="10">
        <v>5.86</v>
      </c>
      <c r="F549" s="22">
        <v>3.5720000000000001</v>
      </c>
      <c r="G549" s="22">
        <v>468.44000199999999</v>
      </c>
      <c r="H549" s="22">
        <v>2086.3999020000001</v>
      </c>
      <c r="I549" s="18">
        <v>19381.240229999999</v>
      </c>
    </row>
    <row r="550" spans="1:9" x14ac:dyDescent="0.2">
      <c r="A550" s="4">
        <v>34276</v>
      </c>
      <c r="B550" s="21">
        <v>1.1480999999999999</v>
      </c>
      <c r="C550" s="22">
        <v>107.7</v>
      </c>
      <c r="D550" s="22">
        <v>5.6059999999999999</v>
      </c>
      <c r="E550" s="10">
        <v>5.85</v>
      </c>
      <c r="F550" s="22">
        <v>3.5720000000000001</v>
      </c>
      <c r="G550" s="22">
        <v>463.01998900000001</v>
      </c>
      <c r="H550" s="22">
        <v>2086.219971</v>
      </c>
      <c r="I550" s="18">
        <v>19381.240229999999</v>
      </c>
    </row>
    <row r="551" spans="1:9" x14ac:dyDescent="0.2">
      <c r="A551" s="4">
        <v>34277</v>
      </c>
      <c r="B551" s="21">
        <v>1.1475</v>
      </c>
      <c r="C551" s="22">
        <v>108.23</v>
      </c>
      <c r="D551" s="22">
        <v>5.665</v>
      </c>
      <c r="E551" s="10">
        <v>5.85</v>
      </c>
      <c r="F551" s="22">
        <v>3.512</v>
      </c>
      <c r="G551" s="22">
        <v>457.48998999999998</v>
      </c>
      <c r="H551" s="22">
        <v>2057.1000979999999</v>
      </c>
      <c r="I551" s="18">
        <v>18949.789059999999</v>
      </c>
    </row>
    <row r="552" spans="1:9" x14ac:dyDescent="0.2">
      <c r="A552" s="4">
        <v>34278</v>
      </c>
      <c r="B552" s="21">
        <v>1.145</v>
      </c>
      <c r="C552" s="22">
        <v>108.4</v>
      </c>
      <c r="D552" s="22">
        <v>5.7279999999999998</v>
      </c>
      <c r="E552" s="10">
        <v>5.89</v>
      </c>
      <c r="F552" s="22">
        <v>3.5579999999999998</v>
      </c>
      <c r="G552" s="22">
        <v>459.57000699999998</v>
      </c>
      <c r="H552" s="22">
        <v>2013.650024</v>
      </c>
      <c r="I552" s="18">
        <v>18590.460940000001</v>
      </c>
    </row>
    <row r="553" spans="1:9" x14ac:dyDescent="0.2">
      <c r="A553" s="4">
        <v>34281</v>
      </c>
      <c r="B553" s="21">
        <v>1.1551</v>
      </c>
      <c r="C553" s="22">
        <v>107.83</v>
      </c>
      <c r="D553" s="22">
        <v>5.6689999999999996</v>
      </c>
      <c r="E553" s="10">
        <v>5.9</v>
      </c>
      <c r="F553" s="22">
        <v>3.512</v>
      </c>
      <c r="G553" s="22">
        <v>460.209991</v>
      </c>
      <c r="H553" s="22">
        <v>2007.5</v>
      </c>
      <c r="I553" s="18">
        <v>18625.160159999999</v>
      </c>
    </row>
    <row r="554" spans="1:9" x14ac:dyDescent="0.2">
      <c r="A554" s="4">
        <v>34282</v>
      </c>
      <c r="B554" s="21">
        <v>1.1459999999999999</v>
      </c>
      <c r="C554" s="22">
        <v>107.95</v>
      </c>
      <c r="D554" s="22">
        <v>5.6230000000000002</v>
      </c>
      <c r="E554" s="10">
        <v>5.89</v>
      </c>
      <c r="F554" s="22">
        <v>3.4820000000000002</v>
      </c>
      <c r="G554" s="22">
        <v>460.32998700000002</v>
      </c>
      <c r="H554" s="22">
        <v>2040.73999</v>
      </c>
      <c r="I554" s="18">
        <v>18125.710940000001</v>
      </c>
    </row>
    <row r="555" spans="1:9" x14ac:dyDescent="0.2">
      <c r="A555" s="4">
        <v>34283</v>
      </c>
      <c r="B555" s="21">
        <v>1.1476999999999999</v>
      </c>
      <c r="C555" s="22">
        <v>107.2</v>
      </c>
      <c r="D555" s="22">
        <v>5.681</v>
      </c>
      <c r="E555" s="10">
        <v>5.86</v>
      </c>
      <c r="F555" s="22">
        <v>3.4820000000000002</v>
      </c>
      <c r="G555" s="22">
        <v>463.72000100000002</v>
      </c>
      <c r="H555" s="22">
        <v>2020.1099850000001</v>
      </c>
      <c r="I555" s="18">
        <v>18121.710940000001</v>
      </c>
    </row>
    <row r="556" spans="1:9" x14ac:dyDescent="0.2">
      <c r="A556" s="4">
        <v>34284</v>
      </c>
      <c r="B556" s="21">
        <v>1.1488</v>
      </c>
      <c r="C556" s="22">
        <v>106.4</v>
      </c>
      <c r="D556" s="22">
        <v>5.681</v>
      </c>
      <c r="E556" s="10">
        <v>5.88</v>
      </c>
      <c r="F556" s="22">
        <v>3.5219999999999998</v>
      </c>
      <c r="G556" s="22">
        <v>462.64001500000001</v>
      </c>
      <c r="H556" s="22">
        <v>2021.8100589999999</v>
      </c>
      <c r="I556" s="18">
        <v>18158.519530000001</v>
      </c>
    </row>
    <row r="557" spans="1:9" x14ac:dyDescent="0.2">
      <c r="A557" s="4">
        <v>34285</v>
      </c>
      <c r="B557" s="21">
        <v>1.1442000000000001</v>
      </c>
      <c r="C557" s="22">
        <v>105.75</v>
      </c>
      <c r="D557" s="22">
        <v>5.6429999999999998</v>
      </c>
      <c r="E557" s="10">
        <v>5.89</v>
      </c>
      <c r="F557" s="22">
        <v>3.5470000000000002</v>
      </c>
      <c r="G557" s="22">
        <v>465.39001500000001</v>
      </c>
      <c r="H557" s="22">
        <v>2023.0600589999999</v>
      </c>
      <c r="I557" s="18">
        <v>18493.550780000001</v>
      </c>
    </row>
    <row r="558" spans="1:9" x14ac:dyDescent="0.2">
      <c r="A558" s="4">
        <v>34288</v>
      </c>
      <c r="B558" s="21">
        <v>1.1509</v>
      </c>
      <c r="C558" s="22">
        <v>106.73</v>
      </c>
      <c r="D558" s="22">
        <v>5.6639999999999997</v>
      </c>
      <c r="E558" s="10">
        <v>5.86</v>
      </c>
      <c r="F558" s="22">
        <v>3.5720000000000001</v>
      </c>
      <c r="G558" s="22">
        <v>463.75</v>
      </c>
      <c r="H558" s="22">
        <v>2047.1999510000001</v>
      </c>
      <c r="I558" s="18">
        <v>18074.609380000002</v>
      </c>
    </row>
    <row r="559" spans="1:9" x14ac:dyDescent="0.2">
      <c r="A559" s="4">
        <v>34289</v>
      </c>
      <c r="B559" s="21">
        <v>1.1459999999999999</v>
      </c>
      <c r="C559" s="22">
        <v>106.81</v>
      </c>
      <c r="D559" s="22">
        <v>5.6269999999999998</v>
      </c>
      <c r="E559" s="10">
        <v>5.83</v>
      </c>
      <c r="F559" s="22">
        <v>3.5870000000000002</v>
      </c>
      <c r="G559" s="22">
        <v>466.73998999999998</v>
      </c>
      <c r="H559" s="22">
        <v>2070.169922</v>
      </c>
      <c r="I559" s="18">
        <v>18246.119139999999</v>
      </c>
    </row>
    <row r="560" spans="1:9" x14ac:dyDescent="0.2">
      <c r="A560" s="4">
        <v>34290</v>
      </c>
      <c r="B560" s="21">
        <v>1.1409</v>
      </c>
      <c r="C560" s="22">
        <v>106.9</v>
      </c>
      <c r="D560" s="22">
        <v>5.6219999999999999</v>
      </c>
      <c r="E560" s="10">
        <v>5.83</v>
      </c>
      <c r="F560" s="22">
        <v>3.552</v>
      </c>
      <c r="G560" s="22">
        <v>464.80999800000001</v>
      </c>
      <c r="H560" s="22">
        <v>2070.169922</v>
      </c>
      <c r="I560" s="18">
        <v>18108.710940000001</v>
      </c>
    </row>
    <row r="561" spans="1:9" x14ac:dyDescent="0.2">
      <c r="A561" s="4">
        <v>34291</v>
      </c>
      <c r="B561" s="21">
        <v>1.1399999999999999</v>
      </c>
      <c r="C561" s="22">
        <v>107.35</v>
      </c>
      <c r="D561" s="22">
        <v>5.694</v>
      </c>
      <c r="E561" s="10">
        <v>5.8</v>
      </c>
      <c r="F561" s="22">
        <v>3.5470000000000002</v>
      </c>
      <c r="G561" s="22">
        <v>463.61999500000002</v>
      </c>
      <c r="H561" s="22">
        <v>2075.98999</v>
      </c>
      <c r="I561" s="18">
        <v>18166.320309999999</v>
      </c>
    </row>
    <row r="562" spans="1:9" x14ac:dyDescent="0.2">
      <c r="A562" s="4">
        <v>34292</v>
      </c>
      <c r="B562" s="21">
        <v>1.1351</v>
      </c>
      <c r="C562" s="22">
        <v>108.55</v>
      </c>
      <c r="D562" s="22">
        <v>5.8289999999999997</v>
      </c>
      <c r="E562" s="10">
        <v>5.81</v>
      </c>
      <c r="F562" s="22">
        <v>3.508</v>
      </c>
      <c r="G562" s="22">
        <v>462.60000600000001</v>
      </c>
      <c r="H562" s="22">
        <v>2072.1298830000001</v>
      </c>
      <c r="I562" s="18">
        <v>17941.189450000002</v>
      </c>
    </row>
    <row r="563" spans="1:9" x14ac:dyDescent="0.2">
      <c r="A563" s="4">
        <v>34295</v>
      </c>
      <c r="B563" s="21">
        <v>1.1387</v>
      </c>
      <c r="C563" s="22">
        <v>108.5</v>
      </c>
      <c r="D563" s="22">
        <v>5.8639999999999999</v>
      </c>
      <c r="E563" s="10">
        <v>5.84</v>
      </c>
      <c r="F563" s="22">
        <v>3.552</v>
      </c>
      <c r="G563" s="22">
        <v>459.13000499999998</v>
      </c>
      <c r="H563" s="22">
        <v>2020.3599850000001</v>
      </c>
      <c r="I563" s="18">
        <v>17384.839840000001</v>
      </c>
    </row>
    <row r="564" spans="1:9" x14ac:dyDescent="0.2">
      <c r="A564" s="4">
        <v>34296</v>
      </c>
      <c r="B564" s="21">
        <v>1.1368</v>
      </c>
      <c r="C564" s="22">
        <v>108.37</v>
      </c>
      <c r="D564" s="22">
        <v>5.7869999999999999</v>
      </c>
      <c r="E564" s="10">
        <v>5.88</v>
      </c>
      <c r="F564" s="22">
        <v>3.552</v>
      </c>
      <c r="G564" s="22">
        <v>461.02999899999998</v>
      </c>
      <c r="H564" s="22">
        <v>2027.98999</v>
      </c>
      <c r="I564" s="18">
        <v>17384.839840000001</v>
      </c>
    </row>
    <row r="565" spans="1:9" x14ac:dyDescent="0.2">
      <c r="A565" s="4">
        <v>34297</v>
      </c>
      <c r="B565" s="21">
        <v>1.1415999999999999</v>
      </c>
      <c r="C565" s="22">
        <v>108.16</v>
      </c>
      <c r="D565" s="22">
        <v>5.8170000000000002</v>
      </c>
      <c r="E565" s="10">
        <v>5.88</v>
      </c>
      <c r="F565" s="22">
        <v>3.5720000000000001</v>
      </c>
      <c r="G565" s="22">
        <v>462.35998499999999</v>
      </c>
      <c r="H565" s="22">
        <v>2036.4499510000001</v>
      </c>
      <c r="I565" s="18">
        <v>17067.109380000002</v>
      </c>
    </row>
    <row r="566" spans="1:9" x14ac:dyDescent="0.2">
      <c r="A566" s="4">
        <v>34298</v>
      </c>
      <c r="B566" s="21">
        <v>1.1368</v>
      </c>
      <c r="C566" s="22">
        <v>108.38</v>
      </c>
      <c r="D566" s="22">
        <v>5.8170000000000002</v>
      </c>
      <c r="E566" s="10">
        <v>5.89</v>
      </c>
      <c r="F566" s="22">
        <v>3.472</v>
      </c>
      <c r="G566" s="22">
        <v>463.11</v>
      </c>
      <c r="H566" s="22">
        <v>2057.8000489999999</v>
      </c>
      <c r="I566" s="18">
        <v>17222.91992</v>
      </c>
    </row>
    <row r="567" spans="1:9" x14ac:dyDescent="0.2">
      <c r="A567" s="4">
        <v>34299</v>
      </c>
      <c r="B567" s="21">
        <v>1.1339999999999999</v>
      </c>
      <c r="C567" s="22">
        <v>108.98</v>
      </c>
      <c r="D567" s="22">
        <v>5.7489999999999997</v>
      </c>
      <c r="E567" s="10">
        <v>5.85</v>
      </c>
      <c r="F567" s="22">
        <v>3.4319999999999999</v>
      </c>
      <c r="G567" s="22">
        <v>463.05999800000001</v>
      </c>
      <c r="H567" s="22">
        <v>2045.25</v>
      </c>
      <c r="I567" s="18">
        <v>16726.369139999999</v>
      </c>
    </row>
    <row r="568" spans="1:9" x14ac:dyDescent="0.2">
      <c r="A568" s="4">
        <v>34302</v>
      </c>
      <c r="B568" s="21">
        <v>1.1355999999999999</v>
      </c>
      <c r="C568" s="22">
        <v>109.25</v>
      </c>
      <c r="D568" s="22">
        <v>5.7320000000000002</v>
      </c>
      <c r="E568" s="10">
        <v>5.84</v>
      </c>
      <c r="F568" s="22">
        <v>3.3980000000000001</v>
      </c>
      <c r="G568" s="22">
        <v>461.89999399999999</v>
      </c>
      <c r="H568" s="22">
        <v>2052.0900879999999</v>
      </c>
      <c r="I568" s="18">
        <v>16078.70996</v>
      </c>
    </row>
    <row r="569" spans="1:9" x14ac:dyDescent="0.2">
      <c r="A569" s="4">
        <v>34303</v>
      </c>
      <c r="B569" s="21">
        <v>1.1305000000000001</v>
      </c>
      <c r="C569" s="22">
        <v>109.08</v>
      </c>
      <c r="D569" s="22">
        <v>5.7949999999999999</v>
      </c>
      <c r="E569" s="10">
        <v>5.87</v>
      </c>
      <c r="F569" s="22">
        <v>3.5830000000000002</v>
      </c>
      <c r="G569" s="22">
        <v>461.790009</v>
      </c>
      <c r="H569" s="22">
        <v>2052.919922</v>
      </c>
      <c r="I569" s="18">
        <v>16406.539059999999</v>
      </c>
    </row>
    <row r="570" spans="1:9" x14ac:dyDescent="0.2">
      <c r="A570" s="4">
        <v>34304</v>
      </c>
      <c r="B570" s="21">
        <v>1.1301000000000001</v>
      </c>
      <c r="C570" s="22">
        <v>108.79</v>
      </c>
      <c r="D570" s="22">
        <v>5.7830000000000004</v>
      </c>
      <c r="E570" s="10">
        <v>5.95</v>
      </c>
      <c r="F570" s="22">
        <v>3.55</v>
      </c>
      <c r="G570" s="22">
        <v>461.89001500000001</v>
      </c>
      <c r="H570" s="22">
        <v>2089.7700199999999</v>
      </c>
      <c r="I570" s="18">
        <v>17125.310549999998</v>
      </c>
    </row>
    <row r="571" spans="1:9" x14ac:dyDescent="0.2">
      <c r="A571" s="4">
        <v>34305</v>
      </c>
      <c r="B571" s="21">
        <v>1.1257999999999999</v>
      </c>
      <c r="C571" s="22">
        <v>108.82</v>
      </c>
      <c r="D571" s="22">
        <v>5.7779999999999996</v>
      </c>
      <c r="E571" s="10">
        <v>5.94</v>
      </c>
      <c r="F571" s="22">
        <v>3.5089999999999999</v>
      </c>
      <c r="G571" s="22">
        <v>463.10998499999999</v>
      </c>
      <c r="H571" s="22">
        <v>2099.76001</v>
      </c>
      <c r="I571" s="18">
        <v>17458.75</v>
      </c>
    </row>
    <row r="572" spans="1:9" x14ac:dyDescent="0.2">
      <c r="A572" s="4">
        <v>34306</v>
      </c>
      <c r="B572" s="21">
        <v>1.1301000000000001</v>
      </c>
      <c r="C572" s="22">
        <v>108.6</v>
      </c>
      <c r="D572" s="22">
        <v>5.7830000000000004</v>
      </c>
      <c r="E572" s="10">
        <v>5.96</v>
      </c>
      <c r="F572" s="22">
        <v>3.4769999999999999</v>
      </c>
      <c r="G572" s="22">
        <v>464.89001500000001</v>
      </c>
      <c r="H572" s="22">
        <v>2128.3000489999999</v>
      </c>
      <c r="I572" s="18">
        <v>17459.349610000001</v>
      </c>
    </row>
    <row r="573" spans="1:9" x14ac:dyDescent="0.2">
      <c r="A573" s="4">
        <v>34309</v>
      </c>
      <c r="B573" s="21">
        <v>1.1412</v>
      </c>
      <c r="C573" s="22">
        <v>107.89</v>
      </c>
      <c r="D573" s="22">
        <v>5.681</v>
      </c>
      <c r="E573" s="10">
        <v>5.93</v>
      </c>
      <c r="F573" s="22">
        <v>3.4119999999999999</v>
      </c>
      <c r="G573" s="22">
        <v>466.42999300000002</v>
      </c>
      <c r="H573" s="22">
        <v>2118.01001</v>
      </c>
      <c r="I573" s="18">
        <v>16840.380860000001</v>
      </c>
    </row>
    <row r="574" spans="1:9" x14ac:dyDescent="0.2">
      <c r="A574" s="4">
        <v>34310</v>
      </c>
      <c r="B574" s="21">
        <v>1.1443000000000001</v>
      </c>
      <c r="C574" s="22">
        <v>107.52</v>
      </c>
      <c r="D574" s="22">
        <v>5.6769999999999996</v>
      </c>
      <c r="E574" s="10">
        <v>5.93</v>
      </c>
      <c r="F574" s="22">
        <v>3.3919999999999999</v>
      </c>
      <c r="G574" s="22">
        <v>466.76001000000002</v>
      </c>
      <c r="H574" s="22">
        <v>2127.389893</v>
      </c>
      <c r="I574" s="18">
        <v>16903.490229999999</v>
      </c>
    </row>
    <row r="575" spans="1:9" x14ac:dyDescent="0.2">
      <c r="A575" s="4">
        <v>34311</v>
      </c>
      <c r="B575" s="21">
        <v>1.1459999999999999</v>
      </c>
      <c r="C575" s="22">
        <v>109</v>
      </c>
      <c r="D575" s="22">
        <v>5.6719999999999997</v>
      </c>
      <c r="E575" s="10">
        <v>5.93</v>
      </c>
      <c r="F575" s="22">
        <v>3.4039999999999999</v>
      </c>
      <c r="G575" s="22">
        <v>466.290009</v>
      </c>
      <c r="H575" s="22">
        <v>2165.9499510000001</v>
      </c>
      <c r="I575" s="18">
        <v>16507.949219999999</v>
      </c>
    </row>
    <row r="576" spans="1:9" x14ac:dyDescent="0.2">
      <c r="A576" s="4">
        <v>34312</v>
      </c>
      <c r="B576" s="21">
        <v>1.1438999999999999</v>
      </c>
      <c r="C576" s="22">
        <v>108.62</v>
      </c>
      <c r="D576" s="22">
        <v>5.6429999999999998</v>
      </c>
      <c r="E576" s="10">
        <v>5.9</v>
      </c>
      <c r="F576" s="22">
        <v>3.395</v>
      </c>
      <c r="G576" s="22">
        <v>464.17999300000002</v>
      </c>
      <c r="H576" s="22">
        <v>2166.580078</v>
      </c>
      <c r="I576" s="18">
        <v>17061.910159999999</v>
      </c>
    </row>
    <row r="577" spans="1:9" x14ac:dyDescent="0.2">
      <c r="A577" s="4">
        <v>34313</v>
      </c>
      <c r="B577" s="21">
        <v>1.1479999999999999</v>
      </c>
      <c r="C577" s="22">
        <v>109.2</v>
      </c>
      <c r="D577" s="22">
        <v>5.694</v>
      </c>
      <c r="E577" s="10">
        <v>5.83</v>
      </c>
      <c r="F577" s="22">
        <v>3.36</v>
      </c>
      <c r="G577" s="22">
        <v>463.92999300000002</v>
      </c>
      <c r="H577" s="22">
        <v>2165.5</v>
      </c>
      <c r="I577" s="18">
        <v>17257.429690000001</v>
      </c>
    </row>
    <row r="578" spans="1:9" x14ac:dyDescent="0.2">
      <c r="A578" s="4">
        <v>34316</v>
      </c>
      <c r="B578" s="21">
        <v>1.1439999999999999</v>
      </c>
      <c r="C578" s="22">
        <v>109</v>
      </c>
      <c r="D578" s="22">
        <v>5.7489999999999997</v>
      </c>
      <c r="E578" s="10">
        <v>5.84</v>
      </c>
      <c r="F578" s="22">
        <v>3.3679999999999999</v>
      </c>
      <c r="G578" s="22">
        <v>465.70001200000002</v>
      </c>
      <c r="H578" s="22">
        <v>2163.830078</v>
      </c>
      <c r="I578" s="18">
        <v>17327.33008</v>
      </c>
    </row>
    <row r="579" spans="1:9" x14ac:dyDescent="0.2">
      <c r="A579" s="4">
        <v>34317</v>
      </c>
      <c r="B579" s="21">
        <v>1.1379999999999999</v>
      </c>
      <c r="C579" s="22">
        <v>109.4</v>
      </c>
      <c r="D579" s="22">
        <v>5.7789999999999999</v>
      </c>
      <c r="E579" s="10">
        <v>5.82</v>
      </c>
      <c r="F579" s="22">
        <v>3.363</v>
      </c>
      <c r="G579" s="22">
        <v>463.05999800000001</v>
      </c>
      <c r="H579" s="22">
        <v>2128.070068</v>
      </c>
      <c r="I579" s="18">
        <v>17308.730469999999</v>
      </c>
    </row>
    <row r="580" spans="1:9" x14ac:dyDescent="0.2">
      <c r="A580" s="4">
        <v>34318</v>
      </c>
      <c r="B580" s="21">
        <v>1.1373</v>
      </c>
      <c r="C580" s="22">
        <v>109.78</v>
      </c>
      <c r="D580" s="22">
        <v>5.7910000000000004</v>
      </c>
      <c r="E580" s="10">
        <v>5.85</v>
      </c>
      <c r="F580" s="22">
        <v>3.387</v>
      </c>
      <c r="G580" s="22">
        <v>461.83999599999999</v>
      </c>
      <c r="H580" s="22">
        <v>2128.330078</v>
      </c>
      <c r="I580" s="18">
        <v>17489.150389999999</v>
      </c>
    </row>
    <row r="581" spans="1:9" x14ac:dyDescent="0.2">
      <c r="A581" s="4">
        <v>34319</v>
      </c>
      <c r="B581" s="21">
        <v>1.1395</v>
      </c>
      <c r="C581" s="22">
        <v>109.56</v>
      </c>
      <c r="D581" s="22">
        <v>5.8040000000000003</v>
      </c>
      <c r="E581" s="10">
        <v>5.83</v>
      </c>
      <c r="F581" s="22">
        <v>3.403</v>
      </c>
      <c r="G581" s="22">
        <v>463.33999599999999</v>
      </c>
      <c r="H581" s="22">
        <v>2144.030029</v>
      </c>
      <c r="I581" s="18">
        <v>17789.279299999998</v>
      </c>
    </row>
    <row r="582" spans="1:9" x14ac:dyDescent="0.2">
      <c r="A582" s="4">
        <v>34320</v>
      </c>
      <c r="B582" s="21">
        <v>1.1435</v>
      </c>
      <c r="C582" s="22">
        <v>110.19</v>
      </c>
      <c r="D582" s="22">
        <v>5.774</v>
      </c>
      <c r="E582" s="10">
        <v>5.83</v>
      </c>
      <c r="F582" s="22">
        <v>3.4220000000000002</v>
      </c>
      <c r="G582" s="22">
        <v>466.38000499999998</v>
      </c>
      <c r="H582" s="22">
        <v>2154.76001</v>
      </c>
      <c r="I582" s="18">
        <v>18051.910159999999</v>
      </c>
    </row>
    <row r="583" spans="1:9" x14ac:dyDescent="0.2">
      <c r="A583" s="4">
        <v>34323</v>
      </c>
      <c r="B583" s="21">
        <v>1.1399999999999999</v>
      </c>
      <c r="C583" s="22">
        <v>110.62</v>
      </c>
      <c r="D583" s="22">
        <v>5.7960000000000003</v>
      </c>
      <c r="E583" s="10">
        <v>5.79</v>
      </c>
      <c r="F583" s="22">
        <v>3.3780000000000001</v>
      </c>
      <c r="G583" s="22">
        <v>465.85000600000001</v>
      </c>
      <c r="H583" s="22">
        <v>2188.179932</v>
      </c>
      <c r="I583" s="18">
        <v>17404.240229999999</v>
      </c>
    </row>
    <row r="584" spans="1:9" x14ac:dyDescent="0.2">
      <c r="A584" s="4">
        <v>34324</v>
      </c>
      <c r="B584" s="21">
        <v>1.1459999999999999</v>
      </c>
      <c r="C584" s="22">
        <v>111.16</v>
      </c>
      <c r="D584" s="22">
        <v>5.8220000000000001</v>
      </c>
      <c r="E584" s="10">
        <v>5.8</v>
      </c>
      <c r="F584" s="22">
        <v>3.3109999999999999</v>
      </c>
      <c r="G584" s="22">
        <v>465.29998799999998</v>
      </c>
      <c r="H584" s="22">
        <v>2183.780029</v>
      </c>
      <c r="I584" s="18">
        <v>17315.429690000001</v>
      </c>
    </row>
    <row r="585" spans="1:9" x14ac:dyDescent="0.2">
      <c r="A585" s="4">
        <v>34325</v>
      </c>
      <c r="B585" s="21">
        <v>1.149</v>
      </c>
      <c r="C585" s="22">
        <v>110.39</v>
      </c>
      <c r="D585" s="22">
        <v>5.7149999999999999</v>
      </c>
      <c r="E585" s="10">
        <v>5.8</v>
      </c>
      <c r="F585" s="22">
        <v>3.3260000000000001</v>
      </c>
      <c r="G585" s="22">
        <v>467.32000699999998</v>
      </c>
      <c r="H585" s="22">
        <v>2209.169922</v>
      </c>
      <c r="I585" s="18">
        <v>17445.740229999999</v>
      </c>
    </row>
    <row r="586" spans="1:9" x14ac:dyDescent="0.2">
      <c r="A586" s="4">
        <v>34326</v>
      </c>
      <c r="B586" s="21">
        <v>1.1523000000000001</v>
      </c>
      <c r="C586" s="22">
        <v>110.68</v>
      </c>
      <c r="D586" s="22">
        <v>5.681</v>
      </c>
      <c r="E586" s="10">
        <v>5.78</v>
      </c>
      <c r="F586" s="22">
        <v>3.3260000000000001</v>
      </c>
      <c r="G586" s="22">
        <v>467.38000499999998</v>
      </c>
      <c r="H586" s="22">
        <v>2227.6298830000001</v>
      </c>
      <c r="I586" s="18">
        <v>17445.740229999999</v>
      </c>
    </row>
    <row r="587" spans="1:9" x14ac:dyDescent="0.2">
      <c r="A587" s="4">
        <v>34327</v>
      </c>
      <c r="B587" s="21">
        <v>1.151</v>
      </c>
      <c r="C587" s="22">
        <v>110.88</v>
      </c>
      <c r="D587" s="22">
        <v>5.681</v>
      </c>
      <c r="E587" s="10">
        <v>5.78</v>
      </c>
      <c r="F587" s="22">
        <v>3.306</v>
      </c>
      <c r="G587" s="22">
        <v>466.45</v>
      </c>
      <c r="H587" s="22">
        <v>2227.6298830000001</v>
      </c>
      <c r="I587" s="18">
        <v>17141.109380000002</v>
      </c>
    </row>
    <row r="588" spans="1:9" x14ac:dyDescent="0.2">
      <c r="A588" s="4">
        <v>34330</v>
      </c>
      <c r="B588" s="21">
        <v>1.151</v>
      </c>
      <c r="C588" s="22">
        <v>111.46</v>
      </c>
      <c r="D588" s="22">
        <v>5.6769999999999996</v>
      </c>
      <c r="E588" s="10">
        <v>5.77</v>
      </c>
      <c r="F588" s="22">
        <v>3.2789999999999999</v>
      </c>
      <c r="G588" s="22">
        <v>470.540009</v>
      </c>
      <c r="H588" s="22">
        <v>2266.6999510000001</v>
      </c>
      <c r="I588" s="18">
        <v>16819.880860000001</v>
      </c>
    </row>
    <row r="589" spans="1:9" x14ac:dyDescent="0.2">
      <c r="A589" s="4">
        <v>34331</v>
      </c>
      <c r="B589" s="21">
        <v>1.151</v>
      </c>
      <c r="C589" s="22">
        <v>111.43</v>
      </c>
      <c r="D589" s="22">
        <v>5.6849999999999996</v>
      </c>
      <c r="E589" s="10">
        <v>5.77</v>
      </c>
      <c r="F589" s="22">
        <v>3.302</v>
      </c>
      <c r="G589" s="22">
        <v>470.94000199999999</v>
      </c>
      <c r="H589" s="22">
        <v>2236.9099120000001</v>
      </c>
      <c r="I589" s="18">
        <v>17131.210940000001</v>
      </c>
    </row>
    <row r="590" spans="1:9" x14ac:dyDescent="0.2">
      <c r="A590" s="4">
        <v>34332</v>
      </c>
      <c r="B590" s="21">
        <v>1.1362000000000001</v>
      </c>
      <c r="C590" s="22">
        <v>111.81</v>
      </c>
      <c r="D590" s="22">
        <v>5.694</v>
      </c>
      <c r="E590" s="10">
        <v>5.73</v>
      </c>
      <c r="F590" s="22">
        <v>3.2970000000000002</v>
      </c>
      <c r="G590" s="22">
        <v>470.57998700000002</v>
      </c>
      <c r="H590" s="22">
        <v>2229.6201169999999</v>
      </c>
      <c r="I590" s="18">
        <v>17272.029299999998</v>
      </c>
    </row>
    <row r="591" spans="1:9" x14ac:dyDescent="0.2">
      <c r="A591" s="4">
        <v>34333</v>
      </c>
      <c r="B591" s="21">
        <v>1.127</v>
      </c>
      <c r="C591" s="22">
        <v>111.81</v>
      </c>
      <c r="D591" s="22">
        <v>5.7869999999999999</v>
      </c>
      <c r="E591" s="10">
        <v>5.71</v>
      </c>
      <c r="F591" s="22">
        <v>3.3130000000000002</v>
      </c>
      <c r="G591" s="22">
        <v>468.64001500000001</v>
      </c>
      <c r="H591" s="22">
        <v>2255.290039</v>
      </c>
      <c r="I591" s="18">
        <v>17417.240229999999</v>
      </c>
    </row>
    <row r="592" spans="1:9" x14ac:dyDescent="0.2">
      <c r="A592" s="4">
        <v>34334</v>
      </c>
      <c r="B592" s="21">
        <v>1.1244000000000001</v>
      </c>
      <c r="C592" s="22">
        <v>111.85</v>
      </c>
      <c r="D592" s="22">
        <v>5.7830000000000004</v>
      </c>
      <c r="E592" s="10">
        <v>5.71</v>
      </c>
      <c r="F592" s="22">
        <v>3.3250000000000002</v>
      </c>
      <c r="G592" s="22">
        <v>466.45001200000002</v>
      </c>
      <c r="H592" s="22">
        <v>2255.290039</v>
      </c>
      <c r="I592" s="18">
        <v>17417.240229999999</v>
      </c>
    </row>
    <row r="593" spans="1:9" x14ac:dyDescent="0.2">
      <c r="A593" s="4">
        <v>34337</v>
      </c>
      <c r="B593" s="21">
        <v>1.1264000000000001</v>
      </c>
      <c r="C593" s="22">
        <v>112.7</v>
      </c>
      <c r="D593" s="22">
        <v>5.8869999999999996</v>
      </c>
      <c r="E593" s="10">
        <v>5.7</v>
      </c>
      <c r="F593" s="22">
        <v>3.3250000000000002</v>
      </c>
      <c r="G593" s="22">
        <v>465.44000199999999</v>
      </c>
      <c r="H593" s="22">
        <v>2274.6201169999999</v>
      </c>
      <c r="I593" s="18">
        <v>17417.240229999999</v>
      </c>
    </row>
    <row r="594" spans="1:9" x14ac:dyDescent="0.2">
      <c r="A594" s="4">
        <v>34338</v>
      </c>
      <c r="B594" s="21">
        <v>1.1246</v>
      </c>
      <c r="C594" s="22">
        <v>112.64</v>
      </c>
      <c r="D594" s="22">
        <v>5.8609999999999998</v>
      </c>
      <c r="E594" s="10">
        <v>5.71</v>
      </c>
      <c r="F594" s="22">
        <v>3.3359999999999999</v>
      </c>
      <c r="G594" s="22">
        <v>466.89001500000001</v>
      </c>
      <c r="H594" s="22">
        <v>2249.8500979999999</v>
      </c>
      <c r="I594" s="18">
        <v>17369.740229999999</v>
      </c>
    </row>
    <row r="595" spans="1:9" x14ac:dyDescent="0.2">
      <c r="A595" s="4">
        <v>34339</v>
      </c>
      <c r="B595" s="21">
        <v>1.1252</v>
      </c>
      <c r="C595" s="22">
        <v>113.06</v>
      </c>
      <c r="D595" s="22">
        <v>5.8650000000000002</v>
      </c>
      <c r="E595" s="10">
        <v>5.72</v>
      </c>
      <c r="F595" s="22">
        <v>3.3679999999999999</v>
      </c>
      <c r="G595" s="22">
        <v>467.54998799999998</v>
      </c>
      <c r="H595" s="22">
        <v>2223.610107</v>
      </c>
      <c r="I595" s="18">
        <v>17783.480469999999</v>
      </c>
    </row>
    <row r="596" spans="1:9" x14ac:dyDescent="0.2">
      <c r="A596" s="4">
        <v>34340</v>
      </c>
      <c r="B596" s="21">
        <v>1.1252</v>
      </c>
      <c r="C596" s="22">
        <v>112.62</v>
      </c>
      <c r="D596" s="22">
        <v>5.8049999999999997</v>
      </c>
      <c r="E596" s="10">
        <v>5.74</v>
      </c>
      <c r="F596" s="22">
        <v>3.3130000000000002</v>
      </c>
      <c r="G596" s="22">
        <v>467.11999500000002</v>
      </c>
      <c r="H596" s="22">
        <v>2220.6298830000001</v>
      </c>
      <c r="I596" s="18">
        <v>17881.990229999999</v>
      </c>
    </row>
    <row r="597" spans="1:9" x14ac:dyDescent="0.2">
      <c r="A597" s="4">
        <v>34341</v>
      </c>
      <c r="B597" s="21">
        <v>1.1293</v>
      </c>
      <c r="C597" s="22">
        <v>111.91</v>
      </c>
      <c r="D597" s="22">
        <v>5.6550000000000002</v>
      </c>
      <c r="E597" s="10">
        <v>5.75</v>
      </c>
      <c r="F597" s="22">
        <v>3.2970000000000002</v>
      </c>
      <c r="G597" s="22">
        <v>469.89999399999999</v>
      </c>
      <c r="H597" s="22">
        <v>2224.9499510000001</v>
      </c>
      <c r="I597" s="18">
        <v>18124.009770000001</v>
      </c>
    </row>
    <row r="598" spans="1:9" x14ac:dyDescent="0.2">
      <c r="A598" s="4">
        <v>34344</v>
      </c>
      <c r="B598" s="21">
        <v>1.1269</v>
      </c>
      <c r="C598" s="22">
        <v>112.25</v>
      </c>
      <c r="D598" s="22">
        <v>5.6210000000000004</v>
      </c>
      <c r="E598" s="10">
        <v>5.71</v>
      </c>
      <c r="F598" s="22">
        <v>3.2650000000000001</v>
      </c>
      <c r="G598" s="22">
        <v>475.26998900000001</v>
      </c>
      <c r="H598" s="22">
        <v>2225</v>
      </c>
      <c r="I598" s="18">
        <v>18443.439450000002</v>
      </c>
    </row>
    <row r="599" spans="1:9" x14ac:dyDescent="0.2">
      <c r="A599" s="4">
        <v>34345</v>
      </c>
      <c r="B599" s="21">
        <v>1.123</v>
      </c>
      <c r="C599" s="22">
        <v>112.38</v>
      </c>
      <c r="D599" s="22">
        <v>5.6210000000000004</v>
      </c>
      <c r="E599" s="10">
        <v>5.71</v>
      </c>
      <c r="F599" s="22">
        <v>3.3119999999999998</v>
      </c>
      <c r="G599" s="22">
        <v>474.13000499999998</v>
      </c>
      <c r="H599" s="22">
        <v>2228.1000979999999</v>
      </c>
      <c r="I599" s="18">
        <v>18485.25</v>
      </c>
    </row>
    <row r="600" spans="1:9" x14ac:dyDescent="0.2">
      <c r="A600" s="4">
        <v>34346</v>
      </c>
      <c r="B600" s="21">
        <v>1.1263000000000001</v>
      </c>
      <c r="C600" s="22">
        <v>112.2</v>
      </c>
      <c r="D600" s="22">
        <v>5.5540000000000003</v>
      </c>
      <c r="E600" s="10">
        <v>5.7</v>
      </c>
      <c r="F600" s="22">
        <v>3.34</v>
      </c>
      <c r="G600" s="22">
        <v>474.17001299999998</v>
      </c>
      <c r="H600" s="22">
        <v>2182.0600589999999</v>
      </c>
      <c r="I600" s="18">
        <v>18793.880860000001</v>
      </c>
    </row>
    <row r="601" spans="1:9" x14ac:dyDescent="0.2">
      <c r="A601" s="4">
        <v>34347</v>
      </c>
      <c r="B601" s="21">
        <v>1.1182000000000001</v>
      </c>
      <c r="C601" s="22">
        <v>111.77</v>
      </c>
      <c r="D601" s="22">
        <v>5.6639999999999997</v>
      </c>
      <c r="E601" s="10">
        <v>5.71</v>
      </c>
      <c r="F601" s="22">
        <v>3.3639999999999999</v>
      </c>
      <c r="G601" s="22">
        <v>472.47000100000002</v>
      </c>
      <c r="H601" s="22">
        <v>2142.3701169999999</v>
      </c>
      <c r="I601" s="18">
        <v>18577.259770000001</v>
      </c>
    </row>
    <row r="602" spans="1:9" x14ac:dyDescent="0.2">
      <c r="A602" s="4">
        <v>34348</v>
      </c>
      <c r="B602" s="21">
        <v>1.1176999999999999</v>
      </c>
      <c r="C602" s="22">
        <v>111</v>
      </c>
      <c r="D602" s="22">
        <v>5.7279999999999998</v>
      </c>
      <c r="E602" s="10">
        <v>5.76</v>
      </c>
      <c r="F602" s="22">
        <v>3.46</v>
      </c>
      <c r="G602" s="22">
        <v>474.91000400000001</v>
      </c>
      <c r="H602" s="22">
        <v>2151.0500489999999</v>
      </c>
      <c r="I602" s="18">
        <v>18973.699219999999</v>
      </c>
    </row>
    <row r="603" spans="1:9" x14ac:dyDescent="0.2">
      <c r="A603" s="4">
        <v>34351</v>
      </c>
      <c r="B603" s="21">
        <v>1.1167</v>
      </c>
      <c r="C603" s="22">
        <v>111.02</v>
      </c>
      <c r="D603" s="22">
        <v>5.7279999999999998</v>
      </c>
      <c r="E603" s="10">
        <v>5.77</v>
      </c>
      <c r="F603" s="22">
        <v>3.4830000000000001</v>
      </c>
      <c r="G603" s="22">
        <v>473.29998799999998</v>
      </c>
      <c r="H603" s="22">
        <v>2115.5600589999999</v>
      </c>
      <c r="I603" s="18">
        <v>18725.369139999999</v>
      </c>
    </row>
    <row r="604" spans="1:9" x14ac:dyDescent="0.2">
      <c r="A604" s="4">
        <v>34352</v>
      </c>
      <c r="B604" s="21">
        <v>1.1223000000000001</v>
      </c>
      <c r="C604" s="22">
        <v>110.8</v>
      </c>
      <c r="D604" s="22">
        <v>5.6980000000000004</v>
      </c>
      <c r="E604" s="10">
        <v>5.81</v>
      </c>
      <c r="F604" s="22">
        <v>3.6230000000000002</v>
      </c>
      <c r="G604" s="22">
        <v>474.25</v>
      </c>
      <c r="H604" s="22">
        <v>2130.3500979999999</v>
      </c>
      <c r="I604" s="18">
        <v>18514.550780000001</v>
      </c>
    </row>
    <row r="605" spans="1:9" x14ac:dyDescent="0.2">
      <c r="A605" s="4">
        <v>34353</v>
      </c>
      <c r="B605" s="21">
        <v>1.1231</v>
      </c>
      <c r="C605" s="22">
        <v>111.4</v>
      </c>
      <c r="D605" s="22">
        <v>5.7060000000000004</v>
      </c>
      <c r="E605" s="10">
        <v>5.75</v>
      </c>
      <c r="F605" s="22">
        <v>3.7530000000000001</v>
      </c>
      <c r="G605" s="22">
        <v>474.29998799999998</v>
      </c>
      <c r="H605" s="22">
        <v>2132.5200199999999</v>
      </c>
      <c r="I605" s="18">
        <v>19039.400389999999</v>
      </c>
    </row>
    <row r="606" spans="1:9" x14ac:dyDescent="0.2">
      <c r="A606" s="4">
        <v>34354</v>
      </c>
      <c r="B606" s="21">
        <v>1.1266</v>
      </c>
      <c r="C606" s="22">
        <v>111.31</v>
      </c>
      <c r="D606" s="22">
        <v>5.6639999999999997</v>
      </c>
      <c r="E606" s="10">
        <v>5.79</v>
      </c>
      <c r="F606" s="22">
        <v>3.766</v>
      </c>
      <c r="G606" s="22">
        <v>474.98001099999999</v>
      </c>
      <c r="H606" s="22">
        <v>2098.360107</v>
      </c>
      <c r="I606" s="18">
        <v>19183.91992</v>
      </c>
    </row>
    <row r="607" spans="1:9" x14ac:dyDescent="0.2">
      <c r="A607" s="4">
        <v>34355</v>
      </c>
      <c r="B607" s="21">
        <v>1.1211</v>
      </c>
      <c r="C607" s="22">
        <v>111.55</v>
      </c>
      <c r="D607" s="22">
        <v>5.6769999999999996</v>
      </c>
      <c r="E607" s="10">
        <v>5.81</v>
      </c>
      <c r="F607" s="22">
        <v>3.7229999999999999</v>
      </c>
      <c r="G607" s="22">
        <v>474.72000100000002</v>
      </c>
      <c r="H607" s="22">
        <v>2073.9399410000001</v>
      </c>
      <c r="I607" s="18">
        <v>19307.429690000001</v>
      </c>
    </row>
    <row r="608" spans="1:9" x14ac:dyDescent="0.2">
      <c r="A608" s="4">
        <v>34358</v>
      </c>
      <c r="B608" s="21">
        <v>1.1201000000000001</v>
      </c>
      <c r="C608" s="22">
        <v>111.77</v>
      </c>
      <c r="D608" s="22">
        <v>5.6890000000000001</v>
      </c>
      <c r="E608" s="10">
        <v>5.87</v>
      </c>
      <c r="F608" s="22">
        <v>3.6930000000000001</v>
      </c>
      <c r="G608" s="22">
        <v>471.97000100000002</v>
      </c>
      <c r="H608" s="22">
        <v>2107.290039</v>
      </c>
      <c r="I608" s="18">
        <v>18353.240229999999</v>
      </c>
    </row>
    <row r="609" spans="1:9" x14ac:dyDescent="0.2">
      <c r="A609" s="4">
        <v>34359</v>
      </c>
      <c r="B609" s="21">
        <v>1.1203000000000001</v>
      </c>
      <c r="C609" s="22">
        <v>111.03</v>
      </c>
      <c r="D609" s="22">
        <v>5.7240000000000002</v>
      </c>
      <c r="E609" s="10">
        <v>5.84</v>
      </c>
      <c r="F609" s="22">
        <v>3.698</v>
      </c>
      <c r="G609" s="22">
        <v>470.92001299999998</v>
      </c>
      <c r="H609" s="22">
        <v>2090.780029</v>
      </c>
      <c r="I609" s="18">
        <v>18648.359380000002</v>
      </c>
    </row>
    <row r="610" spans="1:9" x14ac:dyDescent="0.2">
      <c r="A610" s="4">
        <v>34360</v>
      </c>
      <c r="B610" s="21">
        <v>1.1227</v>
      </c>
      <c r="C610" s="22">
        <v>109.93</v>
      </c>
      <c r="D610" s="22">
        <v>5.7190000000000003</v>
      </c>
      <c r="E610" s="10">
        <v>5.85</v>
      </c>
      <c r="F610" s="22">
        <v>3.855</v>
      </c>
      <c r="G610" s="22">
        <v>473.20001200000002</v>
      </c>
      <c r="H610" s="22">
        <v>2128.6599120000001</v>
      </c>
      <c r="I610" s="18">
        <v>19138.210940000001</v>
      </c>
    </row>
    <row r="611" spans="1:9" x14ac:dyDescent="0.2">
      <c r="A611" s="4">
        <v>34361</v>
      </c>
      <c r="B611" s="21">
        <v>1.1252</v>
      </c>
      <c r="C611" s="22">
        <v>108.63</v>
      </c>
      <c r="D611" s="22">
        <v>5.6719999999999997</v>
      </c>
      <c r="E611" s="10">
        <v>5.83</v>
      </c>
      <c r="F611" s="22">
        <v>3.8759999999999999</v>
      </c>
      <c r="G611" s="22">
        <v>477.04998799999998</v>
      </c>
      <c r="H611" s="22">
        <v>2123.3100589999999</v>
      </c>
      <c r="I611" s="18">
        <v>18891.789059999999</v>
      </c>
    </row>
    <row r="612" spans="1:9" x14ac:dyDescent="0.2">
      <c r="A612" s="4">
        <v>34362</v>
      </c>
      <c r="B612" s="21">
        <v>1.1337999999999999</v>
      </c>
      <c r="C612" s="22">
        <v>109.97</v>
      </c>
      <c r="D612" s="22">
        <v>5.617</v>
      </c>
      <c r="E612" s="10">
        <v>5.84</v>
      </c>
      <c r="F612" s="22">
        <v>3.855</v>
      </c>
      <c r="G612" s="22">
        <v>478.70001200000002</v>
      </c>
      <c r="H612" s="22">
        <v>2156.610107</v>
      </c>
      <c r="I612" s="18">
        <v>18757.880860000001</v>
      </c>
    </row>
    <row r="613" spans="1:9" x14ac:dyDescent="0.2">
      <c r="A613" s="4">
        <v>34365</v>
      </c>
      <c r="B613" s="21">
        <v>1.1259999999999999</v>
      </c>
      <c r="C613" s="22">
        <v>108.49</v>
      </c>
      <c r="D613" s="22">
        <v>5.6379999999999999</v>
      </c>
      <c r="E613" s="10">
        <v>5.79</v>
      </c>
      <c r="F613" s="22">
        <v>3.98</v>
      </c>
      <c r="G613" s="22">
        <v>481.60998499999999</v>
      </c>
      <c r="H613" s="22">
        <v>2192.6000979999999</v>
      </c>
      <c r="I613" s="18">
        <v>20229.119139999999</v>
      </c>
    </row>
    <row r="614" spans="1:9" x14ac:dyDescent="0.2">
      <c r="A614" s="4">
        <v>34366</v>
      </c>
      <c r="B614" s="21">
        <v>1.1359999999999999</v>
      </c>
      <c r="C614" s="22">
        <v>107.66</v>
      </c>
      <c r="D614" s="22">
        <v>5.7149999999999999</v>
      </c>
      <c r="E614" s="10">
        <v>5.78</v>
      </c>
      <c r="F614" s="22">
        <v>3.9889999999999999</v>
      </c>
      <c r="G614" s="22">
        <v>479.61999500000002</v>
      </c>
      <c r="H614" s="22">
        <v>2181.8798830000001</v>
      </c>
      <c r="I614" s="18">
        <v>20416.339840000001</v>
      </c>
    </row>
    <row r="615" spans="1:9" x14ac:dyDescent="0.2">
      <c r="A615" s="4">
        <v>34367</v>
      </c>
      <c r="B615" s="21">
        <v>1.1311</v>
      </c>
      <c r="C615" s="22">
        <v>108.25</v>
      </c>
      <c r="D615" s="22">
        <v>5.7149999999999999</v>
      </c>
      <c r="E615" s="10">
        <v>5.8</v>
      </c>
      <c r="F615" s="22">
        <v>3.8759999999999999</v>
      </c>
      <c r="G615" s="22">
        <v>482</v>
      </c>
      <c r="H615" s="22">
        <v>2184.0500489999999</v>
      </c>
      <c r="I615" s="18">
        <v>20250.029299999998</v>
      </c>
    </row>
    <row r="616" spans="1:9" x14ac:dyDescent="0.2">
      <c r="A616" s="4">
        <v>34368</v>
      </c>
      <c r="B616" s="21">
        <v>1.1334</v>
      </c>
      <c r="C616" s="22">
        <v>108.32</v>
      </c>
      <c r="D616" s="22">
        <v>5.758</v>
      </c>
      <c r="E616" s="10">
        <v>5.82</v>
      </c>
      <c r="F616" s="22">
        <v>3.8980000000000001</v>
      </c>
      <c r="G616" s="22">
        <v>480.709991</v>
      </c>
      <c r="H616" s="22">
        <v>2137.080078</v>
      </c>
      <c r="I616" s="18">
        <v>20174.820309999999</v>
      </c>
    </row>
    <row r="617" spans="1:9" x14ac:dyDescent="0.2">
      <c r="A617" s="4">
        <v>34369</v>
      </c>
      <c r="B617" s="21">
        <v>1.1316999999999999</v>
      </c>
      <c r="C617" s="22">
        <v>109.43</v>
      </c>
      <c r="D617" s="22">
        <v>5.8879999999999999</v>
      </c>
      <c r="E617" s="10">
        <v>5.91</v>
      </c>
      <c r="F617" s="22">
        <v>3.9319999999999999</v>
      </c>
      <c r="G617" s="22">
        <v>469.80999800000001</v>
      </c>
      <c r="H617" s="22">
        <v>2143.8999020000001</v>
      </c>
      <c r="I617" s="18">
        <v>20301.429690000001</v>
      </c>
    </row>
    <row r="618" spans="1:9" x14ac:dyDescent="0.2">
      <c r="A618" s="4">
        <v>34372</v>
      </c>
      <c r="B618" s="21">
        <v>1.1156999999999999</v>
      </c>
      <c r="C618" s="22">
        <v>108.55</v>
      </c>
      <c r="D618" s="22">
        <v>5.91</v>
      </c>
      <c r="E618" s="10">
        <v>5.97</v>
      </c>
      <c r="F618" s="22">
        <v>3.93</v>
      </c>
      <c r="G618" s="22">
        <v>471.76001000000002</v>
      </c>
      <c r="H618" s="22">
        <v>2095.110107</v>
      </c>
      <c r="I618" s="18">
        <v>20014.400389999999</v>
      </c>
    </row>
    <row r="619" spans="1:9" x14ac:dyDescent="0.2">
      <c r="A619" s="4">
        <v>34373</v>
      </c>
      <c r="B619" s="21">
        <v>1.1141000000000001</v>
      </c>
      <c r="C619" s="22">
        <v>108.9</v>
      </c>
      <c r="D619" s="22">
        <v>5.9539999999999997</v>
      </c>
      <c r="E619" s="10">
        <v>5.94</v>
      </c>
      <c r="F619" s="22">
        <v>3.9079999999999999</v>
      </c>
      <c r="G619" s="22">
        <v>471.04998799999998</v>
      </c>
      <c r="H619" s="22">
        <v>2099.570068</v>
      </c>
      <c r="I619" s="18">
        <v>20251.230469999999</v>
      </c>
    </row>
    <row r="620" spans="1:9" x14ac:dyDescent="0.2">
      <c r="A620" s="4">
        <v>34374</v>
      </c>
      <c r="B620" s="21">
        <v>1.1178999999999999</v>
      </c>
      <c r="C620" s="22">
        <v>108.31</v>
      </c>
      <c r="D620" s="22">
        <v>5.9279999999999999</v>
      </c>
      <c r="E620" s="10">
        <v>5.99</v>
      </c>
      <c r="F620" s="22">
        <v>3.8380000000000001</v>
      </c>
      <c r="G620" s="22">
        <v>472.76998900000001</v>
      </c>
      <c r="H620" s="22">
        <v>2116.429932</v>
      </c>
      <c r="I620" s="18">
        <v>19841.380860000001</v>
      </c>
    </row>
    <row r="621" spans="1:9" x14ac:dyDescent="0.2">
      <c r="A621" s="4">
        <v>34375</v>
      </c>
      <c r="B621" s="21">
        <v>1.1194</v>
      </c>
      <c r="C621" s="22">
        <v>108.15</v>
      </c>
      <c r="D621" s="22">
        <v>5.9039999999999999</v>
      </c>
      <c r="E621" s="10">
        <v>5.91</v>
      </c>
      <c r="F621" s="22">
        <v>3.851</v>
      </c>
      <c r="G621" s="22">
        <v>468.92999300000002</v>
      </c>
      <c r="H621" s="22">
        <v>2119.6899410000001</v>
      </c>
      <c r="I621" s="18">
        <v>19990.699219999999</v>
      </c>
    </row>
    <row r="622" spans="1:9" x14ac:dyDescent="0.2">
      <c r="A622" s="4">
        <v>34376</v>
      </c>
      <c r="B622" s="21">
        <v>1.1207</v>
      </c>
      <c r="C622" s="22">
        <v>107.2</v>
      </c>
      <c r="D622" s="22">
        <v>5.8710000000000004</v>
      </c>
      <c r="E622" s="10">
        <v>5.91</v>
      </c>
      <c r="F622" s="22">
        <v>3.8639999999999999</v>
      </c>
      <c r="G622" s="22">
        <v>470.17999300000002</v>
      </c>
      <c r="H622" s="22">
        <v>2108.7700199999999</v>
      </c>
      <c r="I622" s="18">
        <v>19990.699219999999</v>
      </c>
    </row>
    <row r="623" spans="1:9" x14ac:dyDescent="0.2">
      <c r="A623" s="4">
        <v>34379</v>
      </c>
      <c r="B623" s="21">
        <v>1.1259999999999999</v>
      </c>
      <c r="C623" s="22">
        <v>102.1</v>
      </c>
      <c r="D623" s="22">
        <v>5.883</v>
      </c>
      <c r="E623" s="10">
        <v>5.86</v>
      </c>
      <c r="F623" s="22">
        <v>3.8079999999999998</v>
      </c>
      <c r="G623" s="22">
        <v>470.23001099999999</v>
      </c>
      <c r="H623" s="22">
        <v>2101.929932</v>
      </c>
      <c r="I623" s="18">
        <v>19459.25</v>
      </c>
    </row>
    <row r="624" spans="1:9" x14ac:dyDescent="0.2">
      <c r="A624" s="4">
        <v>34380</v>
      </c>
      <c r="B624" s="21">
        <v>1.1359999999999999</v>
      </c>
      <c r="C624" s="22">
        <v>103.85</v>
      </c>
      <c r="D624" s="22">
        <v>5.867</v>
      </c>
      <c r="E624" s="10">
        <v>5.9</v>
      </c>
      <c r="F624" s="22">
        <v>3.738</v>
      </c>
      <c r="G624" s="22">
        <v>472.51998900000001</v>
      </c>
      <c r="H624" s="22">
        <v>2130.709961</v>
      </c>
      <c r="I624" s="18">
        <v>18974.599610000001</v>
      </c>
    </row>
    <row r="625" spans="1:9" x14ac:dyDescent="0.2">
      <c r="A625" s="4">
        <v>34381</v>
      </c>
      <c r="B625" s="21">
        <v>1.1373</v>
      </c>
      <c r="C625" s="22">
        <v>103.81</v>
      </c>
      <c r="D625" s="22">
        <v>5.875</v>
      </c>
      <c r="E625" s="10">
        <v>5.95</v>
      </c>
      <c r="F625" s="22">
        <v>3.79</v>
      </c>
      <c r="G625" s="22">
        <v>472.790009</v>
      </c>
      <c r="H625" s="22">
        <v>2135.25</v>
      </c>
      <c r="I625" s="18">
        <v>19052.109380000002</v>
      </c>
    </row>
    <row r="626" spans="1:9" x14ac:dyDescent="0.2">
      <c r="A626" s="4">
        <v>34382</v>
      </c>
      <c r="B626" s="21">
        <v>1.1329</v>
      </c>
      <c r="C626" s="22">
        <v>104.25</v>
      </c>
      <c r="D626" s="22">
        <v>5.984</v>
      </c>
      <c r="E626" s="10">
        <v>5.97</v>
      </c>
      <c r="F626" s="22">
        <v>3.851</v>
      </c>
      <c r="G626" s="22">
        <v>470.33999599999999</v>
      </c>
      <c r="H626" s="22">
        <v>2162.290039</v>
      </c>
      <c r="I626" s="18">
        <v>18931.390630000002</v>
      </c>
    </row>
    <row r="627" spans="1:9" x14ac:dyDescent="0.2">
      <c r="A627" s="4">
        <v>34383</v>
      </c>
      <c r="B627" s="21">
        <v>1.1406000000000001</v>
      </c>
      <c r="C627" s="22">
        <v>104.61</v>
      </c>
      <c r="D627" s="22">
        <v>6.077</v>
      </c>
      <c r="E627" s="10">
        <v>5.99</v>
      </c>
      <c r="F627" s="22">
        <v>3.984</v>
      </c>
      <c r="G627" s="22">
        <v>467.69000199999999</v>
      </c>
      <c r="H627" s="22">
        <v>2133.8500979999999</v>
      </c>
      <c r="I627" s="18">
        <v>18959.599610000001</v>
      </c>
    </row>
    <row r="628" spans="1:9" x14ac:dyDescent="0.2">
      <c r="A628" s="4">
        <v>34386</v>
      </c>
      <c r="B628" s="21">
        <v>1.1353</v>
      </c>
      <c r="C628" s="22">
        <v>106.05</v>
      </c>
      <c r="D628" s="22">
        <v>6.077</v>
      </c>
      <c r="E628" s="10">
        <v>6.03</v>
      </c>
      <c r="F628" s="22">
        <v>3.9969999999999999</v>
      </c>
      <c r="G628" s="22">
        <v>467.14</v>
      </c>
      <c r="H628" s="22">
        <v>2108.0600589999999</v>
      </c>
      <c r="I628" s="18">
        <v>19393.939450000002</v>
      </c>
    </row>
    <row r="629" spans="1:9" x14ac:dyDescent="0.2">
      <c r="A629" s="4">
        <v>34387</v>
      </c>
      <c r="B629" s="21">
        <v>1.1358999999999999</v>
      </c>
      <c r="C629" s="22">
        <v>105.7</v>
      </c>
      <c r="D629" s="22">
        <v>6.0389999999999997</v>
      </c>
      <c r="E629" s="10">
        <v>6.09</v>
      </c>
      <c r="F629" s="22">
        <v>4.0380000000000003</v>
      </c>
      <c r="G629" s="22">
        <v>471.459991</v>
      </c>
      <c r="H629" s="22">
        <v>2113.639893</v>
      </c>
      <c r="I629" s="18">
        <v>19342.630860000001</v>
      </c>
    </row>
    <row r="630" spans="1:9" x14ac:dyDescent="0.2">
      <c r="A630" s="4">
        <v>34388</v>
      </c>
      <c r="B630" s="21">
        <v>1.135</v>
      </c>
      <c r="C630" s="22">
        <v>105.7</v>
      </c>
      <c r="D630" s="22">
        <v>6.1239999999999997</v>
      </c>
      <c r="E630" s="10">
        <v>6.07</v>
      </c>
      <c r="F630" s="22">
        <v>4.0199999999999996</v>
      </c>
      <c r="G630" s="22">
        <v>470.69000199999999</v>
      </c>
      <c r="H630" s="22">
        <v>2140.25</v>
      </c>
      <c r="I630" s="18">
        <v>19341.83008</v>
      </c>
    </row>
    <row r="631" spans="1:9" x14ac:dyDescent="0.2">
      <c r="A631" s="4">
        <v>34389</v>
      </c>
      <c r="B631" s="21">
        <v>1.1333</v>
      </c>
      <c r="C631" s="22">
        <v>105</v>
      </c>
      <c r="D631" s="22">
        <v>6.202</v>
      </c>
      <c r="E631" s="10">
        <v>6.12</v>
      </c>
      <c r="F631" s="22">
        <v>4.056</v>
      </c>
      <c r="G631" s="22">
        <v>464.26001000000002</v>
      </c>
      <c r="H631" s="22">
        <v>2082.8999020000001</v>
      </c>
      <c r="I631" s="18">
        <v>19765.480469999999</v>
      </c>
    </row>
    <row r="632" spans="1:9" x14ac:dyDescent="0.2">
      <c r="A632" s="4">
        <v>34390</v>
      </c>
      <c r="B632" s="21">
        <v>1.1468</v>
      </c>
      <c r="C632" s="22">
        <v>104.81</v>
      </c>
      <c r="D632" s="22">
        <v>6.1929999999999996</v>
      </c>
      <c r="E632" s="10">
        <v>6.25</v>
      </c>
      <c r="F632" s="22">
        <v>4.1100000000000003</v>
      </c>
      <c r="G632" s="22">
        <v>466.07000699999998</v>
      </c>
      <c r="H632" s="22">
        <v>2075.330078</v>
      </c>
      <c r="I632" s="18">
        <v>19803.380860000001</v>
      </c>
    </row>
    <row r="633" spans="1:9" x14ac:dyDescent="0.2">
      <c r="A633" s="4">
        <v>34393</v>
      </c>
      <c r="B633" s="21">
        <v>1.1456999999999999</v>
      </c>
      <c r="C633" s="22">
        <v>104.5</v>
      </c>
      <c r="D633" s="22">
        <v>6.15</v>
      </c>
      <c r="E633" s="10">
        <v>6.24</v>
      </c>
      <c r="F633" s="22">
        <v>4.1239999999999997</v>
      </c>
      <c r="G633" s="22">
        <v>467.14001500000001</v>
      </c>
      <c r="H633" s="22">
        <v>2103.23999</v>
      </c>
      <c r="I633" s="18">
        <v>19997.199219999999</v>
      </c>
    </row>
    <row r="634" spans="1:9" x14ac:dyDescent="0.2">
      <c r="A634" s="4">
        <v>34394</v>
      </c>
      <c r="B634" s="21">
        <v>1.1434</v>
      </c>
      <c r="C634" s="22">
        <v>104.6</v>
      </c>
      <c r="D634" s="22">
        <v>6.28</v>
      </c>
      <c r="E634" s="10">
        <v>6.25</v>
      </c>
      <c r="F634" s="22">
        <v>4.117</v>
      </c>
      <c r="G634" s="22">
        <v>464.44000199999999</v>
      </c>
      <c r="H634" s="22">
        <v>2056.610107</v>
      </c>
      <c r="I634" s="18">
        <v>20216.619139999999</v>
      </c>
    </row>
    <row r="635" spans="1:9" x14ac:dyDescent="0.2">
      <c r="A635" s="4">
        <v>34395</v>
      </c>
      <c r="B635" s="21">
        <v>1.1460999999999999</v>
      </c>
      <c r="C635" s="22">
        <v>104.3</v>
      </c>
      <c r="D635" s="22">
        <v>6.2889999999999997</v>
      </c>
      <c r="E635" s="10">
        <v>6.54</v>
      </c>
      <c r="F635" s="22">
        <v>4.2859999999999996</v>
      </c>
      <c r="G635" s="22">
        <v>464.80999800000001</v>
      </c>
      <c r="H635" s="22">
        <v>2018.6899410000001</v>
      </c>
      <c r="I635" s="18">
        <v>19744.769530000001</v>
      </c>
    </row>
    <row r="636" spans="1:9" x14ac:dyDescent="0.2">
      <c r="A636" s="4">
        <v>34396</v>
      </c>
      <c r="B636" s="21">
        <v>1.1448</v>
      </c>
      <c r="C636" s="22">
        <v>103.89</v>
      </c>
      <c r="D636" s="22">
        <v>6.3410000000000002</v>
      </c>
      <c r="E636" s="10">
        <v>6.42</v>
      </c>
      <c r="F636" s="22">
        <v>4.2859999999999996</v>
      </c>
      <c r="G636" s="22">
        <v>463.01001000000002</v>
      </c>
      <c r="H636" s="22">
        <v>2044.4499510000001</v>
      </c>
      <c r="I636" s="18">
        <v>19605.859380000002</v>
      </c>
    </row>
    <row r="637" spans="1:9" x14ac:dyDescent="0.2">
      <c r="A637" s="4">
        <v>34397</v>
      </c>
      <c r="B637" s="21">
        <v>1.1382000000000001</v>
      </c>
      <c r="C637" s="22">
        <v>105.51</v>
      </c>
      <c r="D637" s="22">
        <v>6.3630000000000004</v>
      </c>
      <c r="E637" s="10">
        <v>6.38</v>
      </c>
      <c r="F637" s="22">
        <v>4.2949999999999999</v>
      </c>
      <c r="G637" s="22">
        <v>464.73998999999998</v>
      </c>
      <c r="H637" s="22">
        <v>2076.76001</v>
      </c>
      <c r="I637" s="18">
        <v>19966</v>
      </c>
    </row>
    <row r="638" spans="1:9" x14ac:dyDescent="0.2">
      <c r="A638" s="4">
        <v>34400</v>
      </c>
      <c r="B638" s="21">
        <v>1.1391</v>
      </c>
      <c r="C638" s="22">
        <v>105.65</v>
      </c>
      <c r="D638" s="22">
        <v>6.3070000000000004</v>
      </c>
      <c r="E638" s="10">
        <v>6.24</v>
      </c>
      <c r="F638" s="22">
        <v>4.383</v>
      </c>
      <c r="G638" s="22">
        <v>466.91000400000001</v>
      </c>
      <c r="H638" s="22">
        <v>2132.1201169999999</v>
      </c>
      <c r="I638" s="18">
        <v>19811.880860000001</v>
      </c>
    </row>
    <row r="639" spans="1:9" x14ac:dyDescent="0.2">
      <c r="A639" s="4">
        <v>34401</v>
      </c>
      <c r="B639" s="21">
        <v>1.1399999999999999</v>
      </c>
      <c r="C639" s="22">
        <v>105.36</v>
      </c>
      <c r="D639" s="22">
        <v>6.359</v>
      </c>
      <c r="E639" s="10">
        <v>6.2</v>
      </c>
      <c r="F639" s="22">
        <v>4.2859999999999996</v>
      </c>
      <c r="G639" s="22">
        <v>465.88000499999998</v>
      </c>
      <c r="H639" s="22">
        <v>2125.469971</v>
      </c>
      <c r="I639" s="18">
        <v>19898.390630000002</v>
      </c>
    </row>
    <row r="640" spans="1:9" x14ac:dyDescent="0.2">
      <c r="A640" s="4">
        <v>34402</v>
      </c>
      <c r="B640" s="21">
        <v>1.1439999999999999</v>
      </c>
      <c r="C640" s="22">
        <v>105.8</v>
      </c>
      <c r="D640" s="22">
        <v>6.3680000000000003</v>
      </c>
      <c r="E640" s="10">
        <v>6.31</v>
      </c>
      <c r="F640" s="22">
        <v>4.2770000000000001</v>
      </c>
      <c r="G640" s="22">
        <v>467.05999800000001</v>
      </c>
      <c r="H640" s="22">
        <v>2118.01001</v>
      </c>
      <c r="I640" s="18">
        <v>19839.179690000001</v>
      </c>
    </row>
    <row r="641" spans="1:9" x14ac:dyDescent="0.2">
      <c r="A641" s="4">
        <v>34403</v>
      </c>
      <c r="B641" s="21">
        <v>1.1557999999999999</v>
      </c>
      <c r="C641" s="22">
        <v>105.3</v>
      </c>
      <c r="D641" s="22">
        <v>6.4740000000000002</v>
      </c>
      <c r="E641" s="10">
        <v>6.25</v>
      </c>
      <c r="F641" s="22">
        <v>4.2539999999999996</v>
      </c>
      <c r="G641" s="22">
        <v>463.89999399999999</v>
      </c>
      <c r="H641" s="22">
        <v>2124.51001</v>
      </c>
      <c r="I641" s="18">
        <v>20090.710940000001</v>
      </c>
    </row>
    <row r="642" spans="1:9" x14ac:dyDescent="0.2">
      <c r="A642" s="4">
        <v>34404</v>
      </c>
      <c r="B642" s="21">
        <v>1.1633</v>
      </c>
      <c r="C642" s="22">
        <v>105.06</v>
      </c>
      <c r="D642" s="22">
        <v>6.452</v>
      </c>
      <c r="E642" s="10">
        <v>6.31</v>
      </c>
      <c r="F642" s="22">
        <v>4.194</v>
      </c>
      <c r="G642" s="22">
        <v>466.44000199999999</v>
      </c>
      <c r="H642" s="22">
        <v>2101.889893</v>
      </c>
      <c r="I642" s="18">
        <v>20115.310549999998</v>
      </c>
    </row>
    <row r="643" spans="1:9" x14ac:dyDescent="0.2">
      <c r="A643" s="4">
        <v>34407</v>
      </c>
      <c r="B643" s="21">
        <v>1.1569</v>
      </c>
      <c r="C643" s="22">
        <v>106.2</v>
      </c>
      <c r="D643" s="22">
        <v>6.4790000000000001</v>
      </c>
      <c r="E643" s="10">
        <v>6.21</v>
      </c>
      <c r="F643" s="22">
        <v>4.1630000000000003</v>
      </c>
      <c r="G643" s="22">
        <v>467.39001500000001</v>
      </c>
      <c r="H643" s="22">
        <v>2169.3999020000001</v>
      </c>
      <c r="I643" s="18">
        <v>20526.150389999999</v>
      </c>
    </row>
    <row r="644" spans="1:9" x14ac:dyDescent="0.2">
      <c r="A644" s="4">
        <v>34408</v>
      </c>
      <c r="B644" s="21">
        <v>1.1526000000000001</v>
      </c>
      <c r="C644" s="22">
        <v>106.15</v>
      </c>
      <c r="D644" s="22">
        <v>6.4569999999999999</v>
      </c>
      <c r="E644" s="10">
        <v>6.16</v>
      </c>
      <c r="F644" s="22">
        <v>4.181</v>
      </c>
      <c r="G644" s="22">
        <v>467.01001000000002</v>
      </c>
      <c r="H644" s="22">
        <v>2178.9099120000001</v>
      </c>
      <c r="I644" s="18">
        <v>20508.849610000001</v>
      </c>
    </row>
    <row r="645" spans="1:9" x14ac:dyDescent="0.2">
      <c r="A645" s="4">
        <v>34409</v>
      </c>
      <c r="B645" s="21">
        <v>1.1558999999999999</v>
      </c>
      <c r="C645" s="22">
        <v>106.01</v>
      </c>
      <c r="D645" s="22">
        <v>6.3769999999999998</v>
      </c>
      <c r="E645" s="10">
        <v>6.13</v>
      </c>
      <c r="F645" s="22">
        <v>4.226</v>
      </c>
      <c r="G645" s="22">
        <v>469.42001299999998</v>
      </c>
      <c r="H645" s="22">
        <v>2168.110107</v>
      </c>
      <c r="I645" s="18">
        <v>20677.769530000001</v>
      </c>
    </row>
    <row r="646" spans="1:9" x14ac:dyDescent="0.2">
      <c r="A646" s="4">
        <v>34410</v>
      </c>
      <c r="B646" s="21">
        <v>1.1624000000000001</v>
      </c>
      <c r="C646" s="22">
        <v>105.81</v>
      </c>
      <c r="D646" s="22">
        <v>6.3819999999999997</v>
      </c>
      <c r="E646" s="10">
        <v>6.13</v>
      </c>
      <c r="F646" s="22">
        <v>4.1219999999999999</v>
      </c>
      <c r="G646" s="22">
        <v>470.89999399999999</v>
      </c>
      <c r="H646" s="22">
        <v>2160.4499510000001</v>
      </c>
      <c r="I646" s="18">
        <v>20592.160159999999</v>
      </c>
    </row>
    <row r="647" spans="1:9" x14ac:dyDescent="0.2">
      <c r="A647" s="4">
        <v>34411</v>
      </c>
      <c r="B647" s="21">
        <v>1.1511</v>
      </c>
      <c r="C647" s="22">
        <v>106.16</v>
      </c>
      <c r="D647" s="22">
        <v>6.4790000000000001</v>
      </c>
      <c r="E647" s="10">
        <v>6.26</v>
      </c>
      <c r="F647" s="22">
        <v>4.508</v>
      </c>
      <c r="G647" s="22">
        <v>471.05999800000001</v>
      </c>
      <c r="H647" s="22">
        <v>2140.389893</v>
      </c>
      <c r="I647" s="18">
        <v>20469.449219999999</v>
      </c>
    </row>
    <row r="648" spans="1:9" x14ac:dyDescent="0.2">
      <c r="A648" s="4">
        <v>34414</v>
      </c>
      <c r="B648" s="21">
        <v>1.1501999999999999</v>
      </c>
      <c r="C648" s="22">
        <v>106.11</v>
      </c>
      <c r="D648" s="22">
        <v>6.5369999999999999</v>
      </c>
      <c r="E648" s="10">
        <v>6.39</v>
      </c>
      <c r="F648" s="22">
        <v>4.5090000000000003</v>
      </c>
      <c r="G648" s="22">
        <v>468.540009</v>
      </c>
      <c r="H648" s="22">
        <v>2130.5500489999999</v>
      </c>
      <c r="I648" s="18">
        <v>20469.449219999999</v>
      </c>
    </row>
    <row r="649" spans="1:9" x14ac:dyDescent="0.2">
      <c r="A649" s="4">
        <v>34415</v>
      </c>
      <c r="B649" s="21">
        <v>1.155</v>
      </c>
      <c r="C649" s="22">
        <v>106</v>
      </c>
      <c r="D649" s="22">
        <v>6.4349999999999996</v>
      </c>
      <c r="E649" s="10">
        <v>6.34</v>
      </c>
      <c r="F649" s="22">
        <v>4.673</v>
      </c>
      <c r="G649" s="22">
        <v>468.79998799999998</v>
      </c>
      <c r="H649" s="22">
        <v>2141.6999510000001</v>
      </c>
      <c r="I649" s="18">
        <v>20253.529299999998</v>
      </c>
    </row>
    <row r="650" spans="1:9" x14ac:dyDescent="0.2">
      <c r="A650" s="4">
        <v>34416</v>
      </c>
      <c r="B650" s="21">
        <v>1.1577</v>
      </c>
      <c r="C650" s="22">
        <v>106.31</v>
      </c>
      <c r="D650" s="22">
        <v>6.4180000000000001</v>
      </c>
      <c r="E650" s="10">
        <v>6.29</v>
      </c>
      <c r="F650" s="22">
        <v>4.593</v>
      </c>
      <c r="G650" s="22">
        <v>468.540009</v>
      </c>
      <c r="H650" s="22">
        <v>2162.959961</v>
      </c>
      <c r="I650" s="18">
        <v>19962.099610000001</v>
      </c>
    </row>
    <row r="651" spans="1:9" x14ac:dyDescent="0.2">
      <c r="A651" s="4">
        <v>34417</v>
      </c>
      <c r="B651" s="21">
        <v>1.1647000000000001</v>
      </c>
      <c r="C651" s="22">
        <v>104.51</v>
      </c>
      <c r="D651" s="22">
        <v>6.569</v>
      </c>
      <c r="E651" s="10">
        <v>6.28</v>
      </c>
      <c r="F651" s="22">
        <v>4.5380000000000003</v>
      </c>
      <c r="G651" s="22">
        <v>464.35000600000001</v>
      </c>
      <c r="H651" s="22">
        <v>2144.360107</v>
      </c>
      <c r="I651" s="18">
        <v>20037.900389999999</v>
      </c>
    </row>
    <row r="652" spans="1:9" x14ac:dyDescent="0.2">
      <c r="A652" s="4">
        <v>34418</v>
      </c>
      <c r="B652" s="21">
        <v>1.1688000000000001</v>
      </c>
      <c r="C652" s="22">
        <v>104.81</v>
      </c>
      <c r="D652" s="22">
        <v>6.5919999999999996</v>
      </c>
      <c r="E652" s="10">
        <v>6.38</v>
      </c>
      <c r="F652" s="22">
        <v>4.5140000000000002</v>
      </c>
      <c r="G652" s="22">
        <v>460.57998700000002</v>
      </c>
      <c r="H652" s="22">
        <v>2144</v>
      </c>
      <c r="I652" s="18">
        <v>19836.480469999999</v>
      </c>
    </row>
    <row r="653" spans="1:9" x14ac:dyDescent="0.2">
      <c r="A653" s="4">
        <v>34421</v>
      </c>
      <c r="B653" s="21">
        <v>1.1677999999999999</v>
      </c>
      <c r="C653" s="22">
        <v>104.06</v>
      </c>
      <c r="D653" s="22">
        <v>6.6059999999999999</v>
      </c>
      <c r="E653" s="10">
        <v>6.33</v>
      </c>
      <c r="F653" s="22">
        <v>4.49</v>
      </c>
      <c r="G653" s="22">
        <v>460</v>
      </c>
      <c r="H653" s="22">
        <v>2167.719971</v>
      </c>
      <c r="I653" s="18">
        <v>19941.789059999999</v>
      </c>
    </row>
    <row r="654" spans="1:9" x14ac:dyDescent="0.2">
      <c r="A654" s="4">
        <v>34422</v>
      </c>
      <c r="B654" s="21">
        <v>1.1712</v>
      </c>
      <c r="C654" s="22">
        <v>103.09</v>
      </c>
      <c r="D654" s="22">
        <v>6.7009999999999996</v>
      </c>
      <c r="E654" s="10">
        <v>6.29</v>
      </c>
      <c r="F654" s="22">
        <v>4.04</v>
      </c>
      <c r="G654" s="22">
        <v>452.48001099999999</v>
      </c>
      <c r="H654" s="22">
        <v>2162.820068</v>
      </c>
      <c r="I654" s="18">
        <v>19709.740229999999</v>
      </c>
    </row>
    <row r="655" spans="1:9" x14ac:dyDescent="0.2">
      <c r="A655" s="4">
        <v>34423</v>
      </c>
      <c r="B655" s="21">
        <v>1.1646000000000001</v>
      </c>
      <c r="C655" s="22">
        <v>102.96</v>
      </c>
      <c r="D655" s="22">
        <v>6.7649999999999997</v>
      </c>
      <c r="E655" s="10">
        <v>6.35</v>
      </c>
      <c r="F655" s="22">
        <v>4.3730000000000002</v>
      </c>
      <c r="G655" s="22">
        <v>445.54998799999998</v>
      </c>
      <c r="H655" s="22">
        <v>2151.8400879999999</v>
      </c>
      <c r="I655" s="18">
        <v>19559.910159999999</v>
      </c>
    </row>
    <row r="656" spans="1:9" x14ac:dyDescent="0.2">
      <c r="A656" s="4">
        <v>34424</v>
      </c>
      <c r="B656" s="21">
        <v>1.1737</v>
      </c>
      <c r="C656" s="22">
        <v>102.75</v>
      </c>
      <c r="D656" s="22">
        <v>6.774</v>
      </c>
      <c r="E656" s="10">
        <v>6.3</v>
      </c>
      <c r="F656" s="22">
        <v>4.2489999999999997</v>
      </c>
      <c r="G656" s="22">
        <v>445.76998900000001</v>
      </c>
      <c r="H656" s="22">
        <v>2142.8798830000001</v>
      </c>
      <c r="I656" s="18">
        <v>19111.91992</v>
      </c>
    </row>
    <row r="657" spans="1:9" x14ac:dyDescent="0.2">
      <c r="A657" s="4">
        <v>34425</v>
      </c>
      <c r="B657" s="21">
        <v>1.1536999999999999</v>
      </c>
      <c r="C657" s="22">
        <v>103.6</v>
      </c>
      <c r="D657" s="22">
        <v>6.774</v>
      </c>
      <c r="E657" s="10">
        <v>6.36</v>
      </c>
      <c r="F657" s="22">
        <v>4.25</v>
      </c>
      <c r="G657" s="22">
        <v>447.1</v>
      </c>
      <c r="H657" s="22">
        <v>2142.8798830000001</v>
      </c>
      <c r="I657" s="18">
        <v>19277.160159999999</v>
      </c>
    </row>
    <row r="658" spans="1:9" x14ac:dyDescent="0.2">
      <c r="A658" s="4">
        <v>34428</v>
      </c>
      <c r="B658" s="21">
        <v>1.1514</v>
      </c>
      <c r="C658" s="22">
        <v>103.24</v>
      </c>
      <c r="D658" s="22">
        <v>7.1520000000000001</v>
      </c>
      <c r="E658" s="10">
        <v>6.36</v>
      </c>
      <c r="F658" s="22">
        <v>4.2309999999999999</v>
      </c>
      <c r="G658" s="22">
        <v>438.92001299999998</v>
      </c>
      <c r="H658" s="22">
        <v>2142.8798830000001</v>
      </c>
      <c r="I658" s="18">
        <v>19122.220700000002</v>
      </c>
    </row>
    <row r="659" spans="1:9" x14ac:dyDescent="0.2">
      <c r="A659" s="4">
        <v>34429</v>
      </c>
      <c r="B659" s="21">
        <v>1.1501999999999999</v>
      </c>
      <c r="C659" s="22">
        <v>104.36</v>
      </c>
      <c r="D659" s="22">
        <v>6.95</v>
      </c>
      <c r="E659" s="10">
        <v>6.38</v>
      </c>
      <c r="F659" s="22">
        <v>4.2119999999999997</v>
      </c>
      <c r="G659" s="22">
        <v>448.290009</v>
      </c>
      <c r="H659" s="22">
        <v>2177.0900879999999</v>
      </c>
      <c r="I659" s="18">
        <v>19563.210940000001</v>
      </c>
    </row>
    <row r="660" spans="1:9" x14ac:dyDescent="0.2">
      <c r="A660" s="4">
        <v>34430</v>
      </c>
      <c r="B660" s="21">
        <v>1.1435999999999999</v>
      </c>
      <c r="C660" s="22">
        <v>104.51</v>
      </c>
      <c r="D660" s="22">
        <v>6.9039999999999999</v>
      </c>
      <c r="E660" s="10">
        <v>6.28</v>
      </c>
      <c r="F660" s="22">
        <v>4.2649999999999997</v>
      </c>
      <c r="G660" s="22">
        <v>448.04998799999998</v>
      </c>
      <c r="H660" s="22">
        <v>2184.889893</v>
      </c>
      <c r="I660" s="18">
        <v>19696.740229999999</v>
      </c>
    </row>
    <row r="661" spans="1:9" x14ac:dyDescent="0.2">
      <c r="A661" s="4">
        <v>34431</v>
      </c>
      <c r="B661" s="21">
        <v>1.1437999999999999</v>
      </c>
      <c r="C661" s="22">
        <v>104.95</v>
      </c>
      <c r="D661" s="22">
        <v>6.8490000000000002</v>
      </c>
      <c r="E661" s="10">
        <v>6.28</v>
      </c>
      <c r="F661" s="22">
        <v>4.2880000000000003</v>
      </c>
      <c r="G661" s="22">
        <v>450.88000499999998</v>
      </c>
      <c r="H661" s="22">
        <v>2202.570068</v>
      </c>
      <c r="I661" s="18">
        <v>19890.980469999999</v>
      </c>
    </row>
    <row r="662" spans="1:9" x14ac:dyDescent="0.2">
      <c r="A662" s="4">
        <v>34432</v>
      </c>
      <c r="B662" s="21">
        <v>1.1468</v>
      </c>
      <c r="C662" s="22">
        <v>105.26</v>
      </c>
      <c r="D662" s="22">
        <v>6.9329999999999998</v>
      </c>
      <c r="E662" s="10">
        <v>6.27</v>
      </c>
      <c r="F662" s="22">
        <v>4.3390000000000004</v>
      </c>
      <c r="G662" s="22">
        <v>447.10000600000001</v>
      </c>
      <c r="H662" s="22">
        <v>2203.179932</v>
      </c>
      <c r="I662" s="18">
        <v>19934.990229999999</v>
      </c>
    </row>
    <row r="663" spans="1:9" x14ac:dyDescent="0.2">
      <c r="A663" s="4">
        <v>34435</v>
      </c>
      <c r="B663" s="21">
        <v>1.1508</v>
      </c>
      <c r="C663" s="22">
        <v>103.41</v>
      </c>
      <c r="D663" s="22">
        <v>6.91</v>
      </c>
      <c r="E663" s="10">
        <v>6.26</v>
      </c>
      <c r="F663" s="22">
        <v>4.3780000000000001</v>
      </c>
      <c r="G663" s="22">
        <v>449.86999500000002</v>
      </c>
      <c r="H663" s="22">
        <v>2224.8500979999999</v>
      </c>
      <c r="I663" s="18">
        <v>19898.08008</v>
      </c>
    </row>
    <row r="664" spans="1:9" x14ac:dyDescent="0.2">
      <c r="A664" s="4">
        <v>34436</v>
      </c>
      <c r="B664" s="21">
        <v>1.1437999999999999</v>
      </c>
      <c r="C664" s="22">
        <v>103.56</v>
      </c>
      <c r="D664" s="22">
        <v>6.85</v>
      </c>
      <c r="E664" s="10">
        <v>6.22</v>
      </c>
      <c r="F664" s="22">
        <v>4.3259999999999996</v>
      </c>
      <c r="G664" s="22">
        <v>447.57000699999998</v>
      </c>
      <c r="H664" s="22">
        <v>2211.1899410000001</v>
      </c>
      <c r="I664" s="18">
        <v>19648.33008</v>
      </c>
    </row>
    <row r="665" spans="1:9" x14ac:dyDescent="0.2">
      <c r="A665" s="4">
        <v>34437</v>
      </c>
      <c r="B665" s="21">
        <v>1.1471</v>
      </c>
      <c r="C665" s="22">
        <v>103.36</v>
      </c>
      <c r="D665" s="22">
        <v>6.915</v>
      </c>
      <c r="E665" s="10">
        <v>6.26</v>
      </c>
      <c r="F665" s="22">
        <v>4.3070000000000004</v>
      </c>
      <c r="G665" s="22">
        <v>446.26001000000002</v>
      </c>
      <c r="H665" s="22">
        <v>2215.1899410000001</v>
      </c>
      <c r="I665" s="18">
        <v>20060.410159999999</v>
      </c>
    </row>
    <row r="666" spans="1:9" x14ac:dyDescent="0.2">
      <c r="A666" s="4">
        <v>34438</v>
      </c>
      <c r="B666" s="21">
        <v>1.1493</v>
      </c>
      <c r="C666" s="22">
        <v>104.28</v>
      </c>
      <c r="D666" s="22">
        <v>6.9610000000000003</v>
      </c>
      <c r="E666" s="10">
        <v>6.32</v>
      </c>
      <c r="F666" s="22">
        <v>4.298</v>
      </c>
      <c r="G666" s="22">
        <v>446.38000499999998</v>
      </c>
      <c r="H666" s="22">
        <v>2198.23999</v>
      </c>
      <c r="I666" s="18">
        <v>19987.199219999999</v>
      </c>
    </row>
    <row r="667" spans="1:9" x14ac:dyDescent="0.2">
      <c r="A667" s="4">
        <v>34439</v>
      </c>
      <c r="B667" s="21">
        <v>1.1464000000000001</v>
      </c>
      <c r="C667" s="22">
        <v>103.45</v>
      </c>
      <c r="D667" s="22">
        <v>6.9480000000000004</v>
      </c>
      <c r="E667" s="10">
        <v>6.32</v>
      </c>
      <c r="F667" s="22">
        <v>4.2750000000000004</v>
      </c>
      <c r="G667" s="22">
        <v>446.17999300000002</v>
      </c>
      <c r="H667" s="22">
        <v>2211.919922</v>
      </c>
      <c r="I667" s="18">
        <v>20164.630860000001</v>
      </c>
    </row>
    <row r="668" spans="1:9" x14ac:dyDescent="0.2">
      <c r="A668" s="4">
        <v>34442</v>
      </c>
      <c r="B668" s="21">
        <v>1.1413</v>
      </c>
      <c r="C668" s="22">
        <v>103.2</v>
      </c>
      <c r="D668" s="22">
        <v>7.117</v>
      </c>
      <c r="E668" s="10">
        <v>6.37</v>
      </c>
      <c r="F668" s="22">
        <v>4.2469999999999999</v>
      </c>
      <c r="G668" s="22">
        <v>442.459991</v>
      </c>
      <c r="H668" s="22">
        <v>2218.3701169999999</v>
      </c>
      <c r="I668" s="18">
        <v>20277.359380000002</v>
      </c>
    </row>
    <row r="669" spans="1:9" x14ac:dyDescent="0.2">
      <c r="A669" s="4">
        <v>34443</v>
      </c>
      <c r="B669" s="21">
        <v>1.153</v>
      </c>
      <c r="C669" s="22">
        <v>103.06</v>
      </c>
      <c r="D669" s="22">
        <v>7.085</v>
      </c>
      <c r="E669" s="10">
        <v>6.54</v>
      </c>
      <c r="F669" s="22">
        <v>4.3310000000000004</v>
      </c>
      <c r="G669" s="22">
        <v>442.540009</v>
      </c>
      <c r="H669" s="22">
        <v>2193.889893</v>
      </c>
      <c r="I669" s="18">
        <v>20192.339840000001</v>
      </c>
    </row>
    <row r="670" spans="1:9" x14ac:dyDescent="0.2">
      <c r="A670" s="4">
        <v>34444</v>
      </c>
      <c r="B670" s="21">
        <v>1.1565000000000001</v>
      </c>
      <c r="C670" s="22">
        <v>103.11</v>
      </c>
      <c r="D670" s="22">
        <v>7.0419999999999998</v>
      </c>
      <c r="E670" s="10">
        <v>6.59</v>
      </c>
      <c r="F670" s="22">
        <v>4.3140000000000001</v>
      </c>
      <c r="G670" s="22">
        <v>441.959991</v>
      </c>
      <c r="H670" s="22">
        <v>2194.0900879999999</v>
      </c>
      <c r="I670" s="18">
        <v>19882.179690000001</v>
      </c>
    </row>
    <row r="671" spans="1:9" x14ac:dyDescent="0.2">
      <c r="A671" s="4">
        <v>34445</v>
      </c>
      <c r="B671" s="21">
        <v>1.1617999999999999</v>
      </c>
      <c r="C671" s="22">
        <v>103.61</v>
      </c>
      <c r="D671" s="22">
        <v>6.8840000000000003</v>
      </c>
      <c r="E671" s="10">
        <v>6.64</v>
      </c>
      <c r="F671" s="22">
        <v>4.2619999999999996</v>
      </c>
      <c r="G671" s="22">
        <v>448.73001099999999</v>
      </c>
      <c r="H671" s="22">
        <v>2194.4099120000001</v>
      </c>
      <c r="I671" s="18">
        <v>19799.359380000002</v>
      </c>
    </row>
    <row r="672" spans="1:9" x14ac:dyDescent="0.2">
      <c r="A672" s="4">
        <v>34446</v>
      </c>
      <c r="B672" s="21">
        <v>1.1584000000000001</v>
      </c>
      <c r="C672" s="22">
        <v>103.26</v>
      </c>
      <c r="D672" s="22">
        <v>6.9119999999999999</v>
      </c>
      <c r="E672" s="10">
        <v>6.55</v>
      </c>
      <c r="F672" s="22">
        <v>4.2569999999999997</v>
      </c>
      <c r="G672" s="22">
        <v>447.63000499999998</v>
      </c>
      <c r="H672" s="22">
        <v>2218.1298830000001</v>
      </c>
      <c r="I672" s="18">
        <v>19964.390630000002</v>
      </c>
    </row>
    <row r="673" spans="1:9" x14ac:dyDescent="0.2">
      <c r="A673" s="4">
        <v>34449</v>
      </c>
      <c r="B673" s="21">
        <v>1.1673</v>
      </c>
      <c r="C673" s="22">
        <v>103.16</v>
      </c>
      <c r="D673" s="22">
        <v>6.8570000000000002</v>
      </c>
      <c r="E673" s="10">
        <v>6.65</v>
      </c>
      <c r="F673" s="22">
        <v>4.2389999999999999</v>
      </c>
      <c r="G673" s="22">
        <v>452.709991</v>
      </c>
      <c r="H673" s="22">
        <v>2208.679932</v>
      </c>
      <c r="I673" s="18">
        <v>19709.140630000002</v>
      </c>
    </row>
    <row r="674" spans="1:9" x14ac:dyDescent="0.2">
      <c r="A674" s="4">
        <v>34450</v>
      </c>
      <c r="B674" s="21">
        <v>1.1667000000000001</v>
      </c>
      <c r="C674" s="22">
        <v>102.81</v>
      </c>
      <c r="D674" s="22">
        <v>6.8289999999999997</v>
      </c>
      <c r="E674" s="10">
        <v>6.64</v>
      </c>
      <c r="F674" s="22">
        <v>4.3049999999999997</v>
      </c>
      <c r="G674" s="22">
        <v>451.86999500000002</v>
      </c>
      <c r="H674" s="22">
        <v>2241.360107</v>
      </c>
      <c r="I674" s="18">
        <v>19628.929690000001</v>
      </c>
    </row>
    <row r="675" spans="1:9" x14ac:dyDescent="0.2">
      <c r="A675" s="4">
        <v>34451</v>
      </c>
      <c r="B675" s="21">
        <v>1.1711</v>
      </c>
      <c r="C675" s="22">
        <v>102.35</v>
      </c>
      <c r="D675" s="22">
        <v>6.8289999999999997</v>
      </c>
      <c r="E675" s="10">
        <v>6.58</v>
      </c>
      <c r="F675" s="22">
        <v>4.2300000000000004</v>
      </c>
      <c r="G675" s="22">
        <v>451.72</v>
      </c>
      <c r="H675" s="22">
        <v>2256.9799800000001</v>
      </c>
      <c r="I675" s="18">
        <v>19729.150389999999</v>
      </c>
    </row>
    <row r="676" spans="1:9" x14ac:dyDescent="0.2">
      <c r="A676" s="4">
        <v>34452</v>
      </c>
      <c r="B676" s="21">
        <v>1.1745000000000001</v>
      </c>
      <c r="C676" s="22">
        <v>101.36</v>
      </c>
      <c r="D676" s="22">
        <v>7.016</v>
      </c>
      <c r="E676" s="10">
        <v>6.51</v>
      </c>
      <c r="F676" s="22">
        <v>4.202</v>
      </c>
      <c r="G676" s="22">
        <v>449.10000600000001</v>
      </c>
      <c r="H676" s="22">
        <v>2237.820068</v>
      </c>
      <c r="I676" s="18">
        <v>19725.25</v>
      </c>
    </row>
    <row r="677" spans="1:9" x14ac:dyDescent="0.2">
      <c r="A677" s="4">
        <v>34453</v>
      </c>
      <c r="B677" s="21">
        <v>1.1839999999999999</v>
      </c>
      <c r="C677" s="22">
        <v>101.7</v>
      </c>
      <c r="D677" s="22">
        <v>7.0350000000000001</v>
      </c>
      <c r="E677" s="10">
        <v>6.63</v>
      </c>
      <c r="F677" s="22">
        <v>4.202</v>
      </c>
      <c r="G677" s="22">
        <v>450.91000400000001</v>
      </c>
      <c r="H677" s="22">
        <v>2252.51001</v>
      </c>
      <c r="I677" s="18">
        <v>19725.25</v>
      </c>
    </row>
    <row r="678" spans="1:9" x14ac:dyDescent="0.2">
      <c r="A678" s="4">
        <v>34456</v>
      </c>
      <c r="B678" s="21">
        <v>1.1852</v>
      </c>
      <c r="C678" s="22">
        <v>101.67</v>
      </c>
      <c r="D678" s="22">
        <v>7.0780000000000003</v>
      </c>
      <c r="E678" s="10">
        <v>6.54</v>
      </c>
      <c r="F678" s="22">
        <v>4.1790000000000003</v>
      </c>
      <c r="G678" s="22">
        <v>453.01998900000001</v>
      </c>
      <c r="H678" s="22">
        <v>2266.719971</v>
      </c>
      <c r="I678" s="18">
        <v>19570.210940000001</v>
      </c>
    </row>
    <row r="679" spans="1:9" x14ac:dyDescent="0.2">
      <c r="A679" s="4">
        <v>34457</v>
      </c>
      <c r="B679" s="21">
        <v>1.1900999999999999</v>
      </c>
      <c r="C679" s="22">
        <v>101</v>
      </c>
      <c r="D679" s="22">
        <v>7.1120000000000001</v>
      </c>
      <c r="E679" s="10">
        <v>6.58</v>
      </c>
      <c r="F679" s="22">
        <v>4.1559999999999997</v>
      </c>
      <c r="G679" s="22">
        <v>453.02999899999998</v>
      </c>
      <c r="H679" s="22">
        <v>2261.709961</v>
      </c>
      <c r="I679" s="18">
        <v>19570.210940000001</v>
      </c>
    </row>
    <row r="680" spans="1:9" x14ac:dyDescent="0.2">
      <c r="A680" s="4">
        <v>34458</v>
      </c>
      <c r="B680" s="21">
        <v>1.1780999999999999</v>
      </c>
      <c r="C680" s="22">
        <v>101.86</v>
      </c>
      <c r="D680" s="22">
        <v>7.1360000000000001</v>
      </c>
      <c r="E680" s="10">
        <v>6.61</v>
      </c>
      <c r="F680" s="22">
        <v>4.1559999999999997</v>
      </c>
      <c r="G680" s="22">
        <v>451.72000100000002</v>
      </c>
      <c r="H680" s="22">
        <v>2241.8500979999999</v>
      </c>
      <c r="I680" s="18">
        <v>19570.210940000001</v>
      </c>
    </row>
    <row r="681" spans="1:9" x14ac:dyDescent="0.2">
      <c r="A681" s="4">
        <v>34459</v>
      </c>
      <c r="B681" s="21">
        <v>1.1737</v>
      </c>
      <c r="C681" s="22">
        <v>102.9</v>
      </c>
      <c r="D681" s="22">
        <v>7.093</v>
      </c>
      <c r="E681" s="10">
        <v>6.72</v>
      </c>
      <c r="F681" s="22">
        <v>4.1559999999999997</v>
      </c>
      <c r="G681" s="22">
        <v>451.38000499999998</v>
      </c>
      <c r="H681" s="22">
        <v>2249.780029</v>
      </c>
      <c r="I681" s="18">
        <v>19570.210940000001</v>
      </c>
    </row>
    <row r="682" spans="1:9" x14ac:dyDescent="0.2">
      <c r="A682" s="4">
        <v>34460</v>
      </c>
      <c r="B682" s="21">
        <v>1.1758</v>
      </c>
      <c r="C682" s="22">
        <v>102.41</v>
      </c>
      <c r="D682" s="22">
        <v>7.3339999999999996</v>
      </c>
      <c r="E682" s="10">
        <v>6.72</v>
      </c>
      <c r="F682" s="22">
        <v>4.2069999999999999</v>
      </c>
      <c r="G682" s="22">
        <v>447.82000699999998</v>
      </c>
      <c r="H682" s="22">
        <v>2233.5500489999999</v>
      </c>
      <c r="I682" s="18">
        <v>19862.470700000002</v>
      </c>
    </row>
    <row r="683" spans="1:9" x14ac:dyDescent="0.2">
      <c r="A683" s="4">
        <v>34463</v>
      </c>
      <c r="B683" s="21">
        <v>1.1825000000000001</v>
      </c>
      <c r="C683" s="22">
        <v>102.71</v>
      </c>
      <c r="D683" s="22">
        <v>7.4749999999999996</v>
      </c>
      <c r="E683" s="10">
        <v>6.75</v>
      </c>
      <c r="F683" s="22">
        <v>4.1980000000000004</v>
      </c>
      <c r="G683" s="22">
        <v>442.32000699999998</v>
      </c>
      <c r="H683" s="22">
        <v>2218.7700199999999</v>
      </c>
      <c r="I683" s="18">
        <v>19786.960940000001</v>
      </c>
    </row>
    <row r="684" spans="1:9" x14ac:dyDescent="0.2">
      <c r="A684" s="4">
        <v>34464</v>
      </c>
      <c r="B684" s="21">
        <v>1.1742999999999999</v>
      </c>
      <c r="C684" s="22">
        <v>104.46</v>
      </c>
      <c r="D684" s="22">
        <v>7.2809999999999997</v>
      </c>
      <c r="E684" s="10">
        <v>6.63</v>
      </c>
      <c r="F684" s="22">
        <v>4.1980000000000004</v>
      </c>
      <c r="G684" s="22">
        <v>446.01001000000002</v>
      </c>
      <c r="H684" s="22">
        <v>2241.3400879999999</v>
      </c>
      <c r="I684" s="18">
        <v>19917.779299999998</v>
      </c>
    </row>
    <row r="685" spans="1:9" x14ac:dyDescent="0.2">
      <c r="A685" s="4">
        <v>34465</v>
      </c>
      <c r="B685" s="21">
        <v>1.1707000000000001</v>
      </c>
      <c r="C685" s="22">
        <v>104.31</v>
      </c>
      <c r="D685" s="22">
        <v>7.4119999999999999</v>
      </c>
      <c r="E685" s="10">
        <v>6.59</v>
      </c>
      <c r="F685" s="22">
        <v>4.1980000000000004</v>
      </c>
      <c r="G685" s="22">
        <v>441.48998999999998</v>
      </c>
      <c r="H685" s="22">
        <v>2248.0200199999999</v>
      </c>
      <c r="I685" s="18">
        <v>20150.130860000001</v>
      </c>
    </row>
    <row r="686" spans="1:9" x14ac:dyDescent="0.2">
      <c r="A686" s="4">
        <v>34466</v>
      </c>
      <c r="B686" s="21">
        <v>1.173</v>
      </c>
      <c r="C686" s="22">
        <v>104.31</v>
      </c>
      <c r="D686" s="22">
        <v>7.3479999999999999</v>
      </c>
      <c r="E686" s="10">
        <v>6.59</v>
      </c>
      <c r="F686" s="22">
        <v>4.133</v>
      </c>
      <c r="G686" s="22">
        <v>443.75</v>
      </c>
      <c r="H686" s="22">
        <v>2248.0200199999999</v>
      </c>
      <c r="I686" s="18">
        <v>20224.240229999999</v>
      </c>
    </row>
    <row r="687" spans="1:9" x14ac:dyDescent="0.2">
      <c r="A687" s="4">
        <v>34467</v>
      </c>
      <c r="B687" s="21">
        <v>1.1754</v>
      </c>
      <c r="C687" s="22">
        <v>104.95</v>
      </c>
      <c r="D687" s="22">
        <v>7.2770000000000001</v>
      </c>
      <c r="E687" s="10">
        <v>6.58</v>
      </c>
      <c r="F687" s="22">
        <v>4.0780000000000003</v>
      </c>
      <c r="G687" s="22">
        <v>444.14001500000001</v>
      </c>
      <c r="H687" s="22">
        <v>2257.330078</v>
      </c>
      <c r="I687" s="18">
        <v>20270.75</v>
      </c>
    </row>
    <row r="688" spans="1:9" x14ac:dyDescent="0.2">
      <c r="A688" s="4">
        <v>34470</v>
      </c>
      <c r="B688" s="21">
        <v>1.1697</v>
      </c>
      <c r="C688" s="22">
        <v>104.8</v>
      </c>
      <c r="D688" s="22">
        <v>7.2320000000000002</v>
      </c>
      <c r="E688" s="10">
        <v>6.54</v>
      </c>
      <c r="F688" s="22">
        <v>4.0419999999999998</v>
      </c>
      <c r="G688" s="22">
        <v>444.48998999999998</v>
      </c>
      <c r="H688" s="22">
        <v>2272.959961</v>
      </c>
      <c r="I688" s="18">
        <v>20188.439450000002</v>
      </c>
    </row>
    <row r="689" spans="1:9" x14ac:dyDescent="0.2">
      <c r="A689" s="4">
        <v>34471</v>
      </c>
      <c r="B689" s="21">
        <v>1.1748000000000001</v>
      </c>
      <c r="C689" s="22">
        <v>104.6</v>
      </c>
      <c r="D689" s="22">
        <v>7.0860000000000003</v>
      </c>
      <c r="E689" s="10">
        <v>6.54</v>
      </c>
      <c r="F689" s="22">
        <v>4.0469999999999997</v>
      </c>
      <c r="G689" s="22">
        <v>449.36999500000002</v>
      </c>
      <c r="H689" s="22">
        <v>2268.110107</v>
      </c>
      <c r="I689" s="18">
        <v>20133.529299999998</v>
      </c>
    </row>
    <row r="690" spans="1:9" x14ac:dyDescent="0.2">
      <c r="A690" s="4">
        <v>34472</v>
      </c>
      <c r="B690" s="21">
        <v>1.1815</v>
      </c>
      <c r="C690" s="22">
        <v>103.56</v>
      </c>
      <c r="D690" s="22">
        <v>7.016</v>
      </c>
      <c r="E690" s="10">
        <v>6.47</v>
      </c>
      <c r="F690" s="22">
        <v>3.9790000000000001</v>
      </c>
      <c r="G690" s="22">
        <v>453.69000199999999</v>
      </c>
      <c r="H690" s="22">
        <v>2254.209961</v>
      </c>
      <c r="I690" s="18">
        <v>20152.730469999999</v>
      </c>
    </row>
    <row r="691" spans="1:9" x14ac:dyDescent="0.2">
      <c r="A691" s="4">
        <v>34473</v>
      </c>
      <c r="B691" s="21">
        <v>1.1842999999999999</v>
      </c>
      <c r="C691" s="22">
        <v>104.33</v>
      </c>
      <c r="D691" s="22">
        <v>6.9470000000000001</v>
      </c>
      <c r="E691" s="10">
        <v>6.47</v>
      </c>
      <c r="F691" s="22">
        <v>3.9289999999999998</v>
      </c>
      <c r="G691" s="22">
        <v>456.48001099999999</v>
      </c>
      <c r="H691" s="22">
        <v>2245.790039</v>
      </c>
      <c r="I691" s="18">
        <v>20221.339840000001</v>
      </c>
    </row>
    <row r="692" spans="1:9" x14ac:dyDescent="0.2">
      <c r="A692" s="4">
        <v>34474</v>
      </c>
      <c r="B692" s="21">
        <v>1.1902999999999999</v>
      </c>
      <c r="C692" s="22">
        <v>104.3</v>
      </c>
      <c r="D692" s="22">
        <v>7.0119999999999996</v>
      </c>
      <c r="E692" s="10">
        <v>6.48</v>
      </c>
      <c r="F692" s="22">
        <v>3.9470000000000001</v>
      </c>
      <c r="G692" s="22">
        <v>454.92001299999998</v>
      </c>
      <c r="H692" s="22">
        <v>2238.969971</v>
      </c>
      <c r="I692" s="18">
        <v>20342.16992</v>
      </c>
    </row>
    <row r="693" spans="1:9" x14ac:dyDescent="0.2">
      <c r="A693" s="4">
        <v>34477</v>
      </c>
      <c r="B693" s="21">
        <v>1.1895</v>
      </c>
      <c r="C693" s="22">
        <v>104.4</v>
      </c>
      <c r="D693" s="22">
        <v>7.1790000000000003</v>
      </c>
      <c r="E693" s="10">
        <v>6.48</v>
      </c>
      <c r="F693" s="22">
        <v>4.0110000000000001</v>
      </c>
      <c r="G693" s="22">
        <v>453.20001200000002</v>
      </c>
      <c r="H693" s="22">
        <v>2238.969971</v>
      </c>
      <c r="I693" s="18">
        <v>20568.710940000001</v>
      </c>
    </row>
    <row r="694" spans="1:9" x14ac:dyDescent="0.2">
      <c r="A694" s="4">
        <v>34478</v>
      </c>
      <c r="B694" s="21">
        <v>1.1883999999999999</v>
      </c>
      <c r="C694" s="22">
        <v>104.72</v>
      </c>
      <c r="D694" s="22">
        <v>7.1479999999999997</v>
      </c>
      <c r="E694" s="10">
        <v>6.65</v>
      </c>
      <c r="F694" s="22">
        <v>4.0060000000000002</v>
      </c>
      <c r="G694" s="22">
        <v>454.80999800000001</v>
      </c>
      <c r="H694" s="22">
        <v>2188.01001</v>
      </c>
      <c r="I694" s="18">
        <v>20622.119139999999</v>
      </c>
    </row>
    <row r="695" spans="1:9" x14ac:dyDescent="0.2">
      <c r="A695" s="4">
        <v>34479</v>
      </c>
      <c r="B695" s="21">
        <v>1.1900999999999999</v>
      </c>
      <c r="C695" s="22">
        <v>104.4</v>
      </c>
      <c r="D695" s="22">
        <v>7.117</v>
      </c>
      <c r="E695" s="10">
        <v>6.67</v>
      </c>
      <c r="F695" s="22">
        <v>3.952</v>
      </c>
      <c r="G695" s="22">
        <v>456.33999599999999</v>
      </c>
      <c r="H695" s="22">
        <v>2137.5600589999999</v>
      </c>
      <c r="I695" s="18">
        <v>20663.630860000001</v>
      </c>
    </row>
    <row r="696" spans="1:9" x14ac:dyDescent="0.2">
      <c r="A696" s="4">
        <v>34480</v>
      </c>
      <c r="B696" s="21">
        <v>1.1901999999999999</v>
      </c>
      <c r="C696" s="22">
        <v>104.68</v>
      </c>
      <c r="D696" s="22">
        <v>7.0860000000000003</v>
      </c>
      <c r="E696" s="10">
        <v>6.79</v>
      </c>
      <c r="F696" s="22">
        <v>3.8929999999999998</v>
      </c>
      <c r="G696" s="22">
        <v>457.05999800000001</v>
      </c>
      <c r="H696" s="22">
        <v>2146</v>
      </c>
      <c r="I696" s="18">
        <v>20495.800780000001</v>
      </c>
    </row>
    <row r="697" spans="1:9" x14ac:dyDescent="0.2">
      <c r="A697" s="4">
        <v>34481</v>
      </c>
      <c r="B697" s="21">
        <v>1.1904999999999999</v>
      </c>
      <c r="C697" s="22">
        <v>104.3</v>
      </c>
      <c r="D697" s="22">
        <v>7.1070000000000002</v>
      </c>
      <c r="E697" s="10">
        <v>6.77</v>
      </c>
      <c r="F697" s="22">
        <v>3.8980000000000001</v>
      </c>
      <c r="G697" s="22">
        <v>457.32998700000002</v>
      </c>
      <c r="H697" s="22">
        <v>2112.8000489999999</v>
      </c>
      <c r="I697" s="18">
        <v>20777.160159999999</v>
      </c>
    </row>
    <row r="698" spans="1:9" x14ac:dyDescent="0.2">
      <c r="A698" s="4">
        <v>34484</v>
      </c>
      <c r="B698" s="21">
        <v>1.1904999999999999</v>
      </c>
      <c r="C698" s="22">
        <v>104.57</v>
      </c>
      <c r="D698" s="22">
        <v>7.1070000000000002</v>
      </c>
      <c r="E698" s="10">
        <v>6.82</v>
      </c>
      <c r="F698" s="22">
        <v>3.8980000000000001</v>
      </c>
      <c r="G698" s="22">
        <v>458.88</v>
      </c>
      <c r="H698" s="22">
        <v>2129.76001</v>
      </c>
      <c r="I698" s="18">
        <v>20838.970700000002</v>
      </c>
    </row>
    <row r="699" spans="1:9" x14ac:dyDescent="0.2">
      <c r="A699" s="4">
        <v>34485</v>
      </c>
      <c r="B699" s="21">
        <v>1.1909000000000001</v>
      </c>
      <c r="C699" s="22">
        <v>104.78</v>
      </c>
      <c r="D699" s="22">
        <v>7.1520000000000001</v>
      </c>
      <c r="E699" s="10">
        <v>6.94</v>
      </c>
      <c r="F699" s="22">
        <v>3.948</v>
      </c>
      <c r="G699" s="22">
        <v>456.5</v>
      </c>
      <c r="H699" s="22">
        <v>2137.3400879999999</v>
      </c>
      <c r="I699" s="18">
        <v>20973.589840000001</v>
      </c>
    </row>
    <row r="700" spans="1:9" x14ac:dyDescent="0.2">
      <c r="A700" s="4">
        <v>34486</v>
      </c>
      <c r="B700" s="21">
        <v>1.1909000000000001</v>
      </c>
      <c r="C700" s="22">
        <v>104.53</v>
      </c>
      <c r="D700" s="22">
        <v>7.1070000000000002</v>
      </c>
      <c r="E700" s="10">
        <v>7.04</v>
      </c>
      <c r="F700" s="22">
        <v>4.0570000000000004</v>
      </c>
      <c r="G700" s="22">
        <v>457.63000499999998</v>
      </c>
      <c r="H700" s="22">
        <v>2113.6201169999999</v>
      </c>
      <c r="I700" s="18">
        <v>21053.109380000002</v>
      </c>
    </row>
    <row r="701" spans="1:9" x14ac:dyDescent="0.2">
      <c r="A701" s="4">
        <v>34487</v>
      </c>
      <c r="B701" s="21">
        <v>1.1857</v>
      </c>
      <c r="C701" s="22">
        <v>104.85</v>
      </c>
      <c r="D701" s="22">
        <v>7.0590000000000002</v>
      </c>
      <c r="E701" s="10">
        <v>7.04</v>
      </c>
      <c r="F701" s="22">
        <v>4.1399999999999997</v>
      </c>
      <c r="G701" s="22">
        <v>457.64999399999999</v>
      </c>
      <c r="H701" s="22">
        <v>2113.6201169999999</v>
      </c>
      <c r="I701" s="18">
        <v>21009</v>
      </c>
    </row>
    <row r="702" spans="1:9" x14ac:dyDescent="0.2">
      <c r="A702" s="4">
        <v>34488</v>
      </c>
      <c r="B702" s="21">
        <v>1.1744000000000001</v>
      </c>
      <c r="C702" s="22">
        <v>105.45</v>
      </c>
      <c r="D702" s="22">
        <v>6.9630000000000001</v>
      </c>
      <c r="E702" s="10">
        <v>7.07</v>
      </c>
      <c r="F702" s="22">
        <v>4.2709999999999999</v>
      </c>
      <c r="G702" s="22">
        <v>460.13000499999998</v>
      </c>
      <c r="H702" s="22">
        <v>2158.8798830000001</v>
      </c>
      <c r="I702" s="18">
        <v>20954.189450000002</v>
      </c>
    </row>
    <row r="703" spans="1:9" x14ac:dyDescent="0.2">
      <c r="A703" s="4">
        <v>34491</v>
      </c>
      <c r="B703" s="21">
        <v>1.1733</v>
      </c>
      <c r="C703" s="22">
        <v>105.29</v>
      </c>
      <c r="D703" s="22">
        <v>6.8890000000000002</v>
      </c>
      <c r="E703" s="10">
        <v>6.93</v>
      </c>
      <c r="F703" s="22">
        <v>4.319</v>
      </c>
      <c r="G703" s="22">
        <v>458.88000499999998</v>
      </c>
      <c r="H703" s="22">
        <v>2163.5900879999999</v>
      </c>
      <c r="I703" s="18">
        <v>20726.650389999999</v>
      </c>
    </row>
    <row r="704" spans="1:9" x14ac:dyDescent="0.2">
      <c r="A704" s="4">
        <v>34492</v>
      </c>
      <c r="B704" s="21">
        <v>1.1736</v>
      </c>
      <c r="C704" s="22">
        <v>104.17</v>
      </c>
      <c r="D704" s="22">
        <v>6.9359999999999999</v>
      </c>
      <c r="E704" s="10">
        <v>7</v>
      </c>
      <c r="F704" s="22">
        <v>4.4340000000000002</v>
      </c>
      <c r="G704" s="22">
        <v>458.209991</v>
      </c>
      <c r="H704" s="22">
        <v>2131.8000489999999</v>
      </c>
      <c r="I704" s="18">
        <v>21042.710940000001</v>
      </c>
    </row>
    <row r="705" spans="1:9" x14ac:dyDescent="0.2">
      <c r="A705" s="4">
        <v>34493</v>
      </c>
      <c r="B705" s="21">
        <v>1.1733</v>
      </c>
      <c r="C705" s="22">
        <v>104</v>
      </c>
      <c r="D705" s="22">
        <v>6.9450000000000003</v>
      </c>
      <c r="E705" s="10">
        <v>6.96</v>
      </c>
      <c r="F705" s="22">
        <v>4.3810000000000002</v>
      </c>
      <c r="G705" s="22">
        <v>457.05999800000001</v>
      </c>
      <c r="H705" s="22">
        <v>2143.929932</v>
      </c>
      <c r="I705" s="18">
        <v>21261.949219999999</v>
      </c>
    </row>
    <row r="706" spans="1:9" x14ac:dyDescent="0.2">
      <c r="A706" s="4">
        <v>34494</v>
      </c>
      <c r="B706" s="21">
        <v>1.1726000000000001</v>
      </c>
      <c r="C706" s="22">
        <v>103.95</v>
      </c>
      <c r="D706" s="22">
        <v>6.9580000000000002</v>
      </c>
      <c r="E706" s="10">
        <v>6.92</v>
      </c>
      <c r="F706" s="22">
        <v>4.367</v>
      </c>
      <c r="G706" s="22">
        <v>457.85998499999999</v>
      </c>
      <c r="H706" s="22">
        <v>2131.139893</v>
      </c>
      <c r="I706" s="18">
        <v>21402.779299999998</v>
      </c>
    </row>
    <row r="707" spans="1:9" x14ac:dyDescent="0.2">
      <c r="A707" s="4">
        <v>34495</v>
      </c>
      <c r="B707" s="21">
        <v>1.1762999999999999</v>
      </c>
      <c r="C707" s="22">
        <v>103.6</v>
      </c>
      <c r="D707" s="22">
        <v>7.0140000000000002</v>
      </c>
      <c r="E707" s="10">
        <v>6.9</v>
      </c>
      <c r="F707" s="22">
        <v>4.32</v>
      </c>
      <c r="G707" s="22">
        <v>458.67001299999998</v>
      </c>
      <c r="H707" s="22">
        <v>2143.580078</v>
      </c>
      <c r="I707" s="18">
        <v>21395.179690000001</v>
      </c>
    </row>
    <row r="708" spans="1:9" x14ac:dyDescent="0.2">
      <c r="A708" s="4">
        <v>34498</v>
      </c>
      <c r="B708" s="21">
        <v>1.1871</v>
      </c>
      <c r="C708" s="22">
        <v>102.9</v>
      </c>
      <c r="D708" s="22">
        <v>7.0540000000000003</v>
      </c>
      <c r="E708" s="10">
        <v>6.95</v>
      </c>
      <c r="F708" s="22">
        <v>4.3959999999999999</v>
      </c>
      <c r="G708" s="22">
        <v>459.10000600000001</v>
      </c>
      <c r="H708" s="22">
        <v>2084.419922</v>
      </c>
      <c r="I708" s="18">
        <v>21552.810549999998</v>
      </c>
    </row>
    <row r="709" spans="1:9" x14ac:dyDescent="0.2">
      <c r="A709" s="4">
        <v>34499</v>
      </c>
      <c r="B709" s="21">
        <v>1.1900999999999999</v>
      </c>
      <c r="C709" s="22">
        <v>102.78</v>
      </c>
      <c r="D709" s="22">
        <v>6.9880000000000004</v>
      </c>
      <c r="E709" s="10">
        <v>7.09</v>
      </c>
      <c r="F709" s="22">
        <v>4.4109999999999996</v>
      </c>
      <c r="G709" s="22">
        <v>462.36999500000002</v>
      </c>
      <c r="H709" s="22">
        <v>2088.4399410000001</v>
      </c>
      <c r="I709" s="18">
        <v>21353.970700000002</v>
      </c>
    </row>
    <row r="710" spans="1:9" x14ac:dyDescent="0.2">
      <c r="A710" s="4">
        <v>34500</v>
      </c>
      <c r="B710" s="21">
        <v>1.1961999999999999</v>
      </c>
      <c r="C710" s="22">
        <v>102.8</v>
      </c>
      <c r="D710" s="22">
        <v>7.0759999999999996</v>
      </c>
      <c r="E710" s="10">
        <v>7.12</v>
      </c>
      <c r="F710" s="22">
        <v>4.3579999999999997</v>
      </c>
      <c r="G710" s="22">
        <v>460.60998499999999</v>
      </c>
      <c r="H710" s="22">
        <v>2073.209961</v>
      </c>
      <c r="I710" s="18">
        <v>21282.960940000001</v>
      </c>
    </row>
    <row r="711" spans="1:9" x14ac:dyDescent="0.2">
      <c r="A711" s="4">
        <v>34501</v>
      </c>
      <c r="B711" s="21">
        <v>1.1970000000000001</v>
      </c>
      <c r="C711" s="22">
        <v>103.5</v>
      </c>
      <c r="D711" s="22">
        <v>7.0579999999999998</v>
      </c>
      <c r="E711" s="10">
        <v>7.18</v>
      </c>
      <c r="F711" s="22">
        <v>4.3339999999999996</v>
      </c>
      <c r="G711" s="22">
        <v>461.92999300000002</v>
      </c>
      <c r="H711" s="22">
        <v>2047.290039</v>
      </c>
      <c r="I711" s="18">
        <v>21367.470700000002</v>
      </c>
    </row>
    <row r="712" spans="1:9" x14ac:dyDescent="0.2">
      <c r="A712" s="4">
        <v>34502</v>
      </c>
      <c r="B712" s="21">
        <v>1.1973</v>
      </c>
      <c r="C712" s="22">
        <v>102.75</v>
      </c>
      <c r="D712" s="22">
        <v>7.1189999999999998</v>
      </c>
      <c r="E712" s="10">
        <v>7.13</v>
      </c>
      <c r="F712" s="22">
        <v>4.5229999999999997</v>
      </c>
      <c r="G712" s="22">
        <v>458.45001200000002</v>
      </c>
      <c r="H712" s="22">
        <v>2031.8000489999999</v>
      </c>
      <c r="I712" s="18">
        <v>21503.300780000001</v>
      </c>
    </row>
    <row r="713" spans="1:9" x14ac:dyDescent="0.2">
      <c r="A713" s="4">
        <v>34505</v>
      </c>
      <c r="B713" s="21">
        <v>1.2189000000000001</v>
      </c>
      <c r="C713" s="22">
        <v>102.02</v>
      </c>
      <c r="D713" s="22">
        <v>7.1459999999999999</v>
      </c>
      <c r="E713" s="10">
        <v>7.31</v>
      </c>
      <c r="F713" s="22">
        <v>4.6470000000000002</v>
      </c>
      <c r="G713" s="22">
        <v>455.48001099999999</v>
      </c>
      <c r="H713" s="22">
        <v>1986.420044</v>
      </c>
      <c r="I713" s="18">
        <v>21152.029299999998</v>
      </c>
    </row>
    <row r="714" spans="1:9" x14ac:dyDescent="0.2">
      <c r="A714" s="4">
        <v>34506</v>
      </c>
      <c r="B714" s="21">
        <v>1.218</v>
      </c>
      <c r="C714" s="22">
        <v>100.3</v>
      </c>
      <c r="D714" s="22">
        <v>7.2039999999999997</v>
      </c>
      <c r="E714" s="10">
        <v>7.3</v>
      </c>
      <c r="F714" s="22">
        <v>4.5389999999999997</v>
      </c>
      <c r="G714" s="22">
        <v>451.33999599999999</v>
      </c>
      <c r="H714" s="22">
        <v>1957.079956</v>
      </c>
      <c r="I714" s="18">
        <v>20813.160159999999</v>
      </c>
    </row>
    <row r="715" spans="1:9" x14ac:dyDescent="0.2">
      <c r="A715" s="4">
        <v>34507</v>
      </c>
      <c r="B715" s="21">
        <v>1.2185999999999999</v>
      </c>
      <c r="C715" s="22">
        <v>101.2</v>
      </c>
      <c r="D715" s="22">
        <v>7.1059999999999999</v>
      </c>
      <c r="E715" s="10">
        <v>7.23</v>
      </c>
      <c r="F715" s="22">
        <v>4.4489999999999998</v>
      </c>
      <c r="G715" s="22">
        <v>453.08999599999999</v>
      </c>
      <c r="H715" s="22">
        <v>2004.9300539999999</v>
      </c>
      <c r="I715" s="18">
        <v>20581.320309999999</v>
      </c>
    </row>
    <row r="716" spans="1:9" x14ac:dyDescent="0.2">
      <c r="A716" s="4">
        <v>34508</v>
      </c>
      <c r="B716" s="21">
        <v>1.2168000000000001</v>
      </c>
      <c r="C716" s="22">
        <v>101.4</v>
      </c>
      <c r="D716" s="22">
        <v>7.0839999999999996</v>
      </c>
      <c r="E716" s="10">
        <v>6.98</v>
      </c>
      <c r="F716" s="22">
        <v>4.4240000000000004</v>
      </c>
      <c r="G716" s="22">
        <v>449.63000499999998</v>
      </c>
      <c r="H716" s="22">
        <v>2032.5200199999999</v>
      </c>
      <c r="I716" s="18">
        <v>21040.210940000001</v>
      </c>
    </row>
    <row r="717" spans="1:9" x14ac:dyDescent="0.2">
      <c r="A717" s="4">
        <v>34509</v>
      </c>
      <c r="B717" s="21">
        <v>1.2213000000000001</v>
      </c>
      <c r="C717" s="22">
        <v>100.6</v>
      </c>
      <c r="D717" s="22">
        <v>7.1989999999999998</v>
      </c>
      <c r="E717" s="10">
        <v>7.07</v>
      </c>
      <c r="F717" s="22">
        <v>4.2690000000000001</v>
      </c>
      <c r="G717" s="22">
        <v>442.79998799999998</v>
      </c>
      <c r="H717" s="22">
        <v>2005.0699460000001</v>
      </c>
      <c r="I717" s="18">
        <v>20766.75</v>
      </c>
    </row>
    <row r="718" spans="1:9" x14ac:dyDescent="0.2">
      <c r="A718" s="4">
        <v>34512</v>
      </c>
      <c r="B718" s="21">
        <v>1.2375</v>
      </c>
      <c r="C718" s="22">
        <v>100.45</v>
      </c>
      <c r="D718" s="22">
        <v>7.15</v>
      </c>
      <c r="E718" s="10">
        <v>7.11</v>
      </c>
      <c r="F718" s="22">
        <v>4.2990000000000004</v>
      </c>
      <c r="G718" s="22">
        <v>447.30999800000001</v>
      </c>
      <c r="H718" s="22">
        <v>2000.4799800000001</v>
      </c>
      <c r="I718" s="18">
        <v>20300.960940000001</v>
      </c>
    </row>
    <row r="719" spans="1:9" x14ac:dyDescent="0.2">
      <c r="A719" s="4">
        <v>34513</v>
      </c>
      <c r="B719" s="21">
        <v>1.2307999999999999</v>
      </c>
      <c r="C719" s="22">
        <v>100.05</v>
      </c>
      <c r="D719" s="22">
        <v>7.2439999999999998</v>
      </c>
      <c r="E719" s="10">
        <v>6.96</v>
      </c>
      <c r="F719" s="22">
        <v>4.399</v>
      </c>
      <c r="G719" s="22">
        <v>446.07000699999998</v>
      </c>
      <c r="H719" s="22">
        <v>2022.25</v>
      </c>
      <c r="I719" s="18">
        <v>20639.230469999999</v>
      </c>
    </row>
    <row r="720" spans="1:9" x14ac:dyDescent="0.2">
      <c r="A720" s="4">
        <v>34514</v>
      </c>
      <c r="B720" s="21">
        <v>1.2317</v>
      </c>
      <c r="C720" s="22">
        <v>98.8</v>
      </c>
      <c r="D720" s="22">
        <v>7.23</v>
      </c>
      <c r="E720" s="10">
        <v>6.95</v>
      </c>
      <c r="F720" s="22">
        <v>4.359</v>
      </c>
      <c r="G720" s="22">
        <v>447.63000499999998</v>
      </c>
      <c r="H720" s="22">
        <v>2042.4499510000001</v>
      </c>
      <c r="I720" s="18">
        <v>20481</v>
      </c>
    </row>
    <row r="721" spans="1:9" x14ac:dyDescent="0.2">
      <c r="A721" s="4">
        <v>34515</v>
      </c>
      <c r="B721" s="21">
        <v>1.2238</v>
      </c>
      <c r="C721" s="22">
        <v>98.44</v>
      </c>
      <c r="D721" s="22">
        <v>7.3289999999999997</v>
      </c>
      <c r="E721" s="10">
        <v>6.92</v>
      </c>
      <c r="F721" s="22">
        <v>4.3940000000000001</v>
      </c>
      <c r="G721" s="22">
        <v>444.26998900000001</v>
      </c>
      <c r="H721" s="22">
        <v>2020.849976</v>
      </c>
      <c r="I721" s="18">
        <v>20643.929690000001</v>
      </c>
    </row>
    <row r="722" spans="1:9" x14ac:dyDescent="0.2">
      <c r="A722" s="4">
        <v>34516</v>
      </c>
      <c r="B722" s="21">
        <v>1.2216</v>
      </c>
      <c r="C722" s="22">
        <v>98.75</v>
      </c>
      <c r="D722" s="22">
        <v>7.32</v>
      </c>
      <c r="E722" s="10">
        <v>7.07</v>
      </c>
      <c r="F722" s="22">
        <v>4.3440000000000003</v>
      </c>
      <c r="G722" s="22">
        <v>446.20001200000002</v>
      </c>
      <c r="H722" s="22">
        <v>2040.6899410000001</v>
      </c>
      <c r="I722" s="18">
        <v>20543.410159999999</v>
      </c>
    </row>
    <row r="723" spans="1:9" x14ac:dyDescent="0.2">
      <c r="A723" s="4">
        <v>34519</v>
      </c>
      <c r="B723" s="21">
        <v>1.2213000000000001</v>
      </c>
      <c r="C723" s="22">
        <v>99</v>
      </c>
      <c r="D723" s="22">
        <v>7.32</v>
      </c>
      <c r="E723" s="10">
        <v>7.04</v>
      </c>
      <c r="F723" s="22">
        <v>4.3440000000000003</v>
      </c>
      <c r="G723" s="22">
        <v>448.06</v>
      </c>
      <c r="H723" s="22">
        <v>2061.6999510000001</v>
      </c>
      <c r="I723" s="18">
        <v>20631.929690000001</v>
      </c>
    </row>
    <row r="724" spans="1:9" x14ac:dyDescent="0.2">
      <c r="A724" s="4">
        <v>34520</v>
      </c>
      <c r="B724" s="21">
        <v>1.2297</v>
      </c>
      <c r="C724" s="22">
        <v>99</v>
      </c>
      <c r="D724" s="22">
        <v>7.298</v>
      </c>
      <c r="E724" s="10">
        <v>7.09</v>
      </c>
      <c r="F724" s="22">
        <v>4.4539999999999997</v>
      </c>
      <c r="G724" s="22">
        <v>446.36999500000002</v>
      </c>
      <c r="H724" s="22">
        <v>2034.6400149999999</v>
      </c>
      <c r="I724" s="18">
        <v>20834.369139999999</v>
      </c>
    </row>
    <row r="725" spans="1:9" x14ac:dyDescent="0.2">
      <c r="A725" s="4">
        <v>34521</v>
      </c>
      <c r="B725" s="21">
        <v>1.2401</v>
      </c>
      <c r="C725" s="22">
        <v>99</v>
      </c>
      <c r="D725" s="22">
        <v>7.3019999999999996</v>
      </c>
      <c r="E725" s="10">
        <v>7.08</v>
      </c>
      <c r="F725" s="22">
        <v>4.444</v>
      </c>
      <c r="G725" s="22">
        <v>446.13000499999998</v>
      </c>
      <c r="H725" s="22">
        <v>2031.329956</v>
      </c>
      <c r="I725" s="18">
        <v>20629.029299999998</v>
      </c>
    </row>
    <row r="726" spans="1:9" x14ac:dyDescent="0.2">
      <c r="A726" s="4">
        <v>34522</v>
      </c>
      <c r="B726" s="21">
        <v>1.2359</v>
      </c>
      <c r="C726" s="22">
        <v>98.6</v>
      </c>
      <c r="D726" s="22">
        <v>7.2750000000000004</v>
      </c>
      <c r="E726" s="10">
        <v>7.06</v>
      </c>
      <c r="F726" s="22">
        <v>4.4740000000000002</v>
      </c>
      <c r="G726" s="22">
        <v>448.38000499999998</v>
      </c>
      <c r="H726" s="22">
        <v>2049.1000979999999</v>
      </c>
      <c r="I726" s="18">
        <v>20620.019530000001</v>
      </c>
    </row>
    <row r="727" spans="1:9" x14ac:dyDescent="0.2">
      <c r="A727" s="4">
        <v>34523</v>
      </c>
      <c r="B727" s="21">
        <v>1.2365999999999999</v>
      </c>
      <c r="C727" s="22">
        <v>98.1</v>
      </c>
      <c r="D727" s="22">
        <v>7.4020000000000001</v>
      </c>
      <c r="E727" s="10">
        <v>7.04</v>
      </c>
      <c r="F727" s="22">
        <v>4.3739999999999997</v>
      </c>
      <c r="G727" s="22">
        <v>449.54998799999998</v>
      </c>
      <c r="H727" s="22">
        <v>2047.829956</v>
      </c>
      <c r="I727" s="18">
        <v>20526.509770000001</v>
      </c>
    </row>
    <row r="728" spans="1:9" x14ac:dyDescent="0.2">
      <c r="A728" s="4">
        <v>34526</v>
      </c>
      <c r="B728" s="21">
        <v>1.2639</v>
      </c>
      <c r="C728" s="22">
        <v>97.6</v>
      </c>
      <c r="D728" s="22">
        <v>7.4569999999999999</v>
      </c>
      <c r="E728" s="10">
        <v>6.97</v>
      </c>
      <c r="F728" s="22">
        <v>4.4989999999999997</v>
      </c>
      <c r="G728" s="22">
        <v>448.05999800000001</v>
      </c>
      <c r="H728" s="22">
        <v>2069.459961</v>
      </c>
      <c r="I728" s="18">
        <v>20473.089840000001</v>
      </c>
    </row>
    <row r="729" spans="1:9" x14ac:dyDescent="0.2">
      <c r="A729" s="4">
        <v>34527</v>
      </c>
      <c r="B729" s="21">
        <v>1.2781</v>
      </c>
      <c r="C729" s="22">
        <v>97.25</v>
      </c>
      <c r="D729" s="22">
        <v>7.4109999999999996</v>
      </c>
      <c r="E729" s="10">
        <v>6.84</v>
      </c>
      <c r="F729" s="22">
        <v>4.399</v>
      </c>
      <c r="G729" s="22">
        <v>447.95001200000002</v>
      </c>
      <c r="H729" s="22">
        <v>2048.570068</v>
      </c>
      <c r="I729" s="18">
        <v>20400.480469999999</v>
      </c>
    </row>
    <row r="730" spans="1:9" x14ac:dyDescent="0.2">
      <c r="A730" s="4">
        <v>34528</v>
      </c>
      <c r="B730" s="21">
        <v>1.2676000000000001</v>
      </c>
      <c r="C730" s="22">
        <v>98.3</v>
      </c>
      <c r="D730" s="22">
        <v>7.3970000000000002</v>
      </c>
      <c r="E730" s="10">
        <v>6.83</v>
      </c>
      <c r="F730" s="22">
        <v>4.4690000000000003</v>
      </c>
      <c r="G730" s="22">
        <v>448.73001099999999</v>
      </c>
      <c r="H730" s="22">
        <v>2051.25</v>
      </c>
      <c r="I730" s="18">
        <v>20540.410159999999</v>
      </c>
    </row>
    <row r="731" spans="1:9" x14ac:dyDescent="0.2">
      <c r="A731" s="4">
        <v>34529</v>
      </c>
      <c r="B731" s="21">
        <v>1.2602</v>
      </c>
      <c r="C731" s="22">
        <v>98.6</v>
      </c>
      <c r="D731" s="22">
        <v>7.23</v>
      </c>
      <c r="E731" s="10">
        <v>6.87</v>
      </c>
      <c r="F731" s="22">
        <v>4.4989999999999997</v>
      </c>
      <c r="G731" s="22">
        <v>453.41000400000001</v>
      </c>
      <c r="H731" s="22">
        <v>2070.709961</v>
      </c>
      <c r="I731" s="18">
        <v>20718.039059999999</v>
      </c>
    </row>
    <row r="732" spans="1:9" x14ac:dyDescent="0.2">
      <c r="A732" s="4">
        <v>34530</v>
      </c>
      <c r="B732" s="21">
        <v>1.2529999999999999</v>
      </c>
      <c r="C732" s="22">
        <v>97.86</v>
      </c>
      <c r="D732" s="22">
        <v>7.23</v>
      </c>
      <c r="E732" s="10">
        <v>6.78</v>
      </c>
      <c r="F732" s="22">
        <v>4.4390000000000001</v>
      </c>
      <c r="G732" s="22">
        <v>454.16000400000001</v>
      </c>
      <c r="H732" s="22">
        <v>2103.540039</v>
      </c>
      <c r="I732" s="18">
        <v>20770.150389999999</v>
      </c>
    </row>
    <row r="733" spans="1:9" x14ac:dyDescent="0.2">
      <c r="A733" s="4">
        <v>34533</v>
      </c>
      <c r="B733" s="21">
        <v>1.2602</v>
      </c>
      <c r="C733" s="22">
        <v>98.45</v>
      </c>
      <c r="D733" s="22">
        <v>7.181</v>
      </c>
      <c r="E733" s="10">
        <v>6.84</v>
      </c>
      <c r="F733" s="22">
        <v>4.4589999999999996</v>
      </c>
      <c r="G733" s="22">
        <v>455.22000100000002</v>
      </c>
      <c r="H733" s="22">
        <v>2116.959961</v>
      </c>
      <c r="I733" s="18">
        <v>20717.640630000002</v>
      </c>
    </row>
    <row r="734" spans="1:9" x14ac:dyDescent="0.2">
      <c r="A734" s="4">
        <v>34534</v>
      </c>
      <c r="B734" s="21">
        <v>1.25</v>
      </c>
      <c r="C734" s="22">
        <v>99.3</v>
      </c>
      <c r="D734" s="22">
        <v>7.1230000000000002</v>
      </c>
      <c r="E734" s="10">
        <v>6.73</v>
      </c>
      <c r="F734" s="22">
        <v>4.3890000000000002</v>
      </c>
      <c r="G734" s="22">
        <v>453.85998499999999</v>
      </c>
      <c r="H734" s="22">
        <v>2129.860107</v>
      </c>
      <c r="I734" s="18">
        <v>20775.160159999999</v>
      </c>
    </row>
    <row r="735" spans="1:9" x14ac:dyDescent="0.2">
      <c r="A735" s="4">
        <v>34535</v>
      </c>
      <c r="B735" s="21">
        <v>1.2435</v>
      </c>
      <c r="C735" s="22">
        <v>98.85</v>
      </c>
      <c r="D735" s="22">
        <v>7.2249999999999996</v>
      </c>
      <c r="E735" s="10">
        <v>6.75</v>
      </c>
      <c r="F735" s="22">
        <v>4.4139999999999997</v>
      </c>
      <c r="G735" s="22">
        <v>451.60000600000001</v>
      </c>
      <c r="H735" s="22">
        <v>2120.969971</v>
      </c>
      <c r="I735" s="18">
        <v>20780.759770000001</v>
      </c>
    </row>
    <row r="736" spans="1:9" x14ac:dyDescent="0.2">
      <c r="A736" s="4">
        <v>34536</v>
      </c>
      <c r="B736" s="21">
        <v>1.2363</v>
      </c>
      <c r="C736" s="22">
        <v>99.1</v>
      </c>
      <c r="D736" s="22">
        <v>7.2519999999999998</v>
      </c>
      <c r="E736" s="10">
        <v>6.8</v>
      </c>
      <c r="F736" s="22">
        <v>4.4189999999999996</v>
      </c>
      <c r="G736" s="22">
        <v>452.60998499999999</v>
      </c>
      <c r="H736" s="22">
        <v>2126.75</v>
      </c>
      <c r="I736" s="18">
        <v>20622.91992</v>
      </c>
    </row>
    <row r="737" spans="1:9" x14ac:dyDescent="0.2">
      <c r="A737" s="4">
        <v>34537</v>
      </c>
      <c r="B737" s="21">
        <v>1.2235</v>
      </c>
      <c r="C737" s="22">
        <v>98.95</v>
      </c>
      <c r="D737" s="22">
        <v>7.27</v>
      </c>
      <c r="E737" s="10">
        <v>6.8</v>
      </c>
      <c r="F737" s="22">
        <v>4.4390000000000001</v>
      </c>
      <c r="G737" s="22">
        <v>453.10998499999999</v>
      </c>
      <c r="H737" s="22">
        <v>2148.2299800000001</v>
      </c>
      <c r="I737" s="18">
        <v>20462.890630000002</v>
      </c>
    </row>
    <row r="738" spans="1:9" x14ac:dyDescent="0.2">
      <c r="A738" s="4">
        <v>34540</v>
      </c>
      <c r="B738" s="21">
        <v>1.2299</v>
      </c>
      <c r="C738" s="22">
        <v>98.6</v>
      </c>
      <c r="D738" s="22">
        <v>7.2430000000000003</v>
      </c>
      <c r="E738" s="10">
        <v>6.87</v>
      </c>
      <c r="F738" s="22">
        <v>4.4189999999999996</v>
      </c>
      <c r="G738" s="22">
        <v>454.25</v>
      </c>
      <c r="H738" s="22">
        <v>2144.209961</v>
      </c>
      <c r="I738" s="18">
        <v>20297.660159999999</v>
      </c>
    </row>
    <row r="739" spans="1:9" x14ac:dyDescent="0.2">
      <c r="A739" s="4">
        <v>34541</v>
      </c>
      <c r="B739" s="21">
        <v>1.2291000000000001</v>
      </c>
      <c r="C739" s="22">
        <v>98.3</v>
      </c>
      <c r="D739" s="22">
        <v>7.2519999999999998</v>
      </c>
      <c r="E739" s="10">
        <v>6.8</v>
      </c>
      <c r="F739" s="22">
        <v>4.4790000000000001</v>
      </c>
      <c r="G739" s="22">
        <v>453.35998499999999</v>
      </c>
      <c r="H739" s="22">
        <v>2163.320068</v>
      </c>
      <c r="I739" s="18">
        <v>20345.369139999999</v>
      </c>
    </row>
    <row r="740" spans="1:9" x14ac:dyDescent="0.2">
      <c r="A740" s="4">
        <v>34542</v>
      </c>
      <c r="B740" s="21">
        <v>1.2350000000000001</v>
      </c>
      <c r="C740" s="22">
        <v>98.47</v>
      </c>
      <c r="D740" s="22">
        <v>7.32</v>
      </c>
      <c r="E740" s="10">
        <v>6.81</v>
      </c>
      <c r="F740" s="22">
        <v>4.4740000000000002</v>
      </c>
      <c r="G740" s="22">
        <v>452.57000699999998</v>
      </c>
      <c r="H740" s="22">
        <v>2135.929932</v>
      </c>
      <c r="I740" s="18">
        <v>20137.230469999999</v>
      </c>
    </row>
    <row r="741" spans="1:9" x14ac:dyDescent="0.2">
      <c r="A741" s="4">
        <v>34543</v>
      </c>
      <c r="B741" s="21">
        <v>1.2323999999999999</v>
      </c>
      <c r="C741" s="22">
        <v>100.15</v>
      </c>
      <c r="D741" s="22">
        <v>7.27</v>
      </c>
      <c r="E741" s="10">
        <v>6.9</v>
      </c>
      <c r="F741" s="22">
        <v>4.4889999999999999</v>
      </c>
      <c r="G741" s="22">
        <v>454.23998999999998</v>
      </c>
      <c r="H741" s="22">
        <v>2134.1201169999999</v>
      </c>
      <c r="I741" s="18">
        <v>20247.849610000001</v>
      </c>
    </row>
    <row r="742" spans="1:9" x14ac:dyDescent="0.2">
      <c r="A742" s="4">
        <v>34544</v>
      </c>
      <c r="B742" s="21">
        <v>1.2261</v>
      </c>
      <c r="C742" s="22">
        <v>100.15</v>
      </c>
      <c r="D742" s="22">
        <v>7.0949999999999998</v>
      </c>
      <c r="E742" s="10">
        <v>6.91</v>
      </c>
      <c r="F742" s="22">
        <v>4.5289999999999999</v>
      </c>
      <c r="G742" s="22">
        <v>458.26001000000002</v>
      </c>
      <c r="H742" s="22">
        <v>2152.1899410000001</v>
      </c>
      <c r="I742" s="18">
        <v>20449.390630000002</v>
      </c>
    </row>
    <row r="743" spans="1:9" x14ac:dyDescent="0.2">
      <c r="A743" s="4">
        <v>34547</v>
      </c>
      <c r="B743" s="21">
        <v>1.2366999999999999</v>
      </c>
      <c r="C743" s="22">
        <v>99.41</v>
      </c>
      <c r="D743" s="22">
        <v>7.1130000000000004</v>
      </c>
      <c r="E743" s="10">
        <v>6.83</v>
      </c>
      <c r="F743" s="22">
        <v>4.5309999999999997</v>
      </c>
      <c r="G743" s="22">
        <v>461.01001000000002</v>
      </c>
      <c r="H743" s="22">
        <v>2161.5</v>
      </c>
      <c r="I743" s="18">
        <v>20271.349610000001</v>
      </c>
    </row>
    <row r="744" spans="1:9" x14ac:dyDescent="0.2">
      <c r="A744" s="4">
        <v>34548</v>
      </c>
      <c r="B744" s="21">
        <v>1.2314000000000001</v>
      </c>
      <c r="C744" s="22">
        <v>100.41</v>
      </c>
      <c r="D744" s="22">
        <v>7.0860000000000003</v>
      </c>
      <c r="E744" s="10">
        <v>6.8</v>
      </c>
      <c r="F744" s="22">
        <v>4.5919999999999996</v>
      </c>
      <c r="G744" s="22">
        <v>460.55999800000001</v>
      </c>
      <c r="H744" s="22">
        <v>2193.6298830000001</v>
      </c>
      <c r="I744" s="18">
        <v>20660.130860000001</v>
      </c>
    </row>
    <row r="745" spans="1:9" x14ac:dyDescent="0.2">
      <c r="A745" s="4">
        <v>34549</v>
      </c>
      <c r="B745" s="21">
        <v>1.2337</v>
      </c>
      <c r="C745" s="22">
        <v>100.3</v>
      </c>
      <c r="D745" s="22">
        <v>7.0819999999999999</v>
      </c>
      <c r="E745" s="10">
        <v>6.77</v>
      </c>
      <c r="F745" s="22">
        <v>4.6269999999999998</v>
      </c>
      <c r="G745" s="22">
        <v>461.45001200000002</v>
      </c>
      <c r="H745" s="22">
        <v>2190.830078</v>
      </c>
      <c r="I745" s="18">
        <v>20632.730469999999</v>
      </c>
    </row>
    <row r="746" spans="1:9" x14ac:dyDescent="0.2">
      <c r="A746" s="4">
        <v>34550</v>
      </c>
      <c r="B746" s="21">
        <v>1.2325999999999999</v>
      </c>
      <c r="C746" s="22">
        <v>100.6</v>
      </c>
      <c r="D746" s="22">
        <v>7.1</v>
      </c>
      <c r="E746" s="10">
        <v>6.83</v>
      </c>
      <c r="F746" s="22">
        <v>4.7119999999999997</v>
      </c>
      <c r="G746" s="22">
        <v>458.39999399999999</v>
      </c>
      <c r="H746" s="22">
        <v>2176.6599120000001</v>
      </c>
      <c r="I746" s="18">
        <v>20676.839840000001</v>
      </c>
    </row>
    <row r="747" spans="1:9" x14ac:dyDescent="0.2">
      <c r="A747" s="4">
        <v>34551</v>
      </c>
      <c r="B747" s="21">
        <v>1.2317</v>
      </c>
      <c r="C747" s="22">
        <v>100.25</v>
      </c>
      <c r="D747" s="22">
        <v>7.2569999999999997</v>
      </c>
      <c r="E747" s="10">
        <v>6.86</v>
      </c>
      <c r="F747" s="22">
        <v>4.7779999999999996</v>
      </c>
      <c r="G747" s="22">
        <v>457.08999599999999</v>
      </c>
      <c r="H747" s="22">
        <v>2188.8100589999999</v>
      </c>
      <c r="I747" s="18">
        <v>20521.699219999999</v>
      </c>
    </row>
    <row r="748" spans="1:9" x14ac:dyDescent="0.2">
      <c r="A748" s="4">
        <v>34554</v>
      </c>
      <c r="B748" s="21">
        <v>1.2323</v>
      </c>
      <c r="C748" s="22">
        <v>101.51</v>
      </c>
      <c r="D748" s="22">
        <v>7.2569999999999997</v>
      </c>
      <c r="E748" s="10">
        <v>6.89</v>
      </c>
      <c r="F748" s="22">
        <v>4.8659999999999997</v>
      </c>
      <c r="G748" s="22">
        <v>457.89001500000001</v>
      </c>
      <c r="H748" s="22">
        <v>2182.320068</v>
      </c>
      <c r="I748" s="18">
        <v>20635.83008</v>
      </c>
    </row>
    <row r="749" spans="1:9" x14ac:dyDescent="0.2">
      <c r="A749" s="4">
        <v>34555</v>
      </c>
      <c r="B749" s="21">
        <v>1.2307999999999999</v>
      </c>
      <c r="C749" s="22">
        <v>101.32</v>
      </c>
      <c r="D749" s="22">
        <v>7.3019999999999996</v>
      </c>
      <c r="E749" s="10">
        <v>6.99</v>
      </c>
      <c r="F749" s="22">
        <v>4.9349999999999996</v>
      </c>
      <c r="G749" s="22">
        <v>457.92001299999998</v>
      </c>
      <c r="H749" s="22">
        <v>2160.5600589999999</v>
      </c>
      <c r="I749" s="18">
        <v>20590.220700000002</v>
      </c>
    </row>
    <row r="750" spans="1:9" x14ac:dyDescent="0.2">
      <c r="A750" s="4">
        <v>34556</v>
      </c>
      <c r="B750" s="21">
        <v>1.2349000000000001</v>
      </c>
      <c r="C750" s="22">
        <v>101.35</v>
      </c>
      <c r="D750" s="22">
        <v>7.3019999999999996</v>
      </c>
      <c r="E750" s="10">
        <v>7.02</v>
      </c>
      <c r="F750" s="22">
        <v>4.9349999999999996</v>
      </c>
      <c r="G750" s="22">
        <v>460.29998799999998</v>
      </c>
      <c r="H750" s="22">
        <v>2166.51001</v>
      </c>
      <c r="I750" s="18">
        <v>20770.25</v>
      </c>
    </row>
    <row r="751" spans="1:9" x14ac:dyDescent="0.2">
      <c r="A751" s="4">
        <v>34557</v>
      </c>
      <c r="B751" s="21">
        <v>1.2252000000000001</v>
      </c>
      <c r="C751" s="22">
        <v>100.25</v>
      </c>
      <c r="D751" s="22">
        <v>7.3440000000000003</v>
      </c>
      <c r="E751" s="10">
        <v>7</v>
      </c>
      <c r="F751" s="22">
        <v>4.8860000000000001</v>
      </c>
      <c r="G751" s="22">
        <v>458.88000499999998</v>
      </c>
      <c r="H751" s="22">
        <v>2156.3100589999999</v>
      </c>
      <c r="I751" s="18">
        <v>20821.359380000002</v>
      </c>
    </row>
    <row r="752" spans="1:9" x14ac:dyDescent="0.2">
      <c r="A752" s="4">
        <v>34558</v>
      </c>
      <c r="B752" s="21">
        <v>1.2445999999999999</v>
      </c>
      <c r="C752" s="22">
        <v>100.15</v>
      </c>
      <c r="D752" s="22">
        <v>7.2679999999999998</v>
      </c>
      <c r="E752" s="10">
        <v>7.29</v>
      </c>
      <c r="F752" s="22">
        <v>4.8860000000000001</v>
      </c>
      <c r="G752" s="22">
        <v>461.94000199999999</v>
      </c>
      <c r="H752" s="22">
        <v>2133.73999</v>
      </c>
      <c r="I752" s="18">
        <v>20663.83008</v>
      </c>
    </row>
    <row r="753" spans="1:9" x14ac:dyDescent="0.2">
      <c r="A753" s="4">
        <v>34561</v>
      </c>
      <c r="B753" s="21">
        <v>1.2470000000000001</v>
      </c>
      <c r="C753" s="22">
        <v>100.2</v>
      </c>
      <c r="D753" s="22">
        <v>7.2859999999999996</v>
      </c>
      <c r="E753" s="10">
        <v>7.21</v>
      </c>
      <c r="F753" s="22">
        <v>4.8650000000000002</v>
      </c>
      <c r="G753" s="22">
        <v>461.23001099999999</v>
      </c>
      <c r="H753" s="22">
        <v>2134.3400879999999</v>
      </c>
      <c r="I753" s="18">
        <v>20626.33008</v>
      </c>
    </row>
    <row r="754" spans="1:9" x14ac:dyDescent="0.2">
      <c r="A754" s="4">
        <v>34562</v>
      </c>
      <c r="B754" s="21">
        <v>1.2452000000000001</v>
      </c>
      <c r="C754" s="22">
        <v>100.58</v>
      </c>
      <c r="D754" s="22">
        <v>7.17</v>
      </c>
      <c r="E754" s="10">
        <v>7.2</v>
      </c>
      <c r="F754" s="22">
        <v>4.88</v>
      </c>
      <c r="G754" s="22">
        <v>465.01001000000002</v>
      </c>
      <c r="H754" s="22">
        <v>2152.6499020000001</v>
      </c>
      <c r="I754" s="18">
        <v>20786.359380000002</v>
      </c>
    </row>
    <row r="755" spans="1:9" x14ac:dyDescent="0.2">
      <c r="A755" s="4">
        <v>34563</v>
      </c>
      <c r="B755" s="21">
        <v>1.2430000000000001</v>
      </c>
      <c r="C755" s="22">
        <v>100.13</v>
      </c>
      <c r="D755" s="22">
        <v>7.1349999999999998</v>
      </c>
      <c r="E755" s="10">
        <v>7.11</v>
      </c>
      <c r="F755" s="22">
        <v>4.9059999999999997</v>
      </c>
      <c r="G755" s="22">
        <v>465.17001299999998</v>
      </c>
      <c r="H755" s="22">
        <v>2166.5600589999999</v>
      </c>
      <c r="I755" s="18">
        <v>20824.560549999998</v>
      </c>
    </row>
    <row r="756" spans="1:9" x14ac:dyDescent="0.2">
      <c r="A756" s="4">
        <v>34564</v>
      </c>
      <c r="B756" s="21">
        <v>1.2519</v>
      </c>
      <c r="C756" s="22">
        <v>98.58</v>
      </c>
      <c r="D756" s="22">
        <v>7.2679999999999998</v>
      </c>
      <c r="E756" s="10">
        <v>7.25</v>
      </c>
      <c r="F756" s="22">
        <v>4.8550000000000004</v>
      </c>
      <c r="G756" s="22">
        <v>463.17001299999998</v>
      </c>
      <c r="H756" s="22">
        <v>2151.4399410000001</v>
      </c>
      <c r="I756" s="18">
        <v>20862.769530000001</v>
      </c>
    </row>
    <row r="757" spans="1:9" x14ac:dyDescent="0.2">
      <c r="A757" s="4">
        <v>34565</v>
      </c>
      <c r="B757" s="21">
        <v>1.2586999999999999</v>
      </c>
      <c r="C757" s="22">
        <v>98.65</v>
      </c>
      <c r="D757" s="22">
        <v>7.2629999999999999</v>
      </c>
      <c r="E757" s="10">
        <v>7.22</v>
      </c>
      <c r="F757" s="22">
        <v>4.8010000000000002</v>
      </c>
      <c r="G757" s="22">
        <v>463.67999300000002</v>
      </c>
      <c r="H757" s="22">
        <v>2143.8400879999999</v>
      </c>
      <c r="I757" s="18">
        <v>20512.699219999999</v>
      </c>
    </row>
    <row r="758" spans="1:9" x14ac:dyDescent="0.2">
      <c r="A758" s="4">
        <v>34568</v>
      </c>
      <c r="B758" s="21">
        <v>1.266</v>
      </c>
      <c r="C758" s="22">
        <v>97.8</v>
      </c>
      <c r="D758" s="22">
        <v>7.3079999999999998</v>
      </c>
      <c r="E758" s="10">
        <v>7.3</v>
      </c>
      <c r="F758" s="22">
        <v>4.8559999999999999</v>
      </c>
      <c r="G758" s="22">
        <v>462.32000699999998</v>
      </c>
      <c r="H758" s="22">
        <v>2113.3701169999999</v>
      </c>
      <c r="I758" s="18">
        <v>20394.58008</v>
      </c>
    </row>
    <row r="759" spans="1:9" x14ac:dyDescent="0.2">
      <c r="A759" s="4">
        <v>34569</v>
      </c>
      <c r="B759" s="21">
        <v>1.2617</v>
      </c>
      <c r="C759" s="22">
        <v>97.88</v>
      </c>
      <c r="D759" s="22">
        <v>7.2720000000000002</v>
      </c>
      <c r="E759" s="10">
        <v>7.3</v>
      </c>
      <c r="F759" s="22">
        <v>4.835</v>
      </c>
      <c r="G759" s="22">
        <v>464.51001000000002</v>
      </c>
      <c r="H759" s="22">
        <v>2121.25</v>
      </c>
      <c r="I759" s="18">
        <v>20380.779299999998</v>
      </c>
    </row>
    <row r="760" spans="1:9" x14ac:dyDescent="0.2">
      <c r="A760" s="4">
        <v>34570</v>
      </c>
      <c r="B760" s="21">
        <v>1.2589999999999999</v>
      </c>
      <c r="C760" s="22">
        <v>99.02</v>
      </c>
      <c r="D760" s="22">
        <v>7.1959999999999997</v>
      </c>
      <c r="E760" s="10">
        <v>7.29</v>
      </c>
      <c r="F760" s="22">
        <v>4.87</v>
      </c>
      <c r="G760" s="22">
        <v>469.02999899999998</v>
      </c>
      <c r="H760" s="22">
        <v>2132.9799800000001</v>
      </c>
      <c r="I760" s="18">
        <v>20511.599610000001</v>
      </c>
    </row>
    <row r="761" spans="1:9" x14ac:dyDescent="0.2">
      <c r="A761" s="4">
        <v>34571</v>
      </c>
      <c r="B761" s="21">
        <v>1.2552000000000001</v>
      </c>
      <c r="C761" s="22">
        <v>99.7</v>
      </c>
      <c r="D761" s="22">
        <v>7.2720000000000002</v>
      </c>
      <c r="E761" s="10">
        <v>7.23</v>
      </c>
      <c r="F761" s="22">
        <v>4.8899999999999997</v>
      </c>
      <c r="G761" s="22">
        <v>468.07998700000002</v>
      </c>
      <c r="H761" s="22">
        <v>2153.4799800000001</v>
      </c>
      <c r="I761" s="18">
        <v>20443.289059999999</v>
      </c>
    </row>
    <row r="762" spans="1:9" x14ac:dyDescent="0.2">
      <c r="A762" s="4">
        <v>34572</v>
      </c>
      <c r="B762" s="21">
        <v>1.2426999999999999</v>
      </c>
      <c r="C762" s="22">
        <v>100.67</v>
      </c>
      <c r="D762" s="22">
        <v>7.2320000000000002</v>
      </c>
      <c r="E762" s="10">
        <v>7.26</v>
      </c>
      <c r="F762" s="22">
        <v>4.8949999999999996</v>
      </c>
      <c r="G762" s="22">
        <v>473.79998799999998</v>
      </c>
      <c r="H762" s="22">
        <v>2190.580078</v>
      </c>
      <c r="I762" s="18">
        <v>20471.490229999999</v>
      </c>
    </row>
    <row r="763" spans="1:9" x14ac:dyDescent="0.2">
      <c r="A763" s="4">
        <v>34575</v>
      </c>
      <c r="B763" s="21">
        <v>1.2426999999999999</v>
      </c>
      <c r="C763" s="22">
        <v>100.03</v>
      </c>
      <c r="D763" s="22">
        <v>7.2359999999999998</v>
      </c>
      <c r="E763" s="10">
        <v>7.18</v>
      </c>
      <c r="F763" s="22">
        <v>4.915</v>
      </c>
      <c r="G763" s="22">
        <v>474.58999599999999</v>
      </c>
      <c r="H763" s="22">
        <v>2215.719971</v>
      </c>
      <c r="I763" s="18">
        <v>20600.41992</v>
      </c>
    </row>
    <row r="764" spans="1:9" x14ac:dyDescent="0.2">
      <c r="A764" s="4">
        <v>34576</v>
      </c>
      <c r="B764" s="21">
        <v>1.2302999999999999</v>
      </c>
      <c r="C764" s="22">
        <v>99.58</v>
      </c>
      <c r="D764" s="22">
        <v>7.1909999999999998</v>
      </c>
      <c r="E764" s="10">
        <v>7.19</v>
      </c>
      <c r="F764" s="22">
        <v>4.9560000000000004</v>
      </c>
      <c r="G764" s="22">
        <v>476.07000699999998</v>
      </c>
      <c r="H764" s="22">
        <v>2205.820068</v>
      </c>
      <c r="I764" s="18">
        <v>20592.119139999999</v>
      </c>
    </row>
    <row r="765" spans="1:9" x14ac:dyDescent="0.2">
      <c r="A765" s="4">
        <v>34577</v>
      </c>
      <c r="B765" s="21">
        <v>1.2341</v>
      </c>
      <c r="C765" s="22">
        <v>100.05</v>
      </c>
      <c r="D765" s="22">
        <v>7.165</v>
      </c>
      <c r="E765" s="10">
        <v>7.21</v>
      </c>
      <c r="F765" s="22">
        <v>4.9509999999999996</v>
      </c>
      <c r="G765" s="22">
        <v>475.48998999999998</v>
      </c>
      <c r="H765" s="22">
        <v>2207.0900879999999</v>
      </c>
      <c r="I765" s="18">
        <v>20628.529299999998</v>
      </c>
    </row>
    <row r="766" spans="1:9" x14ac:dyDescent="0.2">
      <c r="A766" s="4">
        <v>34578</v>
      </c>
      <c r="B766" s="21">
        <v>1.2341</v>
      </c>
      <c r="C766" s="22">
        <v>99.81</v>
      </c>
      <c r="D766" s="22">
        <v>7.1740000000000004</v>
      </c>
      <c r="E766" s="10">
        <v>7.26</v>
      </c>
      <c r="F766" s="22">
        <v>4.9160000000000004</v>
      </c>
      <c r="G766" s="22">
        <v>473.17001299999998</v>
      </c>
      <c r="H766" s="22">
        <v>2185.780029</v>
      </c>
      <c r="I766" s="18">
        <v>20642.929690000001</v>
      </c>
    </row>
    <row r="767" spans="1:9" x14ac:dyDescent="0.2">
      <c r="A767" s="4">
        <v>34579</v>
      </c>
      <c r="B767" s="21">
        <v>1.2478</v>
      </c>
      <c r="C767" s="22">
        <v>99.13</v>
      </c>
      <c r="D767" s="22">
        <v>7.1959999999999997</v>
      </c>
      <c r="E767" s="10">
        <v>7.27</v>
      </c>
      <c r="F767" s="22">
        <v>4.9160000000000004</v>
      </c>
      <c r="G767" s="22">
        <v>470.98998999999998</v>
      </c>
      <c r="H767" s="22">
        <v>2197.3798830000001</v>
      </c>
      <c r="I767" s="18">
        <v>20653.83008</v>
      </c>
    </row>
    <row r="768" spans="1:9" x14ac:dyDescent="0.2">
      <c r="A768" s="4">
        <v>34582</v>
      </c>
      <c r="B768" s="21">
        <v>1.2502</v>
      </c>
      <c r="C768" s="22">
        <v>99.37</v>
      </c>
      <c r="D768" s="22">
        <v>7.1959999999999997</v>
      </c>
      <c r="E768" s="10">
        <v>7.39</v>
      </c>
      <c r="F768" s="22">
        <v>4.87</v>
      </c>
      <c r="G768" s="22">
        <v>466.21</v>
      </c>
      <c r="H768" s="22">
        <v>2173.6000979999999</v>
      </c>
      <c r="I768" s="18">
        <v>20409.179690000001</v>
      </c>
    </row>
    <row r="769" spans="1:9" x14ac:dyDescent="0.2">
      <c r="A769" s="4">
        <v>34583</v>
      </c>
      <c r="B769" s="21">
        <v>1.2583</v>
      </c>
      <c r="C769" s="22">
        <v>98.68</v>
      </c>
      <c r="D769" s="22">
        <v>7.2530000000000001</v>
      </c>
      <c r="E769" s="10">
        <v>7.43</v>
      </c>
      <c r="F769" s="22">
        <v>4.8259999999999996</v>
      </c>
      <c r="G769" s="22">
        <v>471.85998499999999</v>
      </c>
      <c r="H769" s="22">
        <v>2158.070068</v>
      </c>
      <c r="I769" s="18">
        <v>20393.980469999999</v>
      </c>
    </row>
    <row r="770" spans="1:9" x14ac:dyDescent="0.2">
      <c r="A770" s="4">
        <v>34584</v>
      </c>
      <c r="B770" s="21">
        <v>1.252</v>
      </c>
      <c r="C770" s="22">
        <v>99.44</v>
      </c>
      <c r="D770" s="22">
        <v>7.2850000000000001</v>
      </c>
      <c r="E770" s="10">
        <v>7.48</v>
      </c>
      <c r="F770" s="22">
        <v>4.726</v>
      </c>
      <c r="G770" s="22">
        <v>470.98998999999998</v>
      </c>
      <c r="H770" s="22">
        <v>2167.679932</v>
      </c>
      <c r="I770" s="18">
        <v>20023.800780000001</v>
      </c>
    </row>
    <row r="771" spans="1:9" x14ac:dyDescent="0.2">
      <c r="A771" s="4">
        <v>34585</v>
      </c>
      <c r="B771" s="21">
        <v>1.2472000000000001</v>
      </c>
      <c r="C771" s="22">
        <v>99.55</v>
      </c>
      <c r="D771" s="22">
        <v>7.2850000000000001</v>
      </c>
      <c r="E771" s="10">
        <v>7.48</v>
      </c>
      <c r="F771" s="22">
        <v>4.7450000000000001</v>
      </c>
      <c r="G771" s="22">
        <v>473.14001500000001</v>
      </c>
      <c r="H771" s="22">
        <v>2178.1000979999999</v>
      </c>
      <c r="I771" s="18">
        <v>19917.779299999998</v>
      </c>
    </row>
    <row r="772" spans="1:9" x14ac:dyDescent="0.2">
      <c r="A772" s="4">
        <v>34586</v>
      </c>
      <c r="B772" s="21">
        <v>1.2591000000000001</v>
      </c>
      <c r="C772" s="22">
        <v>99.18</v>
      </c>
      <c r="D772" s="22">
        <v>7.4290000000000003</v>
      </c>
      <c r="E772" s="10">
        <v>7.46</v>
      </c>
      <c r="F772" s="22">
        <v>4.6760000000000002</v>
      </c>
      <c r="G772" s="22">
        <v>468.17999300000002</v>
      </c>
      <c r="H772" s="22">
        <v>2155.580078</v>
      </c>
      <c r="I772" s="18">
        <v>19897.880860000001</v>
      </c>
    </row>
    <row r="773" spans="1:9" x14ac:dyDescent="0.2">
      <c r="A773" s="4">
        <v>34589</v>
      </c>
      <c r="B773" s="21">
        <v>1.258</v>
      </c>
      <c r="C773" s="22">
        <v>99.25</v>
      </c>
      <c r="D773" s="22">
        <v>7.4429999999999996</v>
      </c>
      <c r="E773" s="10">
        <v>7.59</v>
      </c>
      <c r="F773" s="22">
        <v>4.7249999999999996</v>
      </c>
      <c r="G773" s="22">
        <v>466.209991</v>
      </c>
      <c r="H773" s="22">
        <v>2155.8100589999999</v>
      </c>
      <c r="I773" s="18">
        <v>19917.279299999998</v>
      </c>
    </row>
    <row r="774" spans="1:9" x14ac:dyDescent="0.2">
      <c r="A774" s="4">
        <v>34590</v>
      </c>
      <c r="B774" s="21">
        <v>1.2542</v>
      </c>
      <c r="C774" s="22">
        <v>98.77</v>
      </c>
      <c r="D774" s="22">
        <v>7.4240000000000004</v>
      </c>
      <c r="E774" s="10">
        <v>7.58</v>
      </c>
      <c r="F774" s="22">
        <v>4.7050000000000001</v>
      </c>
      <c r="G774" s="22">
        <v>467.51001000000002</v>
      </c>
      <c r="H774" s="22">
        <v>2157.1499020000001</v>
      </c>
      <c r="I774" s="18">
        <v>20046.109380000002</v>
      </c>
    </row>
    <row r="775" spans="1:9" x14ac:dyDescent="0.2">
      <c r="A775" s="4">
        <v>34591</v>
      </c>
      <c r="B775" s="21">
        <v>1.2627999999999999</v>
      </c>
      <c r="C775" s="22">
        <v>99.2</v>
      </c>
      <c r="D775" s="22">
        <v>7.3929999999999998</v>
      </c>
      <c r="E775" s="10">
        <v>7.55</v>
      </c>
      <c r="F775" s="22">
        <v>4.7160000000000002</v>
      </c>
      <c r="G775" s="22">
        <v>468.79998799999998</v>
      </c>
      <c r="H775" s="22">
        <v>2118.169922</v>
      </c>
      <c r="I775" s="18">
        <v>19919.380860000001</v>
      </c>
    </row>
    <row r="776" spans="1:9" x14ac:dyDescent="0.2">
      <c r="A776" s="4">
        <v>34592</v>
      </c>
      <c r="B776" s="21">
        <v>1.2563</v>
      </c>
      <c r="C776" s="22">
        <v>99.5</v>
      </c>
      <c r="D776" s="22">
        <v>7.3380000000000001</v>
      </c>
      <c r="E776" s="10">
        <v>7.56</v>
      </c>
      <c r="F776" s="22">
        <v>4.7160000000000002</v>
      </c>
      <c r="G776" s="22">
        <v>474.80999800000001</v>
      </c>
      <c r="H776" s="22">
        <v>2129.360107</v>
      </c>
      <c r="I776" s="18">
        <v>19919.380860000001</v>
      </c>
    </row>
    <row r="777" spans="1:9" x14ac:dyDescent="0.2">
      <c r="A777" s="4">
        <v>34593</v>
      </c>
      <c r="B777" s="21">
        <v>1.2645</v>
      </c>
      <c r="C777" s="22">
        <v>98.95</v>
      </c>
      <c r="D777" s="22">
        <v>7.5069999999999997</v>
      </c>
      <c r="E777" s="10">
        <v>7.55</v>
      </c>
      <c r="F777" s="22">
        <v>4.7149999999999999</v>
      </c>
      <c r="G777" s="22">
        <v>471.19000199999999</v>
      </c>
      <c r="H777" s="22">
        <v>2097.4499510000001</v>
      </c>
      <c r="I777" s="18">
        <v>19796.259770000001</v>
      </c>
    </row>
    <row r="778" spans="1:9" x14ac:dyDescent="0.2">
      <c r="A778" s="4">
        <v>34596</v>
      </c>
      <c r="B778" s="21">
        <v>1.2527999999999999</v>
      </c>
      <c r="C778" s="22">
        <v>98.5</v>
      </c>
      <c r="D778" s="22">
        <v>7.4749999999999996</v>
      </c>
      <c r="E778" s="10">
        <v>7.64</v>
      </c>
      <c r="F778" s="22">
        <v>4.72</v>
      </c>
      <c r="G778" s="22">
        <v>470.85000600000001</v>
      </c>
      <c r="H778" s="22">
        <v>2100.5500489999999</v>
      </c>
      <c r="I778" s="18">
        <v>19554.109380000002</v>
      </c>
    </row>
    <row r="779" spans="1:9" x14ac:dyDescent="0.2">
      <c r="A779" s="4">
        <v>34597</v>
      </c>
      <c r="B779" s="21">
        <v>1.2555000000000001</v>
      </c>
      <c r="C779" s="22">
        <v>97.6</v>
      </c>
      <c r="D779" s="22">
        <v>7.5110000000000001</v>
      </c>
      <c r="E779" s="10">
        <v>7.72</v>
      </c>
      <c r="F779" s="22">
        <v>4.7060000000000004</v>
      </c>
      <c r="G779" s="22">
        <v>463.35998499999999</v>
      </c>
      <c r="H779" s="22">
        <v>2059.1499020000001</v>
      </c>
      <c r="I779" s="18">
        <v>19837.269530000001</v>
      </c>
    </row>
    <row r="780" spans="1:9" x14ac:dyDescent="0.2">
      <c r="A780" s="4">
        <v>34598</v>
      </c>
      <c r="B780" s="21">
        <v>1.2601</v>
      </c>
      <c r="C780" s="22">
        <v>97.75</v>
      </c>
      <c r="D780" s="22">
        <v>7.5529999999999999</v>
      </c>
      <c r="E780" s="10">
        <v>7.66</v>
      </c>
      <c r="F780" s="22">
        <v>4.6609999999999996</v>
      </c>
      <c r="G780" s="22">
        <v>461.459991</v>
      </c>
      <c r="H780" s="22">
        <v>2067.169922</v>
      </c>
      <c r="I780" s="18">
        <v>19885.380860000001</v>
      </c>
    </row>
    <row r="781" spans="1:9" x14ac:dyDescent="0.2">
      <c r="A781" s="4">
        <v>34599</v>
      </c>
      <c r="B781" s="21">
        <v>1.256</v>
      </c>
      <c r="C781" s="22">
        <v>98.03</v>
      </c>
      <c r="D781" s="22">
        <v>7.5430000000000001</v>
      </c>
      <c r="E781" s="10">
        <v>7.69</v>
      </c>
      <c r="F781" s="22">
        <v>4.6449999999999996</v>
      </c>
      <c r="G781" s="22">
        <v>461.26998900000001</v>
      </c>
      <c r="H781" s="22">
        <v>2072.8100589999999</v>
      </c>
      <c r="I781" s="18">
        <v>19833.66992</v>
      </c>
    </row>
    <row r="782" spans="1:9" x14ac:dyDescent="0.2">
      <c r="A782" s="4">
        <v>34600</v>
      </c>
      <c r="B782" s="21">
        <v>1.2599</v>
      </c>
      <c r="C782" s="22">
        <v>97.85</v>
      </c>
      <c r="D782" s="22">
        <v>7.5529999999999999</v>
      </c>
      <c r="E782" s="10">
        <v>7.6</v>
      </c>
      <c r="F782" s="22">
        <v>4.6449999999999996</v>
      </c>
      <c r="G782" s="22">
        <v>459.67001299999998</v>
      </c>
      <c r="H782" s="22">
        <v>2097.330078</v>
      </c>
      <c r="I782" s="18">
        <v>19833.66992</v>
      </c>
    </row>
    <row r="783" spans="1:9" x14ac:dyDescent="0.2">
      <c r="A783" s="4">
        <v>34603</v>
      </c>
      <c r="B783" s="21">
        <v>1.2524</v>
      </c>
      <c r="C783" s="22">
        <v>98.75</v>
      </c>
      <c r="D783" s="22">
        <v>7.5570000000000004</v>
      </c>
      <c r="E783" s="10">
        <v>7.57</v>
      </c>
      <c r="F783" s="22">
        <v>4.66</v>
      </c>
      <c r="G783" s="22">
        <v>460.82000699999998</v>
      </c>
      <c r="H783" s="22">
        <v>2057.830078</v>
      </c>
      <c r="I783" s="18">
        <v>19814.359380000002</v>
      </c>
    </row>
    <row r="784" spans="1:9" x14ac:dyDescent="0.2">
      <c r="A784" s="4">
        <v>34604</v>
      </c>
      <c r="B784" s="21">
        <v>1.2586999999999999</v>
      </c>
      <c r="C784" s="22">
        <v>98</v>
      </c>
      <c r="D784" s="22">
        <v>7.59</v>
      </c>
      <c r="E784" s="10">
        <v>7.59</v>
      </c>
      <c r="F784" s="22">
        <v>4.641</v>
      </c>
      <c r="G784" s="22">
        <v>462.04998799999998</v>
      </c>
      <c r="H784" s="22">
        <v>2056.889893</v>
      </c>
      <c r="I784" s="18">
        <v>19468.890630000002</v>
      </c>
    </row>
    <row r="785" spans="1:9" x14ac:dyDescent="0.2">
      <c r="A785" s="4">
        <v>34605</v>
      </c>
      <c r="B785" s="21">
        <v>1.2591000000000001</v>
      </c>
      <c r="C785" s="22">
        <v>98.95</v>
      </c>
      <c r="D785" s="22">
        <v>7.5529999999999999</v>
      </c>
      <c r="E785" s="10">
        <v>7.51</v>
      </c>
      <c r="F785" s="22">
        <v>4.6349999999999998</v>
      </c>
      <c r="G785" s="22">
        <v>464.83999599999999</v>
      </c>
      <c r="H785" s="22">
        <v>2070.360107</v>
      </c>
      <c r="I785" s="18">
        <v>19507.599610000001</v>
      </c>
    </row>
    <row r="786" spans="1:9" x14ac:dyDescent="0.2">
      <c r="A786" s="4">
        <v>34606</v>
      </c>
      <c r="B786" s="21">
        <v>1.2602</v>
      </c>
      <c r="C786" s="22">
        <v>98.55</v>
      </c>
      <c r="D786" s="22">
        <v>7.617</v>
      </c>
      <c r="E786" s="10">
        <v>7.51</v>
      </c>
      <c r="F786" s="22">
        <v>4.67</v>
      </c>
      <c r="G786" s="22">
        <v>462.23998999999998</v>
      </c>
      <c r="H786" s="22">
        <v>2016.079956</v>
      </c>
      <c r="I786" s="18">
        <v>19615.119139999999</v>
      </c>
    </row>
    <row r="787" spans="1:9" x14ac:dyDescent="0.2">
      <c r="A787" s="4">
        <v>34607</v>
      </c>
      <c r="B787" s="21">
        <v>1.2561</v>
      </c>
      <c r="C787" s="22">
        <v>99.15</v>
      </c>
      <c r="D787" s="22">
        <v>7.5990000000000002</v>
      </c>
      <c r="E787" s="10">
        <v>7.57</v>
      </c>
      <c r="F787" s="22">
        <v>4.7</v>
      </c>
      <c r="G787" s="22">
        <v>462.709991</v>
      </c>
      <c r="H787" s="22">
        <v>2002.3000489999999</v>
      </c>
      <c r="I787" s="18">
        <v>19563.810549999998</v>
      </c>
    </row>
    <row r="788" spans="1:9" x14ac:dyDescent="0.2">
      <c r="A788" s="4">
        <v>34610</v>
      </c>
      <c r="B788" s="21">
        <v>1.2517</v>
      </c>
      <c r="C788" s="22">
        <v>99.58</v>
      </c>
      <c r="D788" s="22">
        <v>7.65</v>
      </c>
      <c r="E788" s="10">
        <v>7.59</v>
      </c>
      <c r="F788" s="22">
        <v>4.74</v>
      </c>
      <c r="G788" s="22">
        <v>461.73998999999998</v>
      </c>
      <c r="H788" s="22">
        <v>2002.3000489999999</v>
      </c>
      <c r="I788" s="18">
        <v>19650.029299999998</v>
      </c>
    </row>
    <row r="789" spans="1:9" x14ac:dyDescent="0.2">
      <c r="A789" s="4">
        <v>34611</v>
      </c>
      <c r="B789" s="21">
        <v>1.2552000000000001</v>
      </c>
      <c r="C789" s="22">
        <v>99.66</v>
      </c>
      <c r="D789" s="22">
        <v>7.6779999999999999</v>
      </c>
      <c r="E789" s="10">
        <v>7.71</v>
      </c>
      <c r="F789" s="22">
        <v>4.7350000000000003</v>
      </c>
      <c r="G789" s="22">
        <v>454.58999599999999</v>
      </c>
      <c r="H789" s="22">
        <v>1988.670044</v>
      </c>
      <c r="I789" s="18">
        <v>19568.609380000002</v>
      </c>
    </row>
    <row r="790" spans="1:9" x14ac:dyDescent="0.2">
      <c r="A790" s="4">
        <v>34612</v>
      </c>
      <c r="B790" s="21">
        <v>1.2608999999999999</v>
      </c>
      <c r="C790" s="22">
        <v>99.61</v>
      </c>
      <c r="D790" s="22">
        <v>7.7480000000000002</v>
      </c>
      <c r="E790" s="10">
        <v>7.76</v>
      </c>
      <c r="F790" s="22">
        <v>4.7850000000000001</v>
      </c>
      <c r="G790" s="22">
        <v>453.51998900000001</v>
      </c>
      <c r="H790" s="22">
        <v>1946.48999</v>
      </c>
      <c r="I790" s="18">
        <v>19751.550780000001</v>
      </c>
    </row>
    <row r="791" spans="1:9" x14ac:dyDescent="0.2">
      <c r="A791" s="4">
        <v>34613</v>
      </c>
      <c r="B791" s="21">
        <v>1.2599</v>
      </c>
      <c r="C791" s="22">
        <v>99.87</v>
      </c>
      <c r="D791" s="22">
        <v>7.7530000000000001</v>
      </c>
      <c r="E791" s="10">
        <v>7.73</v>
      </c>
      <c r="F791" s="22">
        <v>4.806</v>
      </c>
      <c r="G791" s="22">
        <v>452.35998499999999</v>
      </c>
      <c r="H791" s="22">
        <v>1965.410034</v>
      </c>
      <c r="I791" s="18">
        <v>19655.230469999999</v>
      </c>
    </row>
    <row r="792" spans="1:9" x14ac:dyDescent="0.2">
      <c r="A792" s="4">
        <v>34614</v>
      </c>
      <c r="B792" s="21">
        <v>1.2623</v>
      </c>
      <c r="C792" s="22">
        <v>100.65</v>
      </c>
      <c r="D792" s="22">
        <v>7.6829999999999998</v>
      </c>
      <c r="E792" s="10">
        <v>7.81</v>
      </c>
      <c r="F792" s="22">
        <v>4.9050000000000002</v>
      </c>
      <c r="G792" s="22">
        <v>455.10000600000001</v>
      </c>
      <c r="H792" s="22">
        <v>1977.670044</v>
      </c>
      <c r="I792" s="18">
        <v>19744.75</v>
      </c>
    </row>
    <row r="793" spans="1:9" x14ac:dyDescent="0.2">
      <c r="A793" s="4">
        <v>34617</v>
      </c>
      <c r="B793" s="21">
        <v>1.2552000000000001</v>
      </c>
      <c r="C793" s="22">
        <v>100.3</v>
      </c>
      <c r="D793" s="22">
        <v>7.6829999999999998</v>
      </c>
      <c r="E793" s="10">
        <v>7.68</v>
      </c>
      <c r="F793" s="22">
        <v>4.9050000000000002</v>
      </c>
      <c r="G793" s="22">
        <v>459.040009</v>
      </c>
      <c r="H793" s="22">
        <v>2048.5600589999999</v>
      </c>
      <c r="I793" s="18">
        <v>19744.75</v>
      </c>
    </row>
    <row r="794" spans="1:9" x14ac:dyDescent="0.2">
      <c r="A794" s="4">
        <v>34618</v>
      </c>
      <c r="B794" s="21">
        <v>1.2567999999999999</v>
      </c>
      <c r="C794" s="22">
        <v>100.2</v>
      </c>
      <c r="D794" s="22">
        <v>7.6230000000000002</v>
      </c>
      <c r="E794" s="10">
        <v>7.6</v>
      </c>
      <c r="F794" s="22">
        <v>4.891</v>
      </c>
      <c r="G794" s="22">
        <v>465.790009</v>
      </c>
      <c r="H794" s="22">
        <v>2087.709961</v>
      </c>
      <c r="I794" s="18">
        <v>19821.460940000001</v>
      </c>
    </row>
    <row r="795" spans="1:9" x14ac:dyDescent="0.2">
      <c r="A795" s="4">
        <v>34619</v>
      </c>
      <c r="B795" s="21">
        <v>1.2606999999999999</v>
      </c>
      <c r="C795" s="22">
        <v>99.7</v>
      </c>
      <c r="D795" s="22">
        <v>7.6740000000000004</v>
      </c>
      <c r="E795" s="10">
        <v>7.57</v>
      </c>
      <c r="F795" s="22">
        <v>4.9109999999999996</v>
      </c>
      <c r="G795" s="22">
        <v>465.47000100000002</v>
      </c>
      <c r="H795" s="22">
        <v>2072.679932</v>
      </c>
      <c r="I795" s="18">
        <v>20089.720700000002</v>
      </c>
    </row>
    <row r="796" spans="1:9" x14ac:dyDescent="0.2">
      <c r="A796" s="4">
        <v>34620</v>
      </c>
      <c r="B796" s="21">
        <v>1.2605999999999999</v>
      </c>
      <c r="C796" s="22">
        <v>99.35</v>
      </c>
      <c r="D796" s="22">
        <v>7.6230000000000002</v>
      </c>
      <c r="E796" s="10">
        <v>7.56</v>
      </c>
      <c r="F796" s="22">
        <v>4.9260000000000002</v>
      </c>
      <c r="G796" s="22">
        <v>467.790009</v>
      </c>
      <c r="H796" s="22">
        <v>2108.080078</v>
      </c>
      <c r="I796" s="18">
        <v>20148.83008</v>
      </c>
    </row>
    <row r="797" spans="1:9" x14ac:dyDescent="0.2">
      <c r="A797" s="4">
        <v>34621</v>
      </c>
      <c r="B797" s="21">
        <v>1.2783</v>
      </c>
      <c r="C797" s="22">
        <v>98.25</v>
      </c>
      <c r="D797" s="22">
        <v>7.59</v>
      </c>
      <c r="E797" s="10">
        <v>7.44</v>
      </c>
      <c r="F797" s="22">
        <v>4.8449999999999998</v>
      </c>
      <c r="G797" s="22">
        <v>469.10000600000001</v>
      </c>
      <c r="H797" s="22">
        <v>2118.5200199999999</v>
      </c>
      <c r="I797" s="18">
        <v>19969.289059999999</v>
      </c>
    </row>
    <row r="798" spans="1:9" x14ac:dyDescent="0.2">
      <c r="A798" s="4">
        <v>34624</v>
      </c>
      <c r="B798" s="21">
        <v>1.2909999999999999</v>
      </c>
      <c r="C798" s="22">
        <v>97.72</v>
      </c>
      <c r="D798" s="22">
        <v>7.6</v>
      </c>
      <c r="E798" s="10">
        <v>7.34</v>
      </c>
      <c r="F798" s="22">
        <v>4.8410000000000002</v>
      </c>
      <c r="G798" s="22">
        <v>468.959991</v>
      </c>
      <c r="H798" s="22">
        <v>2095.580078</v>
      </c>
      <c r="I798" s="18">
        <v>19958.289059999999</v>
      </c>
    </row>
    <row r="799" spans="1:9" x14ac:dyDescent="0.2">
      <c r="A799" s="4">
        <v>34625</v>
      </c>
      <c r="B799" s="21">
        <v>1.2937000000000001</v>
      </c>
      <c r="C799" s="22">
        <v>97.75</v>
      </c>
      <c r="D799" s="22">
        <v>7.6139999999999999</v>
      </c>
      <c r="E799" s="10">
        <v>7.33</v>
      </c>
      <c r="F799" s="22">
        <v>4.87</v>
      </c>
      <c r="G799" s="22">
        <v>467.66000400000001</v>
      </c>
      <c r="H799" s="22">
        <v>2069.580078</v>
      </c>
      <c r="I799" s="18">
        <v>19992.400389999999</v>
      </c>
    </row>
    <row r="800" spans="1:9" x14ac:dyDescent="0.2">
      <c r="A800" s="4">
        <v>34626</v>
      </c>
      <c r="B800" s="21">
        <v>1.2937000000000001</v>
      </c>
      <c r="C800" s="22">
        <v>97.4</v>
      </c>
      <c r="D800" s="22">
        <v>7.6509999999999998</v>
      </c>
      <c r="E800" s="10">
        <v>7.37</v>
      </c>
      <c r="F800" s="22">
        <v>4.8410000000000002</v>
      </c>
      <c r="G800" s="22">
        <v>470.27999899999998</v>
      </c>
      <c r="H800" s="22">
        <v>2058.1298830000001</v>
      </c>
      <c r="I800" s="18">
        <v>19868.869139999999</v>
      </c>
    </row>
    <row r="801" spans="1:9" x14ac:dyDescent="0.2">
      <c r="A801" s="4">
        <v>34627</v>
      </c>
      <c r="B801" s="21">
        <v>1.2931999999999999</v>
      </c>
      <c r="C801" s="22">
        <v>97.03</v>
      </c>
      <c r="D801" s="22">
        <v>7.7830000000000004</v>
      </c>
      <c r="E801" s="10">
        <v>7.39</v>
      </c>
      <c r="F801" s="22">
        <v>4.87</v>
      </c>
      <c r="G801" s="22">
        <v>466.85000600000001</v>
      </c>
      <c r="H801" s="22">
        <v>2048.1499020000001</v>
      </c>
      <c r="I801" s="18">
        <v>19991.900389999999</v>
      </c>
    </row>
    <row r="802" spans="1:9" x14ac:dyDescent="0.2">
      <c r="A802" s="4">
        <v>34628</v>
      </c>
      <c r="B802" s="21">
        <v>1.2975000000000001</v>
      </c>
      <c r="C802" s="22">
        <v>97.23</v>
      </c>
      <c r="D802" s="22">
        <v>7.7830000000000004</v>
      </c>
      <c r="E802" s="10">
        <v>7.5</v>
      </c>
      <c r="F802" s="22">
        <v>4.83</v>
      </c>
      <c r="G802" s="22">
        <v>464.89001500000001</v>
      </c>
      <c r="H802" s="22">
        <v>2016.599976</v>
      </c>
      <c r="I802" s="18">
        <v>19899.08008</v>
      </c>
    </row>
    <row r="803" spans="1:9" x14ac:dyDescent="0.2">
      <c r="A803" s="4">
        <v>34631</v>
      </c>
      <c r="B803" s="21">
        <v>1.2965</v>
      </c>
      <c r="C803" s="22">
        <v>97.13</v>
      </c>
      <c r="D803" s="22">
        <v>7.83</v>
      </c>
      <c r="E803" s="10">
        <v>7.5</v>
      </c>
      <c r="F803" s="22">
        <v>4.9000000000000004</v>
      </c>
      <c r="G803" s="22">
        <v>460.82998700000002</v>
      </c>
      <c r="H803" s="22">
        <v>2022.6400149999999</v>
      </c>
      <c r="I803" s="18">
        <v>19852.369139999999</v>
      </c>
    </row>
    <row r="804" spans="1:9" x14ac:dyDescent="0.2">
      <c r="A804" s="4">
        <v>34632</v>
      </c>
      <c r="B804" s="21">
        <v>1.3007</v>
      </c>
      <c r="C804" s="22">
        <v>96.82</v>
      </c>
      <c r="D804" s="22">
        <v>7.859</v>
      </c>
      <c r="E804" s="10">
        <v>7.62</v>
      </c>
      <c r="F804" s="22">
        <v>4.8959999999999999</v>
      </c>
      <c r="G804" s="22">
        <v>461.52999899999998</v>
      </c>
      <c r="H804" s="22">
        <v>1995.849976</v>
      </c>
      <c r="I804" s="18">
        <v>19732.150389999999</v>
      </c>
    </row>
    <row r="805" spans="1:9" x14ac:dyDescent="0.2">
      <c r="A805" s="4">
        <v>34633</v>
      </c>
      <c r="B805" s="21">
        <v>1.2991999999999999</v>
      </c>
      <c r="C805" s="22">
        <v>96.83</v>
      </c>
      <c r="D805" s="22">
        <v>7.859</v>
      </c>
      <c r="E805" s="10">
        <v>7.65</v>
      </c>
      <c r="F805" s="22">
        <v>4.8780000000000001</v>
      </c>
      <c r="G805" s="22">
        <v>462.61999500000002</v>
      </c>
      <c r="H805" s="22">
        <v>2009.4499510000001</v>
      </c>
      <c r="I805" s="18">
        <v>19746.349610000001</v>
      </c>
    </row>
    <row r="806" spans="1:9" x14ac:dyDescent="0.2">
      <c r="A806" s="4">
        <v>34634</v>
      </c>
      <c r="B806" s="21">
        <v>1.298</v>
      </c>
      <c r="C806" s="22">
        <v>97.03</v>
      </c>
      <c r="D806" s="22">
        <v>7.859</v>
      </c>
      <c r="E806" s="10">
        <v>7.68</v>
      </c>
      <c r="F806" s="22">
        <v>4.8849999999999998</v>
      </c>
      <c r="G806" s="22">
        <v>465.85000600000001</v>
      </c>
      <c r="H806" s="22">
        <v>2026.369995</v>
      </c>
      <c r="I806" s="18">
        <v>19796.359380000002</v>
      </c>
    </row>
    <row r="807" spans="1:9" x14ac:dyDescent="0.2">
      <c r="A807" s="4">
        <v>34635</v>
      </c>
      <c r="B807" s="21">
        <v>1.2871999999999999</v>
      </c>
      <c r="C807" s="22">
        <v>97.28</v>
      </c>
      <c r="D807" s="22">
        <v>7.7930000000000001</v>
      </c>
      <c r="E807" s="10">
        <v>7.65</v>
      </c>
      <c r="F807" s="22">
        <v>4.8650000000000002</v>
      </c>
      <c r="G807" s="22">
        <v>473.76998900000001</v>
      </c>
      <c r="H807" s="22">
        <v>2064.860107</v>
      </c>
      <c r="I807" s="18">
        <v>19805.160159999999</v>
      </c>
    </row>
    <row r="808" spans="1:9" x14ac:dyDescent="0.2">
      <c r="A808" s="4">
        <v>34638</v>
      </c>
      <c r="B808" s="21">
        <v>1.288</v>
      </c>
      <c r="C808" s="22">
        <v>96.96</v>
      </c>
      <c r="D808" s="22">
        <v>7.7930000000000001</v>
      </c>
      <c r="E808" s="10">
        <v>7.56</v>
      </c>
      <c r="F808" s="22">
        <v>4.83</v>
      </c>
      <c r="G808" s="22">
        <v>472.35000600000001</v>
      </c>
      <c r="H808" s="22">
        <v>2061.580078</v>
      </c>
      <c r="I808" s="18">
        <v>19989.599610000001</v>
      </c>
    </row>
    <row r="809" spans="1:9" x14ac:dyDescent="0.2">
      <c r="A809" s="4">
        <v>34639</v>
      </c>
      <c r="B809" s="21">
        <v>1.2943</v>
      </c>
      <c r="C809" s="22">
        <v>96.61</v>
      </c>
      <c r="D809" s="22">
        <v>7.8929999999999998</v>
      </c>
      <c r="E809" s="10">
        <v>7.62</v>
      </c>
      <c r="F809" s="22">
        <v>4.8209999999999997</v>
      </c>
      <c r="G809" s="22">
        <v>468.42001299999998</v>
      </c>
      <c r="H809" s="22">
        <v>2066.179932</v>
      </c>
      <c r="I809" s="18">
        <v>19916.480469999999</v>
      </c>
    </row>
    <row r="810" spans="1:9" x14ac:dyDescent="0.2">
      <c r="A810" s="4">
        <v>34640</v>
      </c>
      <c r="B810" s="21">
        <v>1.2975000000000001</v>
      </c>
      <c r="C810" s="22">
        <v>97.53</v>
      </c>
      <c r="D810" s="22">
        <v>7.9269999999999996</v>
      </c>
      <c r="E810" s="10">
        <v>7.67</v>
      </c>
      <c r="F810" s="22">
        <v>4.8159999999999998</v>
      </c>
      <c r="G810" s="22">
        <v>466.51001000000002</v>
      </c>
      <c r="H810" s="22">
        <v>2039.910034</v>
      </c>
      <c r="I810" s="18">
        <v>19750.650389999999</v>
      </c>
    </row>
    <row r="811" spans="1:9" x14ac:dyDescent="0.2">
      <c r="A811" s="4">
        <v>34641</v>
      </c>
      <c r="B811" s="21">
        <v>1.2811999999999999</v>
      </c>
      <c r="C811" s="22">
        <v>97.63</v>
      </c>
      <c r="D811" s="22">
        <v>7.9459999999999997</v>
      </c>
      <c r="E811" s="10">
        <v>7.7</v>
      </c>
      <c r="F811" s="22">
        <v>4.8159999999999998</v>
      </c>
      <c r="G811" s="22">
        <v>467.91000400000001</v>
      </c>
      <c r="H811" s="22">
        <v>2061.3701169999999</v>
      </c>
      <c r="I811" s="18">
        <v>19750.650389999999</v>
      </c>
    </row>
    <row r="812" spans="1:9" x14ac:dyDescent="0.2">
      <c r="A812" s="4">
        <v>34642</v>
      </c>
      <c r="B812" s="21">
        <v>1.2724</v>
      </c>
      <c r="C812" s="22">
        <v>97.45</v>
      </c>
      <c r="D812" s="22">
        <v>8.0139999999999993</v>
      </c>
      <c r="E812" s="10">
        <v>7.63</v>
      </c>
      <c r="F812" s="22">
        <v>4.851</v>
      </c>
      <c r="G812" s="22">
        <v>462.27999899999998</v>
      </c>
      <c r="H812" s="22">
        <v>2069.389893</v>
      </c>
      <c r="I812" s="18">
        <v>19811.560549999998</v>
      </c>
    </row>
    <row r="813" spans="1:9" x14ac:dyDescent="0.2">
      <c r="A813" s="4">
        <v>34645</v>
      </c>
      <c r="B813" s="21">
        <v>1.2785</v>
      </c>
      <c r="C813" s="22">
        <v>97.38</v>
      </c>
      <c r="D813" s="22">
        <v>8.0229999999999997</v>
      </c>
      <c r="E813" s="10">
        <v>7.64</v>
      </c>
      <c r="F813" s="22">
        <v>4.8609999999999998</v>
      </c>
      <c r="G813" s="22">
        <v>463.07000699999998</v>
      </c>
      <c r="H813" s="22">
        <v>2043.3000489999999</v>
      </c>
      <c r="I813" s="18">
        <v>19619.220700000002</v>
      </c>
    </row>
    <row r="814" spans="1:9" x14ac:dyDescent="0.2">
      <c r="A814" s="4">
        <v>34646</v>
      </c>
      <c r="B814" s="21">
        <v>1.2847</v>
      </c>
      <c r="C814" s="22">
        <v>97.1</v>
      </c>
      <c r="D814" s="22">
        <v>7.9850000000000003</v>
      </c>
      <c r="E814" s="10">
        <v>7.65</v>
      </c>
      <c r="F814" s="22">
        <v>4.8810000000000002</v>
      </c>
      <c r="G814" s="22">
        <v>465.64999399999999</v>
      </c>
      <c r="H814" s="22">
        <v>2056.360107</v>
      </c>
      <c r="I814" s="18">
        <v>19609.019530000001</v>
      </c>
    </row>
    <row r="815" spans="1:9" x14ac:dyDescent="0.2">
      <c r="A815" s="4">
        <v>34647</v>
      </c>
      <c r="B815" s="21">
        <v>1.2674000000000001</v>
      </c>
      <c r="C815" s="22">
        <v>97.84</v>
      </c>
      <c r="D815" s="22">
        <v>7.923</v>
      </c>
      <c r="E815" s="10">
        <v>7.55</v>
      </c>
      <c r="F815" s="22">
        <v>4.774</v>
      </c>
      <c r="G815" s="22">
        <v>465.39999399999999</v>
      </c>
      <c r="H815" s="22">
        <v>2090.780029</v>
      </c>
      <c r="I815" s="18">
        <v>19423.880860000001</v>
      </c>
    </row>
    <row r="816" spans="1:9" x14ac:dyDescent="0.2">
      <c r="A816" s="4">
        <v>34648</v>
      </c>
      <c r="B816" s="21">
        <v>1.2639</v>
      </c>
      <c r="C816" s="22">
        <v>97.71</v>
      </c>
      <c r="D816" s="22">
        <v>7.9619999999999997</v>
      </c>
      <c r="E816" s="10">
        <v>7.52</v>
      </c>
      <c r="F816" s="22">
        <v>4.7720000000000002</v>
      </c>
      <c r="G816" s="22">
        <v>464.36999500000002</v>
      </c>
      <c r="H816" s="22">
        <v>2098.040039</v>
      </c>
      <c r="I816" s="18">
        <v>19264.849610000001</v>
      </c>
    </row>
    <row r="817" spans="1:9" x14ac:dyDescent="0.2">
      <c r="A817" s="4">
        <v>34649</v>
      </c>
      <c r="B817" s="21">
        <v>1.2692000000000001</v>
      </c>
      <c r="C817" s="22">
        <v>97.73</v>
      </c>
      <c r="D817" s="22">
        <v>7.9809999999999999</v>
      </c>
      <c r="E817" s="10">
        <v>7.5</v>
      </c>
      <c r="F817" s="22">
        <v>4.734</v>
      </c>
      <c r="G817" s="22">
        <v>462.35000600000001</v>
      </c>
      <c r="H817" s="22">
        <v>2073.669922</v>
      </c>
      <c r="I817" s="18">
        <v>19284.359380000002</v>
      </c>
    </row>
    <row r="818" spans="1:9" x14ac:dyDescent="0.2">
      <c r="A818" s="4">
        <v>34652</v>
      </c>
      <c r="B818" s="21">
        <v>1.2549999999999999</v>
      </c>
      <c r="C818" s="22">
        <v>98.33</v>
      </c>
      <c r="D818" s="22">
        <v>7.9249999999999998</v>
      </c>
      <c r="E818" s="10">
        <v>7.48</v>
      </c>
      <c r="F818" s="22">
        <v>4.7240000000000002</v>
      </c>
      <c r="G818" s="22">
        <v>466.040009</v>
      </c>
      <c r="H818" s="22">
        <v>2091.040039</v>
      </c>
      <c r="I818" s="18">
        <v>19261.449219999999</v>
      </c>
    </row>
    <row r="819" spans="1:9" x14ac:dyDescent="0.2">
      <c r="A819" s="4">
        <v>34653</v>
      </c>
      <c r="B819" s="21">
        <v>1.2552000000000001</v>
      </c>
      <c r="C819" s="22">
        <v>98.75</v>
      </c>
      <c r="D819" s="22">
        <v>7.8929999999999998</v>
      </c>
      <c r="E819" s="10">
        <v>7.45</v>
      </c>
      <c r="F819" s="22">
        <v>4.7190000000000003</v>
      </c>
      <c r="G819" s="22">
        <v>465.02999899999998</v>
      </c>
      <c r="H819" s="22">
        <v>2112.209961</v>
      </c>
      <c r="I819" s="18">
        <v>19391.679690000001</v>
      </c>
    </row>
    <row r="820" spans="1:9" x14ac:dyDescent="0.2">
      <c r="A820" s="4">
        <v>34654</v>
      </c>
      <c r="B820" s="21">
        <v>1.2507999999999999</v>
      </c>
      <c r="C820" s="22">
        <v>98.37</v>
      </c>
      <c r="D820" s="22">
        <v>7.9619999999999997</v>
      </c>
      <c r="E820" s="10">
        <v>7.45</v>
      </c>
      <c r="F820" s="22">
        <v>4.7389999999999999</v>
      </c>
      <c r="G820" s="22">
        <v>465.61999500000002</v>
      </c>
      <c r="H820" s="22">
        <v>2112.209961</v>
      </c>
      <c r="I820" s="18">
        <v>19306.660159999999</v>
      </c>
    </row>
    <row r="821" spans="1:9" x14ac:dyDescent="0.2">
      <c r="A821" s="4">
        <v>34655</v>
      </c>
      <c r="B821" s="21">
        <v>1.2527999999999999</v>
      </c>
      <c r="C821" s="22">
        <v>98.33</v>
      </c>
      <c r="D821" s="22">
        <v>8.0129999999999999</v>
      </c>
      <c r="E821" s="10">
        <v>7.51</v>
      </c>
      <c r="F821" s="22">
        <v>4.7489999999999997</v>
      </c>
      <c r="G821" s="22">
        <v>463.57000699999998</v>
      </c>
      <c r="H821" s="22">
        <v>2091.9399410000001</v>
      </c>
      <c r="I821" s="18">
        <v>19336.570309999999</v>
      </c>
    </row>
    <row r="822" spans="1:9" x14ac:dyDescent="0.2">
      <c r="A822" s="4">
        <v>34656</v>
      </c>
      <c r="B822" s="21">
        <v>1.2483</v>
      </c>
      <c r="C822" s="22">
        <v>98.59</v>
      </c>
      <c r="D822" s="22">
        <v>8.0039999999999996</v>
      </c>
      <c r="E822" s="10">
        <v>7.55</v>
      </c>
      <c r="F822" s="22">
        <v>4.7430000000000003</v>
      </c>
      <c r="G822" s="22">
        <v>461.47000100000002</v>
      </c>
      <c r="H822" s="22">
        <v>2089.4799800000001</v>
      </c>
      <c r="I822" s="18">
        <v>19302.560549999998</v>
      </c>
    </row>
    <row r="823" spans="1:9" x14ac:dyDescent="0.2">
      <c r="A823" s="4">
        <v>34659</v>
      </c>
      <c r="B823" s="21">
        <v>1.2444</v>
      </c>
      <c r="C823" s="22">
        <v>98.27</v>
      </c>
      <c r="D823" s="22">
        <v>8.0169999999999995</v>
      </c>
      <c r="E823" s="10">
        <v>7.52</v>
      </c>
      <c r="F823" s="22">
        <v>4.7389999999999999</v>
      </c>
      <c r="G823" s="22">
        <v>458.29998799999998</v>
      </c>
      <c r="H823" s="22">
        <v>2097.1999510000001</v>
      </c>
      <c r="I823" s="18">
        <v>19121.720700000002</v>
      </c>
    </row>
    <row r="824" spans="1:9" x14ac:dyDescent="0.2">
      <c r="A824" s="4">
        <v>34660</v>
      </c>
      <c r="B824" s="21">
        <v>1.2474000000000001</v>
      </c>
      <c r="C824" s="22">
        <v>98.21</v>
      </c>
      <c r="D824" s="22">
        <v>7.9850000000000003</v>
      </c>
      <c r="E824" s="10">
        <v>7.5</v>
      </c>
      <c r="F824" s="22">
        <v>4.7140000000000004</v>
      </c>
      <c r="G824" s="22">
        <v>450.08999599999999</v>
      </c>
      <c r="H824" s="22">
        <v>2073.290039</v>
      </c>
      <c r="I824" s="18">
        <v>18962.990229999999</v>
      </c>
    </row>
    <row r="825" spans="1:9" x14ac:dyDescent="0.2">
      <c r="A825" s="4">
        <v>34661</v>
      </c>
      <c r="B825" s="21">
        <v>1.2466999999999999</v>
      </c>
      <c r="C825" s="22">
        <v>98.44</v>
      </c>
      <c r="D825" s="22">
        <v>7.8010000000000002</v>
      </c>
      <c r="E825" s="10">
        <v>7.4</v>
      </c>
      <c r="F825" s="22">
        <v>4.7140000000000004</v>
      </c>
      <c r="G825" s="22">
        <v>449.92999300000002</v>
      </c>
      <c r="H825" s="22">
        <v>2040.0500489999999</v>
      </c>
      <c r="I825" s="18">
        <v>18962.990229999999</v>
      </c>
    </row>
    <row r="826" spans="1:9" x14ac:dyDescent="0.2">
      <c r="A826" s="4">
        <v>34662</v>
      </c>
      <c r="B826" s="21">
        <v>1.2430000000000001</v>
      </c>
      <c r="C826" s="22">
        <v>98.47</v>
      </c>
      <c r="D826" s="22">
        <v>7.8010000000000002</v>
      </c>
      <c r="E826" s="10">
        <v>7.39</v>
      </c>
      <c r="F826" s="22">
        <v>4.6289999999999996</v>
      </c>
      <c r="G826" s="22">
        <v>448.92</v>
      </c>
      <c r="H826" s="22">
        <v>2058.790039</v>
      </c>
      <c r="I826" s="18">
        <v>18701.240229999999</v>
      </c>
    </row>
    <row r="827" spans="1:9" x14ac:dyDescent="0.2">
      <c r="A827" s="4">
        <v>34663</v>
      </c>
      <c r="B827" s="21">
        <v>1.2419</v>
      </c>
      <c r="C827" s="22">
        <v>98.78</v>
      </c>
      <c r="D827" s="22">
        <v>7.7880000000000003</v>
      </c>
      <c r="E827" s="10">
        <v>7.32</v>
      </c>
      <c r="F827" s="22">
        <v>4.649</v>
      </c>
      <c r="G827" s="22">
        <v>452.290009</v>
      </c>
      <c r="H827" s="22">
        <v>2056.2700199999999</v>
      </c>
      <c r="I827" s="18">
        <v>18666.929690000001</v>
      </c>
    </row>
    <row r="828" spans="1:9" x14ac:dyDescent="0.2">
      <c r="A828" s="4">
        <v>34666</v>
      </c>
      <c r="B828" s="21">
        <v>1.2392000000000001</v>
      </c>
      <c r="C828" s="22">
        <v>98.74</v>
      </c>
      <c r="D828" s="22">
        <v>7.8739999999999997</v>
      </c>
      <c r="E828" s="10">
        <v>7.28</v>
      </c>
      <c r="F828" s="22">
        <v>4.694</v>
      </c>
      <c r="G828" s="22">
        <v>454.16000400000001</v>
      </c>
      <c r="H828" s="22">
        <v>2050.820068</v>
      </c>
      <c r="I828" s="18">
        <v>18811.359380000002</v>
      </c>
    </row>
    <row r="829" spans="1:9" x14ac:dyDescent="0.2">
      <c r="A829" s="4">
        <v>34667</v>
      </c>
      <c r="B829" s="21">
        <v>1.2415</v>
      </c>
      <c r="C829" s="22">
        <v>98.96</v>
      </c>
      <c r="D829" s="22">
        <v>7.9390000000000001</v>
      </c>
      <c r="E829" s="10">
        <v>7.35</v>
      </c>
      <c r="F829" s="22">
        <v>4.6890000000000001</v>
      </c>
      <c r="G829" s="22">
        <v>455.17001299999998</v>
      </c>
      <c r="H829" s="22">
        <v>2036.23999</v>
      </c>
      <c r="I829" s="18">
        <v>18926.490229999999</v>
      </c>
    </row>
    <row r="830" spans="1:9" x14ac:dyDescent="0.2">
      <c r="A830" s="4">
        <v>34668</v>
      </c>
      <c r="B830" s="21">
        <v>1.2345999999999999</v>
      </c>
      <c r="C830" s="22">
        <v>98.98</v>
      </c>
      <c r="D830" s="22">
        <v>7.8879999999999999</v>
      </c>
      <c r="E830" s="10">
        <v>7.41</v>
      </c>
      <c r="F830" s="22">
        <v>4.7140000000000004</v>
      </c>
      <c r="G830" s="22">
        <v>453.69000199999999</v>
      </c>
      <c r="H830" s="22">
        <v>2057.280029</v>
      </c>
      <c r="I830" s="18">
        <v>19075.619139999999</v>
      </c>
    </row>
    <row r="831" spans="1:9" x14ac:dyDescent="0.2">
      <c r="A831" s="4">
        <v>34669</v>
      </c>
      <c r="B831" s="21">
        <v>1.2337</v>
      </c>
      <c r="C831" s="22">
        <v>99.38</v>
      </c>
      <c r="D831" s="22">
        <v>7.9109999999999996</v>
      </c>
      <c r="E831" s="10">
        <v>7.31</v>
      </c>
      <c r="F831" s="22">
        <v>4.6559999999999997</v>
      </c>
      <c r="G831" s="22">
        <v>448.92001299999998</v>
      </c>
      <c r="H831" s="22">
        <v>2045.540039</v>
      </c>
      <c r="I831" s="18">
        <v>19013.599610000001</v>
      </c>
    </row>
    <row r="832" spans="1:9" x14ac:dyDescent="0.2">
      <c r="A832" s="4">
        <v>34670</v>
      </c>
      <c r="B832" s="21">
        <v>1.2294</v>
      </c>
      <c r="C832" s="22">
        <v>100.64</v>
      </c>
      <c r="D832" s="22">
        <v>7.7919999999999998</v>
      </c>
      <c r="E832" s="10">
        <v>7.31</v>
      </c>
      <c r="F832" s="22">
        <v>4.641</v>
      </c>
      <c r="G832" s="22">
        <v>453.29998799999998</v>
      </c>
      <c r="H832" s="22">
        <v>2042.380005</v>
      </c>
      <c r="I832" s="18">
        <v>18998.300780000001</v>
      </c>
    </row>
    <row r="833" spans="1:9" x14ac:dyDescent="0.2">
      <c r="A833" s="4">
        <v>34673</v>
      </c>
      <c r="B833" s="21">
        <v>1.2314000000000001</v>
      </c>
      <c r="C833" s="22">
        <v>100.33</v>
      </c>
      <c r="D833" s="22">
        <v>7.8230000000000004</v>
      </c>
      <c r="E833" s="10">
        <v>7.27</v>
      </c>
      <c r="F833" s="22">
        <v>4.6749999999999998</v>
      </c>
      <c r="G833" s="22">
        <v>453.32000699999998</v>
      </c>
      <c r="H833" s="22">
        <v>2067.26001</v>
      </c>
      <c r="I833" s="18">
        <v>19305.660159999999</v>
      </c>
    </row>
    <row r="834" spans="1:9" x14ac:dyDescent="0.2">
      <c r="A834" s="4">
        <v>34674</v>
      </c>
      <c r="B834" s="21">
        <v>1.2318</v>
      </c>
      <c r="C834" s="22">
        <v>100.12</v>
      </c>
      <c r="D834" s="22">
        <v>7.7190000000000003</v>
      </c>
      <c r="E834" s="10">
        <v>7.34</v>
      </c>
      <c r="F834" s="22">
        <v>4.6449999999999996</v>
      </c>
      <c r="G834" s="22">
        <v>453.10998499999999</v>
      </c>
      <c r="H834" s="22">
        <v>2046.98999</v>
      </c>
      <c r="I834" s="18">
        <v>19340.470700000002</v>
      </c>
    </row>
    <row r="835" spans="1:9" x14ac:dyDescent="0.2">
      <c r="A835" s="4">
        <v>34675</v>
      </c>
      <c r="B835" s="21">
        <v>1.2326999999999999</v>
      </c>
      <c r="C835" s="22">
        <v>99.92</v>
      </c>
      <c r="D835" s="22">
        <v>7.8010000000000002</v>
      </c>
      <c r="E835" s="10">
        <v>7.34</v>
      </c>
      <c r="F835" s="22">
        <v>4.6210000000000004</v>
      </c>
      <c r="G835" s="22">
        <v>451.23001099999999</v>
      </c>
      <c r="H835" s="22">
        <v>2044.040039</v>
      </c>
      <c r="I835" s="18">
        <v>19174.230469999999</v>
      </c>
    </row>
    <row r="836" spans="1:9" x14ac:dyDescent="0.2">
      <c r="A836" s="4">
        <v>34676</v>
      </c>
      <c r="B836" s="21">
        <v>1.2278</v>
      </c>
      <c r="C836" s="22">
        <v>100.56</v>
      </c>
      <c r="D836" s="22">
        <v>7.81</v>
      </c>
      <c r="E836" s="10">
        <v>7.43</v>
      </c>
      <c r="F836" s="22">
        <v>4.6449999999999996</v>
      </c>
      <c r="G836" s="22">
        <v>445.45001200000002</v>
      </c>
      <c r="H836" s="22">
        <v>2041.849976</v>
      </c>
      <c r="I836" s="18">
        <v>19180.039059999999</v>
      </c>
    </row>
    <row r="837" spans="1:9" x14ac:dyDescent="0.2">
      <c r="A837" s="4">
        <v>34677</v>
      </c>
      <c r="B837" s="21">
        <v>1.2281</v>
      </c>
      <c r="C837" s="22">
        <v>100.11</v>
      </c>
      <c r="D837" s="22">
        <v>7.7779999999999996</v>
      </c>
      <c r="E837" s="10">
        <v>7.39</v>
      </c>
      <c r="F837" s="22">
        <v>4.5910000000000002</v>
      </c>
      <c r="G837" s="22">
        <v>446.959991</v>
      </c>
      <c r="H837" s="22">
        <v>2024.1899410000001</v>
      </c>
      <c r="I837" s="18">
        <v>18978.300780000001</v>
      </c>
    </row>
    <row r="838" spans="1:9" x14ac:dyDescent="0.2">
      <c r="A838" s="4">
        <v>34680</v>
      </c>
      <c r="B838" s="21">
        <v>1.2302</v>
      </c>
      <c r="C838" s="22">
        <v>100</v>
      </c>
      <c r="D838" s="22">
        <v>7.8410000000000002</v>
      </c>
      <c r="E838" s="10">
        <v>7.42</v>
      </c>
      <c r="F838" s="22">
        <v>4.585</v>
      </c>
      <c r="G838" s="22">
        <v>449.47000100000002</v>
      </c>
      <c r="H838" s="22">
        <v>2003.6400149999999</v>
      </c>
      <c r="I838" s="18">
        <v>18975.099610000001</v>
      </c>
    </row>
    <row r="839" spans="1:9" x14ac:dyDescent="0.2">
      <c r="A839" s="4">
        <v>34681</v>
      </c>
      <c r="B839" s="21">
        <v>1.2286999999999999</v>
      </c>
      <c r="C839" s="22">
        <v>100.28</v>
      </c>
      <c r="D839" s="22">
        <v>7.8140000000000001</v>
      </c>
      <c r="E839" s="10">
        <v>7.51</v>
      </c>
      <c r="F839" s="22">
        <v>4.5609999999999999</v>
      </c>
      <c r="G839" s="22">
        <v>450.14999399999999</v>
      </c>
      <c r="H839" s="22">
        <v>2019.130005</v>
      </c>
      <c r="I839" s="18">
        <v>18875.480469999999</v>
      </c>
    </row>
    <row r="840" spans="1:9" x14ac:dyDescent="0.2">
      <c r="A840" s="4">
        <v>34682</v>
      </c>
      <c r="B840" s="21">
        <v>1.2314000000000001</v>
      </c>
      <c r="C840" s="22">
        <v>100.3</v>
      </c>
      <c r="D840" s="22">
        <v>7.7729999999999997</v>
      </c>
      <c r="E840" s="10">
        <v>7.5</v>
      </c>
      <c r="F840" s="22">
        <v>4.5659999999999998</v>
      </c>
      <c r="G840" s="22">
        <v>454.97000100000002</v>
      </c>
      <c r="H840" s="22">
        <v>2040.9399410000001</v>
      </c>
      <c r="I840" s="18">
        <v>18931.490229999999</v>
      </c>
    </row>
    <row r="841" spans="1:9" x14ac:dyDescent="0.2">
      <c r="A841" s="4">
        <v>34683</v>
      </c>
      <c r="B841" s="21">
        <v>1.2297</v>
      </c>
      <c r="C841" s="22">
        <v>100.31</v>
      </c>
      <c r="D841" s="22">
        <v>7.7770000000000001</v>
      </c>
      <c r="E841" s="10">
        <v>7.49</v>
      </c>
      <c r="F841" s="22">
        <v>4.5739999999999998</v>
      </c>
      <c r="G841" s="22">
        <v>455.33999599999999</v>
      </c>
      <c r="H841" s="22">
        <v>2054.2299800000001</v>
      </c>
      <c r="I841" s="18">
        <v>19121.119139999999</v>
      </c>
    </row>
    <row r="842" spans="1:9" x14ac:dyDescent="0.2">
      <c r="A842" s="4">
        <v>34684</v>
      </c>
      <c r="B842" s="21">
        <v>1.2302999999999999</v>
      </c>
      <c r="C842" s="22">
        <v>100.25</v>
      </c>
      <c r="D842" s="22">
        <v>7.8</v>
      </c>
      <c r="E842" s="10">
        <v>7.46</v>
      </c>
      <c r="F842" s="22">
        <v>4.5890000000000004</v>
      </c>
      <c r="G842" s="22">
        <v>458.79998799999998</v>
      </c>
      <c r="H842" s="22">
        <v>2069.8999020000001</v>
      </c>
      <c r="I842" s="18">
        <v>19163.429690000001</v>
      </c>
    </row>
    <row r="843" spans="1:9" x14ac:dyDescent="0.2">
      <c r="A843" s="4">
        <v>34687</v>
      </c>
      <c r="B843" s="21">
        <v>1.2270000000000001</v>
      </c>
      <c r="C843" s="22">
        <v>100.13</v>
      </c>
      <c r="D843" s="22">
        <v>7.7949999999999999</v>
      </c>
      <c r="E843" s="10">
        <v>7.47</v>
      </c>
      <c r="F843" s="22">
        <v>4.5990000000000002</v>
      </c>
      <c r="G843" s="22">
        <v>457.91000400000001</v>
      </c>
      <c r="H843" s="22">
        <v>2066.5900879999999</v>
      </c>
      <c r="I843" s="18">
        <v>19270.849610000001</v>
      </c>
    </row>
    <row r="844" spans="1:9" x14ac:dyDescent="0.2">
      <c r="A844" s="4">
        <v>34688</v>
      </c>
      <c r="B844" s="21">
        <v>1.2276</v>
      </c>
      <c r="C844" s="22">
        <v>100.23</v>
      </c>
      <c r="D844" s="22">
        <v>7.8</v>
      </c>
      <c r="E844" s="10">
        <v>7.51</v>
      </c>
      <c r="F844" s="22">
        <v>4.5739999999999998</v>
      </c>
      <c r="G844" s="22">
        <v>457.10000600000001</v>
      </c>
      <c r="H844" s="22">
        <v>2080.1599120000001</v>
      </c>
      <c r="I844" s="18">
        <v>19406.980469999999</v>
      </c>
    </row>
    <row r="845" spans="1:9" x14ac:dyDescent="0.2">
      <c r="A845" s="4">
        <v>34689</v>
      </c>
      <c r="B845" s="21">
        <v>1.2294</v>
      </c>
      <c r="C845" s="22">
        <v>100.61</v>
      </c>
      <c r="D845" s="22">
        <v>7.7859999999999996</v>
      </c>
      <c r="E845" s="10">
        <v>7.51</v>
      </c>
      <c r="F845" s="22">
        <v>4.5289999999999999</v>
      </c>
      <c r="G845" s="22">
        <v>459.60998499999999</v>
      </c>
      <c r="H845" s="22">
        <v>2095.5</v>
      </c>
      <c r="I845" s="18">
        <v>19340.66992</v>
      </c>
    </row>
    <row r="846" spans="1:9" x14ac:dyDescent="0.2">
      <c r="A846" s="4">
        <v>34690</v>
      </c>
      <c r="B846" s="21">
        <v>1.2229000000000001</v>
      </c>
      <c r="C846" s="22">
        <v>100.15</v>
      </c>
      <c r="D846" s="22">
        <v>7.827</v>
      </c>
      <c r="E846" s="10">
        <v>7.5</v>
      </c>
      <c r="F846" s="22">
        <v>4.5339999999999998</v>
      </c>
      <c r="G846" s="22">
        <v>459.67999300000002</v>
      </c>
      <c r="H846" s="22">
        <v>2102.25</v>
      </c>
      <c r="I846" s="18">
        <v>19633.529299999998</v>
      </c>
    </row>
    <row r="847" spans="1:9" x14ac:dyDescent="0.2">
      <c r="A847" s="4">
        <v>34691</v>
      </c>
      <c r="B847" s="21">
        <v>1.2252000000000001</v>
      </c>
      <c r="C847" s="22">
        <v>100.12</v>
      </c>
      <c r="D847" s="22">
        <v>7.827</v>
      </c>
      <c r="E847" s="10">
        <v>7.47</v>
      </c>
      <c r="F847" s="22">
        <v>4.5339999999999998</v>
      </c>
      <c r="G847" s="22">
        <v>459.82998700000002</v>
      </c>
      <c r="H847" s="22">
        <v>2100.9799800000001</v>
      </c>
      <c r="I847" s="18">
        <v>19633.529299999998</v>
      </c>
    </row>
    <row r="848" spans="1:9" x14ac:dyDescent="0.2">
      <c r="A848" s="4">
        <v>34694</v>
      </c>
      <c r="B848" s="21">
        <v>1.2252000000000001</v>
      </c>
      <c r="C848" s="22">
        <v>100.31</v>
      </c>
      <c r="D848" s="22">
        <v>7.827</v>
      </c>
      <c r="E848" s="10">
        <v>7.47</v>
      </c>
      <c r="F848" s="22">
        <v>4.5490000000000004</v>
      </c>
      <c r="G848" s="22">
        <v>459.27</v>
      </c>
      <c r="H848" s="22">
        <v>2100.9799800000001</v>
      </c>
      <c r="I848" s="18">
        <v>19726.75</v>
      </c>
    </row>
    <row r="849" spans="1:9" x14ac:dyDescent="0.2">
      <c r="A849" s="4">
        <v>34695</v>
      </c>
      <c r="B849" s="21">
        <v>1.2252000000000001</v>
      </c>
      <c r="C849" s="22">
        <v>100.38</v>
      </c>
      <c r="D849" s="22">
        <v>7.7450000000000001</v>
      </c>
      <c r="E849" s="10">
        <v>7.48</v>
      </c>
      <c r="F849" s="22">
        <v>4.5449999999999999</v>
      </c>
      <c r="G849" s="22">
        <v>462.47000100000002</v>
      </c>
      <c r="H849" s="22">
        <v>2110.7700199999999</v>
      </c>
      <c r="I849" s="18">
        <v>19711.359380000002</v>
      </c>
    </row>
    <row r="850" spans="1:9" x14ac:dyDescent="0.2">
      <c r="A850" s="4">
        <v>34696</v>
      </c>
      <c r="B850" s="21">
        <v>1.2264999999999999</v>
      </c>
      <c r="C850" s="22">
        <v>99.3</v>
      </c>
      <c r="D850" s="22">
        <v>7.7859999999999996</v>
      </c>
      <c r="E850" s="10">
        <v>7.45</v>
      </c>
      <c r="F850" s="22">
        <v>4.5289999999999999</v>
      </c>
      <c r="G850" s="22">
        <v>460.85998499999999</v>
      </c>
      <c r="H850" s="22">
        <v>2097.3400879999999</v>
      </c>
      <c r="I850" s="18">
        <v>19665.529299999998</v>
      </c>
    </row>
    <row r="851" spans="1:9" x14ac:dyDescent="0.2">
      <c r="A851" s="4">
        <v>34697</v>
      </c>
      <c r="B851" s="21">
        <v>1.2435</v>
      </c>
      <c r="C851" s="22">
        <v>99.63</v>
      </c>
      <c r="D851" s="22">
        <v>7.7990000000000004</v>
      </c>
      <c r="E851" s="10">
        <v>7.55</v>
      </c>
      <c r="F851" s="22">
        <v>4.5439999999999996</v>
      </c>
      <c r="G851" s="22">
        <v>461.17001299999998</v>
      </c>
      <c r="H851" s="22">
        <v>2074.679932</v>
      </c>
      <c r="I851" s="18">
        <v>19752.980469999999</v>
      </c>
    </row>
    <row r="852" spans="1:9" x14ac:dyDescent="0.2">
      <c r="A852" s="4">
        <v>34698</v>
      </c>
      <c r="B852" s="21">
        <v>1.2458</v>
      </c>
      <c r="C852" s="22">
        <v>99.58</v>
      </c>
      <c r="D852" s="22">
        <v>7.827</v>
      </c>
      <c r="E852" s="10">
        <v>7.65</v>
      </c>
      <c r="F852" s="22">
        <v>4.57</v>
      </c>
      <c r="G852" s="22">
        <v>459.26998900000001</v>
      </c>
      <c r="H852" s="22">
        <v>2097.51001</v>
      </c>
      <c r="I852" s="18">
        <v>19723.060549999998</v>
      </c>
    </row>
    <row r="853" spans="1:9" x14ac:dyDescent="0.2">
      <c r="A853" s="4">
        <v>34701</v>
      </c>
      <c r="B853" s="21">
        <v>1.2458</v>
      </c>
      <c r="C853" s="22">
        <v>100.2</v>
      </c>
      <c r="D853" s="22">
        <v>7.827</v>
      </c>
      <c r="E853" s="10">
        <v>7.64</v>
      </c>
      <c r="F853" s="22">
        <v>4.57</v>
      </c>
      <c r="G853" s="22">
        <v>460.83</v>
      </c>
      <c r="H853" s="22">
        <v>2079.1899410000001</v>
      </c>
      <c r="I853" s="18">
        <v>19723.060549999998</v>
      </c>
    </row>
    <row r="854" spans="1:9" x14ac:dyDescent="0.2">
      <c r="A854" s="4">
        <v>34702</v>
      </c>
      <c r="B854" s="21">
        <v>1.2425999999999999</v>
      </c>
      <c r="C854" s="22">
        <v>100.67</v>
      </c>
      <c r="D854" s="22">
        <v>7.8769999999999998</v>
      </c>
      <c r="E854" s="10">
        <v>7.64</v>
      </c>
      <c r="F854" s="22">
        <v>4.57</v>
      </c>
      <c r="G854" s="22">
        <v>459.10998499999999</v>
      </c>
      <c r="H854" s="22">
        <v>2068.919922</v>
      </c>
      <c r="I854" s="18">
        <v>19723.060549999998</v>
      </c>
    </row>
    <row r="855" spans="1:9" x14ac:dyDescent="0.2">
      <c r="A855" s="4">
        <v>34703</v>
      </c>
      <c r="B855" s="21">
        <v>1.2383999999999999</v>
      </c>
      <c r="C855" s="22">
        <v>101.35</v>
      </c>
      <c r="D855" s="22">
        <v>7.8129999999999997</v>
      </c>
      <c r="E855" s="10">
        <v>7.65</v>
      </c>
      <c r="F855" s="22">
        <v>4.6399999999999997</v>
      </c>
      <c r="G855" s="22">
        <v>460.709991</v>
      </c>
      <c r="H855" s="22">
        <v>2072.8999020000001</v>
      </c>
      <c r="I855" s="18">
        <v>19684.039059999999</v>
      </c>
    </row>
    <row r="856" spans="1:9" x14ac:dyDescent="0.2">
      <c r="A856" s="4">
        <v>34704</v>
      </c>
      <c r="B856" s="21">
        <v>1.2421</v>
      </c>
      <c r="C856" s="22">
        <v>100.88</v>
      </c>
      <c r="D856" s="22">
        <v>7.8680000000000003</v>
      </c>
      <c r="E856" s="10">
        <v>7.68</v>
      </c>
      <c r="F856" s="22">
        <v>4.6890000000000001</v>
      </c>
      <c r="G856" s="22">
        <v>460.33999599999999</v>
      </c>
      <c r="H856" s="22">
        <v>2051.459961</v>
      </c>
      <c r="I856" s="18">
        <v>19616.109380000002</v>
      </c>
    </row>
    <row r="857" spans="1:9" x14ac:dyDescent="0.2">
      <c r="A857" s="4">
        <v>34705</v>
      </c>
      <c r="B857" s="21">
        <v>1.2378</v>
      </c>
      <c r="C857" s="22">
        <v>101.37</v>
      </c>
      <c r="D857" s="22">
        <v>7.85</v>
      </c>
      <c r="E857" s="10">
        <v>7.74</v>
      </c>
      <c r="F857" s="22">
        <v>4.7190000000000003</v>
      </c>
      <c r="G857" s="22">
        <v>460.67999300000002</v>
      </c>
      <c r="H857" s="22">
        <v>2058.1999510000001</v>
      </c>
      <c r="I857" s="18">
        <v>19519.460940000001</v>
      </c>
    </row>
    <row r="858" spans="1:9" x14ac:dyDescent="0.2">
      <c r="A858" s="4">
        <v>34708</v>
      </c>
      <c r="B858" s="21">
        <v>1.2396</v>
      </c>
      <c r="C858" s="22">
        <v>100.03</v>
      </c>
      <c r="D858" s="22">
        <v>7.8819999999999997</v>
      </c>
      <c r="E858" s="10">
        <v>7.68</v>
      </c>
      <c r="F858" s="22">
        <v>4.7039999999999997</v>
      </c>
      <c r="G858" s="22">
        <v>460.82998700000002</v>
      </c>
      <c r="H858" s="22">
        <v>2053.4099120000001</v>
      </c>
      <c r="I858" s="18">
        <v>19444.91992</v>
      </c>
    </row>
    <row r="859" spans="1:9" x14ac:dyDescent="0.2">
      <c r="A859" s="4">
        <v>34709</v>
      </c>
      <c r="B859" s="21">
        <v>1.2517</v>
      </c>
      <c r="C859" s="22">
        <v>100.03</v>
      </c>
      <c r="D859" s="22">
        <v>7.8220000000000001</v>
      </c>
      <c r="E859" s="10">
        <v>7.7</v>
      </c>
      <c r="F859" s="22">
        <v>4.6840000000000002</v>
      </c>
      <c r="G859" s="22">
        <v>461.67999300000002</v>
      </c>
      <c r="H859" s="22">
        <v>2062.080078</v>
      </c>
      <c r="I859" s="18">
        <v>19501.449219999999</v>
      </c>
    </row>
    <row r="860" spans="1:9" x14ac:dyDescent="0.2">
      <c r="A860" s="4">
        <v>34710</v>
      </c>
      <c r="B860" s="21">
        <v>1.2511000000000001</v>
      </c>
      <c r="C860" s="22">
        <v>100.09</v>
      </c>
      <c r="D860" s="22">
        <v>7.7759999999999998</v>
      </c>
      <c r="E860" s="10">
        <v>7.6</v>
      </c>
      <c r="F860" s="22">
        <v>4.6390000000000002</v>
      </c>
      <c r="G860" s="22">
        <v>461.66000400000001</v>
      </c>
      <c r="H860" s="22">
        <v>2061.76001</v>
      </c>
      <c r="I860" s="18">
        <v>19548.470700000002</v>
      </c>
    </row>
    <row r="861" spans="1:9" x14ac:dyDescent="0.2">
      <c r="A861" s="4">
        <v>34711</v>
      </c>
      <c r="B861" s="21">
        <v>1.2557</v>
      </c>
      <c r="C861" s="22">
        <v>98.67</v>
      </c>
      <c r="D861" s="22">
        <v>7.7939999999999996</v>
      </c>
      <c r="E861" s="10">
        <v>7.6</v>
      </c>
      <c r="F861" s="22">
        <v>4.5990000000000002</v>
      </c>
      <c r="G861" s="22">
        <v>461.64001500000001</v>
      </c>
      <c r="H861" s="22">
        <v>2059.679932</v>
      </c>
      <c r="I861" s="18">
        <v>19410.009770000001</v>
      </c>
    </row>
    <row r="862" spans="1:9" x14ac:dyDescent="0.2">
      <c r="A862" s="4">
        <v>34712</v>
      </c>
      <c r="B862" s="21">
        <v>1.2538</v>
      </c>
      <c r="C862" s="22">
        <v>98.4</v>
      </c>
      <c r="D862" s="22">
        <v>7.68</v>
      </c>
      <c r="E862" s="10">
        <v>7.57</v>
      </c>
      <c r="F862" s="22">
        <v>4.6189999999999998</v>
      </c>
      <c r="G862" s="22">
        <v>465.97000100000002</v>
      </c>
      <c r="H862" s="22">
        <v>2064.139893</v>
      </c>
      <c r="I862" s="18">
        <v>19331.16992</v>
      </c>
    </row>
    <row r="863" spans="1:9" x14ac:dyDescent="0.2">
      <c r="A863" s="4">
        <v>34715</v>
      </c>
      <c r="B863" s="21">
        <v>1.2589999999999999</v>
      </c>
      <c r="C863" s="22">
        <v>98.42</v>
      </c>
      <c r="D863" s="22">
        <v>7.68</v>
      </c>
      <c r="E863" s="10">
        <v>7.54</v>
      </c>
      <c r="F863" s="22">
        <v>4.6189999999999998</v>
      </c>
      <c r="G863" s="22">
        <v>469.38000499999998</v>
      </c>
      <c r="H863" s="22">
        <v>2088.25</v>
      </c>
      <c r="I863" s="18">
        <v>19331.16992</v>
      </c>
    </row>
    <row r="864" spans="1:9" x14ac:dyDescent="0.2">
      <c r="A864" s="4">
        <v>34716</v>
      </c>
      <c r="B864" s="21">
        <v>1.2563</v>
      </c>
      <c r="C864" s="22">
        <v>99.11</v>
      </c>
      <c r="D864" s="22">
        <v>7.6840000000000002</v>
      </c>
      <c r="E864" s="10">
        <v>7.52</v>
      </c>
      <c r="F864" s="22">
        <v>4.6890000000000001</v>
      </c>
      <c r="G864" s="22">
        <v>470.04998799999998</v>
      </c>
      <c r="H864" s="22">
        <v>2081.389893</v>
      </c>
      <c r="I864" s="18">
        <v>19241.320309999999</v>
      </c>
    </row>
    <row r="865" spans="1:9" x14ac:dyDescent="0.2">
      <c r="A865" s="4">
        <v>34717</v>
      </c>
      <c r="B865" s="21">
        <v>1.2564</v>
      </c>
      <c r="C865" s="22">
        <v>99.53</v>
      </c>
      <c r="D865" s="22">
        <v>7.6980000000000004</v>
      </c>
      <c r="E865" s="10">
        <v>7.57</v>
      </c>
      <c r="F865" s="22">
        <v>4.6289999999999996</v>
      </c>
      <c r="G865" s="22">
        <v>469.709991</v>
      </c>
      <c r="H865" s="22">
        <v>2085.6201169999999</v>
      </c>
      <c r="I865" s="18">
        <v>19223.310549999998</v>
      </c>
    </row>
    <row r="866" spans="1:9" x14ac:dyDescent="0.2">
      <c r="A866" s="4">
        <v>34718</v>
      </c>
      <c r="B866" s="21">
        <v>1.256</v>
      </c>
      <c r="C866" s="22">
        <v>99.13</v>
      </c>
      <c r="D866" s="22">
        <v>7.7160000000000002</v>
      </c>
      <c r="E866" s="10">
        <v>7.52</v>
      </c>
      <c r="F866" s="22">
        <v>4.6539999999999999</v>
      </c>
      <c r="G866" s="22">
        <v>466.95001200000002</v>
      </c>
      <c r="H866" s="22">
        <v>2079.6000979999999</v>
      </c>
      <c r="I866" s="18">
        <v>19075.740229999999</v>
      </c>
    </row>
    <row r="867" spans="1:9" x14ac:dyDescent="0.2">
      <c r="A867" s="4">
        <v>34719</v>
      </c>
      <c r="B867" s="21">
        <v>1.2736000000000001</v>
      </c>
      <c r="C867" s="22">
        <v>99.4</v>
      </c>
      <c r="D867" s="22">
        <v>7.8079999999999998</v>
      </c>
      <c r="E867" s="10">
        <v>7.54</v>
      </c>
      <c r="F867" s="22">
        <v>4.6740000000000004</v>
      </c>
      <c r="G867" s="22">
        <v>464.77999899999998</v>
      </c>
      <c r="H867" s="22">
        <v>2050.860107</v>
      </c>
      <c r="I867" s="18">
        <v>18840.220700000002</v>
      </c>
    </row>
    <row r="868" spans="1:9" x14ac:dyDescent="0.2">
      <c r="A868" s="4">
        <v>34722</v>
      </c>
      <c r="B868" s="21">
        <v>1.2737000000000001</v>
      </c>
      <c r="C868" s="22">
        <v>99.8</v>
      </c>
      <c r="D868" s="22">
        <v>7.8220000000000001</v>
      </c>
      <c r="E868" s="10">
        <v>7.55</v>
      </c>
      <c r="F868" s="22">
        <v>4.6890000000000001</v>
      </c>
      <c r="G868" s="22">
        <v>465.82000699999998</v>
      </c>
      <c r="H868" s="22">
        <v>2013.030029</v>
      </c>
      <c r="I868" s="18">
        <v>17785.490229999999</v>
      </c>
    </row>
    <row r="869" spans="1:9" x14ac:dyDescent="0.2">
      <c r="A869" s="4">
        <v>34723</v>
      </c>
      <c r="B869" s="21">
        <v>1.2716000000000001</v>
      </c>
      <c r="C869" s="22">
        <v>99.69</v>
      </c>
      <c r="D869" s="22">
        <v>7.8449999999999998</v>
      </c>
      <c r="E869" s="10">
        <v>7.58</v>
      </c>
      <c r="F869" s="22">
        <v>4.6790000000000003</v>
      </c>
      <c r="G869" s="22">
        <v>465.85998499999999</v>
      </c>
      <c r="H869" s="22">
        <v>2027.670044</v>
      </c>
      <c r="I869" s="18">
        <v>18060.730469999999</v>
      </c>
    </row>
    <row r="870" spans="1:9" x14ac:dyDescent="0.2">
      <c r="A870" s="4">
        <v>34724</v>
      </c>
      <c r="B870" s="21">
        <v>1.2665</v>
      </c>
      <c r="C870" s="22">
        <v>99.53</v>
      </c>
      <c r="D870" s="22">
        <v>7.7850000000000001</v>
      </c>
      <c r="E870" s="10">
        <v>7.56</v>
      </c>
      <c r="F870" s="22">
        <v>4.6790000000000003</v>
      </c>
      <c r="G870" s="22">
        <v>467.44000199999999</v>
      </c>
      <c r="H870" s="22">
        <v>2026.969971</v>
      </c>
      <c r="I870" s="18">
        <v>18159.480469999999</v>
      </c>
    </row>
    <row r="871" spans="1:9" x14ac:dyDescent="0.2">
      <c r="A871" s="4">
        <v>34725</v>
      </c>
      <c r="B871" s="21">
        <v>1.27</v>
      </c>
      <c r="C871" s="22">
        <v>99.43</v>
      </c>
      <c r="D871" s="22">
        <v>7.7430000000000003</v>
      </c>
      <c r="E871" s="10">
        <v>7.53</v>
      </c>
      <c r="F871" s="22">
        <v>4.6559999999999997</v>
      </c>
      <c r="G871" s="22">
        <v>468.32000699999998</v>
      </c>
      <c r="H871" s="22">
        <v>2040.790039</v>
      </c>
      <c r="I871" s="18">
        <v>18070.839840000001</v>
      </c>
    </row>
    <row r="872" spans="1:9" x14ac:dyDescent="0.2">
      <c r="A872" s="4">
        <v>34726</v>
      </c>
      <c r="B872" s="21">
        <v>1.2697000000000001</v>
      </c>
      <c r="C872" s="22">
        <v>99.4</v>
      </c>
      <c r="D872" s="22">
        <v>7.6159999999999997</v>
      </c>
      <c r="E872" s="10">
        <v>7.42</v>
      </c>
      <c r="F872" s="22">
        <v>4.6440000000000001</v>
      </c>
      <c r="G872" s="22">
        <v>470.39001500000001</v>
      </c>
      <c r="H872" s="22">
        <v>2030.5600589999999</v>
      </c>
      <c r="I872" s="18">
        <v>18104.349610000001</v>
      </c>
    </row>
    <row r="873" spans="1:9" x14ac:dyDescent="0.2">
      <c r="A873" s="4">
        <v>34729</v>
      </c>
      <c r="B873" s="21">
        <v>1.2715000000000001</v>
      </c>
      <c r="C873" s="22">
        <v>98.42</v>
      </c>
      <c r="D873" s="22">
        <v>7.6340000000000003</v>
      </c>
      <c r="E873" s="10">
        <v>7.42</v>
      </c>
      <c r="F873" s="22">
        <v>4.6289999999999996</v>
      </c>
      <c r="G873" s="22">
        <v>468.51001000000002</v>
      </c>
      <c r="H873" s="22">
        <v>2026.6800539999999</v>
      </c>
      <c r="I873" s="18">
        <v>18752.880860000001</v>
      </c>
    </row>
    <row r="874" spans="1:9" x14ac:dyDescent="0.2">
      <c r="A874" s="4">
        <v>34730</v>
      </c>
      <c r="B874" s="21">
        <v>1.2673000000000001</v>
      </c>
      <c r="C874" s="22">
        <v>99.55</v>
      </c>
      <c r="D874" s="22">
        <v>7.593</v>
      </c>
      <c r="E874" s="10">
        <v>7.43</v>
      </c>
      <c r="F874" s="22">
        <v>4.6289999999999996</v>
      </c>
      <c r="G874" s="22">
        <v>470.42001299999998</v>
      </c>
      <c r="H874" s="22">
        <v>2024.8199460000001</v>
      </c>
      <c r="I874" s="18">
        <v>18649.820309999999</v>
      </c>
    </row>
    <row r="875" spans="1:9" x14ac:dyDescent="0.2">
      <c r="A875" s="4">
        <v>34731</v>
      </c>
      <c r="B875" s="21">
        <v>1.2622</v>
      </c>
      <c r="C875" s="22">
        <v>99.19</v>
      </c>
      <c r="D875" s="22">
        <v>7.6379999999999999</v>
      </c>
      <c r="E875" s="10">
        <v>7.41</v>
      </c>
      <c r="F875" s="22">
        <v>4.6459999999999999</v>
      </c>
      <c r="G875" s="22">
        <v>470.39999399999999</v>
      </c>
      <c r="H875" s="22">
        <v>2047.4399410000001</v>
      </c>
      <c r="I875" s="18">
        <v>18739.470700000002</v>
      </c>
    </row>
    <row r="876" spans="1:9" x14ac:dyDescent="0.2">
      <c r="A876" s="4">
        <v>34732</v>
      </c>
      <c r="B876" s="21">
        <v>1.2641</v>
      </c>
      <c r="C876" s="22">
        <v>99.41</v>
      </c>
      <c r="D876" s="22">
        <v>7.67</v>
      </c>
      <c r="E876" s="10">
        <v>7.46</v>
      </c>
      <c r="F876" s="22">
        <v>4.67</v>
      </c>
      <c r="G876" s="22">
        <v>472.790009</v>
      </c>
      <c r="H876" s="22">
        <v>2038.459961</v>
      </c>
      <c r="I876" s="18">
        <v>18604.300780000001</v>
      </c>
    </row>
    <row r="877" spans="1:9" x14ac:dyDescent="0.2">
      <c r="A877" s="4">
        <v>34733</v>
      </c>
      <c r="B877" s="21">
        <v>1.2596000000000001</v>
      </c>
      <c r="C877" s="22">
        <v>99.85</v>
      </c>
      <c r="D877" s="22">
        <v>7.4569999999999999</v>
      </c>
      <c r="E877" s="10">
        <v>7.45</v>
      </c>
      <c r="F877" s="22">
        <v>4.6509999999999998</v>
      </c>
      <c r="G877" s="22">
        <v>478.64999399999999</v>
      </c>
      <c r="H877" s="22">
        <v>2077.9399410000001</v>
      </c>
      <c r="I877" s="18">
        <v>18538.970700000002</v>
      </c>
    </row>
    <row r="878" spans="1:9" x14ac:dyDescent="0.2">
      <c r="A878" s="4">
        <v>34736</v>
      </c>
      <c r="B878" s="21">
        <v>1.2558</v>
      </c>
      <c r="C878" s="22">
        <v>99.36</v>
      </c>
      <c r="D878" s="22">
        <v>7.5069999999999997</v>
      </c>
      <c r="E878" s="10">
        <v>7.39</v>
      </c>
      <c r="F878" s="22">
        <v>4.6360000000000001</v>
      </c>
      <c r="G878" s="22">
        <v>481.14001500000001</v>
      </c>
      <c r="H878" s="22">
        <v>2085.080078</v>
      </c>
      <c r="I878" s="18">
        <v>18667.230469999999</v>
      </c>
    </row>
    <row r="879" spans="1:9" x14ac:dyDescent="0.2">
      <c r="A879" s="4">
        <v>34737</v>
      </c>
      <c r="B879" s="21">
        <v>1.2529999999999999</v>
      </c>
      <c r="C879" s="22">
        <v>99.46</v>
      </c>
      <c r="D879" s="22">
        <v>7.5110000000000001</v>
      </c>
      <c r="E879" s="10">
        <v>7.36</v>
      </c>
      <c r="F879" s="22">
        <v>4.6210000000000004</v>
      </c>
      <c r="G879" s="22">
        <v>480.80999800000001</v>
      </c>
      <c r="H879" s="22">
        <v>2093.01001</v>
      </c>
      <c r="I879" s="18">
        <v>18500.550780000001</v>
      </c>
    </row>
    <row r="880" spans="1:9" x14ac:dyDescent="0.2">
      <c r="A880" s="4">
        <v>34738</v>
      </c>
      <c r="B880" s="21">
        <v>1.2561</v>
      </c>
      <c r="C880" s="22">
        <v>98.93</v>
      </c>
      <c r="D880" s="22">
        <v>7.5110000000000001</v>
      </c>
      <c r="E880" s="10">
        <v>7.37</v>
      </c>
      <c r="F880" s="22">
        <v>4.625</v>
      </c>
      <c r="G880" s="22">
        <v>481.19000199999999</v>
      </c>
      <c r="H880" s="22">
        <v>2087.780029</v>
      </c>
      <c r="I880" s="18">
        <v>18290.25</v>
      </c>
    </row>
    <row r="881" spans="1:9" x14ac:dyDescent="0.2">
      <c r="A881" s="4">
        <v>34739</v>
      </c>
      <c r="B881" s="21">
        <v>1.2575000000000001</v>
      </c>
      <c r="C881" s="22">
        <v>98.91</v>
      </c>
      <c r="D881" s="22">
        <v>7.5720000000000001</v>
      </c>
      <c r="E881" s="10">
        <v>7.36</v>
      </c>
      <c r="F881" s="22">
        <v>4.625</v>
      </c>
      <c r="G881" s="22">
        <v>480.19000199999999</v>
      </c>
      <c r="H881" s="22">
        <v>2117.8000489999999</v>
      </c>
      <c r="I881" s="18">
        <v>18099.550780000001</v>
      </c>
    </row>
    <row r="882" spans="1:9" x14ac:dyDescent="0.2">
      <c r="A882" s="4">
        <v>34740</v>
      </c>
      <c r="B882" s="21">
        <v>1.2615000000000001</v>
      </c>
      <c r="C882" s="22">
        <v>98.93</v>
      </c>
      <c r="D882" s="22">
        <v>7.6180000000000003</v>
      </c>
      <c r="E882" s="10">
        <v>7.36</v>
      </c>
      <c r="F882" s="22">
        <v>4.63</v>
      </c>
      <c r="G882" s="22">
        <v>481.459991</v>
      </c>
      <c r="H882" s="22">
        <v>2127.5600589999999</v>
      </c>
      <c r="I882" s="18">
        <v>18291.349610000001</v>
      </c>
    </row>
    <row r="883" spans="1:9" x14ac:dyDescent="0.2">
      <c r="A883" s="4">
        <v>34743</v>
      </c>
      <c r="B883" s="21">
        <v>1.2648999999999999</v>
      </c>
      <c r="C883" s="22">
        <v>98.73</v>
      </c>
      <c r="D883" s="22">
        <v>7.5949999999999998</v>
      </c>
      <c r="E883" s="10">
        <v>7.44</v>
      </c>
      <c r="F883" s="22">
        <v>4.6059999999999999</v>
      </c>
      <c r="G883" s="22">
        <v>481.64999399999999</v>
      </c>
      <c r="H883" s="22">
        <v>2118.959961</v>
      </c>
      <c r="I883" s="18">
        <v>18313.859380000002</v>
      </c>
    </row>
    <row r="884" spans="1:9" x14ac:dyDescent="0.2">
      <c r="A884" s="4">
        <v>34744</v>
      </c>
      <c r="B884" s="21">
        <v>1.2692000000000001</v>
      </c>
      <c r="C884" s="22">
        <v>98.48</v>
      </c>
      <c r="D884" s="22">
        <v>7.5039999999999996</v>
      </c>
      <c r="E884" s="10">
        <v>7.44</v>
      </c>
      <c r="F884" s="22">
        <v>4.5960000000000001</v>
      </c>
      <c r="G884" s="22">
        <v>482.54998799999998</v>
      </c>
      <c r="H884" s="22">
        <v>2128.330078</v>
      </c>
      <c r="I884" s="18">
        <v>18138.470700000002</v>
      </c>
    </row>
    <row r="885" spans="1:9" x14ac:dyDescent="0.2">
      <c r="A885" s="4">
        <v>34745</v>
      </c>
      <c r="B885" s="21">
        <v>1.2726</v>
      </c>
      <c r="C885" s="22">
        <v>98.34</v>
      </c>
      <c r="D885" s="22">
        <v>7.4420000000000002</v>
      </c>
      <c r="E885" s="10">
        <v>7.44</v>
      </c>
      <c r="F885" s="22">
        <v>4.5659999999999998</v>
      </c>
      <c r="G885" s="22">
        <v>484.540009</v>
      </c>
      <c r="H885" s="22">
        <v>2135.48999</v>
      </c>
      <c r="I885" s="18">
        <v>17991</v>
      </c>
    </row>
    <row r="886" spans="1:9" x14ac:dyDescent="0.2">
      <c r="A886" s="4">
        <v>34746</v>
      </c>
      <c r="B886" s="21">
        <v>1.2848999999999999</v>
      </c>
      <c r="C886" s="22">
        <v>97.5</v>
      </c>
      <c r="D886" s="22">
        <v>7.3879999999999999</v>
      </c>
      <c r="E886" s="10">
        <v>7.37</v>
      </c>
      <c r="F886" s="22">
        <v>4.5659999999999998</v>
      </c>
      <c r="G886" s="22">
        <v>485.22000100000002</v>
      </c>
      <c r="H886" s="22">
        <v>2112.0600589999999</v>
      </c>
      <c r="I886" s="18">
        <v>17780.589840000001</v>
      </c>
    </row>
    <row r="887" spans="1:9" x14ac:dyDescent="0.2">
      <c r="A887" s="4">
        <v>34747</v>
      </c>
      <c r="B887" s="21">
        <v>1.2854000000000001</v>
      </c>
      <c r="C887" s="22">
        <v>97.4</v>
      </c>
      <c r="D887" s="22">
        <v>7.4189999999999996</v>
      </c>
      <c r="E887" s="10">
        <v>7.41</v>
      </c>
      <c r="F887" s="22">
        <v>4.55</v>
      </c>
      <c r="G887" s="22">
        <v>481.97000100000002</v>
      </c>
      <c r="H887" s="22">
        <v>2119.290039</v>
      </c>
      <c r="I887" s="18">
        <v>18020.509770000001</v>
      </c>
    </row>
    <row r="888" spans="1:9" x14ac:dyDescent="0.2">
      <c r="A888" s="4">
        <v>34750</v>
      </c>
      <c r="B888" s="21">
        <v>1.2975000000000001</v>
      </c>
      <c r="C888" s="22">
        <v>97.29</v>
      </c>
      <c r="D888" s="22">
        <v>7.4189999999999996</v>
      </c>
      <c r="E888" s="10">
        <v>7.41</v>
      </c>
      <c r="F888" s="22">
        <v>4.53</v>
      </c>
      <c r="G888" s="22">
        <v>483.81</v>
      </c>
      <c r="H888" s="22">
        <v>2101.9799800000001</v>
      </c>
      <c r="I888" s="18">
        <v>17956.480469999999</v>
      </c>
    </row>
    <row r="889" spans="1:9" x14ac:dyDescent="0.2">
      <c r="A889" s="4">
        <v>34751</v>
      </c>
      <c r="B889" s="21">
        <v>1.2898000000000001</v>
      </c>
      <c r="C889" s="22">
        <v>97.08</v>
      </c>
      <c r="D889" s="22">
        <v>7.4320000000000004</v>
      </c>
      <c r="E889" s="10">
        <v>7.43</v>
      </c>
      <c r="F889" s="22">
        <v>4.5049999999999999</v>
      </c>
      <c r="G889" s="22">
        <v>482.72000100000002</v>
      </c>
      <c r="H889" s="22">
        <v>2101.820068</v>
      </c>
      <c r="I889" s="18">
        <v>18096.25</v>
      </c>
    </row>
    <row r="890" spans="1:9" x14ac:dyDescent="0.2">
      <c r="A890" s="4">
        <v>34752</v>
      </c>
      <c r="B890" s="21">
        <v>1.2963</v>
      </c>
      <c r="C890" s="22">
        <v>97.05</v>
      </c>
      <c r="D890" s="22">
        <v>7.3209999999999997</v>
      </c>
      <c r="E890" s="10">
        <v>7.46</v>
      </c>
      <c r="F890" s="22">
        <v>4.4950000000000001</v>
      </c>
      <c r="G890" s="22">
        <v>485.07000699999998</v>
      </c>
      <c r="H890" s="22">
        <v>2096.26001</v>
      </c>
      <c r="I890" s="18">
        <v>18106.650389999999</v>
      </c>
    </row>
    <row r="891" spans="1:9" x14ac:dyDescent="0.2">
      <c r="A891" s="4">
        <v>34753</v>
      </c>
      <c r="B891" s="21">
        <v>1.2942</v>
      </c>
      <c r="C891" s="22">
        <v>96.72</v>
      </c>
      <c r="D891" s="22">
        <v>7.33</v>
      </c>
      <c r="E891" s="10">
        <v>7.39</v>
      </c>
      <c r="F891" s="22">
        <v>4.3840000000000003</v>
      </c>
      <c r="G891" s="22">
        <v>486.91000400000001</v>
      </c>
      <c r="H891" s="22">
        <v>2126.4399410000001</v>
      </c>
      <c r="I891" s="18">
        <v>17830.019530000001</v>
      </c>
    </row>
    <row r="892" spans="1:9" x14ac:dyDescent="0.2">
      <c r="A892" s="4">
        <v>34754</v>
      </c>
      <c r="B892" s="21">
        <v>1.2875000000000001</v>
      </c>
      <c r="C892" s="22">
        <v>96.9</v>
      </c>
      <c r="D892" s="22">
        <v>7.3250000000000002</v>
      </c>
      <c r="E892" s="10">
        <v>7.39</v>
      </c>
      <c r="F892" s="22">
        <v>4.42</v>
      </c>
      <c r="G892" s="22">
        <v>488.10998499999999</v>
      </c>
      <c r="H892" s="22">
        <v>2117.5900879999999</v>
      </c>
      <c r="I892" s="18">
        <v>17472.939450000002</v>
      </c>
    </row>
    <row r="893" spans="1:9" x14ac:dyDescent="0.2">
      <c r="A893" s="4">
        <v>34757</v>
      </c>
      <c r="B893" s="21">
        <v>1.2948</v>
      </c>
      <c r="C893" s="22">
        <v>97.08</v>
      </c>
      <c r="D893" s="22">
        <v>7.2359999999999998</v>
      </c>
      <c r="E893" s="10">
        <v>7.33</v>
      </c>
      <c r="F893" s="22">
        <v>4.3639999999999999</v>
      </c>
      <c r="G893" s="22">
        <v>483.80999800000001</v>
      </c>
      <c r="H893" s="22">
        <v>2106.0500489999999</v>
      </c>
      <c r="I893" s="18">
        <v>16808.699219999999</v>
      </c>
    </row>
    <row r="894" spans="1:9" x14ac:dyDescent="0.2">
      <c r="A894" s="4">
        <v>34758</v>
      </c>
      <c r="B894" s="21">
        <v>1.2927</v>
      </c>
      <c r="C894" s="22">
        <v>96.69</v>
      </c>
      <c r="D894" s="22">
        <v>7.21</v>
      </c>
      <c r="E894" s="10">
        <v>7.32</v>
      </c>
      <c r="F894" s="22">
        <v>4.3899999999999997</v>
      </c>
      <c r="G894" s="22">
        <v>487.39001500000001</v>
      </c>
      <c r="H894" s="22">
        <v>2097.8500979999999</v>
      </c>
      <c r="I894" s="18">
        <v>17053.429690000001</v>
      </c>
    </row>
    <row r="895" spans="1:9" x14ac:dyDescent="0.2">
      <c r="A895" s="4">
        <v>34759</v>
      </c>
      <c r="B895" s="21">
        <v>1.2957000000000001</v>
      </c>
      <c r="C895" s="22">
        <v>96.77</v>
      </c>
      <c r="D895" s="22">
        <v>7.2140000000000004</v>
      </c>
      <c r="E895" s="10">
        <v>7.3</v>
      </c>
      <c r="F895" s="22">
        <v>4.3849999999999998</v>
      </c>
      <c r="G895" s="22">
        <v>485.64999399999999</v>
      </c>
      <c r="H895" s="22">
        <v>2127.209961</v>
      </c>
      <c r="I895" s="18">
        <v>16618.710940000001</v>
      </c>
    </row>
    <row r="896" spans="1:9" x14ac:dyDescent="0.2">
      <c r="A896" s="4">
        <v>34760</v>
      </c>
      <c r="B896" s="21">
        <v>1.296</v>
      </c>
      <c r="C896" s="22">
        <v>95.28</v>
      </c>
      <c r="D896" s="22">
        <v>7.2889999999999997</v>
      </c>
      <c r="E896" s="10">
        <v>7.33</v>
      </c>
      <c r="F896" s="22">
        <v>4.3650000000000002</v>
      </c>
      <c r="G896" s="22">
        <v>485.13000499999998</v>
      </c>
      <c r="H896" s="22">
        <v>2116.639893</v>
      </c>
      <c r="I896" s="18">
        <v>16963.179690000001</v>
      </c>
    </row>
    <row r="897" spans="1:9" x14ac:dyDescent="0.2">
      <c r="A897" s="4">
        <v>34761</v>
      </c>
      <c r="B897" s="21">
        <v>1.3163</v>
      </c>
      <c r="C897" s="22">
        <v>94.14</v>
      </c>
      <c r="D897" s="22">
        <v>7.3559999999999999</v>
      </c>
      <c r="E897" s="10">
        <v>7.36</v>
      </c>
      <c r="F897" s="22">
        <v>4.3049999999999997</v>
      </c>
      <c r="G897" s="22">
        <v>485.42001299999998</v>
      </c>
      <c r="H897" s="22">
        <v>2094.1599120000001</v>
      </c>
      <c r="I897" s="18">
        <v>17039.619139999999</v>
      </c>
    </row>
    <row r="898" spans="1:9" x14ac:dyDescent="0.2">
      <c r="A898" s="4">
        <v>34764</v>
      </c>
      <c r="B898" s="21">
        <v>1.3357000000000001</v>
      </c>
      <c r="C898" s="22">
        <v>92.87</v>
      </c>
      <c r="D898" s="22">
        <v>7.4</v>
      </c>
      <c r="E898" s="10">
        <v>7.35</v>
      </c>
      <c r="F898" s="22">
        <v>4.25</v>
      </c>
      <c r="G898" s="22">
        <v>485.63000499999998</v>
      </c>
      <c r="H898" s="22">
        <v>2069.9499510000001</v>
      </c>
      <c r="I898" s="18">
        <v>17040.720700000002</v>
      </c>
    </row>
    <row r="899" spans="1:9" x14ac:dyDescent="0.2">
      <c r="A899" s="4">
        <v>34765</v>
      </c>
      <c r="B899" s="21">
        <v>1.341</v>
      </c>
      <c r="C899" s="22">
        <v>90.45</v>
      </c>
      <c r="D899" s="22">
        <v>7.431</v>
      </c>
      <c r="E899" s="10">
        <v>7.4</v>
      </c>
      <c r="F899" s="22">
        <v>4.1449999999999996</v>
      </c>
      <c r="G899" s="22">
        <v>482.11999500000002</v>
      </c>
      <c r="H899" s="22">
        <v>2041.26001</v>
      </c>
      <c r="I899" s="18">
        <v>16955.279299999998</v>
      </c>
    </row>
    <row r="900" spans="1:9" x14ac:dyDescent="0.2">
      <c r="A900" s="4">
        <v>34766</v>
      </c>
      <c r="B900" s="21">
        <v>1.3472</v>
      </c>
      <c r="C900" s="22">
        <v>91.62</v>
      </c>
      <c r="D900" s="22">
        <v>7.3550000000000004</v>
      </c>
      <c r="E900" s="10">
        <v>7.42</v>
      </c>
      <c r="F900" s="22">
        <v>4.1349999999999998</v>
      </c>
      <c r="G900" s="22">
        <v>483.14001500000001</v>
      </c>
      <c r="H900" s="22">
        <v>2029.380005</v>
      </c>
      <c r="I900" s="18">
        <v>16621.310549999998</v>
      </c>
    </row>
    <row r="901" spans="1:9" x14ac:dyDescent="0.2">
      <c r="A901" s="4">
        <v>34767</v>
      </c>
      <c r="B901" s="21">
        <v>1.3436999999999999</v>
      </c>
      <c r="C901" s="22">
        <v>91.02</v>
      </c>
      <c r="D901" s="22">
        <v>7.28</v>
      </c>
      <c r="E901" s="10">
        <v>7.42</v>
      </c>
      <c r="F901" s="22">
        <v>4.21</v>
      </c>
      <c r="G901" s="22">
        <v>483.16000400000001</v>
      </c>
      <c r="H901" s="22">
        <v>1989.1999510000001</v>
      </c>
      <c r="I901" s="18">
        <v>16763.08008</v>
      </c>
    </row>
    <row r="902" spans="1:9" x14ac:dyDescent="0.2">
      <c r="A902" s="4">
        <v>34768</v>
      </c>
      <c r="B902" s="21">
        <v>1.321</v>
      </c>
      <c r="C902" s="22">
        <v>90.9</v>
      </c>
      <c r="D902" s="22">
        <v>7.218</v>
      </c>
      <c r="E902" s="10">
        <v>7.4</v>
      </c>
      <c r="F902" s="22">
        <v>4.1900000000000004</v>
      </c>
      <c r="G902" s="22">
        <v>489.57000699999998</v>
      </c>
      <c r="H902" s="22">
        <v>2008.849976</v>
      </c>
      <c r="I902" s="18">
        <v>16358.37988</v>
      </c>
    </row>
    <row r="903" spans="1:9" x14ac:dyDescent="0.2">
      <c r="A903" s="4">
        <v>34771</v>
      </c>
      <c r="B903" s="21">
        <v>1.3259000000000001</v>
      </c>
      <c r="C903" s="22">
        <v>90.67</v>
      </c>
      <c r="D903" s="22">
        <v>7.1740000000000004</v>
      </c>
      <c r="E903" s="10">
        <v>7.38</v>
      </c>
      <c r="F903" s="22">
        <v>4.1100000000000003</v>
      </c>
      <c r="G903" s="22">
        <v>490.04998799999998</v>
      </c>
      <c r="H903" s="22">
        <v>1974.1400149999999</v>
      </c>
      <c r="I903" s="18">
        <v>16477.640630000002</v>
      </c>
    </row>
    <row r="904" spans="1:9" x14ac:dyDescent="0.2">
      <c r="A904" s="4">
        <v>34772</v>
      </c>
      <c r="B904" s="21">
        <v>1.3224</v>
      </c>
      <c r="C904" s="22">
        <v>90.77</v>
      </c>
      <c r="D904" s="22">
        <v>7.077</v>
      </c>
      <c r="E904" s="10">
        <v>7.34</v>
      </c>
      <c r="F904" s="22">
        <v>4.1449999999999996</v>
      </c>
      <c r="G904" s="22">
        <v>492.89001500000001</v>
      </c>
      <c r="H904" s="22">
        <v>2022.5</v>
      </c>
      <c r="I904" s="18">
        <v>16245.820309999999</v>
      </c>
    </row>
    <row r="905" spans="1:9" x14ac:dyDescent="0.2">
      <c r="A905" s="4">
        <v>34773</v>
      </c>
      <c r="B905" s="21">
        <v>1.3395999999999999</v>
      </c>
      <c r="C905" s="22">
        <v>89.49</v>
      </c>
      <c r="D905" s="22">
        <v>7.077</v>
      </c>
      <c r="E905" s="10">
        <v>7.24</v>
      </c>
      <c r="F905" s="22">
        <v>4.1150000000000002</v>
      </c>
      <c r="G905" s="22">
        <v>491.88000499999998</v>
      </c>
      <c r="H905" s="22">
        <v>1995.219971</v>
      </c>
      <c r="I905" s="18">
        <v>16666.83008</v>
      </c>
    </row>
    <row r="906" spans="1:9" x14ac:dyDescent="0.2">
      <c r="A906" s="4">
        <v>34774</v>
      </c>
      <c r="B906" s="21">
        <v>1.3408</v>
      </c>
      <c r="C906" s="22">
        <v>90.31</v>
      </c>
      <c r="D906" s="22">
        <v>7.0380000000000003</v>
      </c>
      <c r="E906" s="10">
        <v>7.26</v>
      </c>
      <c r="F906" s="22">
        <v>4.0650000000000004</v>
      </c>
      <c r="G906" s="22">
        <v>495.41000400000001</v>
      </c>
      <c r="H906" s="22">
        <v>2016.150024</v>
      </c>
      <c r="I906" s="18">
        <v>16355.679690000001</v>
      </c>
    </row>
    <row r="907" spans="1:9" x14ac:dyDescent="0.2">
      <c r="A907" s="4">
        <v>34775</v>
      </c>
      <c r="B907" s="21">
        <v>1.3352999999999999</v>
      </c>
      <c r="C907" s="22">
        <v>89.05</v>
      </c>
      <c r="D907" s="22">
        <v>7.1029999999999998</v>
      </c>
      <c r="E907" s="10">
        <v>7.17</v>
      </c>
      <c r="F907" s="22">
        <v>3.99</v>
      </c>
      <c r="G907" s="22">
        <v>495.51998900000001</v>
      </c>
      <c r="H907" s="22">
        <v>1979.5200199999999</v>
      </c>
      <c r="I907" s="18">
        <v>16251.23047</v>
      </c>
    </row>
    <row r="908" spans="1:9" x14ac:dyDescent="0.2">
      <c r="A908" s="4">
        <v>34778</v>
      </c>
      <c r="B908" s="21">
        <v>1.3284</v>
      </c>
      <c r="C908" s="22">
        <v>89.35</v>
      </c>
      <c r="D908" s="22">
        <v>7.1120000000000001</v>
      </c>
      <c r="E908" s="10">
        <v>7.16</v>
      </c>
      <c r="F908" s="22">
        <v>4.01</v>
      </c>
      <c r="G908" s="22">
        <v>496.14001500000001</v>
      </c>
      <c r="H908" s="22">
        <v>1984.98999</v>
      </c>
      <c r="I908" s="18">
        <v>16129.95996</v>
      </c>
    </row>
    <row r="909" spans="1:9" x14ac:dyDescent="0.2">
      <c r="A909" s="4">
        <v>34779</v>
      </c>
      <c r="B909" s="21">
        <v>1.3221000000000001</v>
      </c>
      <c r="C909" s="22">
        <v>89.35</v>
      </c>
      <c r="D909" s="22">
        <v>7.1509999999999998</v>
      </c>
      <c r="E909" s="10">
        <v>7.12</v>
      </c>
      <c r="F909" s="22">
        <v>4.01</v>
      </c>
      <c r="G909" s="22">
        <v>495.07000699999998</v>
      </c>
      <c r="H909" s="22">
        <v>1984.150024</v>
      </c>
      <c r="I909" s="18">
        <v>16129.95996</v>
      </c>
    </row>
    <row r="910" spans="1:9" x14ac:dyDescent="0.2">
      <c r="A910" s="4">
        <v>34780</v>
      </c>
      <c r="B910" s="21">
        <v>1.3238000000000001</v>
      </c>
      <c r="C910" s="22">
        <v>89.03</v>
      </c>
      <c r="D910" s="22">
        <v>7.1950000000000003</v>
      </c>
      <c r="E910" s="10">
        <v>7.16</v>
      </c>
      <c r="F910" s="22">
        <v>3.9649999999999999</v>
      </c>
      <c r="G910" s="22">
        <v>495.67001299999998</v>
      </c>
      <c r="H910" s="22">
        <v>1978.0699460000001</v>
      </c>
      <c r="I910" s="18">
        <v>15904.849609999999</v>
      </c>
    </row>
    <row r="911" spans="1:9" x14ac:dyDescent="0.2">
      <c r="A911" s="4">
        <v>34781</v>
      </c>
      <c r="B911" s="21">
        <v>1.3277000000000001</v>
      </c>
      <c r="C911" s="22">
        <v>88.15</v>
      </c>
      <c r="D911" s="22">
        <v>7.2030000000000003</v>
      </c>
      <c r="E911" s="10">
        <v>7.17</v>
      </c>
      <c r="F911" s="22">
        <v>3.87</v>
      </c>
      <c r="G911" s="22">
        <v>495.95001200000002</v>
      </c>
      <c r="H911" s="22">
        <v>1935.079956</v>
      </c>
      <c r="I911" s="18">
        <v>15813.410159999999</v>
      </c>
    </row>
    <row r="912" spans="1:9" x14ac:dyDescent="0.2">
      <c r="A912" s="4">
        <v>34782</v>
      </c>
      <c r="B912" s="21">
        <v>1.3213999999999999</v>
      </c>
      <c r="C912" s="22">
        <v>88.89</v>
      </c>
      <c r="D912" s="22">
        <v>7.085</v>
      </c>
      <c r="E912" s="10">
        <v>7.16</v>
      </c>
      <c r="F912" s="22">
        <v>3.85</v>
      </c>
      <c r="G912" s="22">
        <v>500.97000100000002</v>
      </c>
      <c r="H912" s="22">
        <v>1935.869995</v>
      </c>
      <c r="I912" s="18">
        <v>15749.76953</v>
      </c>
    </row>
    <row r="913" spans="1:9" x14ac:dyDescent="0.2">
      <c r="A913" s="4">
        <v>34785</v>
      </c>
      <c r="B913" s="21">
        <v>1.3277000000000001</v>
      </c>
      <c r="C913" s="22">
        <v>89.35</v>
      </c>
      <c r="D913" s="22">
        <v>7.032</v>
      </c>
      <c r="E913" s="10">
        <v>7.13</v>
      </c>
      <c r="F913" s="22">
        <v>3.8519999999999999</v>
      </c>
      <c r="G913" s="22">
        <v>503.20001200000002</v>
      </c>
      <c r="H913" s="22">
        <v>1928.8199460000001</v>
      </c>
      <c r="I913" s="18">
        <v>16096.25</v>
      </c>
    </row>
    <row r="914" spans="1:9" x14ac:dyDescent="0.2">
      <c r="A914" s="4">
        <v>34786</v>
      </c>
      <c r="B914" s="21">
        <v>1.333</v>
      </c>
      <c r="C914" s="22">
        <v>88.91</v>
      </c>
      <c r="D914" s="22">
        <v>7.141</v>
      </c>
      <c r="E914" s="10">
        <v>7.14</v>
      </c>
      <c r="F914" s="22">
        <v>3.802</v>
      </c>
      <c r="G914" s="22">
        <v>503.89999399999999</v>
      </c>
      <c r="H914" s="22">
        <v>1911.6999510000001</v>
      </c>
      <c r="I914" s="18">
        <v>16681.730469999999</v>
      </c>
    </row>
    <row r="915" spans="1:9" x14ac:dyDescent="0.2">
      <c r="A915" s="4">
        <v>34787</v>
      </c>
      <c r="B915" s="21">
        <v>1.3499000000000001</v>
      </c>
      <c r="C915" s="22">
        <v>88.34</v>
      </c>
      <c r="D915" s="22">
        <v>7.141</v>
      </c>
      <c r="E915" s="10">
        <v>7.18</v>
      </c>
      <c r="F915" s="22">
        <v>3.7519999999999998</v>
      </c>
      <c r="G915" s="22">
        <v>503.11999500000002</v>
      </c>
      <c r="H915" s="22">
        <v>1918.849976</v>
      </c>
      <c r="I915" s="18">
        <v>16460.730469999999</v>
      </c>
    </row>
    <row r="916" spans="1:9" x14ac:dyDescent="0.2">
      <c r="A916" s="4">
        <v>34788</v>
      </c>
      <c r="B916" s="21">
        <v>1.3261000000000001</v>
      </c>
      <c r="C916" s="22">
        <v>89.55</v>
      </c>
      <c r="D916" s="22">
        <v>7.1589999999999998</v>
      </c>
      <c r="E916" s="10">
        <v>7.14</v>
      </c>
      <c r="F916" s="22">
        <v>3.7719999999999998</v>
      </c>
      <c r="G916" s="22">
        <v>502.22000100000002</v>
      </c>
      <c r="H916" s="22">
        <v>1949.76001</v>
      </c>
      <c r="I916" s="18">
        <v>16512.220700000002</v>
      </c>
    </row>
    <row r="917" spans="1:9" x14ac:dyDescent="0.2">
      <c r="A917" s="4">
        <v>34789</v>
      </c>
      <c r="B917" s="21">
        <v>1.3614999999999999</v>
      </c>
      <c r="C917" s="22">
        <v>86.55</v>
      </c>
      <c r="D917" s="22">
        <v>7.1890000000000001</v>
      </c>
      <c r="E917" s="10">
        <v>7.17</v>
      </c>
      <c r="F917" s="22">
        <v>3.6779999999999999</v>
      </c>
      <c r="G917" s="22">
        <v>500.709991</v>
      </c>
      <c r="H917" s="22">
        <v>1914.6899410000001</v>
      </c>
      <c r="I917" s="18">
        <v>16139.950199999999</v>
      </c>
    </row>
    <row r="918" spans="1:9" x14ac:dyDescent="0.2">
      <c r="A918" s="4">
        <v>34792</v>
      </c>
      <c r="B918" s="21">
        <v>1.355</v>
      </c>
      <c r="C918" s="22">
        <v>85.85</v>
      </c>
      <c r="D918" s="22">
        <v>7.1319999999999997</v>
      </c>
      <c r="E918" s="10">
        <v>7.15</v>
      </c>
      <c r="F918" s="22">
        <v>3.53</v>
      </c>
      <c r="G918" s="22">
        <v>501.85000600000001</v>
      </c>
      <c r="H918" s="22">
        <v>1934.959961</v>
      </c>
      <c r="I918" s="18">
        <v>15381.29004</v>
      </c>
    </row>
    <row r="919" spans="1:9" x14ac:dyDescent="0.2">
      <c r="A919" s="4">
        <v>34793</v>
      </c>
      <c r="B919" s="21">
        <v>1.345</v>
      </c>
      <c r="C919" s="22">
        <v>86.2</v>
      </c>
      <c r="D919" s="22">
        <v>7.1059999999999999</v>
      </c>
      <c r="E919" s="10">
        <v>7.04</v>
      </c>
      <c r="F919" s="22">
        <v>3.5150000000000001</v>
      </c>
      <c r="G919" s="22">
        <v>505.23998999999998</v>
      </c>
      <c r="H919" s="22">
        <v>1965.6800539999999</v>
      </c>
      <c r="I919" s="18">
        <v>15630.530269999999</v>
      </c>
    </row>
    <row r="920" spans="1:9" x14ac:dyDescent="0.2">
      <c r="A920" s="4">
        <v>34794</v>
      </c>
      <c r="B920" s="21">
        <v>1.3473999999999999</v>
      </c>
      <c r="C920" s="22">
        <v>86.15</v>
      </c>
      <c r="D920" s="22">
        <v>7.1059999999999999</v>
      </c>
      <c r="E920" s="10">
        <v>7.05</v>
      </c>
      <c r="F920" s="22">
        <v>3.625</v>
      </c>
      <c r="G920" s="22">
        <v>505.57000699999998</v>
      </c>
      <c r="H920" s="22">
        <v>1972.589966</v>
      </c>
      <c r="I920" s="18">
        <v>15882.490229999999</v>
      </c>
    </row>
    <row r="921" spans="1:9" x14ac:dyDescent="0.2">
      <c r="A921" s="4">
        <v>34795</v>
      </c>
      <c r="B921" s="21">
        <v>1.3555999999999999</v>
      </c>
      <c r="C921" s="22">
        <v>84.84</v>
      </c>
      <c r="D921" s="22">
        <v>7.0750000000000002</v>
      </c>
      <c r="E921" s="10">
        <v>7.02</v>
      </c>
      <c r="F921" s="22">
        <v>3.58</v>
      </c>
      <c r="G921" s="22">
        <v>506.07998700000002</v>
      </c>
      <c r="H921" s="22">
        <v>1976.5200199999999</v>
      </c>
      <c r="I921" s="18">
        <v>15815.87012</v>
      </c>
    </row>
    <row r="922" spans="1:9" x14ac:dyDescent="0.2">
      <c r="A922" s="4">
        <v>34796</v>
      </c>
      <c r="B922" s="21">
        <v>1.355</v>
      </c>
      <c r="C922" s="22">
        <v>83.85</v>
      </c>
      <c r="D922" s="22">
        <v>7.0919999999999996</v>
      </c>
      <c r="E922" s="10">
        <v>7.02</v>
      </c>
      <c r="F922" s="22">
        <v>3.5550000000000002</v>
      </c>
      <c r="G922" s="22">
        <v>506.42001299999998</v>
      </c>
      <c r="H922" s="22">
        <v>1978.709961</v>
      </c>
      <c r="I922" s="18">
        <v>15719.5</v>
      </c>
    </row>
    <row r="923" spans="1:9" x14ac:dyDescent="0.2">
      <c r="A923" s="4">
        <v>34799</v>
      </c>
      <c r="B923" s="21">
        <v>1.3342000000000001</v>
      </c>
      <c r="C923" s="22">
        <v>83.9</v>
      </c>
      <c r="D923" s="22">
        <v>7.0960000000000001</v>
      </c>
      <c r="E923" s="10">
        <v>7.1</v>
      </c>
      <c r="F923" s="22">
        <v>3.6549999999999998</v>
      </c>
      <c r="G923" s="22">
        <v>507.01001000000002</v>
      </c>
      <c r="H923" s="22">
        <v>1980.8100589999999</v>
      </c>
      <c r="I923" s="18">
        <v>16163.089840000001</v>
      </c>
    </row>
    <row r="924" spans="1:9" x14ac:dyDescent="0.2">
      <c r="A924" s="4">
        <v>34800</v>
      </c>
      <c r="B924" s="21">
        <v>1.3365</v>
      </c>
      <c r="C924" s="22">
        <v>83.53</v>
      </c>
      <c r="D924" s="22">
        <v>7.0739999999999998</v>
      </c>
      <c r="E924" s="10">
        <v>7.13</v>
      </c>
      <c r="F924" s="22">
        <v>3.6749999999999998</v>
      </c>
      <c r="G924" s="22">
        <v>505.52999899999998</v>
      </c>
      <c r="H924" s="22">
        <v>1979.26001</v>
      </c>
      <c r="I924" s="18">
        <v>16268.87988</v>
      </c>
    </row>
    <row r="925" spans="1:9" x14ac:dyDescent="0.2">
      <c r="A925" s="4">
        <v>34801</v>
      </c>
      <c r="B925" s="21">
        <v>1.3328</v>
      </c>
      <c r="C925" s="22">
        <v>83.75</v>
      </c>
      <c r="D925" s="22">
        <v>7.048</v>
      </c>
      <c r="E925" s="10">
        <v>7.13</v>
      </c>
      <c r="F925" s="22">
        <v>3.72</v>
      </c>
      <c r="G925" s="22">
        <v>507.17001299999998</v>
      </c>
      <c r="H925" s="22">
        <v>1991.079956</v>
      </c>
      <c r="I925" s="18">
        <v>16344.91992</v>
      </c>
    </row>
    <row r="926" spans="1:9" x14ac:dyDescent="0.2">
      <c r="A926" s="4">
        <v>34802</v>
      </c>
      <c r="B926" s="21">
        <v>1.3488</v>
      </c>
      <c r="C926" s="22">
        <v>83.5</v>
      </c>
      <c r="D926" s="22">
        <v>7</v>
      </c>
      <c r="E926" s="10">
        <v>7.08</v>
      </c>
      <c r="F926" s="22">
        <v>3.5670000000000002</v>
      </c>
      <c r="G926" s="22">
        <v>509.23001099999999</v>
      </c>
      <c r="H926" s="22">
        <v>1982.98999</v>
      </c>
      <c r="I926" s="18">
        <v>16438.789059999999</v>
      </c>
    </row>
    <row r="927" spans="1:9" x14ac:dyDescent="0.2">
      <c r="A927" s="4">
        <v>34803</v>
      </c>
      <c r="B927" s="21">
        <v>1.3488</v>
      </c>
      <c r="C927" s="22">
        <v>83.3</v>
      </c>
      <c r="D927" s="22">
        <v>7</v>
      </c>
      <c r="E927" s="10">
        <v>7.08</v>
      </c>
      <c r="F927" s="22">
        <v>3.4020000000000001</v>
      </c>
      <c r="G927" s="22">
        <v>508.49</v>
      </c>
      <c r="H927" s="22">
        <v>1982.98999</v>
      </c>
      <c r="I927" s="18">
        <v>16047.889649999999</v>
      </c>
    </row>
    <row r="928" spans="1:9" x14ac:dyDescent="0.2">
      <c r="A928" s="4">
        <v>34806</v>
      </c>
      <c r="B928" s="21">
        <v>1.3488</v>
      </c>
      <c r="C928" s="22">
        <v>81.95</v>
      </c>
      <c r="D928" s="22">
        <v>7.0209999999999999</v>
      </c>
      <c r="E928" s="10">
        <v>7.08</v>
      </c>
      <c r="F928" s="22">
        <v>3.3650000000000002</v>
      </c>
      <c r="G928" s="22">
        <v>506.13000499999998</v>
      </c>
      <c r="H928" s="22">
        <v>1982.98999</v>
      </c>
      <c r="I928" s="18">
        <v>16304.150390000001</v>
      </c>
    </row>
    <row r="929" spans="1:9" x14ac:dyDescent="0.2">
      <c r="A929" s="4">
        <v>34807</v>
      </c>
      <c r="B929" s="21">
        <v>1.363</v>
      </c>
      <c r="C929" s="22">
        <v>80.63</v>
      </c>
      <c r="D929" s="22">
        <v>7.0209999999999999</v>
      </c>
      <c r="E929" s="10">
        <v>7.06</v>
      </c>
      <c r="F929" s="22">
        <v>3.3149999999999999</v>
      </c>
      <c r="G929" s="22">
        <v>505.36999500000002</v>
      </c>
      <c r="H929" s="22">
        <v>1954.619995</v>
      </c>
      <c r="I929" s="18">
        <v>16225.110350000001</v>
      </c>
    </row>
    <row r="930" spans="1:9" x14ac:dyDescent="0.2">
      <c r="A930" s="4">
        <v>34808</v>
      </c>
      <c r="B930" s="21">
        <v>1.3701000000000001</v>
      </c>
      <c r="C930" s="22">
        <v>81.349999999999994</v>
      </c>
      <c r="D930" s="22">
        <v>7.0339999999999998</v>
      </c>
      <c r="E930" s="10">
        <v>7.04</v>
      </c>
      <c r="F930" s="22">
        <v>3.43</v>
      </c>
      <c r="G930" s="22">
        <v>504.92001299999998</v>
      </c>
      <c r="H930" s="22">
        <v>1943.880005</v>
      </c>
      <c r="I930" s="18">
        <v>16376.08008</v>
      </c>
    </row>
    <row r="931" spans="1:9" x14ac:dyDescent="0.2">
      <c r="A931" s="4">
        <v>34809</v>
      </c>
      <c r="B931" s="21">
        <v>1.3552</v>
      </c>
      <c r="C931" s="22">
        <v>83.17</v>
      </c>
      <c r="D931" s="22">
        <v>6.9989999999999997</v>
      </c>
      <c r="E931" s="10">
        <v>7.1</v>
      </c>
      <c r="F931" s="22">
        <v>3.3889999999999998</v>
      </c>
      <c r="G931" s="22">
        <v>505.290009</v>
      </c>
      <c r="H931" s="22">
        <v>1955.329956</v>
      </c>
      <c r="I931" s="18">
        <v>16643.060549999998</v>
      </c>
    </row>
    <row r="932" spans="1:9" x14ac:dyDescent="0.2">
      <c r="A932" s="4">
        <v>34810</v>
      </c>
      <c r="B932" s="21">
        <v>1.3512</v>
      </c>
      <c r="C932" s="22">
        <v>82.73</v>
      </c>
      <c r="D932" s="22">
        <v>6.9939999999999998</v>
      </c>
      <c r="E932" s="10">
        <v>7.07</v>
      </c>
      <c r="F932" s="22">
        <v>3.4750000000000001</v>
      </c>
      <c r="G932" s="22">
        <v>508.48998999999998</v>
      </c>
      <c r="H932" s="22">
        <v>1987.6999510000001</v>
      </c>
      <c r="I932" s="18">
        <v>16968.240229999999</v>
      </c>
    </row>
    <row r="933" spans="1:9" x14ac:dyDescent="0.2">
      <c r="A933" s="4">
        <v>34813</v>
      </c>
      <c r="B933" s="21">
        <v>1.3589</v>
      </c>
      <c r="C933" s="22">
        <v>83.03</v>
      </c>
      <c r="D933" s="22">
        <v>6.9859999999999998</v>
      </c>
      <c r="E933" s="10">
        <v>7.09</v>
      </c>
      <c r="F933" s="22">
        <v>3.4350000000000001</v>
      </c>
      <c r="G933" s="22">
        <v>512.89001499999995</v>
      </c>
      <c r="H933" s="22">
        <v>1978.969971</v>
      </c>
      <c r="I933" s="18">
        <v>16804.050780000001</v>
      </c>
    </row>
    <row r="934" spans="1:9" x14ac:dyDescent="0.2">
      <c r="A934" s="4">
        <v>34814</v>
      </c>
      <c r="B934" s="21">
        <v>1.3661000000000001</v>
      </c>
      <c r="C934" s="22">
        <v>81.83</v>
      </c>
      <c r="D934" s="22">
        <v>6.9859999999999998</v>
      </c>
      <c r="E934" s="10">
        <v>7.05</v>
      </c>
      <c r="F934" s="22">
        <v>3.4449999999999998</v>
      </c>
      <c r="G934" s="22">
        <v>512.09997599999997</v>
      </c>
      <c r="H934" s="22">
        <v>2007.5699460000001</v>
      </c>
      <c r="I934" s="18">
        <v>16910.539059999999</v>
      </c>
    </row>
    <row r="935" spans="1:9" x14ac:dyDescent="0.2">
      <c r="A935" s="4">
        <v>34815</v>
      </c>
      <c r="B935" s="21">
        <v>1.3499000000000001</v>
      </c>
      <c r="C935" s="22">
        <v>83.8</v>
      </c>
      <c r="D935" s="22">
        <v>6.9939999999999998</v>
      </c>
      <c r="E935" s="10">
        <v>7.04</v>
      </c>
      <c r="F935" s="22">
        <v>3.4049999999999998</v>
      </c>
      <c r="G935" s="22">
        <v>512.65997300000004</v>
      </c>
      <c r="H935" s="22">
        <v>2028.5200199999999</v>
      </c>
      <c r="I935" s="18">
        <v>16826.490229999999</v>
      </c>
    </row>
    <row r="936" spans="1:9" x14ac:dyDescent="0.2">
      <c r="A936" s="4">
        <v>34816</v>
      </c>
      <c r="B936" s="21">
        <v>1.3581000000000001</v>
      </c>
      <c r="C936" s="22">
        <v>83.66</v>
      </c>
      <c r="D936" s="22">
        <v>7.0250000000000004</v>
      </c>
      <c r="E936" s="10">
        <v>7.01</v>
      </c>
      <c r="F936" s="22">
        <v>3.45</v>
      </c>
      <c r="G936" s="22">
        <v>513.54998799999998</v>
      </c>
      <c r="H936" s="22">
        <v>2024.25</v>
      </c>
      <c r="I936" s="18">
        <v>16883.990229999999</v>
      </c>
    </row>
    <row r="937" spans="1:9" x14ac:dyDescent="0.2">
      <c r="A937" s="4">
        <v>34817</v>
      </c>
      <c r="B937" s="21">
        <v>1.3521000000000001</v>
      </c>
      <c r="C937" s="22">
        <v>84.34</v>
      </c>
      <c r="D937" s="22">
        <v>7.0460000000000003</v>
      </c>
      <c r="E937" s="10">
        <v>7</v>
      </c>
      <c r="F937" s="22">
        <v>3.4750000000000001</v>
      </c>
      <c r="G937" s="22">
        <v>514.71002199999998</v>
      </c>
      <c r="H937" s="22">
        <v>2017.9499510000001</v>
      </c>
      <c r="I937" s="18">
        <v>16806.75</v>
      </c>
    </row>
    <row r="938" spans="1:9" x14ac:dyDescent="0.2">
      <c r="A938" s="4">
        <v>34820</v>
      </c>
      <c r="B938" s="21">
        <v>1.3459000000000001</v>
      </c>
      <c r="C938" s="22">
        <v>83.5</v>
      </c>
      <c r="D938" s="22">
        <v>7.0720000000000001</v>
      </c>
      <c r="E938" s="10">
        <v>7</v>
      </c>
      <c r="F938" s="22">
        <v>3.53</v>
      </c>
      <c r="G938" s="22">
        <v>514.26000999999997</v>
      </c>
      <c r="H938" s="22">
        <v>2017.9499510000001</v>
      </c>
      <c r="I938" s="18">
        <v>16811.460940000001</v>
      </c>
    </row>
    <row r="939" spans="1:9" x14ac:dyDescent="0.2">
      <c r="A939" s="4">
        <v>34821</v>
      </c>
      <c r="B939" s="21">
        <v>1.3577999999999999</v>
      </c>
      <c r="C939" s="22">
        <v>83.62</v>
      </c>
      <c r="D939" s="22">
        <v>7.024</v>
      </c>
      <c r="E939" s="10">
        <v>7.05</v>
      </c>
      <c r="F939" s="22">
        <v>3.49</v>
      </c>
      <c r="G939" s="22">
        <v>514.85998500000005</v>
      </c>
      <c r="H939" s="22">
        <v>2036.469971</v>
      </c>
      <c r="I939" s="18">
        <v>17088.660159999999</v>
      </c>
    </row>
    <row r="940" spans="1:9" x14ac:dyDescent="0.2">
      <c r="A940" s="4">
        <v>34822</v>
      </c>
      <c r="B940" s="21">
        <v>1.3585</v>
      </c>
      <c r="C940" s="22">
        <v>83.7</v>
      </c>
      <c r="D940" s="22">
        <v>6.9409999999999998</v>
      </c>
      <c r="E940" s="10">
        <v>7.04</v>
      </c>
      <c r="F940" s="22">
        <v>3.49</v>
      </c>
      <c r="G940" s="22">
        <v>520.47997999999995</v>
      </c>
      <c r="H940" s="22">
        <v>2037.98999</v>
      </c>
      <c r="I940" s="18">
        <v>17088.660159999999</v>
      </c>
    </row>
    <row r="941" spans="1:9" x14ac:dyDescent="0.2">
      <c r="A941" s="4">
        <v>34823</v>
      </c>
      <c r="B941" s="21">
        <v>1.3643000000000001</v>
      </c>
      <c r="C941" s="22">
        <v>83.89</v>
      </c>
      <c r="D941" s="22">
        <v>6.8330000000000002</v>
      </c>
      <c r="E941" s="10">
        <v>6.98</v>
      </c>
      <c r="F941" s="22">
        <v>3.49</v>
      </c>
      <c r="G941" s="22">
        <v>520.53997800000002</v>
      </c>
      <c r="H941" s="22">
        <v>2034.150024</v>
      </c>
      <c r="I941" s="18">
        <v>17088.660159999999</v>
      </c>
    </row>
    <row r="942" spans="1:9" x14ac:dyDescent="0.2">
      <c r="A942" s="4">
        <v>34824</v>
      </c>
      <c r="B942" s="21">
        <v>1.3648</v>
      </c>
      <c r="C942" s="22">
        <v>83.97</v>
      </c>
      <c r="D942" s="22">
        <v>6.6660000000000004</v>
      </c>
      <c r="E942" s="10">
        <v>6.95</v>
      </c>
      <c r="F942" s="22">
        <v>3.49</v>
      </c>
      <c r="G942" s="22">
        <v>520.11999500000002</v>
      </c>
      <c r="H942" s="22">
        <v>2021.219971</v>
      </c>
      <c r="I942" s="18">
        <v>17088.660159999999</v>
      </c>
    </row>
    <row r="943" spans="1:9" x14ac:dyDescent="0.2">
      <c r="A943" s="4">
        <v>34827</v>
      </c>
      <c r="B943" s="21">
        <v>1.3648</v>
      </c>
      <c r="C943" s="22">
        <v>83.26</v>
      </c>
      <c r="D943" s="22">
        <v>6.6740000000000004</v>
      </c>
      <c r="E943" s="10">
        <v>6.91</v>
      </c>
      <c r="F943" s="22">
        <v>3.4380000000000002</v>
      </c>
      <c r="G943" s="22">
        <v>523.96002199999998</v>
      </c>
      <c r="H943" s="22">
        <v>2030.650024</v>
      </c>
      <c r="I943" s="18">
        <v>17103.689450000002</v>
      </c>
    </row>
    <row r="944" spans="1:9" x14ac:dyDescent="0.2">
      <c r="A944" s="4">
        <v>34828</v>
      </c>
      <c r="B944" s="21">
        <v>1.3691</v>
      </c>
      <c r="C944" s="22">
        <v>83.37</v>
      </c>
      <c r="D944" s="22">
        <v>6.5810000000000004</v>
      </c>
      <c r="E944" s="10">
        <v>6.92</v>
      </c>
      <c r="F944" s="22">
        <v>3.3849999999999998</v>
      </c>
      <c r="G944" s="22">
        <v>523.55999799999995</v>
      </c>
      <c r="H944" s="22">
        <v>2050.6599120000001</v>
      </c>
      <c r="I944" s="18">
        <v>16958.220700000002</v>
      </c>
    </row>
    <row r="945" spans="1:9" x14ac:dyDescent="0.2">
      <c r="A945" s="4">
        <v>34829</v>
      </c>
      <c r="B945" s="21">
        <v>1.3577999999999999</v>
      </c>
      <c r="C945" s="22">
        <v>83.81</v>
      </c>
      <c r="D945" s="22">
        <v>6.6360000000000001</v>
      </c>
      <c r="E945" s="10">
        <v>6.83</v>
      </c>
      <c r="F945" s="22">
        <v>3.375</v>
      </c>
      <c r="G945" s="22">
        <v>524.35998500000005</v>
      </c>
      <c r="H945" s="22">
        <v>2064.4099120000001</v>
      </c>
      <c r="I945" s="18">
        <v>16826.490229999999</v>
      </c>
    </row>
    <row r="946" spans="1:9" x14ac:dyDescent="0.2">
      <c r="A946" s="4">
        <v>34830</v>
      </c>
      <c r="B946" s="21">
        <v>1.3354999999999999</v>
      </c>
      <c r="C946" s="22">
        <v>85.72</v>
      </c>
      <c r="D946" s="22">
        <v>6.673</v>
      </c>
      <c r="E946" s="10">
        <v>6.86</v>
      </c>
      <c r="F946" s="22">
        <v>3.3250000000000002</v>
      </c>
      <c r="G946" s="22">
        <v>524.36999500000002</v>
      </c>
      <c r="H946" s="22">
        <v>2086.4099120000001</v>
      </c>
      <c r="I946" s="18">
        <v>16461.730469999999</v>
      </c>
    </row>
    <row r="947" spans="1:9" x14ac:dyDescent="0.2">
      <c r="A947" s="4">
        <v>34831</v>
      </c>
      <c r="B947" s="21">
        <v>1.3120000000000001</v>
      </c>
      <c r="C947" s="22">
        <v>86.75</v>
      </c>
      <c r="D947" s="22">
        <v>6.665</v>
      </c>
      <c r="E947" s="10">
        <v>6.91</v>
      </c>
      <c r="F947" s="22">
        <v>3.4249999999999998</v>
      </c>
      <c r="G947" s="22">
        <v>525.54998799999998</v>
      </c>
      <c r="H947" s="22">
        <v>2102.3999020000001</v>
      </c>
      <c r="I947" s="18">
        <v>16420.759770000001</v>
      </c>
    </row>
    <row r="948" spans="1:9" x14ac:dyDescent="0.2">
      <c r="A948" s="4">
        <v>34834</v>
      </c>
      <c r="B948" s="21">
        <v>1.3115000000000001</v>
      </c>
      <c r="C948" s="22">
        <v>86.45</v>
      </c>
      <c r="D948" s="22">
        <v>6.617</v>
      </c>
      <c r="E948" s="10">
        <v>6.88</v>
      </c>
      <c r="F948" s="22">
        <v>3.42</v>
      </c>
      <c r="G948" s="22">
        <v>527.73999000000003</v>
      </c>
      <c r="H948" s="22">
        <v>2092</v>
      </c>
      <c r="I948" s="18">
        <v>16609.699219999999</v>
      </c>
    </row>
    <row r="949" spans="1:9" x14ac:dyDescent="0.2">
      <c r="A949" s="4">
        <v>34835</v>
      </c>
      <c r="B949" s="21">
        <v>1.3144</v>
      </c>
      <c r="C949" s="22">
        <v>86.65</v>
      </c>
      <c r="D949" s="22">
        <v>6.5519999999999996</v>
      </c>
      <c r="E949" s="10">
        <v>6.86</v>
      </c>
      <c r="F949" s="22">
        <v>3.4</v>
      </c>
      <c r="G949" s="22">
        <v>528.19000200000005</v>
      </c>
      <c r="H949" s="22">
        <v>2109.360107</v>
      </c>
      <c r="I949" s="18">
        <v>16388.900389999999</v>
      </c>
    </row>
    <row r="950" spans="1:9" x14ac:dyDescent="0.2">
      <c r="A950" s="4">
        <v>34836</v>
      </c>
      <c r="B950" s="21">
        <v>1.3131999999999999</v>
      </c>
      <c r="C950" s="22">
        <v>86.88</v>
      </c>
      <c r="D950" s="22">
        <v>6.5259999999999998</v>
      </c>
      <c r="E950" s="10">
        <v>6.8</v>
      </c>
      <c r="F950" s="22">
        <v>3.3650000000000002</v>
      </c>
      <c r="G950" s="22">
        <v>527.07000700000003</v>
      </c>
      <c r="H950" s="22">
        <v>2088.98999</v>
      </c>
      <c r="I950" s="18">
        <v>16471.349610000001</v>
      </c>
    </row>
    <row r="951" spans="1:9" x14ac:dyDescent="0.2">
      <c r="A951" s="4">
        <v>34837</v>
      </c>
      <c r="B951" s="21">
        <v>1.2958000000000001</v>
      </c>
      <c r="C951" s="22">
        <v>86.87</v>
      </c>
      <c r="D951" s="22">
        <v>6.6040000000000001</v>
      </c>
      <c r="E951" s="10">
        <v>6.82</v>
      </c>
      <c r="F951" s="22">
        <v>3.34</v>
      </c>
      <c r="G951" s="22">
        <v>519.580017</v>
      </c>
      <c r="H951" s="22">
        <v>2083.8000489999999</v>
      </c>
      <c r="I951" s="18">
        <v>16312.559569999999</v>
      </c>
    </row>
    <row r="952" spans="1:9" x14ac:dyDescent="0.2">
      <c r="A952" s="4">
        <v>34838</v>
      </c>
      <c r="B952" s="21">
        <v>1.3098000000000001</v>
      </c>
      <c r="C952" s="22">
        <v>86.86</v>
      </c>
      <c r="D952" s="22">
        <v>6.5990000000000002</v>
      </c>
      <c r="E952" s="10">
        <v>6.85</v>
      </c>
      <c r="F952" s="22">
        <v>3.2749999999999999</v>
      </c>
      <c r="G952" s="22">
        <v>519.19000200000005</v>
      </c>
      <c r="H952" s="22">
        <v>2064.419922</v>
      </c>
      <c r="I952" s="18">
        <v>16140.849609999999</v>
      </c>
    </row>
    <row r="953" spans="1:9" x14ac:dyDescent="0.2">
      <c r="A953" s="4">
        <v>34841</v>
      </c>
      <c r="B953" s="21">
        <v>1.3019000000000001</v>
      </c>
      <c r="C953" s="22">
        <v>87.38</v>
      </c>
      <c r="D953" s="22">
        <v>6.6120000000000001</v>
      </c>
      <c r="E953" s="10">
        <v>6.83</v>
      </c>
      <c r="F953" s="22">
        <v>3.23</v>
      </c>
      <c r="G953" s="22">
        <v>523.65002400000003</v>
      </c>
      <c r="H953" s="22">
        <v>2096.8701169999999</v>
      </c>
      <c r="I953" s="18">
        <v>15789.12012</v>
      </c>
    </row>
    <row r="954" spans="1:9" x14ac:dyDescent="0.2">
      <c r="A954" s="4">
        <v>34842</v>
      </c>
      <c r="B954" s="21">
        <v>1.3077000000000001</v>
      </c>
      <c r="C954" s="22">
        <v>87.16</v>
      </c>
      <c r="D954" s="22">
        <v>6.5510000000000002</v>
      </c>
      <c r="E954" s="10">
        <v>6.82</v>
      </c>
      <c r="F954" s="22">
        <v>3.2</v>
      </c>
      <c r="G954" s="22">
        <v>528.59002699999996</v>
      </c>
      <c r="H954" s="22">
        <v>2083.5500489999999</v>
      </c>
      <c r="I954" s="18">
        <v>15916.150390000001</v>
      </c>
    </row>
    <row r="955" spans="1:9" x14ac:dyDescent="0.2">
      <c r="A955" s="4">
        <v>34843</v>
      </c>
      <c r="B955" s="21">
        <v>1.3099000000000001</v>
      </c>
      <c r="C955" s="22">
        <v>87.16</v>
      </c>
      <c r="D955" s="22">
        <v>6.4269999999999996</v>
      </c>
      <c r="E955" s="10">
        <v>6.77</v>
      </c>
      <c r="F955" s="22">
        <v>3.1749999999999998</v>
      </c>
      <c r="G955" s="22">
        <v>528.60998500000005</v>
      </c>
      <c r="H955" s="22">
        <v>2105.8798830000001</v>
      </c>
      <c r="I955" s="18">
        <v>15970.75</v>
      </c>
    </row>
    <row r="956" spans="1:9" x14ac:dyDescent="0.2">
      <c r="A956" s="4">
        <v>34844</v>
      </c>
      <c r="B956" s="21">
        <v>1.3398000000000001</v>
      </c>
      <c r="C956" s="22">
        <v>84.84</v>
      </c>
      <c r="D956" s="22">
        <v>6.38</v>
      </c>
      <c r="E956" s="10">
        <v>6.77</v>
      </c>
      <c r="F956" s="22">
        <v>3.0950000000000002</v>
      </c>
      <c r="G956" s="22">
        <v>528.59002699999996</v>
      </c>
      <c r="H956" s="22">
        <v>2105.8798830000001</v>
      </c>
      <c r="I956" s="18">
        <v>15579.440430000001</v>
      </c>
    </row>
    <row r="957" spans="1:9" x14ac:dyDescent="0.2">
      <c r="A957" s="4">
        <v>34845</v>
      </c>
      <c r="B957" s="21">
        <v>1.3605</v>
      </c>
      <c r="C957" s="22">
        <v>82.91</v>
      </c>
      <c r="D957" s="22">
        <v>6.3879999999999999</v>
      </c>
      <c r="E957" s="10">
        <v>6.69</v>
      </c>
      <c r="F957" s="22">
        <v>3.04</v>
      </c>
      <c r="G957" s="22">
        <v>523.65002400000003</v>
      </c>
      <c r="H957" s="22">
        <v>2065.709961</v>
      </c>
      <c r="I957" s="18">
        <v>15694.25</v>
      </c>
    </row>
    <row r="958" spans="1:9" x14ac:dyDescent="0.2">
      <c r="A958" s="4">
        <v>34848</v>
      </c>
      <c r="B958" s="21">
        <v>1.3605</v>
      </c>
      <c r="C958" s="22">
        <v>82.8</v>
      </c>
      <c r="D958" s="22">
        <v>6.3879999999999999</v>
      </c>
      <c r="E958" s="10">
        <v>6.71</v>
      </c>
      <c r="F958" s="22">
        <v>3.0649999999999999</v>
      </c>
      <c r="G958" s="22">
        <v>535.6</v>
      </c>
      <c r="H958" s="22">
        <v>2069.26001</v>
      </c>
      <c r="I958" s="18">
        <v>15574.030269999999</v>
      </c>
    </row>
    <row r="959" spans="1:9" x14ac:dyDescent="0.2">
      <c r="A959" s="4">
        <v>34849</v>
      </c>
      <c r="B959" s="21">
        <v>1.3552</v>
      </c>
      <c r="C959" s="22">
        <v>82.92</v>
      </c>
      <c r="D959" s="22">
        <v>6.2939999999999996</v>
      </c>
      <c r="E959" s="10">
        <v>6.67</v>
      </c>
      <c r="F959" s="22">
        <v>2.98</v>
      </c>
      <c r="G959" s="22">
        <v>523.580017</v>
      </c>
      <c r="H959" s="22">
        <v>2081.459961</v>
      </c>
      <c r="I959" s="18">
        <v>15762.969730000001</v>
      </c>
    </row>
    <row r="960" spans="1:9" x14ac:dyDescent="0.2">
      <c r="A960" s="4">
        <v>34850</v>
      </c>
      <c r="B960" s="21">
        <v>1.3373999999999999</v>
      </c>
      <c r="C960" s="22">
        <v>84.62</v>
      </c>
      <c r="D960" s="22">
        <v>6.2859999999999996</v>
      </c>
      <c r="E960" s="10">
        <v>6.65</v>
      </c>
      <c r="F960" s="22">
        <v>2.8650000000000002</v>
      </c>
      <c r="G960" s="22">
        <v>533.40002400000003</v>
      </c>
      <c r="H960" s="22">
        <v>2099.9499510000001</v>
      </c>
      <c r="I960" s="18">
        <v>15436.79004</v>
      </c>
    </row>
    <row r="961" spans="1:9" x14ac:dyDescent="0.2">
      <c r="A961" s="4">
        <v>34851</v>
      </c>
      <c r="B961" s="21">
        <v>1.3289</v>
      </c>
      <c r="C961" s="22">
        <v>84.81</v>
      </c>
      <c r="D961" s="22">
        <v>6.1849999999999996</v>
      </c>
      <c r="E961" s="10">
        <v>6.62</v>
      </c>
      <c r="F961" s="22">
        <v>2.9</v>
      </c>
      <c r="G961" s="22">
        <v>533.48999000000003</v>
      </c>
      <c r="H961" s="22">
        <v>2119.23999</v>
      </c>
      <c r="I961" s="18">
        <v>15594.570309999999</v>
      </c>
    </row>
    <row r="962" spans="1:9" x14ac:dyDescent="0.2">
      <c r="A962" s="4">
        <v>34852</v>
      </c>
      <c r="B962" s="21">
        <v>1.343</v>
      </c>
      <c r="C962" s="22">
        <v>84.33</v>
      </c>
      <c r="D962" s="22">
        <v>6.08</v>
      </c>
      <c r="E962" s="10">
        <v>6.62</v>
      </c>
      <c r="F962" s="22">
        <v>3.0049999999999999</v>
      </c>
      <c r="G962" s="22">
        <v>532.51000999999997</v>
      </c>
      <c r="H962" s="22">
        <v>2132.719971</v>
      </c>
      <c r="I962" s="18">
        <v>15849.12988</v>
      </c>
    </row>
    <row r="963" spans="1:9" x14ac:dyDescent="0.2">
      <c r="A963" s="4">
        <v>34855</v>
      </c>
      <c r="B963" s="21">
        <v>1.3454999999999999</v>
      </c>
      <c r="C963" s="22">
        <v>84.78</v>
      </c>
      <c r="D963" s="22">
        <v>6.0590000000000002</v>
      </c>
      <c r="E963" s="10">
        <v>6.62</v>
      </c>
      <c r="F963" s="22">
        <v>2.94</v>
      </c>
      <c r="G963" s="22">
        <v>535.59997599999997</v>
      </c>
      <c r="H963" s="22">
        <v>2132.719971</v>
      </c>
      <c r="I963" s="18">
        <v>15897.320309999999</v>
      </c>
    </row>
    <row r="964" spans="1:9" x14ac:dyDescent="0.2">
      <c r="A964" s="4">
        <v>34856</v>
      </c>
      <c r="B964" s="21">
        <v>1.3357000000000001</v>
      </c>
      <c r="C964" s="22">
        <v>84.77</v>
      </c>
      <c r="D964" s="22">
        <v>6.0759999999999996</v>
      </c>
      <c r="E964" s="10">
        <v>6.51</v>
      </c>
      <c r="F964" s="22">
        <v>2.86</v>
      </c>
      <c r="G964" s="22">
        <v>535.54998799999998</v>
      </c>
      <c r="H964" s="22">
        <v>2154.169922</v>
      </c>
      <c r="I964" s="18">
        <v>15660.990229999999</v>
      </c>
    </row>
    <row r="965" spans="1:9" x14ac:dyDescent="0.2">
      <c r="A965" s="4">
        <v>34857</v>
      </c>
      <c r="B965" s="21">
        <v>1.3415999999999999</v>
      </c>
      <c r="C965" s="22">
        <v>84.97</v>
      </c>
      <c r="D965" s="22">
        <v>6.1589999999999998</v>
      </c>
      <c r="E965" s="10">
        <v>6.51</v>
      </c>
      <c r="F965" s="22">
        <v>2.9049999999999998</v>
      </c>
      <c r="G965" s="22">
        <v>533.13000499999998</v>
      </c>
      <c r="H965" s="22">
        <v>2136.719971</v>
      </c>
      <c r="I965" s="18">
        <v>15679.62012</v>
      </c>
    </row>
    <row r="966" spans="1:9" x14ac:dyDescent="0.2">
      <c r="A966" s="4">
        <v>34858</v>
      </c>
      <c r="B966" s="21">
        <v>1.331</v>
      </c>
      <c r="C966" s="22">
        <v>84.55</v>
      </c>
      <c r="D966" s="22">
        <v>6.2009999999999996</v>
      </c>
      <c r="E966" s="10">
        <v>6.56</v>
      </c>
      <c r="F966" s="22">
        <v>2.9750000000000001</v>
      </c>
      <c r="G966" s="22">
        <v>532.34997599999997</v>
      </c>
      <c r="H966" s="22">
        <v>2137.209961</v>
      </c>
      <c r="I966" s="18">
        <v>15442.29981</v>
      </c>
    </row>
    <row r="967" spans="1:9" x14ac:dyDescent="0.2">
      <c r="A967" s="4">
        <v>34859</v>
      </c>
      <c r="B967" s="21">
        <v>1.3494999999999999</v>
      </c>
      <c r="C967" s="22">
        <v>84.34</v>
      </c>
      <c r="D967" s="22">
        <v>6.3789999999999996</v>
      </c>
      <c r="E967" s="10">
        <v>6.62</v>
      </c>
      <c r="F967" s="22">
        <v>2.9550000000000001</v>
      </c>
      <c r="G967" s="22">
        <v>527.94000200000005</v>
      </c>
      <c r="H967" s="22">
        <v>2107.1599120000001</v>
      </c>
      <c r="I967" s="18">
        <v>15044.179690000001</v>
      </c>
    </row>
    <row r="968" spans="1:9" x14ac:dyDescent="0.2">
      <c r="A968" s="4">
        <v>34862</v>
      </c>
      <c r="B968" s="21">
        <v>1.3434999999999999</v>
      </c>
      <c r="C968" s="22">
        <v>84.06</v>
      </c>
      <c r="D968" s="22">
        <v>6.3659999999999997</v>
      </c>
      <c r="E968" s="10">
        <v>6.77</v>
      </c>
      <c r="F968" s="22">
        <v>3.0049999999999999</v>
      </c>
      <c r="G968" s="22">
        <v>530.88000499999998</v>
      </c>
      <c r="H968" s="22">
        <v>2127.790039</v>
      </c>
      <c r="I968" s="18">
        <v>14813.45996</v>
      </c>
    </row>
    <row r="969" spans="1:9" x14ac:dyDescent="0.2">
      <c r="A969" s="4">
        <v>34863</v>
      </c>
      <c r="B969" s="21">
        <v>1.3413999999999999</v>
      </c>
      <c r="C969" s="22">
        <v>84.68</v>
      </c>
      <c r="D969" s="22">
        <v>6.125</v>
      </c>
      <c r="E969" s="10">
        <v>6.77</v>
      </c>
      <c r="F969" s="22">
        <v>2.97</v>
      </c>
      <c r="G969" s="22">
        <v>536.04998799999998</v>
      </c>
      <c r="H969" s="22">
        <v>2124.25</v>
      </c>
      <c r="I969" s="18">
        <v>14599.679690000001</v>
      </c>
    </row>
    <row r="970" spans="1:9" x14ac:dyDescent="0.2">
      <c r="A970" s="4">
        <v>34864</v>
      </c>
      <c r="B970" s="21">
        <v>1.3501000000000001</v>
      </c>
      <c r="C970" s="22">
        <v>84.34</v>
      </c>
      <c r="D970" s="22">
        <v>6.1289999999999996</v>
      </c>
      <c r="E970" s="10">
        <v>6.67</v>
      </c>
      <c r="F970" s="22">
        <v>3.0249999999999999</v>
      </c>
      <c r="G970" s="22">
        <v>536.46997099999999</v>
      </c>
      <c r="H970" s="22">
        <v>2124.8400879999999</v>
      </c>
      <c r="I970" s="18">
        <v>14660.490229999999</v>
      </c>
    </row>
    <row r="971" spans="1:9" x14ac:dyDescent="0.2">
      <c r="A971" s="4">
        <v>34865</v>
      </c>
      <c r="B971" s="21">
        <v>1.3387</v>
      </c>
      <c r="C971" s="22">
        <v>84.58</v>
      </c>
      <c r="D971" s="22">
        <v>6.1580000000000004</v>
      </c>
      <c r="E971" s="10">
        <v>6.67</v>
      </c>
      <c r="F971" s="22">
        <v>3.0750000000000002</v>
      </c>
      <c r="G971" s="22">
        <v>537.11999500000002</v>
      </c>
      <c r="H971" s="22">
        <v>2124.8400879999999</v>
      </c>
      <c r="I971" s="18">
        <v>14867.259770000001</v>
      </c>
    </row>
    <row r="972" spans="1:9" x14ac:dyDescent="0.2">
      <c r="A972" s="4">
        <v>34866</v>
      </c>
      <c r="B972" s="21">
        <v>1.3466</v>
      </c>
      <c r="C972" s="22">
        <v>84.7</v>
      </c>
      <c r="D972" s="22">
        <v>6.1959999999999997</v>
      </c>
      <c r="E972" s="10">
        <v>6.81</v>
      </c>
      <c r="F972" s="22">
        <v>3.0550000000000002</v>
      </c>
      <c r="G972" s="22">
        <v>539.830017</v>
      </c>
      <c r="H972" s="22">
        <v>2125.0600589999999</v>
      </c>
      <c r="I972" s="18">
        <v>14703.16992</v>
      </c>
    </row>
    <row r="973" spans="1:9" x14ac:dyDescent="0.2">
      <c r="A973" s="4">
        <v>34869</v>
      </c>
      <c r="B973" s="21">
        <v>1.3479000000000001</v>
      </c>
      <c r="C973" s="22">
        <v>84.62</v>
      </c>
      <c r="D973" s="22">
        <v>6.1079999999999997</v>
      </c>
      <c r="E973" s="10">
        <v>6.74</v>
      </c>
      <c r="F973" s="22">
        <v>3.0049999999999999</v>
      </c>
      <c r="G973" s="22">
        <v>545.21997099999999</v>
      </c>
      <c r="H973" s="22">
        <v>2154.1298830000001</v>
      </c>
      <c r="I973" s="18">
        <v>14700.059569999999</v>
      </c>
    </row>
    <row r="974" spans="1:9" x14ac:dyDescent="0.2">
      <c r="A974" s="4">
        <v>34870</v>
      </c>
      <c r="B974" s="21">
        <v>1.3543000000000001</v>
      </c>
      <c r="C974" s="22">
        <v>84.53</v>
      </c>
      <c r="D974" s="22">
        <v>6.141</v>
      </c>
      <c r="E974" s="10">
        <v>6.69</v>
      </c>
      <c r="F974" s="22">
        <v>2.9950000000000001</v>
      </c>
      <c r="G974" s="22">
        <v>544.97997999999995</v>
      </c>
      <c r="H974" s="22">
        <v>2140.360107</v>
      </c>
      <c r="I974" s="18">
        <v>14665.700199999999</v>
      </c>
    </row>
    <row r="975" spans="1:9" x14ac:dyDescent="0.2">
      <c r="A975" s="4">
        <v>34871</v>
      </c>
      <c r="B975" s="21">
        <v>1.3547</v>
      </c>
      <c r="C975" s="22">
        <v>84.05</v>
      </c>
      <c r="D975" s="22">
        <v>6.1159999999999997</v>
      </c>
      <c r="E975" s="10">
        <v>6.66</v>
      </c>
      <c r="F975" s="22">
        <v>2.915</v>
      </c>
      <c r="G975" s="22">
        <v>543.97997999999995</v>
      </c>
      <c r="H975" s="22">
        <v>2144.8798830000001</v>
      </c>
      <c r="I975" s="18">
        <v>14951.20996</v>
      </c>
    </row>
    <row r="976" spans="1:9" x14ac:dyDescent="0.2">
      <c r="A976" s="4">
        <v>34872</v>
      </c>
      <c r="B976" s="21">
        <v>1.3628</v>
      </c>
      <c r="C976" s="22">
        <v>84.49</v>
      </c>
      <c r="D976" s="22">
        <v>6.016</v>
      </c>
      <c r="E976" s="10">
        <v>6.68</v>
      </c>
      <c r="F976" s="22">
        <v>2.83</v>
      </c>
      <c r="G976" s="22">
        <v>551.07000700000003</v>
      </c>
      <c r="H976" s="22">
        <v>2162.389893</v>
      </c>
      <c r="I976" s="18">
        <v>14926.37012</v>
      </c>
    </row>
    <row r="977" spans="1:11" x14ac:dyDescent="0.2">
      <c r="A977" s="4">
        <v>34873</v>
      </c>
      <c r="B977" s="21">
        <v>1.3616999999999999</v>
      </c>
      <c r="C977" s="22">
        <v>84.33</v>
      </c>
      <c r="D977" s="22">
        <v>6.0449999999999999</v>
      </c>
      <c r="E977" s="10">
        <v>6.71</v>
      </c>
      <c r="F977" s="22">
        <v>2.79</v>
      </c>
      <c r="G977" s="22">
        <v>549.71002199999998</v>
      </c>
      <c r="H977" s="22">
        <v>2138.219971</v>
      </c>
      <c r="I977" s="18">
        <v>15265.179690000001</v>
      </c>
    </row>
    <row r="978" spans="1:11" x14ac:dyDescent="0.2">
      <c r="A978" s="4">
        <v>34876</v>
      </c>
      <c r="B978" s="21">
        <v>1.3541000000000001</v>
      </c>
      <c r="C978" s="22">
        <v>84.29</v>
      </c>
      <c r="D978" s="22">
        <v>6.09</v>
      </c>
      <c r="E978" s="10">
        <v>6.81</v>
      </c>
      <c r="F978" s="22">
        <v>2.7850000000000001</v>
      </c>
      <c r="G978" s="22">
        <v>544.13000499999998</v>
      </c>
      <c r="H978" s="22">
        <v>2137.360107</v>
      </c>
      <c r="I978" s="18">
        <v>15145.360350000001</v>
      </c>
    </row>
    <row r="979" spans="1:11" x14ac:dyDescent="0.2">
      <c r="A979" s="4">
        <v>34877</v>
      </c>
      <c r="B979" s="21">
        <v>1.3616999999999999</v>
      </c>
      <c r="C979" s="22">
        <v>84.22</v>
      </c>
      <c r="D979" s="22">
        <v>6.1319999999999997</v>
      </c>
      <c r="E979" s="10">
        <v>6.82</v>
      </c>
      <c r="F979" s="22">
        <v>2.7549999999999999</v>
      </c>
      <c r="G979" s="22">
        <v>542.42999299999997</v>
      </c>
      <c r="H979" s="22">
        <v>2128.98999</v>
      </c>
      <c r="I979" s="18">
        <v>14759.04981</v>
      </c>
    </row>
    <row r="980" spans="1:11" x14ac:dyDescent="0.2">
      <c r="A980" s="4">
        <v>34878</v>
      </c>
      <c r="B980" s="21">
        <v>1.3569</v>
      </c>
      <c r="C980" s="22">
        <v>85.56</v>
      </c>
      <c r="D980" s="22">
        <v>6.0940000000000003</v>
      </c>
      <c r="E980" s="10">
        <v>6.82</v>
      </c>
      <c r="F980" s="22">
        <v>2.7850000000000001</v>
      </c>
      <c r="G980" s="22">
        <v>544.72997999999995</v>
      </c>
      <c r="H980" s="22">
        <v>2091.3000489999999</v>
      </c>
      <c r="I980" s="18">
        <v>14618.070309999999</v>
      </c>
    </row>
    <row r="981" spans="1:11" x14ac:dyDescent="0.2">
      <c r="A981" s="4">
        <v>34879</v>
      </c>
      <c r="B981" s="21">
        <v>1.3572</v>
      </c>
      <c r="C981" s="22">
        <v>84.33</v>
      </c>
      <c r="D981" s="22">
        <v>6.25</v>
      </c>
      <c r="E981" s="10">
        <v>6.81</v>
      </c>
      <c r="F981" s="22">
        <v>2.71</v>
      </c>
      <c r="G981" s="22">
        <v>543.86999500000002</v>
      </c>
      <c r="H981" s="22">
        <v>2094.679932</v>
      </c>
      <c r="I981" s="18">
        <v>14507.16992</v>
      </c>
    </row>
    <row r="982" spans="1:11" x14ac:dyDescent="0.2">
      <c r="A982" s="4">
        <v>34880</v>
      </c>
      <c r="B982" s="21">
        <v>1.3605</v>
      </c>
      <c r="C982" s="22">
        <v>84.63</v>
      </c>
      <c r="D982" s="22">
        <v>6.2030000000000003</v>
      </c>
      <c r="E982" s="10">
        <v>6.93</v>
      </c>
      <c r="F982" s="22">
        <v>2.7850000000000001</v>
      </c>
      <c r="G982" s="22">
        <v>544.75</v>
      </c>
      <c r="H982" s="22">
        <v>2089.040039</v>
      </c>
      <c r="I982" s="18">
        <v>14517.400390000001</v>
      </c>
      <c r="J982" s="22"/>
      <c r="K982" s="22"/>
    </row>
  </sheetData>
  <mergeCells count="1">
    <mergeCell ref="D1:F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ABM</vt:lpstr>
      <vt:lpstr>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2023-11-07T17:53:49Z</dcterms:modified>
</cp:coreProperties>
</file>